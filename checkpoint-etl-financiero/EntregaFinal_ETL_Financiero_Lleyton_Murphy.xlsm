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Reporte_Ejecutivo" sheetId="1" r:id="rId1"/>
    <sheet name="Evaluación_Financiera" sheetId="2" r:id="rId2"/>
    <sheet name="Datos_Limpios" sheetId="3" state="hidden" r:id="rId3"/>
    <sheet name="Datos_Crudos" sheetId="4" state="hidden" r:id="rId4"/>
    <sheet name="Config" sheetId="5" state="hidden" r:id="rId5"/>
  </sheets>
  <definedNames>
    <definedName name="par_CarpetaLibro">Config!$C$7</definedName>
    <definedName name="par_RutaCSV">Config!$C$6</definedName>
    <definedName name="_xlnm.Print_Area" localSheetId="1">Evaluación_Financiera!$A$1:$H$42</definedName>
    <definedName name="_xlnm.Print_Area" localSheetId="0">Reporte_Ejecutivo!$A$1:$K$46</definedName>
  </definedNames>
  <calcPr calcId="124519" fullCalcOnLoad="1"/>
</workbook>
</file>

<file path=xl/sharedStrings.xml><?xml version="1.0" encoding="utf-8"?>
<sst xmlns="http://schemas.openxmlformats.org/spreadsheetml/2006/main" count="4050" uniqueCount="1834">
  <si>
    <t xml:space="preserve">  REPORTE EJECUTIVO  |  ANÁLISIS DE EXPANSIÓN COMERCIAL</t>
  </si>
  <si>
    <t xml:space="preserve">  Flujo ETL automatizado con Power Query  ·  Modelo financiero VAN / TIR / PAGO  ·  Lleyton Murphy</t>
  </si>
  <si>
    <t>Estado:</t>
  </si>
  <si>
    <t>Presioná «1. ACTUALIZAR DATOS» para ejecutar el flujo ETL.</t>
  </si>
  <si>
    <t>VENTAS TOTALES</t>
  </si>
  <si>
    <t>Suma de Monto</t>
  </si>
  <si>
    <t>MARGEN TOTAL</t>
  </si>
  <si>
    <t>Ventas - Costo</t>
  </si>
  <si>
    <t>MARGEN %</t>
  </si>
  <si>
    <t>Margen / Ventas</t>
  </si>
  <si>
    <t>TICKET PROMEDIO</t>
  </si>
  <si>
    <t>Venta media</t>
  </si>
  <si>
    <t>TRANSACCIONES</t>
  </si>
  <si>
    <t>Filas depuradas</t>
  </si>
  <si>
    <t xml:space="preserve">  PREGUNTA DE NEGOCIO: ¿qué regiones y categorías concentran el margen? — usá los segmentadores para filtrar</t>
  </si>
  <si>
    <t>La tabla dinámica y los segmentadores se construyen automáticamente al abrir el libro con las macros habilitadas (botón 6).</t>
  </si>
  <si>
    <t>Hojas de soporte (Datos_Crudos, Datos_Limpios, Config) ocultas: botón 5 para mostrarlas.</t>
  </si>
  <si>
    <t xml:space="preserve">  EVALUACIÓN FINANCIERA DEL PROYECTO DE EXPANSIÓN</t>
  </si>
  <si>
    <t>Modelo de viabilidad a 5 años  ·  Lleyton Murphy</t>
  </si>
  <si>
    <t xml:space="preserve">  1. ESTRUCTURA DE LA INVERSIÓN Y DEL PRÉSTAMO</t>
  </si>
  <si>
    <t>Inversión inicial del proyecto</t>
  </si>
  <si>
    <t>% financiado con préstamo bancario</t>
  </si>
  <si>
    <t>Monto del préstamo</t>
  </si>
  <si>
    <t>Aporte propio (capital del accionista)</t>
  </si>
  <si>
    <t>TNA — tasa nominal anual</t>
  </si>
  <si>
    <t>Plazo del préstamo (años)</t>
  </si>
  <si>
    <t>Tasa mensual  (TNA / 12)</t>
  </si>
  <si>
    <t>Cantidad de cuotas  (años × 12)</t>
  </si>
  <si>
    <t>CUOTA MENSUAL   =PAGO(tasa; nper; va)</t>
  </si>
  <si>
    <t>Total a pagar al banco</t>
  </si>
  <si>
    <t>Intereses totales del financiamiento</t>
  </si>
  <si>
    <t>Servicio anual de la deuda  (cuota × 12)</t>
  </si>
  <si>
    <t xml:space="preserve">  2. SUPUESTOS DE LA PROYECCIÓN</t>
  </si>
  <si>
    <t>Ventas anuales base (tomadas del flujo ETL)</t>
  </si>
  <si>
    <t>Crecimiento anual esperado de ventas</t>
  </si>
  <si>
    <t>Margen operativo (EBITDA / ventas)</t>
  </si>
  <si>
    <t>Tasa de descuento (costo de capital)</t>
  </si>
  <si>
    <t>Impuesto a las ganancias</t>
  </si>
  <si>
    <t xml:space="preserve">  3. FLUJO DE CAJA LIBRE DEL ACCIONISTA — PROYECCIÓN A 5 AÑOS</t>
  </si>
  <si>
    <t>Concepto</t>
  </si>
  <si>
    <t>Año 0</t>
  </si>
  <si>
    <t>Año 1</t>
  </si>
  <si>
    <t>Año 2</t>
  </si>
  <si>
    <t>Año 3</t>
  </si>
  <si>
    <t>Año 4</t>
  </si>
  <si>
    <t>Año 5</t>
  </si>
  <si>
    <t>Ingresos proyectados</t>
  </si>
  <si>
    <t>EBITDA  (ingresos × margen operativo)</t>
  </si>
  <si>
    <t>Servicio de la deuda (capital + intereses)</t>
  </si>
  <si>
    <t>FLUJO DE CAJA NETO</t>
  </si>
  <si>
    <t xml:space="preserve">  4. INDICADORES DE VIABILIDAD</t>
  </si>
  <si>
    <t>VAN — Valor Actual Neto   =VNA(tasa; flujos) + inversión</t>
  </si>
  <si>
    <t>TIR — Tasa Interna de Retorno   =TIR(flujos)</t>
  </si>
  <si>
    <t>VA del servicio de la deuda   =VA(tasa; nper; pago)</t>
  </si>
  <si>
    <t>Costo de capital de referencia</t>
  </si>
  <si>
    <t>Ratio VAN / aporte propio</t>
  </si>
  <si>
    <t>ID_Transaccion</t>
  </si>
  <si>
    <t>Fecha</t>
  </si>
  <si>
    <t>Region</t>
  </si>
  <si>
    <t>Categoria</t>
  </si>
  <si>
    <t>Producto</t>
  </si>
  <si>
    <t>Vendedor</t>
  </si>
  <si>
    <t>Unidades</t>
  </si>
  <si>
    <t>Precio_Unitario</t>
  </si>
  <si>
    <t>Costo_Unitario</t>
  </si>
  <si>
    <t>Estado</t>
  </si>
  <si>
    <t>Notas_Internas</t>
  </si>
  <si>
    <t>Ref_Sistema</t>
  </si>
  <si>
    <t>TRX-00223</t>
  </si>
  <si>
    <t>10/12/2024</t>
  </si>
  <si>
    <t>centro</t>
  </si>
  <si>
    <t xml:space="preserve">  Indumentaria</t>
  </si>
  <si>
    <t>Buzo Polar</t>
  </si>
  <si>
    <t xml:space="preserve">  Diego Funes</t>
  </si>
  <si>
    <t>1</t>
  </si>
  <si>
    <t>879.92</t>
  </si>
  <si>
    <t>568.62</t>
  </si>
  <si>
    <t>CONFIRMADA</t>
  </si>
  <si>
    <t>revisar</t>
  </si>
  <si>
    <t>SYS762665</t>
  </si>
  <si>
    <t>TRX-00119</t>
  </si>
  <si>
    <t>02/08/2024</t>
  </si>
  <si>
    <t>Centro</t>
  </si>
  <si>
    <t>Deportes</t>
  </si>
  <si>
    <t>Guantes Arquero</t>
  </si>
  <si>
    <t>Bruno Salas</t>
  </si>
  <si>
    <t>2</t>
  </si>
  <si>
    <t>904.51</t>
  </si>
  <si>
    <t>526.14</t>
  </si>
  <si>
    <t>duplicado de carga</t>
  </si>
  <si>
    <t>SYS888690</t>
  </si>
  <si>
    <t>TRX-00039</t>
  </si>
  <si>
    <t>17/09/2024</t>
  </si>
  <si>
    <t>Litoral</t>
  </si>
  <si>
    <t>calzado</t>
  </si>
  <si>
    <t>Zapatilla Running</t>
  </si>
  <si>
    <t>2064.54</t>
  </si>
  <si>
    <t>1244.05</t>
  </si>
  <si>
    <t>confirmada</t>
  </si>
  <si>
    <t>ok</t>
  </si>
  <si>
    <t>SYS341711</t>
  </si>
  <si>
    <t>TRX-00159</t>
  </si>
  <si>
    <t>29/10/2024</t>
  </si>
  <si>
    <t>Cuyo</t>
  </si>
  <si>
    <t>accesorios</t>
  </si>
  <si>
    <t>Gorra Deportiva</t>
  </si>
  <si>
    <t>Elena Paz</t>
  </si>
  <si>
    <t>400.66</t>
  </si>
  <si>
    <t>178.73</t>
  </si>
  <si>
    <t>llamar al cliente</t>
  </si>
  <si>
    <t>SYS779580</t>
  </si>
  <si>
    <t>TRX-00017</t>
  </si>
  <si>
    <t>11/06/2024</t>
  </si>
  <si>
    <t xml:space="preserve">  Gorra Deportiva</t>
  </si>
  <si>
    <t>4</t>
  </si>
  <si>
    <t>398.05</t>
  </si>
  <si>
    <t>204.73</t>
  </si>
  <si>
    <t>SYS591103</t>
  </si>
  <si>
    <t>TRX-00002</t>
  </si>
  <si>
    <t>27/08/2024</t>
  </si>
  <si>
    <t>Sur</t>
  </si>
  <si>
    <t>Accesorios</t>
  </si>
  <si>
    <t>Mochila 30L</t>
  </si>
  <si>
    <t>Carla Ortiz</t>
  </si>
  <si>
    <t>1258.20</t>
  </si>
  <si>
    <t>621.61</t>
  </si>
  <si>
    <t>SYS860549</t>
  </si>
  <si>
    <t>TRX-00114</t>
  </si>
  <si>
    <t>22/04/2024</t>
  </si>
  <si>
    <t>sur</t>
  </si>
  <si>
    <t>INDUMENTARIA</t>
  </si>
  <si>
    <t>Remera Tecnica</t>
  </si>
  <si>
    <t>572.09</t>
  </si>
  <si>
    <t>326.58</t>
  </si>
  <si>
    <t>Confirmada</t>
  </si>
  <si>
    <t>SYS722753</t>
  </si>
  <si>
    <t>TRX-00128</t>
  </si>
  <si>
    <t>25/05/2024</t>
  </si>
  <si>
    <t>Norte</t>
  </si>
  <si>
    <t xml:space="preserve">  CALZADO </t>
  </si>
  <si>
    <t>1838.76</t>
  </si>
  <si>
    <t>1223.85</t>
  </si>
  <si>
    <t>SYS674211</t>
  </si>
  <si>
    <t>TRX-00287</t>
  </si>
  <si>
    <t>02/07/2024</t>
  </si>
  <si>
    <t xml:space="preserve">Calzado   </t>
  </si>
  <si>
    <t>Botin Sintetico</t>
  </si>
  <si>
    <t>1793.08</t>
  </si>
  <si>
    <t>1116.83</t>
  </si>
  <si>
    <t>SYS918891</t>
  </si>
  <si>
    <t>TRX-00185</t>
  </si>
  <si>
    <t>17/03/2024</t>
  </si>
  <si>
    <t xml:space="preserve">  LITORAL </t>
  </si>
  <si>
    <t>Pelota Profesional</t>
  </si>
  <si>
    <t>Diego Funes</t>
  </si>
  <si>
    <t>708.93</t>
  </si>
  <si>
    <t>420.60</t>
  </si>
  <si>
    <t>SYS684603</t>
  </si>
  <si>
    <t>TRX-00249</t>
  </si>
  <si>
    <t>09/03/2024</t>
  </si>
  <si>
    <t>MOCHILA 30L</t>
  </si>
  <si>
    <t>1265.96</t>
  </si>
  <si>
    <t>672.35</t>
  </si>
  <si>
    <t>SYS540205</t>
  </si>
  <si>
    <t>TRX-00059</t>
  </si>
  <si>
    <t>25/02/2024</t>
  </si>
  <si>
    <t xml:space="preserve">  DIEGO FUNES </t>
  </si>
  <si>
    <t>3</t>
  </si>
  <si>
    <t>410.03</t>
  </si>
  <si>
    <t>175.60</t>
  </si>
  <si>
    <t>SYS525491</t>
  </si>
  <si>
    <t>TRX-00045</t>
  </si>
  <si>
    <t>23/05/2024</t>
  </si>
  <si>
    <t>Calzado</t>
  </si>
  <si>
    <t>1942.37</t>
  </si>
  <si>
    <t>1184.73</t>
  </si>
  <si>
    <t>SYS576392</t>
  </si>
  <si>
    <t>TRX-00047</t>
  </si>
  <si>
    <t>26/02/2024</t>
  </si>
  <si>
    <t>deportes</t>
  </si>
  <si>
    <t>727.20</t>
  </si>
  <si>
    <t>438.80</t>
  </si>
  <si>
    <t>SYS387164</t>
  </si>
  <si>
    <t>TRX-00199</t>
  </si>
  <si>
    <t>02/12/2024</t>
  </si>
  <si>
    <t xml:space="preserve">  NORTE </t>
  </si>
  <si>
    <t xml:space="preserve">  GUANTES ARQUERO </t>
  </si>
  <si>
    <t>892.49</t>
  </si>
  <si>
    <t>538.45</t>
  </si>
  <si>
    <t>SYS333262</t>
  </si>
  <si>
    <t>TRX-00163</t>
  </si>
  <si>
    <t>05/05/2024</t>
  </si>
  <si>
    <t>800.55</t>
  </si>
  <si>
    <t>553.19</t>
  </si>
  <si>
    <t>SYS993904</t>
  </si>
  <si>
    <t>TRX-00307</t>
  </si>
  <si>
    <t>12/05/2024</t>
  </si>
  <si>
    <t>gorra deportiva</t>
  </si>
  <si>
    <t>404.56</t>
  </si>
  <si>
    <t>208.66</t>
  </si>
  <si>
    <t>anulada</t>
  </si>
  <si>
    <t>SYS468359</t>
  </si>
  <si>
    <t>TRX-00290</t>
  </si>
  <si>
    <t>13/04/2024</t>
  </si>
  <si>
    <t>CENTRO</t>
  </si>
  <si>
    <t>Ana Gimenez</t>
  </si>
  <si>
    <t>1639.83</t>
  </si>
  <si>
    <t>1040.37</t>
  </si>
  <si>
    <t>SYS176058</t>
  </si>
  <si>
    <t>TRX-00226</t>
  </si>
  <si>
    <t>25/01/2024</t>
  </si>
  <si>
    <t>Indumentaria</t>
  </si>
  <si>
    <t xml:space="preserve">  Remera Tecnica</t>
  </si>
  <si>
    <t>485.95</t>
  </si>
  <si>
    <t>289.71</t>
  </si>
  <si>
    <t>SYS812924</t>
  </si>
  <si>
    <t>TRX-00078</t>
  </si>
  <si>
    <t>08/04/2024</t>
  </si>
  <si>
    <t>817.81</t>
  </si>
  <si>
    <t>545.96</t>
  </si>
  <si>
    <t>SYS898293</t>
  </si>
  <si>
    <t>TRX-00292</t>
  </si>
  <si>
    <t>06/06/2024</t>
  </si>
  <si>
    <t xml:space="preserve">  Cuyo</t>
  </si>
  <si>
    <t xml:space="preserve">  DEPORTES </t>
  </si>
  <si>
    <t>PELOTA PROFESIONAL</t>
  </si>
  <si>
    <t>740.20</t>
  </si>
  <si>
    <t>501.26</t>
  </si>
  <si>
    <t>SYS779938</t>
  </si>
  <si>
    <t>TRX-00058</t>
  </si>
  <si>
    <t>05/04/2024</t>
  </si>
  <si>
    <t>975.32</t>
  </si>
  <si>
    <t>604.74</t>
  </si>
  <si>
    <t>SYS546657</t>
  </si>
  <si>
    <t>TRX-00143</t>
  </si>
  <si>
    <t>28/09/2024</t>
  </si>
  <si>
    <t>s/d</t>
  </si>
  <si>
    <t>1324.74</t>
  </si>
  <si>
    <t>SYS887432</t>
  </si>
  <si>
    <t>TRX-00110</t>
  </si>
  <si>
    <t>03/09/2024</t>
  </si>
  <si>
    <t>6</t>
  </si>
  <si>
    <t>1178.79</t>
  </si>
  <si>
    <t>679.12</t>
  </si>
  <si>
    <t>SYS625571</t>
  </si>
  <si>
    <t>TRX-00063</t>
  </si>
  <si>
    <t>14/07/2024</t>
  </si>
  <si>
    <t>5</t>
  </si>
  <si>
    <t>826.25</t>
  </si>
  <si>
    <t>456.84</t>
  </si>
  <si>
    <t>SYS837016</t>
  </si>
  <si>
    <t>TRX-00228</t>
  </si>
  <si>
    <t>01/09/2024</t>
  </si>
  <si>
    <t>indumentaria</t>
  </si>
  <si>
    <t>517.99</t>
  </si>
  <si>
    <t>290.92</t>
  </si>
  <si>
    <t>SYS147762</t>
  </si>
  <si>
    <t>TRX-00182</t>
  </si>
  <si>
    <t>22/06/2024</t>
  </si>
  <si>
    <t>CALZADO</t>
  </si>
  <si>
    <t>1946.98</t>
  </si>
  <si>
    <t>1312.27</t>
  </si>
  <si>
    <t>SYS561720</t>
  </si>
  <si>
    <t>TRX-00211</t>
  </si>
  <si>
    <t>12/03/2024</t>
  </si>
  <si>
    <t>norte</t>
  </si>
  <si>
    <t>772.35</t>
  </si>
  <si>
    <t>529.47</t>
  </si>
  <si>
    <t>SYS331902</t>
  </si>
  <si>
    <t>TRX-00197</t>
  </si>
  <si>
    <t>11/01/2024</t>
  </si>
  <si>
    <t>782.98</t>
  </si>
  <si>
    <t>493.68</t>
  </si>
  <si>
    <t>SYS869559</t>
  </si>
  <si>
    <t>TRX-00196</t>
  </si>
  <si>
    <t>20/11/2024</t>
  </si>
  <si>
    <t xml:space="preserve">  Deportes</t>
  </si>
  <si>
    <t>743.25</t>
  </si>
  <si>
    <t>489.76</t>
  </si>
  <si>
    <t>SYS107698</t>
  </si>
  <si>
    <t>TRX-00297</t>
  </si>
  <si>
    <t>02/02/2024</t>
  </si>
  <si>
    <t xml:space="preserve">Cuyo   </t>
  </si>
  <si>
    <t>1031.37</t>
  </si>
  <si>
    <t>629.68</t>
  </si>
  <si>
    <t>SYS377910</t>
  </si>
  <si>
    <t>TRX-00187</t>
  </si>
  <si>
    <t>29/06/2024</t>
  </si>
  <si>
    <t>DEPORTES</t>
  </si>
  <si>
    <t>ANA GIMENEZ</t>
  </si>
  <si>
    <t>924.68</t>
  </si>
  <si>
    <t>590.26</t>
  </si>
  <si>
    <t>SYS195587</t>
  </si>
  <si>
    <t>TRX-00024</t>
  </si>
  <si>
    <t>17/08/2024</t>
  </si>
  <si>
    <t>376.01</t>
  </si>
  <si>
    <t>189.01</t>
  </si>
  <si>
    <t>SYS627605</t>
  </si>
  <si>
    <t>TRX-00310</t>
  </si>
  <si>
    <t>05/06/2024</t>
  </si>
  <si>
    <t>942.94</t>
  </si>
  <si>
    <t>596.94</t>
  </si>
  <si>
    <t>SYS736136</t>
  </si>
  <si>
    <t>TRX-00277</t>
  </si>
  <si>
    <t>13/10/2024</t>
  </si>
  <si>
    <t xml:space="preserve">  CUYO </t>
  </si>
  <si>
    <t>1859.99</t>
  </si>
  <si>
    <t>1293.30</t>
  </si>
  <si>
    <t>SYS424462</t>
  </si>
  <si>
    <t>TRX-00243</t>
  </si>
  <si>
    <t>21/10/2024</t>
  </si>
  <si>
    <t xml:space="preserve">  Centro</t>
  </si>
  <si>
    <t>1137.50</t>
  </si>
  <si>
    <t>703.27</t>
  </si>
  <si>
    <t>SYS493251</t>
  </si>
  <si>
    <t>TRX-00212</t>
  </si>
  <si>
    <t>19/06/2024</t>
  </si>
  <si>
    <t>1638.96</t>
  </si>
  <si>
    <t>1071.25</t>
  </si>
  <si>
    <t>SYS269622</t>
  </si>
  <si>
    <t>TRX-00089</t>
  </si>
  <si>
    <t>08/08/2024</t>
  </si>
  <si>
    <t>2025.96</t>
  </si>
  <si>
    <t>1389.00</t>
  </si>
  <si>
    <t>SYS868617</t>
  </si>
  <si>
    <t>TRX-00075</t>
  </si>
  <si>
    <t>30/05/2024</t>
  </si>
  <si>
    <t xml:space="preserve">  Accesorios</t>
  </si>
  <si>
    <t>mochila 30l</t>
  </si>
  <si>
    <t>1195.19</t>
  </si>
  <si>
    <t>668.66</t>
  </si>
  <si>
    <t>SYS553479</t>
  </si>
  <si>
    <t>TRX-00079</t>
  </si>
  <si>
    <t>21/11/2024</t>
  </si>
  <si>
    <t>562.99</t>
  </si>
  <si>
    <t>330.17</t>
  </si>
  <si>
    <t>SYS735556</t>
  </si>
  <si>
    <t>TRX-00053</t>
  </si>
  <si>
    <t>06/02/2024</t>
  </si>
  <si>
    <t>490.66</t>
  </si>
  <si>
    <t>265.15</t>
  </si>
  <si>
    <t>SYS628452</t>
  </si>
  <si>
    <t>TRX-00015</t>
  </si>
  <si>
    <t>01/03/2024</t>
  </si>
  <si>
    <t xml:space="preserve">Pelota Profesional   </t>
  </si>
  <si>
    <t>-</t>
  </si>
  <si>
    <t>822.36</t>
  </si>
  <si>
    <t>491.69</t>
  </si>
  <si>
    <t>SYS555120</t>
  </si>
  <si>
    <t>TRX-00234</t>
  </si>
  <si>
    <t>16/05/2024</t>
  </si>
  <si>
    <t>ACCESORIOS</t>
  </si>
  <si>
    <t>361.99</t>
  </si>
  <si>
    <t>165.25</t>
  </si>
  <si>
    <t>SYS375164</t>
  </si>
  <si>
    <t>TRX-00280</t>
  </si>
  <si>
    <t>07/05/2024</t>
  </si>
  <si>
    <t>414.67</t>
  </si>
  <si>
    <t>205.94</t>
  </si>
  <si>
    <t>SYS105893</t>
  </si>
  <si>
    <t>TRX-00240</t>
  </si>
  <si>
    <t>30/08/2024</t>
  </si>
  <si>
    <t>litoral</t>
  </si>
  <si>
    <t>Campera Trekking</t>
  </si>
  <si>
    <t>1585.79</t>
  </si>
  <si>
    <t>877.08</t>
  </si>
  <si>
    <t>SYS586404</t>
  </si>
  <si>
    <t>TRX-00071</t>
  </si>
  <si>
    <t>04/07/2024</t>
  </si>
  <si>
    <t xml:space="preserve">Gorra Deportiva   </t>
  </si>
  <si>
    <t>384.39</t>
  </si>
  <si>
    <t>173.62</t>
  </si>
  <si>
    <t>SYS828049</t>
  </si>
  <si>
    <t>TRX-00314</t>
  </si>
  <si>
    <t>29/02/2024</t>
  </si>
  <si>
    <t>bruno salas</t>
  </si>
  <si>
    <t>1956.68</t>
  </si>
  <si>
    <t>1272.05</t>
  </si>
  <si>
    <t>SYS296837</t>
  </si>
  <si>
    <t>TRX-00299</t>
  </si>
  <si>
    <t>25/07/2024</t>
  </si>
  <si>
    <t xml:space="preserve">  MOCHILA 30L </t>
  </si>
  <si>
    <t>1163.12</t>
  </si>
  <si>
    <t>577.56</t>
  </si>
  <si>
    <t>SYS978518</t>
  </si>
  <si>
    <t>TRX-00168</t>
  </si>
  <si>
    <t>03/07/2024</t>
  </si>
  <si>
    <t>972.42</t>
  </si>
  <si>
    <t>551.16</t>
  </si>
  <si>
    <t>SYS365553</t>
  </si>
  <si>
    <t>TRX-00074</t>
  </si>
  <si>
    <t>29/11/2024</t>
  </si>
  <si>
    <t>1511.93</t>
  </si>
  <si>
    <t>1042.82</t>
  </si>
  <si>
    <t>SYS771401</t>
  </si>
  <si>
    <t>TRX-00251</t>
  </si>
  <si>
    <t>DIEGO FUNES</t>
  </si>
  <si>
    <t>415.52</t>
  </si>
  <si>
    <t>199.09</t>
  </si>
  <si>
    <t>SYS952968</t>
  </si>
  <si>
    <t>TRX-00098</t>
  </si>
  <si>
    <t xml:space="preserve">Accesorios   </t>
  </si>
  <si>
    <t xml:space="preserve">  Mochila 30L</t>
  </si>
  <si>
    <t>1160.14</t>
  </si>
  <si>
    <t>580.12</t>
  </si>
  <si>
    <t>SYS422089</t>
  </si>
  <si>
    <t>TRX-00105</t>
  </si>
  <si>
    <t>28/10/2024</t>
  </si>
  <si>
    <t>1867.63</t>
  </si>
  <si>
    <t>1234.58</t>
  </si>
  <si>
    <t>SYS782341</t>
  </si>
  <si>
    <t>TRX-00100</t>
  </si>
  <si>
    <t>09/01/2024</t>
  </si>
  <si>
    <t>758.57</t>
  </si>
  <si>
    <t>486.86</t>
  </si>
  <si>
    <t>SYS462069</t>
  </si>
  <si>
    <t>TRX-00267</t>
  </si>
  <si>
    <t>11/12/2024</t>
  </si>
  <si>
    <t>719.43</t>
  </si>
  <si>
    <t>467.03</t>
  </si>
  <si>
    <t>SYS855126</t>
  </si>
  <si>
    <t>TRX-00186</t>
  </si>
  <si>
    <t>10/01/2024</t>
  </si>
  <si>
    <t xml:space="preserve">  INDUMENTARIA </t>
  </si>
  <si>
    <t>1477.76</t>
  </si>
  <si>
    <t>943.52</t>
  </si>
  <si>
    <t>SYS868411</t>
  </si>
  <si>
    <t>TRX-00175</t>
  </si>
  <si>
    <t>17/06/2024</t>
  </si>
  <si>
    <t>1095.24</t>
  </si>
  <si>
    <t>679.62</t>
  </si>
  <si>
    <t>SYS551718</t>
  </si>
  <si>
    <t>TRX-00316</t>
  </si>
  <si>
    <t>13/05/2024</t>
  </si>
  <si>
    <t>1190.82</t>
  </si>
  <si>
    <t>743.20</t>
  </si>
  <si>
    <t>SYS574120</t>
  </si>
  <si>
    <t>TRX-00173</t>
  </si>
  <si>
    <t>05/12/2024</t>
  </si>
  <si>
    <t xml:space="preserve">  SUR </t>
  </si>
  <si>
    <t>571.92</t>
  </si>
  <si>
    <t>331.48</t>
  </si>
  <si>
    <t>SYS395793</t>
  </si>
  <si>
    <t>TRX-00298</t>
  </si>
  <si>
    <t>06/03/2024</t>
  </si>
  <si>
    <t>SUR</t>
  </si>
  <si>
    <t>1349.80</t>
  </si>
  <si>
    <t>718.86</t>
  </si>
  <si>
    <t>SYS767829</t>
  </si>
  <si>
    <t>TRX-00023</t>
  </si>
  <si>
    <t xml:space="preserve">  Botin Sintetico</t>
  </si>
  <si>
    <t>1730.39</t>
  </si>
  <si>
    <t>1212.27</t>
  </si>
  <si>
    <t>SYS390387</t>
  </si>
  <si>
    <t>TRX-00166</t>
  </si>
  <si>
    <t>28/02/2024</t>
  </si>
  <si>
    <t xml:space="preserve">  Litoral</t>
  </si>
  <si>
    <t xml:space="preserve">  Buzo Polar</t>
  </si>
  <si>
    <t>993.26</t>
  </si>
  <si>
    <t>625.14</t>
  </si>
  <si>
    <t>SYS918200</t>
  </si>
  <si>
    <t>TRX-00004</t>
  </si>
  <si>
    <t>28/04/2024</t>
  </si>
  <si>
    <t>396.24</t>
  </si>
  <si>
    <t>208.16</t>
  </si>
  <si>
    <t>SYS506083</t>
  </si>
  <si>
    <t>TRX-00260</t>
  </si>
  <si>
    <t xml:space="preserve">  CENTRO </t>
  </si>
  <si>
    <t>zapatilla running</t>
  </si>
  <si>
    <t>2069.79</t>
  </si>
  <si>
    <t>1351.43</t>
  </si>
  <si>
    <t>SYS754866</t>
  </si>
  <si>
    <t>TRX-00001</t>
  </si>
  <si>
    <t>28/07/2024</t>
  </si>
  <si>
    <t>535.50</t>
  </si>
  <si>
    <t>SYS424564</t>
  </si>
  <si>
    <t>TRX-00232</t>
  </si>
  <si>
    <t>12/04/2024</t>
  </si>
  <si>
    <t xml:space="preserve">  Sur</t>
  </si>
  <si>
    <t>840.78</t>
  </si>
  <si>
    <t>532.37</t>
  </si>
  <si>
    <t>SYS564894</t>
  </si>
  <si>
    <t>TRX-00036</t>
  </si>
  <si>
    <t>27/12/2024</t>
  </si>
  <si>
    <t xml:space="preserve">  BRUNO SALAS </t>
  </si>
  <si>
    <t>1019.66</t>
  </si>
  <si>
    <t>586.92</t>
  </si>
  <si>
    <t>SYS518166</t>
  </si>
  <si>
    <t>TRX-00306</t>
  </si>
  <si>
    <t>04/09/2024</t>
  </si>
  <si>
    <t>LITORAL</t>
  </si>
  <si>
    <t>1362.97</t>
  </si>
  <si>
    <t>716.80</t>
  </si>
  <si>
    <t>SYS339009</t>
  </si>
  <si>
    <t>TRX-00066</t>
  </si>
  <si>
    <t>21/01/2024</t>
  </si>
  <si>
    <t>1941.46</t>
  </si>
  <si>
    <t>1344.67</t>
  </si>
  <si>
    <t>SYS949015</t>
  </si>
  <si>
    <t>TRX-00264</t>
  </si>
  <si>
    <t>2071.79</t>
  </si>
  <si>
    <t>1404.08</t>
  </si>
  <si>
    <t>SYS864675</t>
  </si>
  <si>
    <t>TRX-00152</t>
  </si>
  <si>
    <t>21/03/2024</t>
  </si>
  <si>
    <t>carla ortiz</t>
  </si>
  <si>
    <t>1877.27</t>
  </si>
  <si>
    <t>1134.89</t>
  </si>
  <si>
    <t>SYS491584</t>
  </si>
  <si>
    <t>TRX-00090</t>
  </si>
  <si>
    <t xml:space="preserve">  Norte</t>
  </si>
  <si>
    <t xml:space="preserve">Deportes   </t>
  </si>
  <si>
    <t xml:space="preserve">  CARLA ORTIZ </t>
  </si>
  <si>
    <t>905.12</t>
  </si>
  <si>
    <t>605.17</t>
  </si>
  <si>
    <t>SYS868990</t>
  </si>
  <si>
    <t>TRX-00295</t>
  </si>
  <si>
    <t>18/01/2024</t>
  </si>
  <si>
    <t>elena paz</t>
  </si>
  <si>
    <t>1607.47</t>
  </si>
  <si>
    <t>1034.04</t>
  </si>
  <si>
    <t>SYS385976</t>
  </si>
  <si>
    <t>TRX-00108</t>
  </si>
  <si>
    <t>787.10</t>
  </si>
  <si>
    <t>544.35</t>
  </si>
  <si>
    <t>SYS813946</t>
  </si>
  <si>
    <t>TRX-00032</t>
  </si>
  <si>
    <t>31/02/2024</t>
  </si>
  <si>
    <t>1089.97</t>
  </si>
  <si>
    <t>558.77</t>
  </si>
  <si>
    <t>SYS641090</t>
  </si>
  <si>
    <t>TRX-00003</t>
  </si>
  <si>
    <t>06/08/2024</t>
  </si>
  <si>
    <t>BRUNO SALAS</t>
  </si>
  <si>
    <t>1616.86</t>
  </si>
  <si>
    <t>1108.06</t>
  </si>
  <si>
    <t>SYS984954</t>
  </si>
  <si>
    <t>TRX-00247</t>
  </si>
  <si>
    <t>27/03/2024</t>
  </si>
  <si>
    <t>911.95</t>
  </si>
  <si>
    <t>538.79</t>
  </si>
  <si>
    <t>SYS635309</t>
  </si>
  <si>
    <t>TRX-00224</t>
  </si>
  <si>
    <t>29/07/2024</t>
  </si>
  <si>
    <t>1162.49</t>
  </si>
  <si>
    <t>712.53</t>
  </si>
  <si>
    <t>SYS761137</t>
  </si>
  <si>
    <t>TRX-00050</t>
  </si>
  <si>
    <t>14/12/2024</t>
  </si>
  <si>
    <t>421.24</t>
  </si>
  <si>
    <t>241.12</t>
  </si>
  <si>
    <t>SYS348179</t>
  </si>
  <si>
    <t>TRX-00225</t>
  </si>
  <si>
    <t>12/09/2024</t>
  </si>
  <si>
    <t>1286.12</t>
  </si>
  <si>
    <t>692.86</t>
  </si>
  <si>
    <t>SYS313667</t>
  </si>
  <si>
    <t>TRX-00273</t>
  </si>
  <si>
    <t>NORTE</t>
  </si>
  <si>
    <t>1618.52</t>
  </si>
  <si>
    <t>1128.33</t>
  </si>
  <si>
    <t>SYS354147</t>
  </si>
  <si>
    <t>TRX-00165</t>
  </si>
  <si>
    <t>20/01/2024</t>
  </si>
  <si>
    <t xml:space="preserve">Elena Paz   </t>
  </si>
  <si>
    <t>1569.55</t>
  </si>
  <si>
    <t>980.96</t>
  </si>
  <si>
    <t>SYS515355</t>
  </si>
  <si>
    <t>TRX-00031</t>
  </si>
  <si>
    <t>16/06/2024</t>
  </si>
  <si>
    <t>930.62</t>
  </si>
  <si>
    <t>554.41</t>
  </si>
  <si>
    <t>SYS624936</t>
  </si>
  <si>
    <t>TRX-00206</t>
  </si>
  <si>
    <t>02/03/2024</t>
  </si>
  <si>
    <t>811.48</t>
  </si>
  <si>
    <t>563.02</t>
  </si>
  <si>
    <t>ANULADA</t>
  </si>
  <si>
    <t>SYS293176</t>
  </si>
  <si>
    <t>TRX-00203</t>
  </si>
  <si>
    <t>24/07/2024</t>
  </si>
  <si>
    <t xml:space="preserve">Buzo Polar   </t>
  </si>
  <si>
    <t>956.23</t>
  </si>
  <si>
    <t>604.92</t>
  </si>
  <si>
    <t>SYS794241</t>
  </si>
  <si>
    <t>TRX-00254</t>
  </si>
  <si>
    <t>07/10/2024</t>
  </si>
  <si>
    <t>834.23</t>
  </si>
  <si>
    <t>520.31</t>
  </si>
  <si>
    <t>SYS959056</t>
  </si>
  <si>
    <t>TRX-00093</t>
  </si>
  <si>
    <t>14/02/2024</t>
  </si>
  <si>
    <t xml:space="preserve">Litoral   </t>
  </si>
  <si>
    <t xml:space="preserve">  Campera Trekking</t>
  </si>
  <si>
    <t>1439.03</t>
  </si>
  <si>
    <t>748.63</t>
  </si>
  <si>
    <t>SYS938022</t>
  </si>
  <si>
    <t>TRX-00085</t>
  </si>
  <si>
    <t>797.21</t>
  </si>
  <si>
    <t>506.52</t>
  </si>
  <si>
    <t>SYS880764</t>
  </si>
  <si>
    <t>TRX-00270</t>
  </si>
  <si>
    <t>09/09/2024</t>
  </si>
  <si>
    <t>CARLA ORTIZ</t>
  </si>
  <si>
    <t>891.85</t>
  </si>
  <si>
    <t>SYS205903</t>
  </si>
  <si>
    <t>TRX-00198</t>
  </si>
  <si>
    <t>04/06/2024</t>
  </si>
  <si>
    <t>766.80</t>
  </si>
  <si>
    <t>496.44</t>
  </si>
  <si>
    <t>SYS632810</t>
  </si>
  <si>
    <t>TRX-00121</t>
  </si>
  <si>
    <t>18/03/2024</t>
  </si>
  <si>
    <t>1001.48</t>
  </si>
  <si>
    <t>668.70</t>
  </si>
  <si>
    <t>SYS991192</t>
  </si>
  <si>
    <t>TRX-00157</t>
  </si>
  <si>
    <t>2147.91</t>
  </si>
  <si>
    <t>1399.34</t>
  </si>
  <si>
    <t>SYS226399</t>
  </si>
  <si>
    <t>TRX-00189</t>
  </si>
  <si>
    <t>diego funes</t>
  </si>
  <si>
    <t>1244.00</t>
  </si>
  <si>
    <t>737.49</t>
  </si>
  <si>
    <t>SYS368254</t>
  </si>
  <si>
    <t>TRX-00052</t>
  </si>
  <si>
    <t>08/02/2024</t>
  </si>
  <si>
    <t>1549.22</t>
  </si>
  <si>
    <t>981.35</t>
  </si>
  <si>
    <t>SYS902572</t>
  </si>
  <si>
    <t>TRX-00220</t>
  </si>
  <si>
    <t xml:space="preserve">  Elena Paz</t>
  </si>
  <si>
    <t>2075.52</t>
  </si>
  <si>
    <t>1298.73</t>
  </si>
  <si>
    <t>SYS438894</t>
  </si>
  <si>
    <t>TRX-00177</t>
  </si>
  <si>
    <t>07/12/2024</t>
  </si>
  <si>
    <t>1191.32</t>
  </si>
  <si>
    <t>640.78</t>
  </si>
  <si>
    <t>SYS959390</t>
  </si>
  <si>
    <t>TRX-00202</t>
  </si>
  <si>
    <t>10/09/2024</t>
  </si>
  <si>
    <t>824.01</t>
  </si>
  <si>
    <t>557.06</t>
  </si>
  <si>
    <t>SYS530335</t>
  </si>
  <si>
    <t>TRX-00038</t>
  </si>
  <si>
    <t>15/10/2024</t>
  </si>
  <si>
    <t>1524.51</t>
  </si>
  <si>
    <t>1005.56</t>
  </si>
  <si>
    <t>SYS981149</t>
  </si>
  <si>
    <t>TRX-00112</t>
  </si>
  <si>
    <t>06/11/2024</t>
  </si>
  <si>
    <t xml:space="preserve">  ELENA PAZ </t>
  </si>
  <si>
    <t>874.95</t>
  </si>
  <si>
    <t>472.50</t>
  </si>
  <si>
    <t>SYS870882</t>
  </si>
  <si>
    <t>TRX-00029</t>
  </si>
  <si>
    <t>06/05/2024</t>
  </si>
  <si>
    <t xml:space="preserve">Norte   </t>
  </si>
  <si>
    <t xml:space="preserve">  ZAPATILLA RUNNING </t>
  </si>
  <si>
    <t>1965.47</t>
  </si>
  <si>
    <t>1287.39</t>
  </si>
  <si>
    <t>SYS849607</t>
  </si>
  <si>
    <t>TRX-00062</t>
  </si>
  <si>
    <t>30/07/2024</t>
  </si>
  <si>
    <t>924.51</t>
  </si>
  <si>
    <t>543.29</t>
  </si>
  <si>
    <t>SYS300383</t>
  </si>
  <si>
    <t>TRX-00041</t>
  </si>
  <si>
    <t>12/02/2024</t>
  </si>
  <si>
    <t>797.00</t>
  </si>
  <si>
    <t>515.43</t>
  </si>
  <si>
    <t>SYS297764</t>
  </si>
  <si>
    <t>TRX-00021</t>
  </si>
  <si>
    <t>07/03/2024</t>
  </si>
  <si>
    <t>877.83</t>
  </si>
  <si>
    <t>581.86</t>
  </si>
  <si>
    <t>SYS409811</t>
  </si>
  <si>
    <t>TRX-00192</t>
  </si>
  <si>
    <t>REMERA TECNICA</t>
  </si>
  <si>
    <t xml:space="preserve">Diego Funes   </t>
  </si>
  <si>
    <t>516.46</t>
  </si>
  <si>
    <t>249.65</t>
  </si>
  <si>
    <t>SYS425870</t>
  </si>
  <si>
    <t>TRX-00026</t>
  </si>
  <si>
    <t>17/04/2024</t>
  </si>
  <si>
    <t xml:space="preserve">  REMERA TECNICA </t>
  </si>
  <si>
    <t>569.65</t>
  </si>
  <si>
    <t>300.15</t>
  </si>
  <si>
    <t>SYS611955</t>
  </si>
  <si>
    <t>TRX-00094</t>
  </si>
  <si>
    <t>03/05/2024</t>
  </si>
  <si>
    <t>901.12</t>
  </si>
  <si>
    <t>489.88</t>
  </si>
  <si>
    <t>SYS387590</t>
  </si>
  <si>
    <t>TRX-00205</t>
  </si>
  <si>
    <t>26/12/2024</t>
  </si>
  <si>
    <t xml:space="preserve">Remera Tecnica   </t>
  </si>
  <si>
    <t>540.52</t>
  </si>
  <si>
    <t>277.80</t>
  </si>
  <si>
    <t>SYS734485</t>
  </si>
  <si>
    <t>TRX-00035</t>
  </si>
  <si>
    <t>18/11/2024</t>
  </si>
  <si>
    <t>1334.83</t>
  </si>
  <si>
    <t>844.80</t>
  </si>
  <si>
    <t>Anulada</t>
  </si>
  <si>
    <t>SYS895359</t>
  </si>
  <si>
    <t>TRX-00150</t>
  </si>
  <si>
    <t>23/09/2024</t>
  </si>
  <si>
    <t xml:space="preserve">Ana Gimenez   </t>
  </si>
  <si>
    <t>357.48</t>
  </si>
  <si>
    <t>156.97</t>
  </si>
  <si>
    <t>SYS918815</t>
  </si>
  <si>
    <t>TRX-00009</t>
  </si>
  <si>
    <t>05/11/2024</t>
  </si>
  <si>
    <t>2142.91</t>
  </si>
  <si>
    <t>1371.70</t>
  </si>
  <si>
    <t>SYS164468</t>
  </si>
  <si>
    <t>TRX-00161</t>
  </si>
  <si>
    <t>28/06/2024</t>
  </si>
  <si>
    <t>898.47</t>
  </si>
  <si>
    <t>511.40</t>
  </si>
  <si>
    <t>SYS128540</t>
  </si>
  <si>
    <t>TRX-00305</t>
  </si>
  <si>
    <t>14/08/2024</t>
  </si>
  <si>
    <t>1008.45</t>
  </si>
  <si>
    <t>575.68</t>
  </si>
  <si>
    <t>SYS315039</t>
  </si>
  <si>
    <t>TRX-00258</t>
  </si>
  <si>
    <t>14/10/2024</t>
  </si>
  <si>
    <t>1671.05</t>
  </si>
  <si>
    <t>1058.82</t>
  </si>
  <si>
    <t>SYS392707</t>
  </si>
  <si>
    <t>TRX-00043</t>
  </si>
  <si>
    <t>18/07/2024</t>
  </si>
  <si>
    <t>386.99</t>
  </si>
  <si>
    <t>211.72</t>
  </si>
  <si>
    <t>SYS721557</t>
  </si>
  <si>
    <t>TRX-00309</t>
  </si>
  <si>
    <t>1402.21</t>
  </si>
  <si>
    <t>807.66</t>
  </si>
  <si>
    <t>SYS727933</t>
  </si>
  <si>
    <t>TRX-00160</t>
  </si>
  <si>
    <t>1779.71</t>
  </si>
  <si>
    <t>1243.27</t>
  </si>
  <si>
    <t>SYS302521</t>
  </si>
  <si>
    <t>TRX-00127</t>
  </si>
  <si>
    <t>09/07/2024</t>
  </si>
  <si>
    <t>822.78</t>
  </si>
  <si>
    <t>484.04</t>
  </si>
  <si>
    <t>SYS327293</t>
  </si>
  <si>
    <t>TRX-00242</t>
  </si>
  <si>
    <t>06/01/2024</t>
  </si>
  <si>
    <t>1239.54</t>
  </si>
  <si>
    <t>758.02</t>
  </si>
  <si>
    <t>SYS733243</t>
  </si>
  <si>
    <t>TRX-00101</t>
  </si>
  <si>
    <t>08/09/2024</t>
  </si>
  <si>
    <t>969.09</t>
  </si>
  <si>
    <t>593.08</t>
  </si>
  <si>
    <t>SYS528158</t>
  </si>
  <si>
    <t>TRX-00219</t>
  </si>
  <si>
    <t>1983.64</t>
  </si>
  <si>
    <t>1217.83</t>
  </si>
  <si>
    <t>SYS992751</t>
  </si>
  <si>
    <t>TRX-00176</t>
  </si>
  <si>
    <t>12/11/2024</t>
  </si>
  <si>
    <t>1123.71</t>
  </si>
  <si>
    <t>645.79</t>
  </si>
  <si>
    <t>SYS269928</t>
  </si>
  <si>
    <t>TRX-00308</t>
  </si>
  <si>
    <t>14/09/2024</t>
  </si>
  <si>
    <t>1138.19</t>
  </si>
  <si>
    <t>638.21</t>
  </si>
  <si>
    <t>SYS900323</t>
  </si>
  <si>
    <t>TRX-00164</t>
  </si>
  <si>
    <t>03/03/2024</t>
  </si>
  <si>
    <t xml:space="preserve">Carla Ortiz   </t>
  </si>
  <si>
    <t>255.27</t>
  </si>
  <si>
    <t>SYS948357</t>
  </si>
  <si>
    <t>TRX-00144</t>
  </si>
  <si>
    <t>16/12/2024</t>
  </si>
  <si>
    <t>1579.08</t>
  </si>
  <si>
    <t>1092.57</t>
  </si>
  <si>
    <t>SYS292823</t>
  </si>
  <si>
    <t>TRX-00065</t>
  </si>
  <si>
    <t>1242.93</t>
  </si>
  <si>
    <t>765.17</t>
  </si>
  <si>
    <t>SYS437322</t>
  </si>
  <si>
    <t>TRX-00151</t>
  </si>
  <si>
    <t>23/06/2024</t>
  </si>
  <si>
    <t>botin sintetico</t>
  </si>
  <si>
    <t>1556.38</t>
  </si>
  <si>
    <t>999.48</t>
  </si>
  <si>
    <t>SYS633065</t>
  </si>
  <si>
    <t>TRX-00239</t>
  </si>
  <si>
    <t>04/02/2024</t>
  </si>
  <si>
    <t>campera trekking</t>
  </si>
  <si>
    <t>1497.57</t>
  </si>
  <si>
    <t>955.60</t>
  </si>
  <si>
    <t>SYS880148</t>
  </si>
  <si>
    <t>TRX-00011</t>
  </si>
  <si>
    <t>25/12/2024</t>
  </si>
  <si>
    <t xml:space="preserve">  Calzado</t>
  </si>
  <si>
    <t>BOTIN SINTETICO</t>
  </si>
  <si>
    <t>1680.37</t>
  </si>
  <si>
    <t>1134.38</t>
  </si>
  <si>
    <t>SYS451636</t>
  </si>
  <si>
    <t>TRX-00115</t>
  </si>
  <si>
    <t>1405.58</t>
  </si>
  <si>
    <t>896.07</t>
  </si>
  <si>
    <t>SYS177732</t>
  </si>
  <si>
    <t>TRX-00286</t>
  </si>
  <si>
    <t>1285.65</t>
  </si>
  <si>
    <t>652.72</t>
  </si>
  <si>
    <t>SYS983073</t>
  </si>
  <si>
    <t>TRX-00049</t>
  </si>
  <si>
    <t>11/02/2024</t>
  </si>
  <si>
    <t>934.09</t>
  </si>
  <si>
    <t>580.72</t>
  </si>
  <si>
    <t>SYS685191</t>
  </si>
  <si>
    <t>TRX-00099</t>
  </si>
  <si>
    <t>30/11/2024</t>
  </si>
  <si>
    <t>887.85</t>
  </si>
  <si>
    <t>511.66</t>
  </si>
  <si>
    <t>SYS747560</t>
  </si>
  <si>
    <t>TRX-00106</t>
  </si>
  <si>
    <t>21/12/2024</t>
  </si>
  <si>
    <t xml:space="preserve">  Bruno Salas</t>
  </si>
  <si>
    <t>549.60</t>
  </si>
  <si>
    <t>292.92</t>
  </si>
  <si>
    <t>SYS212772</t>
  </si>
  <si>
    <t>TRX-00201</t>
  </si>
  <si>
    <t>04/11/2024</t>
  </si>
  <si>
    <t>1949.84</t>
  </si>
  <si>
    <t>1206.78</t>
  </si>
  <si>
    <t>SYS755212</t>
  </si>
  <si>
    <t>TRX-00005</t>
  </si>
  <si>
    <t>GORRA DEPORTIVA</t>
  </si>
  <si>
    <t>178.99</t>
  </si>
  <si>
    <t>SYS467300</t>
  </si>
  <si>
    <t>TRX-00081</t>
  </si>
  <si>
    <t>22/02/2024</t>
  </si>
  <si>
    <t>1109.90</t>
  </si>
  <si>
    <t>678.73</t>
  </si>
  <si>
    <t>SYS456716</t>
  </si>
  <si>
    <t>TRX-00113</t>
  </si>
  <si>
    <t>12/12/2024</t>
  </si>
  <si>
    <t>ana gimenez</t>
  </si>
  <si>
    <t>770.98</t>
  </si>
  <si>
    <t>461.95</t>
  </si>
  <si>
    <t>SYS595542</t>
  </si>
  <si>
    <t>TRX-00012</t>
  </si>
  <si>
    <t>19/04/2024</t>
  </si>
  <si>
    <t>1552.11</t>
  </si>
  <si>
    <t>916.02</t>
  </si>
  <si>
    <t>SYS679908</t>
  </si>
  <si>
    <t>TRX-00097</t>
  </si>
  <si>
    <t>2145.07</t>
  </si>
  <si>
    <t>1384.00</t>
  </si>
  <si>
    <t>SYS227033</t>
  </si>
  <si>
    <t>TRX-00315</t>
  </si>
  <si>
    <t>29/01/2024</t>
  </si>
  <si>
    <t>1459.70</t>
  </si>
  <si>
    <t>785.77</t>
  </si>
  <si>
    <t>SYS272033</t>
  </si>
  <si>
    <t>TRX-00210</t>
  </si>
  <si>
    <t>10/05/2024</t>
  </si>
  <si>
    <t>2142.65</t>
  </si>
  <si>
    <t>1411.65</t>
  </si>
  <si>
    <t>SYS934737</t>
  </si>
  <si>
    <t>TRX-00033</t>
  </si>
  <si>
    <t>1122.22</t>
  </si>
  <si>
    <t>579.10</t>
  </si>
  <si>
    <t>SYS566950</t>
  </si>
  <si>
    <t>TRX-00095</t>
  </si>
  <si>
    <t>cuyo</t>
  </si>
  <si>
    <t>2092.23</t>
  </si>
  <si>
    <t>1375.14</t>
  </si>
  <si>
    <t>SYS942560</t>
  </si>
  <si>
    <t>TRX-00230</t>
  </si>
  <si>
    <t>1847.27</t>
  </si>
  <si>
    <t>1165.58</t>
  </si>
  <si>
    <t>SYS109590</t>
  </si>
  <si>
    <t>TRX-00077</t>
  </si>
  <si>
    <t>12/10/2024</t>
  </si>
  <si>
    <t>1956.50</t>
  </si>
  <si>
    <t>1320.24</t>
  </si>
  <si>
    <t>SYS463647</t>
  </si>
  <si>
    <t>TRX-00120</t>
  </si>
  <si>
    <t xml:space="preserve">  ACCESORIOS </t>
  </si>
  <si>
    <t>1192.53</t>
  </si>
  <si>
    <t>624.15</t>
  </si>
  <si>
    <t>SYS179696</t>
  </si>
  <si>
    <t>TRX-00320</t>
  </si>
  <si>
    <t>13/07/2024</t>
  </si>
  <si>
    <t>1888.26</t>
  </si>
  <si>
    <t>1199.24</t>
  </si>
  <si>
    <t>SYS606078</t>
  </si>
  <si>
    <t>TRX-00155</t>
  </si>
  <si>
    <t>907.46</t>
  </si>
  <si>
    <t>515.07</t>
  </si>
  <si>
    <t>SYS181537</t>
  </si>
  <si>
    <t>TRX-00171</t>
  </si>
  <si>
    <t>29/08/2024</t>
  </si>
  <si>
    <t>1712.77</t>
  </si>
  <si>
    <t>1064.08</t>
  </si>
  <si>
    <t>SYS304274</t>
  </si>
  <si>
    <t>TRX-00272</t>
  </si>
  <si>
    <t>407.13</t>
  </si>
  <si>
    <t>226.58</t>
  </si>
  <si>
    <t>SYS136976</t>
  </si>
  <si>
    <t>TRX-00281</t>
  </si>
  <si>
    <t>10/02/2024</t>
  </si>
  <si>
    <t>905.04</t>
  </si>
  <si>
    <t>593.14</t>
  </si>
  <si>
    <t>SYS857177</t>
  </si>
  <si>
    <t>TRX-00312</t>
  </si>
  <si>
    <t>363.44</t>
  </si>
  <si>
    <t>199.80</t>
  </si>
  <si>
    <t>SYS231273</t>
  </si>
  <si>
    <t>TRX-00149</t>
  </si>
  <si>
    <t>814.38</t>
  </si>
  <si>
    <t>547.80</t>
  </si>
  <si>
    <t>SYS231310</t>
  </si>
  <si>
    <t>TRX-00231</t>
  </si>
  <si>
    <t>13/06/2024</t>
  </si>
  <si>
    <t>N/D</t>
  </si>
  <si>
    <t>1802.00</t>
  </si>
  <si>
    <t>1191.65</t>
  </si>
  <si>
    <t>SYS146715</t>
  </si>
  <si>
    <t>TRX-00129</t>
  </si>
  <si>
    <t>27/11/2024</t>
  </si>
  <si>
    <t>517.25</t>
  </si>
  <si>
    <t>249.99</t>
  </si>
  <si>
    <t>SYS170157</t>
  </si>
  <si>
    <t>TRX-00238</t>
  </si>
  <si>
    <t>15/02/2024</t>
  </si>
  <si>
    <t>1040.68</t>
  </si>
  <si>
    <t>694.79</t>
  </si>
  <si>
    <t>SYS689635</t>
  </si>
  <si>
    <t>TRX-00284</t>
  </si>
  <si>
    <t>30/01/2024</t>
  </si>
  <si>
    <t>555.12</t>
  </si>
  <si>
    <t>322.68</t>
  </si>
  <si>
    <t>SYS153626</t>
  </si>
  <si>
    <t>TRX-00169</t>
  </si>
  <si>
    <t>22/12/2024</t>
  </si>
  <si>
    <t>1741.92</t>
  </si>
  <si>
    <t>1119.75</t>
  </si>
  <si>
    <t>SYS605246</t>
  </si>
  <si>
    <t>TRX-00141</t>
  </si>
  <si>
    <t>02/05/2024</t>
  </si>
  <si>
    <t>703.71</t>
  </si>
  <si>
    <t>476.84</t>
  </si>
  <si>
    <t>SYS878578</t>
  </si>
  <si>
    <t>TRX-00008</t>
  </si>
  <si>
    <t>1400.57</t>
  </si>
  <si>
    <t>809.20</t>
  </si>
  <si>
    <t>SYS191004</t>
  </si>
  <si>
    <t>TRX-00207</t>
  </si>
  <si>
    <t>18/05/2024</t>
  </si>
  <si>
    <t>537.66</t>
  </si>
  <si>
    <t>319.88</t>
  </si>
  <si>
    <t>SYS104609</t>
  </si>
  <si>
    <t>TRX-00125</t>
  </si>
  <si>
    <t>1149.72</t>
  </si>
  <si>
    <t>592.80</t>
  </si>
  <si>
    <t>SYS242785</t>
  </si>
  <si>
    <t>TRX-00133</t>
  </si>
  <si>
    <t>03/08/2024</t>
  </si>
  <si>
    <t>1858.47</t>
  </si>
  <si>
    <t>1117.28</t>
  </si>
  <si>
    <t>SYS202754</t>
  </si>
  <si>
    <t>TRX-00184</t>
  </si>
  <si>
    <t>09/12/2024</t>
  </si>
  <si>
    <t>CUYO</t>
  </si>
  <si>
    <t>1655.58</t>
  </si>
  <si>
    <t>1147.94</t>
  </si>
  <si>
    <t>SYS896664</t>
  </si>
  <si>
    <t>TRX-00061</t>
  </si>
  <si>
    <t>10/07/2024</t>
  </si>
  <si>
    <t xml:space="preserve">  Carla Ortiz</t>
  </si>
  <si>
    <t>1601.10</t>
  </si>
  <si>
    <t>881.74</t>
  </si>
  <si>
    <t>SYS790068</t>
  </si>
  <si>
    <t>TRX-00013</t>
  </si>
  <si>
    <t>1138.72</t>
  </si>
  <si>
    <t>567.14</t>
  </si>
  <si>
    <t>SYS269234</t>
  </si>
  <si>
    <t>TRX-00019</t>
  </si>
  <si>
    <t>04/04/2024</t>
  </si>
  <si>
    <t>368.40</t>
  </si>
  <si>
    <t>183.18</t>
  </si>
  <si>
    <t>SYS206286</t>
  </si>
  <si>
    <t>TRX-00083</t>
  </si>
  <si>
    <t>23/03/2024</t>
  </si>
  <si>
    <t>1383.90</t>
  </si>
  <si>
    <t>861.55</t>
  </si>
  <si>
    <t>SYS995991</t>
  </si>
  <si>
    <t>TRX-00209</t>
  </si>
  <si>
    <t>1344.37</t>
  </si>
  <si>
    <t>704.37</t>
  </si>
  <si>
    <t>SYS245883</t>
  </si>
  <si>
    <t>TRX-00278</t>
  </si>
  <si>
    <t>17/02/2024</t>
  </si>
  <si>
    <t>1311.08</t>
  </si>
  <si>
    <t>757.86</t>
  </si>
  <si>
    <t>SYS857109</t>
  </si>
  <si>
    <t>TRX-00195</t>
  </si>
  <si>
    <t>05/03/2024</t>
  </si>
  <si>
    <t>1243.71</t>
  </si>
  <si>
    <t>728.71</t>
  </si>
  <si>
    <t>SYS577810</t>
  </si>
  <si>
    <t>TRX-00190</t>
  </si>
  <si>
    <t>09/02/2024</t>
  </si>
  <si>
    <t>1229.42</t>
  </si>
  <si>
    <t>627.13</t>
  </si>
  <si>
    <t>SYS272112</t>
  </si>
  <si>
    <t>TRX-00116</t>
  </si>
  <si>
    <t>503.54</t>
  </si>
  <si>
    <t>303.63</t>
  </si>
  <si>
    <t>SYS707178</t>
  </si>
  <si>
    <t>TRX-00010</t>
  </si>
  <si>
    <t>23/10/2024</t>
  </si>
  <si>
    <t>567.56</t>
  </si>
  <si>
    <t>298.87</t>
  </si>
  <si>
    <t>SYS975163</t>
  </si>
  <si>
    <t>TRX-00134</t>
  </si>
  <si>
    <t>374.71</t>
  </si>
  <si>
    <t>207.31</t>
  </si>
  <si>
    <t>SYS478867</t>
  </si>
  <si>
    <t>TRX-00222</t>
  </si>
  <si>
    <t xml:space="preserve">Centro   </t>
  </si>
  <si>
    <t>769.91</t>
  </si>
  <si>
    <t>460.27</t>
  </si>
  <si>
    <t>SYS983594</t>
  </si>
  <si>
    <t>TRX-00126</t>
  </si>
  <si>
    <t>498.31</t>
  </si>
  <si>
    <t>291.78</t>
  </si>
  <si>
    <t>SYS543940</t>
  </si>
  <si>
    <t>TRX-00014</t>
  </si>
  <si>
    <t>22/03/2024</t>
  </si>
  <si>
    <t>419.98</t>
  </si>
  <si>
    <t>182.00</t>
  </si>
  <si>
    <t>SYS791679</t>
  </si>
  <si>
    <t>TRX-00107</t>
  </si>
  <si>
    <t>24/06/2024</t>
  </si>
  <si>
    <t>413.73</t>
  </si>
  <si>
    <t>188.75</t>
  </si>
  <si>
    <t>SYS915788</t>
  </si>
  <si>
    <t>TRX-00048</t>
  </si>
  <si>
    <t>05/01/2024</t>
  </si>
  <si>
    <t>1635.08</t>
  </si>
  <si>
    <t>1047.56</t>
  </si>
  <si>
    <t>SYS157213</t>
  </si>
  <si>
    <t>TRX-00022</t>
  </si>
  <si>
    <t>1712.89</t>
  </si>
  <si>
    <t>1066.88</t>
  </si>
  <si>
    <t>SYS328596</t>
  </si>
  <si>
    <t>TRX-00269</t>
  </si>
  <si>
    <t>975.90</t>
  </si>
  <si>
    <t>633.84</t>
  </si>
  <si>
    <t>SYS305773</t>
  </si>
  <si>
    <t>TRX-00025</t>
  </si>
  <si>
    <t>09/10/2024</t>
  </si>
  <si>
    <t>1041.42</t>
  </si>
  <si>
    <t>697.37</t>
  </si>
  <si>
    <t>SYS395403</t>
  </si>
  <si>
    <t>TRX-00302</t>
  </si>
  <si>
    <t>13/03/2024</t>
  </si>
  <si>
    <t>1016.30</t>
  </si>
  <si>
    <t>669.45</t>
  </si>
  <si>
    <t>SYS292260</t>
  </si>
  <si>
    <t>TRX-00027</t>
  </si>
  <si>
    <t>30/12/2024</t>
  </si>
  <si>
    <t xml:space="preserve">Mochila 30L   </t>
  </si>
  <si>
    <t>1245.33</t>
  </si>
  <si>
    <t>668.95</t>
  </si>
  <si>
    <t>SYS466565</t>
  </si>
  <si>
    <t>TRX-00318</t>
  </si>
  <si>
    <t>GUANTES ARQUERO</t>
  </si>
  <si>
    <t>864.87</t>
  </si>
  <si>
    <t>502.60</t>
  </si>
  <si>
    <t>SYS367282</t>
  </si>
  <si>
    <t>TRX-00233</t>
  </si>
  <si>
    <t>1023.87</t>
  </si>
  <si>
    <t>581.70</t>
  </si>
  <si>
    <t>SYS470977</t>
  </si>
  <si>
    <t>TRX-00289</t>
  </si>
  <si>
    <t>700.01</t>
  </si>
  <si>
    <t>417.90</t>
  </si>
  <si>
    <t>SYS581534</t>
  </si>
  <si>
    <t>TRX-00087</t>
  </si>
  <si>
    <t>1906.32</t>
  </si>
  <si>
    <t>1173.82</t>
  </si>
  <si>
    <t>SYS200829</t>
  </si>
  <si>
    <t>TRX-00130</t>
  </si>
  <si>
    <t>360.83</t>
  </si>
  <si>
    <t>169.38</t>
  </si>
  <si>
    <t>SYS372101</t>
  </si>
  <si>
    <t>TRX-00174</t>
  </si>
  <si>
    <t>543.32</t>
  </si>
  <si>
    <t>300.89</t>
  </si>
  <si>
    <t>SYS598330</t>
  </si>
  <si>
    <t>TRX-00304</t>
  </si>
  <si>
    <t>24/10/2024</t>
  </si>
  <si>
    <t>1298.46</t>
  </si>
  <si>
    <t>768.96</t>
  </si>
  <si>
    <t>SYS433088</t>
  </si>
  <si>
    <t>TRX-00217</t>
  </si>
  <si>
    <t>22/01/2024</t>
  </si>
  <si>
    <t>1822.93</t>
  </si>
  <si>
    <t>1230.36</t>
  </si>
  <si>
    <t>SYS153028</t>
  </si>
  <si>
    <t>TRX-00055</t>
  </si>
  <si>
    <t>15/01/2024</t>
  </si>
  <si>
    <t>404.41</t>
  </si>
  <si>
    <t>179.69</t>
  </si>
  <si>
    <t>SYS483737</t>
  </si>
  <si>
    <t>TRX-00291</t>
  </si>
  <si>
    <t>782.45</t>
  </si>
  <si>
    <t>477.90</t>
  </si>
  <si>
    <t>SYS895826</t>
  </si>
  <si>
    <t>TRX-00170</t>
  </si>
  <si>
    <t>978.27</t>
  </si>
  <si>
    <t>634.78</t>
  </si>
  <si>
    <t>SYS605285</t>
  </si>
  <si>
    <t>TRX-00162</t>
  </si>
  <si>
    <t>351.96</t>
  </si>
  <si>
    <t>194.05</t>
  </si>
  <si>
    <t>SYS892379</t>
  </si>
  <si>
    <t>TRX-00194</t>
  </si>
  <si>
    <t>15/04/2024</t>
  </si>
  <si>
    <t>1539.35</t>
  </si>
  <si>
    <t>1065.70</t>
  </si>
  <si>
    <t>SYS245411</t>
  </si>
  <si>
    <t>TRX-00241</t>
  </si>
  <si>
    <t xml:space="preserve">Sur   </t>
  </si>
  <si>
    <t>2047.33</t>
  </si>
  <si>
    <t>1356.42</t>
  </si>
  <si>
    <t>SYS538135</t>
  </si>
  <si>
    <t>TRX-00086</t>
  </si>
  <si>
    <t>14/03/2024</t>
  </si>
  <si>
    <t>839.56</t>
  </si>
  <si>
    <t>461.63</t>
  </si>
  <si>
    <t>SYS724613</t>
  </si>
  <si>
    <t>TRX-00131</t>
  </si>
  <si>
    <t>04/05/2024</t>
  </si>
  <si>
    <t>257.81</t>
  </si>
  <si>
    <t>SYS548631</t>
  </si>
  <si>
    <t>TRX-00244</t>
  </si>
  <si>
    <t>1266.11</t>
  </si>
  <si>
    <t>720.62</t>
  </si>
  <si>
    <t>SYS891322</t>
  </si>
  <si>
    <t>TRX-00072</t>
  </si>
  <si>
    <t>1136.42</t>
  </si>
  <si>
    <t>611.54</t>
  </si>
  <si>
    <t>SYS826351</t>
  </si>
  <si>
    <t>TRX-00156</t>
  </si>
  <si>
    <t>16/02/2024</t>
  </si>
  <si>
    <t>478.77</t>
  </si>
  <si>
    <t>239.62</t>
  </si>
  <si>
    <t>SYS725193</t>
  </si>
  <si>
    <t>TRX-00276</t>
  </si>
  <si>
    <t>13/11/2024</t>
  </si>
  <si>
    <t>1215.64</t>
  </si>
  <si>
    <t>706.28</t>
  </si>
  <si>
    <t>SYS360362</t>
  </si>
  <si>
    <t>TRX-00263</t>
  </si>
  <si>
    <t>08/12/2024</t>
  </si>
  <si>
    <t>1395.16</t>
  </si>
  <si>
    <t>797.19</t>
  </si>
  <si>
    <t>SYS502193</t>
  </si>
  <si>
    <t>TRX-00046</t>
  </si>
  <si>
    <t>24/03/2024</t>
  </si>
  <si>
    <t>1935.37</t>
  </si>
  <si>
    <t>1188.99</t>
  </si>
  <si>
    <t>SYS237944</t>
  </si>
  <si>
    <t>TRX-00256</t>
  </si>
  <si>
    <t>925.31</t>
  </si>
  <si>
    <t>521.41</t>
  </si>
  <si>
    <t>SYS613227</t>
  </si>
  <si>
    <t>TRX-00188</t>
  </si>
  <si>
    <t>752.36</t>
  </si>
  <si>
    <t>500.94</t>
  </si>
  <si>
    <t>SYS817652</t>
  </si>
  <si>
    <t>TRX-00265</t>
  </si>
  <si>
    <t>11/11/2024</t>
  </si>
  <si>
    <t xml:space="preserve">  GORRA DEPORTIVA </t>
  </si>
  <si>
    <t>383.85</t>
  </si>
  <si>
    <t>200.89</t>
  </si>
  <si>
    <t>SYS805059</t>
  </si>
  <si>
    <t>TRX-00181</t>
  </si>
  <si>
    <t>1285.63</t>
  </si>
  <si>
    <t>693.74</t>
  </si>
  <si>
    <t>SYS527578</t>
  </si>
  <si>
    <t>TRX-00148</t>
  </si>
  <si>
    <t>188.39</t>
  </si>
  <si>
    <t>SYS661996</t>
  </si>
  <si>
    <t>TRX-00285</t>
  </si>
  <si>
    <t>1283.78</t>
  </si>
  <si>
    <t>653.66</t>
  </si>
  <si>
    <t>SYS273305</t>
  </si>
  <si>
    <t>TRX-00257</t>
  </si>
  <si>
    <t>796.40</t>
  </si>
  <si>
    <t>551.37</t>
  </si>
  <si>
    <t>SYS363817</t>
  </si>
  <si>
    <t>TRX-00037</t>
  </si>
  <si>
    <t>1612.40</t>
  </si>
  <si>
    <t>1012.03</t>
  </si>
  <si>
    <t>SYS231660</t>
  </si>
  <si>
    <t>TRX-00136</t>
  </si>
  <si>
    <t>1304.56</t>
  </si>
  <si>
    <t>690.00</t>
  </si>
  <si>
    <t>SYS425924</t>
  </si>
  <si>
    <t>TRX-00137</t>
  </si>
  <si>
    <t>27/04/2024</t>
  </si>
  <si>
    <t>720.36</t>
  </si>
  <si>
    <t>492.00</t>
  </si>
  <si>
    <t>SYS408188</t>
  </si>
  <si>
    <t>TRX-00069</t>
  </si>
  <si>
    <t>927.07</t>
  </si>
  <si>
    <t>580.10</t>
  </si>
  <si>
    <t>SYS426039</t>
  </si>
  <si>
    <t>TRX-00259</t>
  </si>
  <si>
    <t xml:space="preserve">  Ana Gimenez</t>
  </si>
  <si>
    <t>417.23</t>
  </si>
  <si>
    <t>191.00</t>
  </si>
  <si>
    <t>SYS233803</t>
  </si>
  <si>
    <t>TRX-00123</t>
  </si>
  <si>
    <t>1572.90</t>
  </si>
  <si>
    <t>970.37</t>
  </si>
  <si>
    <t>SYS903320</t>
  </si>
  <si>
    <t>TRX-00229</t>
  </si>
  <si>
    <t>1759.83</t>
  </si>
  <si>
    <t>1195.59</t>
  </si>
  <si>
    <t>SYS840557</t>
  </si>
  <si>
    <t>TRX-00245</t>
  </si>
  <si>
    <t>30/06/2024</t>
  </si>
  <si>
    <t xml:space="preserve">Botin Sintetico   </t>
  </si>
  <si>
    <t>1718.43</t>
  </si>
  <si>
    <t>1235.32</t>
  </si>
  <si>
    <t>SYS133708</t>
  </si>
  <si>
    <t>TRX-00213</t>
  </si>
  <si>
    <t>01/04/2024</t>
  </si>
  <si>
    <t>870.62</t>
  </si>
  <si>
    <t>585.13</t>
  </si>
  <si>
    <t>SYS437065</t>
  </si>
  <si>
    <t>TRX-00172</t>
  </si>
  <si>
    <t>ZAPATILLA RUNNING</t>
  </si>
  <si>
    <t>2001.36</t>
  </si>
  <si>
    <t>1280.96</t>
  </si>
  <si>
    <t>SYS392348</t>
  </si>
  <si>
    <t>TRX-00248</t>
  </si>
  <si>
    <t>06/10/2024</t>
  </si>
  <si>
    <t>882.15</t>
  </si>
  <si>
    <t>513.11</t>
  </si>
  <si>
    <t>SYS942606</t>
  </si>
  <si>
    <t>TRX-00076</t>
  </si>
  <si>
    <t>497.74</t>
  </si>
  <si>
    <t>SYS923052</t>
  </si>
  <si>
    <t>TRX-00279</t>
  </si>
  <si>
    <t>26/06/2024</t>
  </si>
  <si>
    <t>1506.49</t>
  </si>
  <si>
    <t>1020.88</t>
  </si>
  <si>
    <t>SYS788827</t>
  </si>
  <si>
    <t>TRX-00153</t>
  </si>
  <si>
    <t>01/12/2024</t>
  </si>
  <si>
    <t>561.12</t>
  </si>
  <si>
    <t>284.80</t>
  </si>
  <si>
    <t>SYS562972</t>
  </si>
  <si>
    <t>TRX-00250</t>
  </si>
  <si>
    <t>ELENA PAZ</t>
  </si>
  <si>
    <t>573.71</t>
  </si>
  <si>
    <t>319.57</t>
  </si>
  <si>
    <t>SYS244023</t>
  </si>
  <si>
    <t>TRX-00154</t>
  </si>
  <si>
    <t>26/03/2024</t>
  </si>
  <si>
    <t>1003.08</t>
  </si>
  <si>
    <t>677.04</t>
  </si>
  <si>
    <t>SYS856340</t>
  </si>
  <si>
    <t>TRX-00319</t>
  </si>
  <si>
    <t>20/10/2024</t>
  </si>
  <si>
    <t>1558.87</t>
  </si>
  <si>
    <t>1105.78</t>
  </si>
  <si>
    <t>SYS351191</t>
  </si>
  <si>
    <t>TRX-00275</t>
  </si>
  <si>
    <t>30/04/2024</t>
  </si>
  <si>
    <t>703.33</t>
  </si>
  <si>
    <t>441.41</t>
  </si>
  <si>
    <t>SYS527630</t>
  </si>
  <si>
    <t>TRX-00030</t>
  </si>
  <si>
    <t>718.56</t>
  </si>
  <si>
    <t>489.67</t>
  </si>
  <si>
    <t>SYS381016</t>
  </si>
  <si>
    <t>TRX-00118</t>
  </si>
  <si>
    <t>08/07/2024</t>
  </si>
  <si>
    <t>835.79</t>
  </si>
  <si>
    <t>532.55</t>
  </si>
  <si>
    <t>SYS959849</t>
  </si>
  <si>
    <t>TRX-00268</t>
  </si>
  <si>
    <t>933.35</t>
  </si>
  <si>
    <t>561.39</t>
  </si>
  <si>
    <t>SYS324556</t>
  </si>
  <si>
    <t>TRX-00255</t>
  </si>
  <si>
    <t>1911.20</t>
  </si>
  <si>
    <t>1331.76</t>
  </si>
  <si>
    <t>SYS309061</t>
  </si>
  <si>
    <t>TRX-00237</t>
  </si>
  <si>
    <t>883.16</t>
  </si>
  <si>
    <t>569.52</t>
  </si>
  <si>
    <t>SYS106524</t>
  </si>
  <si>
    <t>TRX-00313</t>
  </si>
  <si>
    <t>1021.58</t>
  </si>
  <si>
    <t>SYS247726</t>
  </si>
  <si>
    <t>TRX-00253</t>
  </si>
  <si>
    <t>872.35</t>
  </si>
  <si>
    <t>581.97</t>
  </si>
  <si>
    <t>SYS183037</t>
  </si>
  <si>
    <t>TRX-00288</t>
  </si>
  <si>
    <t>25/06/2024</t>
  </si>
  <si>
    <t xml:space="preserve">  Pelota Profesional</t>
  </si>
  <si>
    <t>748.33</t>
  </si>
  <si>
    <t>462.52</t>
  </si>
  <si>
    <t>SYS128527</t>
  </si>
  <si>
    <t>TRX-00139</t>
  </si>
  <si>
    <t>534.15</t>
  </si>
  <si>
    <t>285.98</t>
  </si>
  <si>
    <t>SYS234644</t>
  </si>
  <si>
    <t>TRX-00146</t>
  </si>
  <si>
    <t>31/07/2024</t>
  </si>
  <si>
    <t>1984.66</t>
  </si>
  <si>
    <t>1320.44</t>
  </si>
  <si>
    <t>SYS241714</t>
  </si>
  <si>
    <t>TRX-00266</t>
  </si>
  <si>
    <t>16/03/2024</t>
  </si>
  <si>
    <t>1176.83</t>
  </si>
  <si>
    <t>646.18</t>
  </si>
  <si>
    <t>SYS513415</t>
  </si>
  <si>
    <t>TRX-00301</t>
  </si>
  <si>
    <t>08/03/2024</t>
  </si>
  <si>
    <t>1249.74</t>
  </si>
  <si>
    <t>701.26</t>
  </si>
  <si>
    <t>SYS159382</t>
  </si>
  <si>
    <t>TRX-00180</t>
  </si>
  <si>
    <t>1181.07</t>
  </si>
  <si>
    <t>614.74</t>
  </si>
  <si>
    <t>SYS640656</t>
  </si>
  <si>
    <t>TRX-00122</t>
  </si>
  <si>
    <t>19/07/2024</t>
  </si>
  <si>
    <t>1293.20</t>
  </si>
  <si>
    <t>670.47</t>
  </si>
  <si>
    <t>SYS305565</t>
  </si>
  <si>
    <t>TRX-00246</t>
  </si>
  <si>
    <t>01/02/2024</t>
  </si>
  <si>
    <t>1673.06</t>
  </si>
  <si>
    <t>1169.51</t>
  </si>
  <si>
    <t>SYS763798</t>
  </si>
  <si>
    <t>TRX-00200</t>
  </si>
  <si>
    <t>09/05/2024</t>
  </si>
  <si>
    <t>1373.83</t>
  </si>
  <si>
    <t>861.32</t>
  </si>
  <si>
    <t>SYS919292</t>
  </si>
  <si>
    <t>TRX-00028</t>
  </si>
  <si>
    <t>511.27</t>
  </si>
  <si>
    <t>293.96</t>
  </si>
  <si>
    <t>SYS813493</t>
  </si>
  <si>
    <t>TRX-00293</t>
  </si>
  <si>
    <t>853.97</t>
  </si>
  <si>
    <t>475.88</t>
  </si>
  <si>
    <t>SYS712217</t>
  </si>
  <si>
    <t>TRX-00204</t>
  </si>
  <si>
    <t>2189.20</t>
  </si>
  <si>
    <t>1443.57</t>
  </si>
  <si>
    <t>SYS797573</t>
  </si>
  <si>
    <t>TRX-00208</t>
  </si>
  <si>
    <t>797.57</t>
  </si>
  <si>
    <t>529.05</t>
  </si>
  <si>
    <t>SYS574240</t>
  </si>
  <si>
    <t>TRX-00214</t>
  </si>
  <si>
    <t>12/07/2024</t>
  </si>
  <si>
    <t>797.42</t>
  </si>
  <si>
    <t>546.41</t>
  </si>
  <si>
    <t>SYS334977</t>
  </si>
  <si>
    <t>TRX-00262</t>
  </si>
  <si>
    <t>366.75</t>
  </si>
  <si>
    <t>166.75</t>
  </si>
  <si>
    <t>SYS650589</t>
  </si>
  <si>
    <t>TRX-00007</t>
  </si>
  <si>
    <t>17/07/2024</t>
  </si>
  <si>
    <t>1661.25</t>
  </si>
  <si>
    <t>1113.82</t>
  </si>
  <si>
    <t>SYS877412</t>
  </si>
  <si>
    <t>TRX-00300</t>
  </si>
  <si>
    <t>11/04/2024</t>
  </si>
  <si>
    <t>359.30</t>
  </si>
  <si>
    <t>190.96</t>
  </si>
  <si>
    <t>SYS281084</t>
  </si>
  <si>
    <t>TRX-00056</t>
  </si>
  <si>
    <t>1500.24</t>
  </si>
  <si>
    <t>1034.99</t>
  </si>
  <si>
    <t>SYS888932</t>
  </si>
  <si>
    <t>TRX-00296</t>
  </si>
  <si>
    <t>03/01/2024</t>
  </si>
  <si>
    <t>1130.28</t>
  </si>
  <si>
    <t>562.68</t>
  </si>
  <si>
    <t>SYS900015</t>
  </si>
  <si>
    <t>TRX-00235</t>
  </si>
  <si>
    <t>1917.95</t>
  </si>
  <si>
    <t>1328.39</t>
  </si>
  <si>
    <t>SYS569302</t>
  </si>
  <si>
    <t>TRX-00060</t>
  </si>
  <si>
    <t>02/09/2024</t>
  </si>
  <si>
    <t>1344.79</t>
  </si>
  <si>
    <t>788.15</t>
  </si>
  <si>
    <t>SYS208261</t>
  </si>
  <si>
    <t>TRX-00102</t>
  </si>
  <si>
    <t>29/09/2024</t>
  </si>
  <si>
    <t>1984.97</t>
  </si>
  <si>
    <t>1219.94</t>
  </si>
  <si>
    <t>SYS149388</t>
  </si>
  <si>
    <t>TRX-00016</t>
  </si>
  <si>
    <t>01/10/2024</t>
  </si>
  <si>
    <t>2193.62</t>
  </si>
  <si>
    <t>1422.56</t>
  </si>
  <si>
    <t>SYS720178</t>
  </si>
  <si>
    <t>TRX-00104</t>
  </si>
  <si>
    <t>02/10/2024</t>
  </si>
  <si>
    <t>1850.15</t>
  </si>
  <si>
    <t>1208.44</t>
  </si>
  <si>
    <t>SYS635464</t>
  </si>
  <si>
    <t>TRX-00124</t>
  </si>
  <si>
    <t>28/08/2024</t>
  </si>
  <si>
    <t xml:space="preserve">Campera Trekking   </t>
  </si>
  <si>
    <t>1459.59</t>
  </si>
  <si>
    <t>788.96</t>
  </si>
  <si>
    <t>SYS286679</t>
  </si>
  <si>
    <t>TRX-00158</t>
  </si>
  <si>
    <t>22/08/2024</t>
  </si>
  <si>
    <t>1648.98</t>
  </si>
  <si>
    <t>1140.16</t>
  </si>
  <si>
    <t>SYS338200</t>
  </si>
  <si>
    <t>TRX-00261</t>
  </si>
  <si>
    <t>0</t>
  </si>
  <si>
    <t>260.24</t>
  </si>
  <si>
    <t>SYS895535</t>
  </si>
  <si>
    <t>TRX-00311</t>
  </si>
  <si>
    <t xml:space="preserve">  BOTIN SINTETICO </t>
  </si>
  <si>
    <t>1601.46</t>
  </si>
  <si>
    <t>1003.96</t>
  </si>
  <si>
    <t>SYS858145</t>
  </si>
  <si>
    <t>TRX-00092</t>
  </si>
  <si>
    <t>1803.24</t>
  </si>
  <si>
    <t>1279.83</t>
  </si>
  <si>
    <t>SYS928469</t>
  </si>
  <si>
    <t>TRX-00064</t>
  </si>
  <si>
    <t>04/12/2024</t>
  </si>
  <si>
    <t>1699.70</t>
  </si>
  <si>
    <t>1112.36</t>
  </si>
  <si>
    <t>SYS746611</t>
  </si>
  <si>
    <t>TRX-00138</t>
  </si>
  <si>
    <t>538.71</t>
  </si>
  <si>
    <t>273.15</t>
  </si>
  <si>
    <t>SYS827327</t>
  </si>
  <si>
    <t>TRX-00216</t>
  </si>
  <si>
    <t>01/07/2024</t>
  </si>
  <si>
    <t>366.25</t>
  </si>
  <si>
    <t>168.75</t>
  </si>
  <si>
    <t>SYS652860</t>
  </si>
  <si>
    <t>TRX-00215</t>
  </si>
  <si>
    <t>18/08/2024</t>
  </si>
  <si>
    <t>374.09</t>
  </si>
  <si>
    <t>201.26</t>
  </si>
  <si>
    <t>SYS912926</t>
  </si>
  <si>
    <t>TRX-00042</t>
  </si>
  <si>
    <t>11/09/2024</t>
  </si>
  <si>
    <t>579.24</t>
  </si>
  <si>
    <t>314.66</t>
  </si>
  <si>
    <t>SYS426387</t>
  </si>
  <si>
    <t>TRX-00040</t>
  </si>
  <si>
    <t>1125.32</t>
  </si>
  <si>
    <t>SYS885313</t>
  </si>
  <si>
    <t>TRX-00051</t>
  </si>
  <si>
    <t>1157.67</t>
  </si>
  <si>
    <t>723.64</t>
  </si>
  <si>
    <t>SYS742976</t>
  </si>
  <si>
    <t>TRX-00088</t>
  </si>
  <si>
    <t>1732.40</t>
  </si>
  <si>
    <t>1181.63</t>
  </si>
  <si>
    <t>SYS666167</t>
  </si>
  <si>
    <t>TRX-00271</t>
  </si>
  <si>
    <t>30/10/2024</t>
  </si>
  <si>
    <t>1784.58</t>
  </si>
  <si>
    <t>1112.73</t>
  </si>
  <si>
    <t>SYS537579</t>
  </si>
  <si>
    <t>TRX-00080</t>
  </si>
  <si>
    <t xml:space="preserve">Zapatilla Running   </t>
  </si>
  <si>
    <t>2025.17</t>
  </si>
  <si>
    <t>1305.84</t>
  </si>
  <si>
    <t>SYS549001</t>
  </si>
  <si>
    <t>TRX-00068</t>
  </si>
  <si>
    <t>2117.81</t>
  </si>
  <si>
    <t>1446.68</t>
  </si>
  <si>
    <t>SYS361788</t>
  </si>
  <si>
    <t>TRX-00082</t>
  </si>
  <si>
    <t>13/01/2024</t>
  </si>
  <si>
    <t>719.25</t>
  </si>
  <si>
    <t>447.04</t>
  </si>
  <si>
    <t>SYS783497</t>
  </si>
  <si>
    <t>TRX-00006</t>
  </si>
  <si>
    <t>1899.08</t>
  </si>
  <si>
    <t>1277.43</t>
  </si>
  <si>
    <t>SYS391949</t>
  </si>
  <si>
    <t>TRX-00117</t>
  </si>
  <si>
    <t>28/12/2024</t>
  </si>
  <si>
    <t>836.99</t>
  </si>
  <si>
    <t>526.50</t>
  </si>
  <si>
    <t>SYS318522</t>
  </si>
  <si>
    <t>TRX-00236</t>
  </si>
  <si>
    <t>1540.52</t>
  </si>
  <si>
    <t>826.04</t>
  </si>
  <si>
    <t>SYS791846</t>
  </si>
  <si>
    <t>TRX-00282</t>
  </si>
  <si>
    <t>1516.97</t>
  </si>
  <si>
    <t>804.46</t>
  </si>
  <si>
    <t>SYS913457</t>
  </si>
  <si>
    <t>TRX-00191</t>
  </si>
  <si>
    <t>15/12/2024</t>
  </si>
  <si>
    <t>1997.67</t>
  </si>
  <si>
    <t>1257.80</t>
  </si>
  <si>
    <t>SYS585790</t>
  </si>
  <si>
    <t>TRX-00135</t>
  </si>
  <si>
    <t xml:space="preserve">Indumentaria   </t>
  </si>
  <si>
    <t>1434.77</t>
  </si>
  <si>
    <t>807.91</t>
  </si>
  <si>
    <t>SYS768338</t>
  </si>
  <si>
    <t>TRX-00178</t>
  </si>
  <si>
    <t>16/01/2024</t>
  </si>
  <si>
    <t>1131.42</t>
  </si>
  <si>
    <t>660.19</t>
  </si>
  <si>
    <t>SYS785727</t>
  </si>
  <si>
    <t>TRX-00103</t>
  </si>
  <si>
    <t>534.23</t>
  </si>
  <si>
    <t>325.62</t>
  </si>
  <si>
    <t>SYS364483</t>
  </si>
  <si>
    <t>TRX-00147</t>
  </si>
  <si>
    <t>373.47</t>
  </si>
  <si>
    <t>194.26</t>
  </si>
  <si>
    <t>SYS222972</t>
  </si>
  <si>
    <t>TRX-00317</t>
  </si>
  <si>
    <t>29/05/2024</t>
  </si>
  <si>
    <t>1822.91</t>
  </si>
  <si>
    <t>1132.57</t>
  </si>
  <si>
    <t>SYS885441</t>
  </si>
  <si>
    <t>TRX-00034</t>
  </si>
  <si>
    <t>2089.41</t>
  </si>
  <si>
    <t>1436.68</t>
  </si>
  <si>
    <t>SYS184159</t>
  </si>
  <si>
    <t>TRX-00084</t>
  </si>
  <si>
    <t>388.25</t>
  </si>
  <si>
    <t>218.77</t>
  </si>
  <si>
    <t>SYS218522</t>
  </si>
  <si>
    <t>TRX-00044</t>
  </si>
  <si>
    <t>2188.68</t>
  </si>
  <si>
    <t>1350.13</t>
  </si>
  <si>
    <t>SYS600257</t>
  </si>
  <si>
    <t>TRX-00018</t>
  </si>
  <si>
    <t>22/09/2024</t>
  </si>
  <si>
    <t>886.54</t>
  </si>
  <si>
    <t>515.84</t>
  </si>
  <si>
    <t>SYS586071</t>
  </si>
  <si>
    <t>TRX-00111</t>
  </si>
  <si>
    <t>03/11/2024</t>
  </si>
  <si>
    <t>418.70</t>
  </si>
  <si>
    <t>218.73</t>
  </si>
  <si>
    <t>SYS246963</t>
  </si>
  <si>
    <t>TRX-00183</t>
  </si>
  <si>
    <t>886.49</t>
  </si>
  <si>
    <t>500.14</t>
  </si>
  <si>
    <t>SYS446712</t>
  </si>
  <si>
    <t>TRX-00227</t>
  </si>
  <si>
    <t>01/01/2024</t>
  </si>
  <si>
    <t>738.32</t>
  </si>
  <si>
    <t>472.16</t>
  </si>
  <si>
    <t>SYS380591</t>
  </si>
  <si>
    <t>TRX-00132</t>
  </si>
  <si>
    <t>1521.90</t>
  </si>
  <si>
    <t>903.28</t>
  </si>
  <si>
    <t>SYS254330</t>
  </si>
  <si>
    <t>TRX-00252</t>
  </si>
  <si>
    <t>546.61</t>
  </si>
  <si>
    <t>293.44</t>
  </si>
  <si>
    <t>SYS841200</t>
  </si>
  <si>
    <t>TRX-00067</t>
  </si>
  <si>
    <t>06/12/2024</t>
  </si>
  <si>
    <t>421.19</t>
  </si>
  <si>
    <t>217.71</t>
  </si>
  <si>
    <t>SYS929158</t>
  </si>
  <si>
    <t>TRX-00193</t>
  </si>
  <si>
    <t>1651.09</t>
  </si>
  <si>
    <t>1178.28</t>
  </si>
  <si>
    <t>SYS649932</t>
  </si>
  <si>
    <t>TRX-00109</t>
  </si>
  <si>
    <t>30/09/2024</t>
  </si>
  <si>
    <t>748.57</t>
  </si>
  <si>
    <t>439.78</t>
  </si>
  <si>
    <t>SYS174129</t>
  </si>
  <si>
    <t>TRX-00283</t>
  </si>
  <si>
    <t>02/06/2024</t>
  </si>
  <si>
    <t xml:space="preserve">Guantes Arquero   </t>
  </si>
  <si>
    <t>954.97</t>
  </si>
  <si>
    <t>564.99</t>
  </si>
  <si>
    <t>SYS928191</t>
  </si>
  <si>
    <t>TRX-00020</t>
  </si>
  <si>
    <t>900.67</t>
  </si>
  <si>
    <t>530.98</t>
  </si>
  <si>
    <t>SYS848610</t>
  </si>
  <si>
    <t>TRX-00140</t>
  </si>
  <si>
    <t>850.18</t>
  </si>
  <si>
    <t>530.80</t>
  </si>
  <si>
    <t>SYS617515</t>
  </si>
  <si>
    <t>TRX-00057</t>
  </si>
  <si>
    <t>sin fecha</t>
  </si>
  <si>
    <t>1448.85</t>
  </si>
  <si>
    <t>802.36</t>
  </si>
  <si>
    <t>SYS278759</t>
  </si>
  <si>
    <t>TRX-00179</t>
  </si>
  <si>
    <t>06/07/2024</t>
  </si>
  <si>
    <t>402.75</t>
  </si>
  <si>
    <t>225.11</t>
  </si>
  <si>
    <t>SYS819017</t>
  </si>
  <si>
    <t>TRX-00091</t>
  </si>
  <si>
    <t>1296.40</t>
  </si>
  <si>
    <t>737.14</t>
  </si>
  <si>
    <t>SYS810363</t>
  </si>
  <si>
    <t>TRX-00274</t>
  </si>
  <si>
    <t>18/02/2024</t>
  </si>
  <si>
    <t>1514.88</t>
  </si>
  <si>
    <t>839.83</t>
  </si>
  <si>
    <t>SYS123396</t>
  </si>
  <si>
    <t>TRX-00070</t>
  </si>
  <si>
    <t>28/03/2024</t>
  </si>
  <si>
    <t>514.28</t>
  </si>
  <si>
    <t>269.26</t>
  </si>
  <si>
    <t>SYS200443</t>
  </si>
  <si>
    <t>TRX-00218</t>
  </si>
  <si>
    <t>19/09/2024</t>
  </si>
  <si>
    <t>947.08</t>
  </si>
  <si>
    <t>557.27</t>
  </si>
  <si>
    <t>SYS720359</t>
  </si>
  <si>
    <t>TRX-00294</t>
  </si>
  <si>
    <t>remera tecnica</t>
  </si>
  <si>
    <t>529.22</t>
  </si>
  <si>
    <t>311.27</t>
  </si>
  <si>
    <t>SYS603544</t>
  </si>
  <si>
    <t>TRX-00167</t>
  </si>
  <si>
    <t>08/10/2024</t>
  </si>
  <si>
    <t>1295.40</t>
  </si>
  <si>
    <t>719.30</t>
  </si>
  <si>
    <t>SYS330861</t>
  </si>
  <si>
    <t>TRX-00096</t>
  </si>
  <si>
    <t>860.06</t>
  </si>
  <si>
    <t>526.37</t>
  </si>
  <si>
    <t>SYS233193</t>
  </si>
  <si>
    <t>TRX-00221</t>
  </si>
  <si>
    <t>30/03/2024</t>
  </si>
  <si>
    <t>543.87</t>
  </si>
  <si>
    <t>268.39</t>
  </si>
  <si>
    <t>SYS623199</t>
  </si>
  <si>
    <t>TRX-00142</t>
  </si>
  <si>
    <t>911.26</t>
  </si>
  <si>
    <t>530.08</t>
  </si>
  <si>
    <t>SYS209303</t>
  </si>
  <si>
    <t>TRX-00073</t>
  </si>
  <si>
    <t>1235.33</t>
  </si>
  <si>
    <t>759.96</t>
  </si>
  <si>
    <t>SYS352410</t>
  </si>
  <si>
    <t>TRX-00054</t>
  </si>
  <si>
    <t>21/09/2024</t>
  </si>
  <si>
    <t>903.56</t>
  </si>
  <si>
    <t>546.04</t>
  </si>
  <si>
    <t>SYS624535</t>
  </si>
  <si>
    <t>TRX-00145</t>
  </si>
  <si>
    <t>555.52</t>
  </si>
  <si>
    <t>290.23</t>
  </si>
  <si>
    <t>SYS644013</t>
  </si>
  <si>
    <t>TRX-00303</t>
  </si>
  <si>
    <t>17/11/2024</t>
  </si>
  <si>
    <t>1158.70</t>
  </si>
  <si>
    <t>680.63</t>
  </si>
  <si>
    <t>SYS595522</t>
  </si>
  <si>
    <t xml:space="preserve">  CONFIGURACIÓN Y DOCUMENTACIÓN TÉCNICA</t>
  </si>
  <si>
    <t>Hoja de soporte — se oculta automáticamente</t>
  </si>
  <si>
    <t xml:space="preserve">  PARÁMETROS DEL FLUJO ETL</t>
  </si>
  <si>
    <t>Ruta completa del CSV de origen (opcional)</t>
  </si>
  <si>
    <t>Carpeta del libro (la completa la macro)</t>
  </si>
  <si>
    <t>Nombre de la consulta de Power Query</t>
  </si>
  <si>
    <t>Transacciones</t>
  </si>
  <si>
    <t>Tabla de respaldo dentro del libro</t>
  </si>
  <si>
    <t>tbl_Datos_Crudos</t>
  </si>
  <si>
    <t>Origen resuelto en la última ejecución</t>
  </si>
  <si>
    <t>(lo completa la macro al actualizar)</t>
  </si>
  <si>
    <t>Si C6 está vacío, la macro busca datos\transacciones_crudas.csv junto al libro y, si tampoco existe, usa la tabla de respaldo incrustada.</t>
  </si>
  <si>
    <t xml:space="preserve">  PROMPT UTILIZADO CON LA IA (PASO 6)</t>
  </si>
  <si>
    <t>Actuá como desarrollador VBA senior para Excel 365 en español.</t>
  </si>
  <si>
    <t>Escribí una macro llamada Aplicar_Formato_Ejecutivo que reciba un libro con:</t>
  </si>
  <si>
    <t xml:space="preserve">  - una hoja Reporte_Ejecutivo con KPIs en las filas 11 a 13 y una tabla</t>
  </si>
  <si>
    <t xml:space="preserve">    dinámica llamada TD_Margen,</t>
  </si>
  <si>
    <t xml:space="preserve">  - una hoja Evaluación_Financiera con un modelo de inversión,</t>
  </si>
  <si>
    <t xml:space="preserve">  - una hoja Datos_Limpios con la tabla de salida de Power Query.</t>
  </si>
  <si>
    <t>Requisitos:</t>
  </si>
  <si>
    <t xml:space="preserve">  1. Tipografía corporativa Segoe UI en todas las hojas.</t>
  </si>
  <si>
    <t xml:space="preserve">  2. Paleta: azul #0B2A4A para encabezados y celeste #008AB3 para acentos.</t>
  </si>
  <si>
    <t xml:space="preserve">  3. Bordes ejecutivos: contorno medio azul e interior fino gris.</t>
  </si>
  <si>
    <t xml:space="preserve">  4. Formato moneda $#,##0 en importes y 0.0% en porcentajes.</t>
  </si>
  <si>
    <t xml:space="preserve">  5. Todo referenciado por CodeName de hoja, nunca por ActiveSheet.</t>
  </si>
  <si>
    <t xml:space="preserve">  6. Manejo de errores con On Error para que no se corte si falta un objeto.</t>
  </si>
  <si>
    <t>Devolvé sólo el módulo, con Option Explicit y comentarios en español.</t>
  </si>
  <si>
    <t>DEPURACIÓN POSTERIOR (errores que devolvió la IA y cómo se corrigieron):</t>
  </si>
  <si>
    <t xml:space="preserve">  a) Usaba ActiveSheet y Select: se reemplazó por referencias por CodeName.</t>
  </si>
  <si>
    <t xml:space="preserve">  b) Declaraba Const AZUL = RGB(11,42,74): RGB no es constante en tiempo de</t>
  </si>
  <si>
    <t xml:space="preserve">     compilación, se reemplazó por el valor Long ya calculado (4860427).</t>
  </si>
  <si>
    <t xml:space="preserve">  c) Fallaba con error 1004 si la tabla dinámica todavía no existía: se agregó</t>
  </si>
  <si>
    <t xml:space="preserve">     la comprobación If td Is Nothing Then Exit Sub.</t>
  </si>
  <si>
    <t xml:space="preserve">  d) Aplicaba NumberFormat a columnas inexistentes: se encapsuló en el</t>
  </si>
  <si>
    <t xml:space="preserve">     procedimiento Formato_Columna con On Error Resume Next.</t>
  </si>
  <si>
    <t xml:space="preserve">  CÓDIGO M DE LA CONSULTA (referencia — el original vive en la consulta)</t>
  </si>
  <si>
    <t>// =========================================================================</t>
  </si>
  <si>
    <t>//  Consulta de Power Query: "Transacciones"</t>
  </si>
  <si>
    <t>//  Checkpoint: Flujo ETL, Analisis Financiero y Reporte Ejecutivo</t>
  </si>
  <si>
    <t>//  Autor: Lleyton Murphy</t>
  </si>
  <si>
    <t>//</t>
  </si>
  <si>
    <t>//  Origen  : datos/transacciones_crudas.csv  (Datos &gt; Obtener datos &gt; Desde</t>
  </si>
  <si>
    <t>//            texto/CSV). Si el CSV no esta junto al libro, la macro sustituye</t>
  </si>
  <si>
    <t>//            el origen por la tabla tbl_Datos_Crudos incrustada, de modo que la</t>
  </si>
  <si>
    <t>//            actualizacion NUNCA falla por un error de origen.</t>
  </si>
  <si>
    <t>//  Destino : hoja Datos_Limpios + Modelo de datos.</t>
  </si>
  <si>
    <t>//  IMPORTANTE: la consulta declara UN SOLO origen de datos. Leer la ruta desde</t>
  </si>
  <si>
    <t>//  una celda del libro y pasarla a File.Contents mezclaria dos origenes en la</t>
  </si>
  <si>
    <t>//  misma consulta y Power Query lo rechazaria con el error Formula.Firewall</t>
  </si>
  <si>
    <t>//  ("references other queries or steps, so it may not directly access a data</t>
  </si>
  <si>
    <t>//  source"). Por eso la ruta se inyecta como literal: ver Origen_M() en el</t>
  </si>
  <si>
    <t>//  modulo Modulo_ETL_PowerQuery.</t>
  </si>
  <si>
    <t>//  Transformaciones aplicadas (las 3 pedidas y algunas mas):</t>
  </si>
  <si>
    <t>//    1. Eliminar columnas irrelevantes</t>
  </si>
  <si>
    <t>//    2. Estandarizar textos (Clean + Trim + mayusculas/minusculas)</t>
  </si>
  <si>
    <t>//    3. Corregir tipos de datos (fecha con cultura es-AR, numeros en-US)</t>
  </si>
  <si>
    <t>//    4. Filtrar nulos, errores, importes invalidos y registros anulados</t>
  </si>
  <si>
    <t>//    5. Quitar duplicados por clave de negocio</t>
  </si>
  <si>
    <t>//    6. Enriquecer con columnas calculadas (Monto, Margen, Anio, Trimestre)</t>
  </si>
  <si>
    <t>let</t>
  </si>
  <si>
    <t xml:space="preserve">    // ---------------------------------------------------------------------</t>
  </si>
  <si>
    <t xml:space="preserve">    // E X T R A C C I O N</t>
  </si>
  <si>
    <t xml:space="preserve">    // La macro sustituye el marcador de la linea Origen por UNA de estas dos</t>
  </si>
  <si>
    <t xml:space="preserve">    // expresiones (el marcador aparece una sola vez en toda la consulta):</t>
  </si>
  <si>
    <t xml:space="preserve">    //</t>
  </si>
  <si>
    <t xml:space="preserve">    //   CSV    Table.PromoteHeaders(</t>
  </si>
  <si>
    <t xml:space="preserve">    //              Csv.Document(</t>
  </si>
  <si>
    <t xml:space="preserve">    //                  File.Contents("C:\ruta\datos\transacciones_crudas.csv"),</t>
  </si>
  <si>
    <t xml:space="preserve">    //                  [Delimiter = ",", Encoding = 65001, QuoteStyle = QuoteStyle.Csv]),</t>
  </si>
  <si>
    <t xml:space="preserve">    //              [PromoteAllScalars = true])</t>
  </si>
  <si>
    <t xml:space="preserve">    //   Libro  Excel.CurrentWorkbook(){[Name = "tbl_Datos_Crudos"]}[Content]</t>
  </si>
  <si>
    <t xml:space="preserve">    // Nunca las dos a la vez: un origen unico por consulta evita Formula.Firewall.</t>
  </si>
  <si>
    <t xml:space="preserve">    Origen = @ORIGEN@,</t>
  </si>
  <si>
    <t xml:space="preserve">    // T R A N S F O R M A C I O N</t>
  </si>
  <si>
    <t xml:space="preserve">    // 1. Columnas irrelevantes para el analisis</t>
  </si>
  <si>
    <t xml:space="preserve">    SinColumnas = Table.RemoveColumns(</t>
  </si>
  <si>
    <t xml:space="preserve">        Origen, {"Notas_Internas", "Ref_Sistema"}, MissingField.Ignore),</t>
  </si>
  <si>
    <t xml:space="preserve">    // 2. Estandarizacion de textos: quita caracteres no imprimibles, espacios</t>
  </si>
  <si>
    <t xml:space="preserve">    //    sobrantes y unifica el uso de mayusculas ("  norte" y "NORTE" -&gt; "Norte")</t>
  </si>
  <si>
    <t xml:space="preserve">    Estandarizado = Table.TransformColumns(</t>
  </si>
  <si>
    <t xml:space="preserve">        SinColumnas,</t>
  </si>
  <si>
    <t xml:space="preserve">        {</t>
  </si>
  <si>
    <t xml:space="preserve">            {"Region",    each if _ = null then null else Text.Proper(Text.Trim(Text.Clean(Text.From(_)))), type text},</t>
  </si>
  <si>
    <t xml:space="preserve">            {"Categoria", each if _ = null then null else Text.Proper(Text.Trim(Text.Clean(Text.From(_)))), type text},</t>
  </si>
  <si>
    <t xml:space="preserve">            {"Producto",  each if _ = null then null else Text.Proper(Text.Trim(Text.Clean(Text.From(_)))), type text},</t>
  </si>
  <si>
    <t xml:space="preserve">            {"Vendedor",  each if _ = null then null else Text.Proper(Text.Trim(Text.Clean(Text.From(_)))), type text},</t>
  </si>
  <si>
    <t xml:space="preserve">            {"Estado",    each if _ = null then null else Text.Upper(Text.Trim(Text.From(_))),              type text}</t>
  </si>
  <si>
    <t xml:space="preserve">        },</t>
  </si>
  <si>
    <t xml:space="preserve">        MissingField.Ignore),</t>
  </si>
  <si>
    <t xml:space="preserve">    // 3a. Tipos de datos: la fecha viene como texto dd/mm/aaaa</t>
  </si>
  <si>
    <t xml:space="preserve">    TipoFecha = Table.TransformColumnTypes(</t>
  </si>
  <si>
    <t xml:space="preserve">        Estandarizado, {{"Fecha", type date}}, "es-AR"),</t>
  </si>
  <si>
    <t xml:space="preserve">    // 3b. Tipos de datos: los importes usan el punto como separador decimal</t>
  </si>
  <si>
    <t xml:space="preserve">    TipoNumeros = Table.TransformColumnTypes(</t>
  </si>
  <si>
    <t xml:space="preserve">        TipoFecha,</t>
  </si>
  <si>
    <t xml:space="preserve">            {"ID_Transaccion", type text},</t>
  </si>
  <si>
    <t xml:space="preserve">            {"Region", type text},</t>
  </si>
  <si>
    <t xml:space="preserve">            {"Categoria", type text},</t>
  </si>
  <si>
    <t xml:space="preserve">            {"Producto", type text},</t>
  </si>
  <si>
    <t xml:space="preserve">            {"Vendedor", type text},</t>
  </si>
  <si>
    <t xml:space="preserve">            {"Estado", type text},</t>
  </si>
  <si>
    <t xml:space="preserve">            {"Unidades", Int64.Type},</t>
  </si>
  <si>
    <t xml:space="preserve">            {"Precio_Unitario", type number},</t>
  </si>
  <si>
    <t xml:space="preserve">            {"Costo_Unitario", type number}</t>
  </si>
  <si>
    <t xml:space="preserve">        "en-US"),</t>
  </si>
  <si>
    <t xml:space="preserve">    // 4. Limpieza de nulos, errores de conversion y registros no vendibles</t>
  </si>
  <si>
    <t xml:space="preserve">    SinErrores = Table.RemoveRowsWithErrors(TipoNumeros),</t>
  </si>
  <si>
    <t xml:space="preserve">    SinNulos = Table.SelectRows(</t>
  </si>
  <si>
    <t xml:space="preserve">        SinErrores,</t>
  </si>
  <si>
    <t xml:space="preserve">        each [Fecha] &lt;&gt; null</t>
  </si>
  <si>
    <t xml:space="preserve">            and [Region] &lt;&gt; null and [Region] &lt;&gt; ""</t>
  </si>
  <si>
    <t xml:space="preserve">            and [Categoria] &lt;&gt; null and [Categoria] &lt;&gt; ""</t>
  </si>
  <si>
    <t xml:space="preserve">            and [Unidades] &lt;&gt; null and [Unidades] &gt; 0</t>
  </si>
  <si>
    <t xml:space="preserve">            and [Precio_Unitario] &lt;&gt; null and [Precio_Unitario] &gt; 0</t>
  </si>
  <si>
    <t xml:space="preserve">            and [Costo_Unitario] &lt;&gt; null and [Costo_Unitario] &gt;= 0),</t>
  </si>
  <si>
    <t xml:space="preserve">    SinAnuladas = Table.SelectRows(SinNulos, each [Estado] &lt;&gt; "ANULADA"),</t>
  </si>
  <si>
    <t xml:space="preserve">    // 5. Duplicados por clave de negocio</t>
  </si>
  <si>
    <t xml:space="preserve">    SinDuplicados = Table.Distinct(SinAnuladas, {"ID_Transaccion"}),</t>
  </si>
  <si>
    <t xml:space="preserve">    // 6. Columnas calculadas para el analisis</t>
  </si>
  <si>
    <t xml:space="preserve">    ConMonto = Table.AddColumn(SinDuplicados, "Monto",</t>
  </si>
  <si>
    <t xml:space="preserve">        each [Unidades] * [Precio_Unitario], type number),</t>
  </si>
  <si>
    <t xml:space="preserve">    ConCosto = Table.AddColumn(ConMonto, "Costo_Total",</t>
  </si>
  <si>
    <t xml:space="preserve">        each [Unidades] * [Costo_Unitario], type number),</t>
  </si>
  <si>
    <t xml:space="preserve">    ConMargen = Table.AddColumn(ConCosto, "Margen",</t>
  </si>
  <si>
    <t xml:space="preserve">        each [Monto] - [Costo_Total], type number),</t>
  </si>
  <si>
    <t xml:space="preserve">    ConMargenPct = Table.AddColumn(ConMargen, "Margen_Pct",</t>
  </si>
  <si>
    <t xml:space="preserve">        each if [Monto] = 0 then 0 else [Margen] / [Monto], type number),</t>
  </si>
  <si>
    <t xml:space="preserve">    ConAnio = Table.AddColumn(ConMargenPct, "Anio",</t>
  </si>
  <si>
    <t xml:space="preserve">        each Date.Year([Fecha]), Int64.Type),</t>
  </si>
  <si>
    <t xml:space="preserve">    ConTrimestre = Table.AddColumn(ConAnio, "Trimestre",</t>
  </si>
  <si>
    <t xml:space="preserve">        each "T" &amp; Text.From(Date.QuarterOfYear([Fecha])), type text),</t>
  </si>
  <si>
    <t xml:space="preserve">    ConMes = Table.AddColumn(ConTrimestre, "Mes",</t>
  </si>
  <si>
    <t xml:space="preserve">        each Text.Proper(Date.MonthName([Fecha], "es-AR")), type text),</t>
  </si>
  <si>
    <t xml:space="preserve">    Ordenado = Table.Sort(ConMes, {{"Fecha", Order.Ascending}}),</t>
  </si>
  <si>
    <t xml:space="preserve">    // C A R G A</t>
  </si>
  <si>
    <t xml:space="preserve">    Final = Table.SelectColumns(Ordenado, {</t>
  </si>
  <si>
    <t xml:space="preserve">        "ID_Transaccion", "Fecha", "Anio", "Trimestre", "Mes",</t>
  </si>
  <si>
    <t xml:space="preserve">        "Region", "Categoria", "Producto", "Vendedor",</t>
  </si>
  <si>
    <t xml:space="preserve">        "Unidades", "Precio_Unitario", "Costo_Unitario",</t>
  </si>
  <si>
    <t xml:space="preserve">        "Monto", "Costo_Total", "Margen", "Margen_Pct"})</t>
  </si>
  <si>
    <t>in</t>
  </si>
  <si>
    <t xml:space="preserve">    Final</t>
  </si>
</sst>
</file>

<file path=xl/styles.xml><?xml version="1.0" encoding="utf-8"?>
<styleSheet xmlns="http://schemas.openxmlformats.org/spreadsheetml/2006/main">
  <numFmts count="3">
    <numFmt numFmtId="164" formatCode="$#,##0"/>
    <numFmt numFmtId="165" formatCode="0.0%"/>
    <numFmt numFmtId="166" formatCode="#,##0"/>
  </numFmts>
  <fonts count="19">
    <font>
      <sz val="11"/>
      <color theme="1"/>
      <name val="Calibri"/>
      <family val="2"/>
      <scheme val="minor"/>
    </font>
    <font>
      <b/>
      <sz val="20"/>
      <color rgb="FFFFFFFF"/>
      <name val="Segoe UI"/>
      <family val="2"/>
    </font>
    <font>
      <sz val="11"/>
      <color rgb="FFD8E4F0"/>
      <name val="Segoe UI"/>
      <family val="2"/>
    </font>
    <font>
      <b/>
      <sz val="9"/>
      <color rgb="FF5A5A5A"/>
      <name val="Segoe UI"/>
      <family val="2"/>
    </font>
    <font>
      <i/>
      <sz val="9"/>
      <color theme="1"/>
      <name val="Segoe UI"/>
      <family val="2"/>
    </font>
    <font>
      <b/>
      <sz val="9"/>
      <color rgb="FF0B2A4A"/>
      <name val="Segoe UI"/>
      <family val="2"/>
    </font>
    <font>
      <b/>
      <sz val="16"/>
      <color rgb="FF008AB3"/>
      <name val="Segoe UI"/>
      <family val="2"/>
    </font>
    <font>
      <sz val="8"/>
      <color rgb="FF7A7A7A"/>
      <name val="Segoe UI"/>
      <family val="2"/>
    </font>
    <font>
      <b/>
      <sz val="11"/>
      <color rgb="FFFFFFFF"/>
      <name val="Segoe UI"/>
      <family val="2"/>
    </font>
    <font>
      <i/>
      <sz val="9"/>
      <color rgb="FF7A7A7A"/>
      <name val="Segoe UI"/>
      <family val="2"/>
    </font>
    <font>
      <sz val="10"/>
      <color theme="1"/>
      <name val="Segoe UI"/>
      <family val="2"/>
    </font>
    <font>
      <sz val="11"/>
      <color rgb="FF0000C8"/>
      <name val="Segoe UI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1"/>
      <color rgb="FF008060"/>
      <name val="Segoe UI"/>
      <family val="2"/>
    </font>
    <font>
      <b/>
      <sz val="12"/>
      <color rgb="FFFFFFFF"/>
      <name val="Segoe UI"/>
      <family val="2"/>
    </font>
    <font>
      <b/>
      <sz val="10"/>
      <color theme="1"/>
      <name val="Segoe UI"/>
      <family val="2"/>
    </font>
    <font>
      <sz val="9"/>
      <color theme="1"/>
      <name val="Consolas"/>
      <family val="2"/>
    </font>
    <font>
      <sz val="9"/>
      <color rgb="FF008000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0B2A4A"/>
        <bgColor indexed="64"/>
      </patternFill>
    </fill>
    <fill>
      <patternFill patternType="solid">
        <fgColor rgb="FFF4F4F7"/>
        <bgColor indexed="64"/>
      </patternFill>
    </fill>
    <fill>
      <patternFill patternType="solid">
        <fgColor rgb="FF008AB3"/>
        <bgColor indexed="64"/>
      </patternFill>
    </fill>
    <fill>
      <patternFill patternType="solid">
        <fgColor rgb="FFFFF8DC"/>
        <bgColor indexed="64"/>
      </patternFill>
    </fill>
  </fills>
  <borders count="7">
    <border>
      <left/>
      <right/>
      <top/>
      <bottom/>
      <diagonal/>
    </border>
    <border>
      <left style="medium">
        <color rgb="FF0B2A4A"/>
      </left>
      <right style="medium">
        <color rgb="FF0B2A4A"/>
      </right>
      <top style="medium">
        <color rgb="FF0B2A4A"/>
      </top>
      <bottom/>
      <diagonal/>
    </border>
    <border>
      <left style="medium">
        <color rgb="FF0B2A4A"/>
      </left>
      <right style="medium">
        <color rgb="FF0B2A4A"/>
      </right>
      <top/>
      <bottom/>
      <diagonal/>
    </border>
    <border>
      <left style="medium">
        <color rgb="FF0B2A4A"/>
      </left>
      <right style="medium">
        <color rgb="FF0B2A4A"/>
      </right>
      <top/>
      <bottom style="medium">
        <color rgb="FF0B2A4A"/>
      </bottom>
      <diagonal/>
    </border>
    <border>
      <left style="thin">
        <color rgb="FF0B2A4A"/>
      </left>
      <right style="thin">
        <color rgb="FF0B2A4A"/>
      </right>
      <top style="thin">
        <color rgb="FF0B2A4A"/>
      </top>
      <bottom style="thin">
        <color rgb="FF0B2A4A"/>
      </bottom>
      <diagonal/>
    </border>
    <border>
      <left style="thin">
        <color rgb="FFBEC8D2"/>
      </left>
      <right style="thin">
        <color rgb="FFBEC8D2"/>
      </right>
      <top style="thin">
        <color rgb="FFBEC8D2"/>
      </top>
      <bottom style="thin">
        <color rgb="FFBEC8D2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horizontal="right"/>
    </xf>
    <xf numFmtId="0" fontId="4" fillId="3" borderId="0" xfId="0" applyFont="1" applyFill="1" applyAlignment="1">
      <alignment horizontal="left" indent="1"/>
    </xf>
    <xf numFmtId="0" fontId="5" fillId="3" borderId="1" xfId="0" applyFont="1" applyFill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165" fontId="6" fillId="3" borderId="2" xfId="0" applyNumberFormat="1" applyFont="1" applyFill="1" applyBorder="1" applyAlignment="1">
      <alignment horizontal="center" vertical="center"/>
    </xf>
    <xf numFmtId="166" fontId="6" fillId="3" borderId="2" xfId="0" applyNumberFormat="1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/>
    </xf>
    <xf numFmtId="0" fontId="8" fillId="4" borderId="0" xfId="0" applyFont="1" applyFill="1" applyAlignment="1">
      <alignment horizontal="left" vertical="center" indent="1"/>
    </xf>
    <xf numFmtId="0" fontId="9" fillId="0" borderId="0" xfId="0" applyFont="1"/>
    <xf numFmtId="0" fontId="10" fillId="0" borderId="0" xfId="0" applyFont="1" applyAlignment="1">
      <alignment horizontal="left" indent="1"/>
    </xf>
    <xf numFmtId="164" fontId="11" fillId="0" borderId="0" xfId="0" applyNumberFormat="1" applyFont="1" applyAlignment="1">
      <alignment horizontal="right"/>
    </xf>
    <xf numFmtId="165" fontId="11" fillId="0" borderId="0" xfId="0" applyNumberFormat="1" applyFont="1" applyAlignment="1">
      <alignment horizontal="right"/>
    </xf>
    <xf numFmtId="164" fontId="12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right"/>
    </xf>
    <xf numFmtId="0" fontId="13" fillId="3" borderId="4" xfId="0" applyFont="1" applyFill="1" applyBorder="1" applyAlignment="1">
      <alignment horizontal="left" indent="1"/>
    </xf>
    <xf numFmtId="164" fontId="13" fillId="3" borderId="4" xfId="0" applyNumberFormat="1" applyFont="1" applyFill="1" applyBorder="1" applyAlignment="1">
      <alignment horizontal="right"/>
    </xf>
    <xf numFmtId="0" fontId="13" fillId="3" borderId="5" xfId="0" applyFont="1" applyFill="1" applyBorder="1" applyAlignment="1">
      <alignment horizontal="center"/>
    </xf>
    <xf numFmtId="0" fontId="12" fillId="0" borderId="5" xfId="0" applyFont="1" applyBorder="1" applyAlignment="1">
      <alignment horizontal="left" indent="1"/>
    </xf>
    <xf numFmtId="164" fontId="12" fillId="0" borderId="5" xfId="0" applyNumberFormat="1" applyFont="1" applyBorder="1" applyAlignment="1">
      <alignment horizontal="right"/>
    </xf>
    <xf numFmtId="0" fontId="13" fillId="3" borderId="5" xfId="0" applyFont="1" applyFill="1" applyBorder="1" applyAlignment="1">
      <alignment horizontal="left" indent="1"/>
    </xf>
    <xf numFmtId="164" fontId="13" fillId="3" borderId="5" xfId="0" applyNumberFormat="1" applyFont="1" applyFill="1" applyBorder="1" applyAlignment="1">
      <alignment horizontal="right"/>
    </xf>
    <xf numFmtId="165" fontId="13" fillId="3" borderId="4" xfId="0" applyNumberFormat="1" applyFont="1" applyFill="1" applyBorder="1" applyAlignment="1">
      <alignment horizontal="right"/>
    </xf>
    <xf numFmtId="0" fontId="14" fillId="0" borderId="0" xfId="0" applyFont="1" applyAlignment="1">
      <alignment vertical="center" wrapText="1"/>
    </xf>
    <xf numFmtId="0" fontId="15" fillId="2" borderId="0" xfId="0" applyFont="1" applyFill="1" applyAlignment="1">
      <alignment horizontal="left" indent="1"/>
    </xf>
    <xf numFmtId="0" fontId="16" fillId="0" borderId="0" xfId="0" applyFont="1" applyAlignment="1">
      <alignment horizontal="left" indent="1"/>
    </xf>
    <xf numFmtId="0" fontId="10" fillId="5" borderId="6" xfId="0" applyFont="1" applyFill="1" applyBorder="1"/>
    <xf numFmtId="0" fontId="17" fillId="0" borderId="0" xfId="0" applyFont="1"/>
    <xf numFmtId="0" fontId="18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_Datos_Crudos" displayName="tbl_Datos_Crudos" ref="A1:L329" totalsRowShown="0">
  <autoFilter ref="A1:L329"/>
  <tableColumns count="12">
    <tableColumn id="1" name="ID_Transaccion"/>
    <tableColumn id="2" name="Fecha"/>
    <tableColumn id="3" name="Region"/>
    <tableColumn id="4" name="Categoria"/>
    <tableColumn id="5" name="Producto"/>
    <tableColumn id="6" name="Vendedor"/>
    <tableColumn id="7" name="Unidades"/>
    <tableColumn id="8" name="Precio_Unitario"/>
    <tableColumn id="9" name="Costo_Unitario"/>
    <tableColumn id="10" name="Estado"/>
    <tableColumn id="11" name="Notas_Internas"/>
    <tableColumn id="12" name="Ref_Sistema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_Reporte">
    <pageSetUpPr fitToPage="1"/>
  </sheetPr>
  <dimension ref="A1:K45"/>
  <sheetViews>
    <sheetView showGridLines="0" tabSelected="1" workbookViewId="0"/>
  </sheetViews>
  <sheetFormatPr defaultRowHeight="15"/>
  <cols>
    <col min="1" max="1" width="2.7109375" customWidth="1"/>
    <col min="2" max="11" width="14.7109375" customWidth="1"/>
  </cols>
  <sheetData>
    <row r="1" spans="1:11" ht="3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20" customHeight="1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</row>
    <row r="4" spans="1:11">
      <c r="A4" s="3" t="s">
        <v>2</v>
      </c>
      <c r="B4" s="4" t="s">
        <v>3</v>
      </c>
      <c r="C4" s="4"/>
      <c r="D4" s="4"/>
      <c r="E4" s="4"/>
      <c r="F4" s="4"/>
      <c r="G4" s="4"/>
      <c r="H4" s="4"/>
      <c r="I4" s="4"/>
      <c r="J4" s="4"/>
      <c r="K4" s="4"/>
    </row>
    <row r="6" spans="1:11" ht="32" customHeight="1"/>
    <row r="8" spans="1:11" ht="32" customHeight="1"/>
    <row r="11" spans="1:11" ht="16" customHeight="1">
      <c r="B11" s="5" t="s">
        <v>4</v>
      </c>
      <c r="C11" s="5"/>
      <c r="D11" s="5" t="s">
        <v>6</v>
      </c>
      <c r="E11" s="5"/>
      <c r="F11" s="5" t="s">
        <v>8</v>
      </c>
      <c r="G11" s="5"/>
      <c r="H11" s="5" t="s">
        <v>10</v>
      </c>
      <c r="I11" s="5"/>
      <c r="J11" s="5" t="s">
        <v>12</v>
      </c>
      <c r="K11" s="5"/>
    </row>
    <row r="12" spans="1:11" ht="28" customHeight="1">
      <c r="B12" s="6">
        <f>IFERROR(SUM(INDEX(Datos_Limpios!$A:$Z,0,MATCH("Monto",Datos_Limpios!$1:$1,0))),0)</f>
        <v>701462.4999999997</v>
      </c>
      <c r="C12" s="6"/>
      <c r="D12" s="6">
        <f>IFERROR(SUM(INDEX(Datos_Limpios!$A:$Z,0,MATCH("Margen",Datos_Limpios!$1:$1,0))),0)</f>
        <v>267699.1299999999</v>
      </c>
      <c r="E12" s="6"/>
      <c r="F12" s="7">
        <f>IFERROR(IFERROR(SUM(INDEX(Datos_Limpios!$A:$Z,0,MATCH("Margen",Datos_Limpios!$1:$1,0))),0)/IFERROR(SUM(INDEX(Datos_Limpios!$A:$Z,0,MATCH("Monto",Datos_Limpios!$1:$1,0))),0),0)</f>
        <v>0.3816299944758273</v>
      </c>
      <c r="G12" s="7"/>
      <c r="H12" s="6">
        <f>IFERROR(IFERROR(SUM(INDEX(Datos_Limpios!$A:$Z,0,MATCH("Monto",Datos_Limpios!$1:$1,0))),0)/MAX(1,COUNTA(INDEX(Datos_Limpios!$A:$Z,0,MATCH("ID_Transaccion",Datos_Limpios!$1:$1,0)))-1),0)</f>
        <v>2697.932692307691</v>
      </c>
      <c r="I12" s="6"/>
      <c r="J12" s="8">
        <f>IFERROR(MAX(0,COUNTA(INDEX(Datos_Limpios!$A:$Z,0,MATCH("ID_Transaccion",Datos_Limpios!$1:$1,0)))-1),0)</f>
        <v>260</v>
      </c>
      <c r="K12" s="8"/>
    </row>
    <row r="13" spans="1:11">
      <c r="B13" s="9" t="s">
        <v>5</v>
      </c>
      <c r="C13" s="9"/>
      <c r="D13" s="9" t="s">
        <v>7</v>
      </c>
      <c r="E13" s="9"/>
      <c r="F13" s="9" t="s">
        <v>9</v>
      </c>
      <c r="G13" s="9"/>
      <c r="H13" s="9" t="s">
        <v>11</v>
      </c>
      <c r="I13" s="9"/>
      <c r="J13" s="9" t="s">
        <v>13</v>
      </c>
      <c r="K13" s="9"/>
    </row>
    <row r="16" spans="1:11">
      <c r="A16" s="10" t="s">
        <v>14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</row>
    <row r="44" spans="2:2">
      <c r="B44" s="11" t="s">
        <v>15</v>
      </c>
    </row>
    <row r="45" spans="2:2">
      <c r="B45" s="11" t="s">
        <v>16</v>
      </c>
    </row>
  </sheetData>
  <mergeCells count="19">
    <mergeCell ref="A1:K1"/>
    <mergeCell ref="A2:K2"/>
    <mergeCell ref="B4:K4"/>
    <mergeCell ref="B11:C11"/>
    <mergeCell ref="B12:C12"/>
    <mergeCell ref="B13:C13"/>
    <mergeCell ref="D11:E11"/>
    <mergeCell ref="D12:E12"/>
    <mergeCell ref="D13:E13"/>
    <mergeCell ref="F11:G11"/>
    <mergeCell ref="F12:G12"/>
    <mergeCell ref="F13:G13"/>
    <mergeCell ref="H11:I11"/>
    <mergeCell ref="H12:I12"/>
    <mergeCell ref="H13:I13"/>
    <mergeCell ref="J11:K11"/>
    <mergeCell ref="J12:K12"/>
    <mergeCell ref="J13:K13"/>
    <mergeCell ref="A16:K16"/>
  </mergeCells>
  <printOptions horizontalCentered="1" verticalCentered="1"/>
  <pageMargins left="0.3" right="0.3" top="0.4" bottom="0.4" header="0.3" footer="0.3"/>
  <pageSetup paperSize="9" orientation="landscape"/>
  <headerFooter>
    <oddHeader>&amp;C&amp;"Segoe UI,Bold"&amp;12Reporte Ejecutivo - Análisis de Expansión Comercial</oddHeader>
    <oddFooter>&amp;L&amp;"Segoe UI"&amp;8Lleyton Murphy&amp;C&amp;"Segoe UI"&amp;8Página &amp;P de &amp;N&amp;R&amp;"Segoe UI"&amp;8&amp;D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_Finanzas">
    <pageSetUpPr fitToPage="1"/>
  </sheetPr>
  <dimension ref="A1:H40"/>
  <sheetViews>
    <sheetView showGridLines="0" workbookViewId="0"/>
  </sheetViews>
  <sheetFormatPr defaultRowHeight="15"/>
  <cols>
    <col min="1" max="1" width="2.7109375" customWidth="1"/>
    <col min="2" max="2" width="46.7109375" customWidth="1"/>
    <col min="3" max="8" width="15.7109375" customWidth="1"/>
  </cols>
  <sheetData>
    <row r="1" spans="1:8" ht="28" customHeight="1">
      <c r="A1" s="1" t="s">
        <v>17</v>
      </c>
      <c r="B1" s="1"/>
      <c r="C1" s="1"/>
      <c r="D1" s="1"/>
      <c r="E1" s="1"/>
      <c r="F1" s="1"/>
      <c r="G1" s="1"/>
      <c r="H1" s="1"/>
    </row>
    <row r="2" spans="1:8">
      <c r="B2" s="11" t="s">
        <v>18</v>
      </c>
    </row>
    <row r="4" spans="1:8">
      <c r="A4" s="10" t="s">
        <v>19</v>
      </c>
      <c r="B4" s="10"/>
      <c r="C4" s="10"/>
      <c r="D4" s="10"/>
      <c r="E4" s="10"/>
      <c r="F4" s="10"/>
      <c r="G4" s="10"/>
      <c r="H4" s="10"/>
    </row>
    <row r="5" spans="1:8">
      <c r="B5" s="12" t="s">
        <v>20</v>
      </c>
      <c r="D5" s="13">
        <v>500000</v>
      </c>
    </row>
    <row r="6" spans="1:8">
      <c r="B6" s="12" t="s">
        <v>21</v>
      </c>
      <c r="D6" s="14">
        <v>0.7</v>
      </c>
    </row>
    <row r="7" spans="1:8">
      <c r="B7" s="12" t="s">
        <v>22</v>
      </c>
      <c r="D7" s="15">
        <f>D5*D6</f>
        <v>350000.0</v>
      </c>
    </row>
    <row r="8" spans="1:8">
      <c r="B8" s="12" t="s">
        <v>23</v>
      </c>
      <c r="D8" s="15">
        <f>D5-D7</f>
        <v>150000.0</v>
      </c>
    </row>
    <row r="9" spans="1:8">
      <c r="B9" s="12" t="s">
        <v>24</v>
      </c>
      <c r="D9" s="14">
        <v>0.12</v>
      </c>
    </row>
    <row r="10" spans="1:8">
      <c r="B10" s="12" t="s">
        <v>25</v>
      </c>
      <c r="D10" s="16">
        <v>5</v>
      </c>
    </row>
    <row r="11" spans="1:8">
      <c r="B11" s="12" t="s">
        <v>26</v>
      </c>
      <c r="D11" s="17">
        <f>D9/12</f>
        <v>0.01</v>
      </c>
    </row>
    <row r="12" spans="1:8">
      <c r="B12" s="12" t="s">
        <v>27</v>
      </c>
      <c r="D12" s="18">
        <f>D10*12</f>
        <v>60</v>
      </c>
    </row>
    <row r="14" spans="1:8">
      <c r="B14" s="19" t="s">
        <v>28</v>
      </c>
      <c r="D14" s="20">
        <f>-PMT(D11,D12,D7)</f>
        <v>7785.556689715617</v>
      </c>
    </row>
    <row r="15" spans="1:8">
      <c r="B15" s="12" t="s">
        <v>29</v>
      </c>
      <c r="D15" s="15">
        <f>D14*D12</f>
        <v>467133.401382937</v>
      </c>
    </row>
    <row r="16" spans="1:8">
      <c r="B16" s="12" t="s">
        <v>30</v>
      </c>
      <c r="D16" s="15">
        <f>D15-D7</f>
        <v>117133.40138293698</v>
      </c>
    </row>
    <row r="17" spans="1:8">
      <c r="B17" s="12" t="s">
        <v>31</v>
      </c>
      <c r="D17" s="15">
        <f>D14*12</f>
        <v>93426.6802765874</v>
      </c>
    </row>
    <row r="19" spans="1:8">
      <c r="A19" s="10" t="s">
        <v>32</v>
      </c>
      <c r="B19" s="10"/>
      <c r="C19" s="10"/>
      <c r="D19" s="10"/>
      <c r="E19" s="10"/>
      <c r="F19" s="10"/>
      <c r="G19" s="10"/>
      <c r="H19" s="10"/>
    </row>
    <row r="20" spans="1:8">
      <c r="B20" s="12" t="s">
        <v>33</v>
      </c>
      <c r="D20" s="15">
        <f>IFERROR(IF(SUM(INDEX(Datos_Limpios!$A:$Z,0,MATCH("Monto",Datos_Limpios!$1:$1,0)))&gt;0,SUM(INDEX(Datos_Limpios!$A:$Z,0,MATCH("Monto",Datos_Limpios!$1:$1,0))),701462.50),701462.50)</f>
        <v>701462.4999999997</v>
      </c>
    </row>
    <row r="21" spans="1:8">
      <c r="B21" s="12" t="s">
        <v>34</v>
      </c>
      <c r="D21" s="14">
        <v>0.08</v>
      </c>
    </row>
    <row r="22" spans="1:8">
      <c r="B22" s="12" t="s">
        <v>35</v>
      </c>
      <c r="D22" s="14">
        <v>0.28</v>
      </c>
    </row>
    <row r="23" spans="1:8">
      <c r="B23" s="12" t="s">
        <v>36</v>
      </c>
      <c r="D23" s="14">
        <v>0.15</v>
      </c>
    </row>
    <row r="24" spans="1:8">
      <c r="B24" s="12" t="s">
        <v>37</v>
      </c>
      <c r="D24" s="14">
        <v>0.3</v>
      </c>
    </row>
    <row r="26" spans="1:8">
      <c r="A26" s="10" t="s">
        <v>38</v>
      </c>
      <c r="B26" s="10"/>
      <c r="C26" s="10"/>
      <c r="D26" s="10"/>
      <c r="E26" s="10"/>
      <c r="F26" s="10"/>
      <c r="G26" s="10"/>
      <c r="H26" s="10"/>
    </row>
    <row r="27" spans="1:8">
      <c r="B27" s="21" t="s">
        <v>39</v>
      </c>
      <c r="C27" s="21" t="s">
        <v>40</v>
      </c>
      <c r="D27" s="21" t="s">
        <v>41</v>
      </c>
      <c r="E27" s="21" t="s">
        <v>42</v>
      </c>
      <c r="F27" s="21" t="s">
        <v>43</v>
      </c>
      <c r="G27" s="21" t="s">
        <v>44</v>
      </c>
      <c r="H27" s="21" t="s">
        <v>45</v>
      </c>
    </row>
    <row r="28" spans="1:8">
      <c r="B28" s="22" t="s">
        <v>46</v>
      </c>
      <c r="C28" s="23">
        <v>0</v>
      </c>
      <c r="D28" s="23">
        <f>$D$20*(1+$D$21)^1</f>
        <v>757579.4999999997</v>
      </c>
      <c r="E28" s="23">
        <f>$D$20*(1+$D$21)^2</f>
        <v>818185.8599999996</v>
      </c>
      <c r="F28" s="23">
        <f>$D$20*(1+$D$21)^3</f>
        <v>883640.7287999997</v>
      </c>
      <c r="G28" s="23">
        <f>$D$20*(1+$D$21)^4</f>
        <v>954331.9871039997</v>
      </c>
      <c r="H28" s="23">
        <f>$D$20*(1+$D$21)^5</f>
        <v>1030678.5460723198</v>
      </c>
    </row>
    <row r="29" spans="1:8">
      <c r="B29" s="22" t="s">
        <v>47</v>
      </c>
      <c r="C29" s="23">
        <v>0</v>
      </c>
      <c r="D29" s="23">
        <f>D28*$D$22</f>
        <v>212122.25999999992</v>
      </c>
      <c r="E29" s="23">
        <f>E28*$D$22</f>
        <v>229092.04079999993</v>
      </c>
      <c r="F29" s="23">
        <f>F28*$D$22</f>
        <v>247419.40406399994</v>
      </c>
      <c r="G29" s="23">
        <f>G28*$D$22</f>
        <v>267212.95638911997</v>
      </c>
      <c r="H29" s="23">
        <f>H28*$D$22</f>
        <v>288589.9929002496</v>
      </c>
    </row>
    <row r="30" spans="1:8">
      <c r="B30" s="22" t="s">
        <v>37</v>
      </c>
      <c r="C30" s="23">
        <v>0</v>
      </c>
      <c r="D30" s="23">
        <f>-D29*$D$24</f>
        <v>-63636.67799999997</v>
      </c>
      <c r="E30" s="23">
        <f>-E29*$D$24</f>
        <v>-68727.61223999997</v>
      </c>
      <c r="F30" s="23">
        <f>-F29*$D$24</f>
        <v>-74225.82121919998</v>
      </c>
      <c r="G30" s="23">
        <f>-G29*$D$24</f>
        <v>-80163.88691673598</v>
      </c>
      <c r="H30" s="23">
        <f>-H29*$D$24</f>
        <v>-86576.99787007488</v>
      </c>
    </row>
    <row r="31" spans="1:8">
      <c r="B31" s="22" t="s">
        <v>48</v>
      </c>
      <c r="C31" s="23">
        <v>0</v>
      </c>
      <c r="D31" s="23">
        <f>-$D$17</f>
        <v>-93426.6802765874</v>
      </c>
      <c r="E31" s="23">
        <f>-$D$17</f>
        <v>-93426.6802765874</v>
      </c>
      <c r="F31" s="23">
        <f>-$D$17</f>
        <v>-93426.6802765874</v>
      </c>
      <c r="G31" s="23">
        <f>-$D$17</f>
        <v>-93426.6802765874</v>
      </c>
      <c r="H31" s="23">
        <f>-$D$17</f>
        <v>-93426.6802765874</v>
      </c>
    </row>
    <row r="32" spans="1:8">
      <c r="B32" s="24" t="s">
        <v>49</v>
      </c>
      <c r="C32" s="25">
        <f>-D8</f>
        <v>-150000.0</v>
      </c>
      <c r="D32" s="25">
        <f>D29+D30+D31</f>
        <v>55058.901723412535</v>
      </c>
      <c r="E32" s="25">
        <f>E29+E30+E31</f>
        <v>66937.74828341257</v>
      </c>
      <c r="F32" s="25">
        <f>F29+F30+F31</f>
        <v>79766.90256821256</v>
      </c>
      <c r="G32" s="25">
        <f>G29+G30+G31</f>
        <v>93622.3891957966</v>
      </c>
      <c r="H32" s="25">
        <f>H29+H30+H31</f>
        <v>108586.31475358733</v>
      </c>
    </row>
    <row r="34" spans="1:8">
      <c r="A34" s="10" t="s">
        <v>50</v>
      </c>
      <c r="B34" s="10"/>
      <c r="C34" s="10"/>
      <c r="D34" s="10"/>
      <c r="E34" s="10"/>
      <c r="F34" s="10"/>
      <c r="G34" s="10"/>
      <c r="H34" s="10"/>
    </row>
    <row r="35" spans="1:8">
      <c r="B35" s="19" t="s">
        <v>51</v>
      </c>
      <c r="D35" s="20">
        <f>NPV(D23,D32:H32)+C32</f>
        <v>108455.38791360697</v>
      </c>
    </row>
    <row r="36" spans="1:8">
      <c r="B36" s="19" t="s">
        <v>52</v>
      </c>
      <c r="D36" s="26">
        <f>IRR(C32:H32)</f>
        <v>0.38987447323010815</v>
      </c>
    </row>
    <row r="37" spans="1:8">
      <c r="B37" s="12" t="s">
        <v>53</v>
      </c>
      <c r="D37" s="15">
        <f>PV(D23,D10,-D17)</f>
        <v>313180.72257944365</v>
      </c>
    </row>
    <row r="38" spans="1:8">
      <c r="B38" s="12" t="s">
        <v>54</v>
      </c>
      <c r="D38" s="17">
        <f>D23</f>
        <v>0.15</v>
      </c>
    </row>
    <row r="39" spans="1:8">
      <c r="B39" s="12" t="s">
        <v>55</v>
      </c>
      <c r="D39" s="17">
        <f>D35/D8</f>
        <v>0.7230359194240464</v>
      </c>
    </row>
    <row r="40" spans="1:8" ht="32" customHeight="1">
      <c r="B40" s="27" t="str">
        <f>IF(AND(D35&gt;0,D36&gt;D23),"CONCLUSIÓN: el proyecto se ACEPTA. El VAN es positivo ($"&amp;TEXT(ROUND(D35,0),"0")&amp;") y la TIR ("&amp;TEXT(ROUND(D36*100,1),"0.0")&amp;"%) supera el costo de capital ("&amp;TEXT(ROUND(D23*100,1),"0.0")&amp;"%), por lo que el proyecto genera valor económico.","CONCLUSIÓN: el proyecto se RECHAZA. El VAN es $"&amp;TEXT(ROUND(D35,0),"0")&amp;" y la TIR ("&amp;TEXT(ROUND(D36*100,1),"0.0")&amp;"%) no supera el costo de capital ("&amp;TEXT(ROUND(D23*100,1),"0.0")&amp;"%).")</f>
        <v>CONCLUSIÓN: el proyecto se ACEPTA. El VAN es positivo ($108.455) y la TIR (39.0%) supera el costo de capital (15.0%). por lo que el proyecto genera valor económico.</v>
      </c>
      <c r="C40" s="27"/>
      <c r="D40" s="27"/>
      <c r="E40" s="27"/>
      <c r="F40" s="27"/>
      <c r="G40" s="27"/>
      <c r="H40" s="27"/>
    </row>
  </sheetData>
  <mergeCells count="6">
    <mergeCell ref="A1:H1"/>
    <mergeCell ref="A4:H4"/>
    <mergeCell ref="A19:H19"/>
    <mergeCell ref="A26:H26"/>
    <mergeCell ref="A34:H34"/>
    <mergeCell ref="B40:H40"/>
  </mergeCells>
  <printOptions horizontalCentered="1"/>
  <pageMargins left="0.3" right="0.3" top="0.4" bottom="0.4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_Datos"/>
  <dimension ref="A1"/>
  <sheetViews>
    <sheetView workbookViewId="0"/>
  </sheetViews>
  <sheetFormatPr defaultRowHeight="15"/>
  <cols>
    <col min="1" max="16" width="14.710937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_Crudos"/>
  <dimension ref="A1:L329"/>
  <sheetViews>
    <sheetView workbookViewId="0"/>
  </sheetViews>
  <sheetFormatPr defaultRowHeight="15"/>
  <cols>
    <col min="1" max="12" width="16.7109375" customWidth="1"/>
  </cols>
  <sheetData>
    <row r="1" spans="1:12">
      <c r="A1" t="s">
        <v>56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L1" t="s">
        <v>67</v>
      </c>
    </row>
    <row r="2" spans="1:12">
      <c r="A2" t="s">
        <v>68</v>
      </c>
      <c r="B2" t="s">
        <v>69</v>
      </c>
      <c r="C2" t="s">
        <v>70</v>
      </c>
      <c r="D2" t="s">
        <v>71</v>
      </c>
      <c r="E2" t="s">
        <v>72</v>
      </c>
      <c r="F2" t="s">
        <v>73</v>
      </c>
      <c r="G2" t="s">
        <v>74</v>
      </c>
      <c r="H2" t="s">
        <v>75</v>
      </c>
      <c r="I2" t="s">
        <v>76</v>
      </c>
      <c r="J2" t="s">
        <v>77</v>
      </c>
      <c r="K2" t="s">
        <v>78</v>
      </c>
      <c r="L2" t="s">
        <v>79</v>
      </c>
    </row>
    <row r="3" spans="1:12">
      <c r="A3" t="s">
        <v>80</v>
      </c>
      <c r="B3" t="s">
        <v>81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77</v>
      </c>
      <c r="K3" t="s">
        <v>89</v>
      </c>
      <c r="L3" t="s">
        <v>90</v>
      </c>
    </row>
    <row r="4" spans="1:12">
      <c r="A4" t="s">
        <v>91</v>
      </c>
      <c r="B4" t="s">
        <v>92</v>
      </c>
      <c r="C4" t="s">
        <v>93</v>
      </c>
      <c r="D4" t="s">
        <v>94</v>
      </c>
      <c r="E4" t="s">
        <v>95</v>
      </c>
      <c r="F4" t="s">
        <v>85</v>
      </c>
      <c r="G4" t="s">
        <v>86</v>
      </c>
      <c r="H4" t="s">
        <v>96</v>
      </c>
      <c r="I4" t="s">
        <v>97</v>
      </c>
      <c r="J4" t="s">
        <v>98</v>
      </c>
      <c r="K4" t="s">
        <v>99</v>
      </c>
      <c r="L4" t="s">
        <v>100</v>
      </c>
    </row>
    <row r="5" spans="1:12">
      <c r="A5" t="s">
        <v>101</v>
      </c>
      <c r="B5" t="s">
        <v>102</v>
      </c>
      <c r="C5" t="s">
        <v>103</v>
      </c>
      <c r="D5" t="s">
        <v>104</v>
      </c>
      <c r="E5" t="s">
        <v>105</v>
      </c>
      <c r="F5" t="s">
        <v>106</v>
      </c>
      <c r="G5" t="s">
        <v>86</v>
      </c>
      <c r="H5" t="s">
        <v>107</v>
      </c>
      <c r="I5" t="s">
        <v>108</v>
      </c>
      <c r="J5" t="s">
        <v>98</v>
      </c>
      <c r="K5" t="s">
        <v>109</v>
      </c>
      <c r="L5" t="s">
        <v>110</v>
      </c>
    </row>
    <row r="6" spans="1:12">
      <c r="A6" t="s">
        <v>111</v>
      </c>
      <c r="B6" t="s">
        <v>112</v>
      </c>
      <c r="C6" t="s">
        <v>103</v>
      </c>
      <c r="D6" t="s">
        <v>104</v>
      </c>
      <c r="E6" t="s">
        <v>113</v>
      </c>
      <c r="F6" t="s">
        <v>106</v>
      </c>
      <c r="G6" t="s">
        <v>114</v>
      </c>
      <c r="H6" t="s">
        <v>115</v>
      </c>
      <c r="I6" t="s">
        <v>116</v>
      </c>
      <c r="J6" t="s">
        <v>98</v>
      </c>
      <c r="K6" t="s">
        <v>78</v>
      </c>
      <c r="L6" t="s">
        <v>117</v>
      </c>
    </row>
    <row r="7" spans="1:12">
      <c r="A7" t="s">
        <v>118</v>
      </c>
      <c r="B7" t="s">
        <v>119</v>
      </c>
      <c r="C7" t="s">
        <v>120</v>
      </c>
      <c r="D7" t="s">
        <v>121</v>
      </c>
      <c r="E7" t="s">
        <v>122</v>
      </c>
      <c r="F7" t="s">
        <v>123</v>
      </c>
      <c r="G7" t="s">
        <v>74</v>
      </c>
      <c r="H7" t="s">
        <v>124</v>
      </c>
      <c r="I7" t="s">
        <v>125</v>
      </c>
      <c r="J7" t="s">
        <v>77</v>
      </c>
      <c r="L7" t="s">
        <v>126</v>
      </c>
    </row>
    <row r="8" spans="1:12">
      <c r="A8" t="s">
        <v>127</v>
      </c>
      <c r="B8" t="s">
        <v>128</v>
      </c>
      <c r="C8" t="s">
        <v>129</v>
      </c>
      <c r="D8" t="s">
        <v>130</v>
      </c>
      <c r="E8" t="s">
        <v>131</v>
      </c>
      <c r="F8" t="s">
        <v>106</v>
      </c>
      <c r="G8" t="s">
        <v>86</v>
      </c>
      <c r="H8" t="s">
        <v>132</v>
      </c>
      <c r="I8" t="s">
        <v>133</v>
      </c>
      <c r="J8" t="s">
        <v>134</v>
      </c>
      <c r="K8" t="s">
        <v>99</v>
      </c>
      <c r="L8" t="s">
        <v>135</v>
      </c>
    </row>
    <row r="9" spans="1:12">
      <c r="A9" t="s">
        <v>136</v>
      </c>
      <c r="B9" t="s">
        <v>137</v>
      </c>
      <c r="C9" t="s">
        <v>138</v>
      </c>
      <c r="D9" t="s">
        <v>139</v>
      </c>
      <c r="E9" t="s">
        <v>95</v>
      </c>
      <c r="F9" t="s">
        <v>106</v>
      </c>
      <c r="G9" t="s">
        <v>74</v>
      </c>
      <c r="H9" t="s">
        <v>140</v>
      </c>
      <c r="I9" t="s">
        <v>141</v>
      </c>
      <c r="J9" t="s">
        <v>134</v>
      </c>
      <c r="K9" t="s">
        <v>99</v>
      </c>
      <c r="L9" t="s">
        <v>142</v>
      </c>
    </row>
    <row r="10" spans="1:12">
      <c r="A10" t="s">
        <v>143</v>
      </c>
      <c r="B10" t="s">
        <v>144</v>
      </c>
      <c r="C10" t="s">
        <v>82</v>
      </c>
      <c r="D10" t="s">
        <v>145</v>
      </c>
      <c r="E10" t="s">
        <v>146</v>
      </c>
      <c r="F10" t="s">
        <v>85</v>
      </c>
      <c r="G10" t="s">
        <v>114</v>
      </c>
      <c r="H10" t="s">
        <v>147</v>
      </c>
      <c r="I10" t="s">
        <v>148</v>
      </c>
      <c r="J10" t="s">
        <v>134</v>
      </c>
      <c r="L10" t="s">
        <v>149</v>
      </c>
    </row>
    <row r="11" spans="1:12">
      <c r="A11" t="s">
        <v>150</v>
      </c>
      <c r="B11" t="s">
        <v>151</v>
      </c>
      <c r="C11" t="s">
        <v>152</v>
      </c>
      <c r="D11" t="s">
        <v>83</v>
      </c>
      <c r="E11" t="s">
        <v>153</v>
      </c>
      <c r="F11" t="s">
        <v>154</v>
      </c>
      <c r="G11" t="s">
        <v>86</v>
      </c>
      <c r="H11" t="s">
        <v>155</v>
      </c>
      <c r="I11" t="s">
        <v>156</v>
      </c>
      <c r="J11" t="s">
        <v>134</v>
      </c>
      <c r="L11" t="s">
        <v>157</v>
      </c>
    </row>
    <row r="12" spans="1:12">
      <c r="A12" t="s">
        <v>158</v>
      </c>
      <c r="B12" t="s">
        <v>159</v>
      </c>
      <c r="C12" t="s">
        <v>82</v>
      </c>
      <c r="D12" t="s">
        <v>121</v>
      </c>
      <c r="E12" t="s">
        <v>160</v>
      </c>
      <c r="F12" t="s">
        <v>123</v>
      </c>
      <c r="G12" t="s">
        <v>74</v>
      </c>
      <c r="H12" t="s">
        <v>161</v>
      </c>
      <c r="I12" t="s">
        <v>162</v>
      </c>
      <c r="J12" t="s">
        <v>98</v>
      </c>
      <c r="K12" t="s">
        <v>78</v>
      </c>
      <c r="L12" t="s">
        <v>163</v>
      </c>
    </row>
    <row r="13" spans="1:12">
      <c r="A13" t="s">
        <v>164</v>
      </c>
      <c r="B13" t="s">
        <v>165</v>
      </c>
      <c r="C13" t="s">
        <v>82</v>
      </c>
      <c r="D13" t="s">
        <v>104</v>
      </c>
      <c r="E13" t="s">
        <v>105</v>
      </c>
      <c r="F13" t="s">
        <v>166</v>
      </c>
      <c r="G13" t="s">
        <v>167</v>
      </c>
      <c r="H13" t="s">
        <v>168</v>
      </c>
      <c r="I13" t="s">
        <v>169</v>
      </c>
      <c r="J13" t="s">
        <v>77</v>
      </c>
      <c r="K13" t="s">
        <v>99</v>
      </c>
      <c r="L13" t="s">
        <v>170</v>
      </c>
    </row>
    <row r="14" spans="1:12">
      <c r="A14" t="s">
        <v>171</v>
      </c>
      <c r="B14" t="s">
        <v>172</v>
      </c>
      <c r="D14" t="s">
        <v>173</v>
      </c>
      <c r="E14" t="s">
        <v>95</v>
      </c>
      <c r="F14" t="s">
        <v>154</v>
      </c>
      <c r="G14" t="s">
        <v>86</v>
      </c>
      <c r="H14" t="s">
        <v>174</v>
      </c>
      <c r="I14" t="s">
        <v>175</v>
      </c>
      <c r="J14" t="s">
        <v>77</v>
      </c>
      <c r="K14" t="s">
        <v>78</v>
      </c>
      <c r="L14" t="s">
        <v>176</v>
      </c>
    </row>
    <row r="15" spans="1:12">
      <c r="A15" t="s">
        <v>177</v>
      </c>
      <c r="B15" t="s">
        <v>178</v>
      </c>
      <c r="C15" t="s">
        <v>103</v>
      </c>
      <c r="D15" t="s">
        <v>179</v>
      </c>
      <c r="E15" t="s">
        <v>153</v>
      </c>
      <c r="F15" t="s">
        <v>154</v>
      </c>
      <c r="G15" t="s">
        <v>74</v>
      </c>
      <c r="H15" t="s">
        <v>180</v>
      </c>
      <c r="I15" t="s">
        <v>181</v>
      </c>
      <c r="J15" t="s">
        <v>134</v>
      </c>
      <c r="L15" t="s">
        <v>182</v>
      </c>
    </row>
    <row r="16" spans="1:12">
      <c r="A16" t="s">
        <v>80</v>
      </c>
      <c r="B16" t="s">
        <v>81</v>
      </c>
      <c r="C16" t="s">
        <v>82</v>
      </c>
      <c r="D16" t="s">
        <v>83</v>
      </c>
      <c r="E16" t="s">
        <v>84</v>
      </c>
      <c r="F16" t="s">
        <v>85</v>
      </c>
      <c r="G16" t="s">
        <v>86</v>
      </c>
      <c r="H16" t="s">
        <v>87</v>
      </c>
      <c r="I16" t="s">
        <v>88</v>
      </c>
      <c r="J16" t="s">
        <v>77</v>
      </c>
      <c r="K16" t="s">
        <v>109</v>
      </c>
      <c r="L16" t="s">
        <v>90</v>
      </c>
    </row>
    <row r="17" spans="1:12">
      <c r="A17" t="s">
        <v>183</v>
      </c>
      <c r="B17" t="s">
        <v>184</v>
      </c>
      <c r="C17" t="s">
        <v>185</v>
      </c>
      <c r="D17" t="s">
        <v>83</v>
      </c>
      <c r="E17" t="s">
        <v>186</v>
      </c>
      <c r="F17" t="s">
        <v>154</v>
      </c>
      <c r="G17" t="s">
        <v>74</v>
      </c>
      <c r="H17" t="s">
        <v>187</v>
      </c>
      <c r="I17" t="s">
        <v>188</v>
      </c>
      <c r="J17" t="s">
        <v>134</v>
      </c>
      <c r="K17" t="s">
        <v>99</v>
      </c>
      <c r="L17" t="s">
        <v>189</v>
      </c>
    </row>
    <row r="18" spans="1:12">
      <c r="A18" t="s">
        <v>190</v>
      </c>
      <c r="B18" t="s">
        <v>191</v>
      </c>
      <c r="C18" t="s">
        <v>82</v>
      </c>
      <c r="D18" t="s">
        <v>83</v>
      </c>
      <c r="E18" t="s">
        <v>153</v>
      </c>
      <c r="F18" t="s">
        <v>85</v>
      </c>
      <c r="G18" t="s">
        <v>74</v>
      </c>
      <c r="H18" t="s">
        <v>192</v>
      </c>
      <c r="I18" t="s">
        <v>193</v>
      </c>
      <c r="J18" t="s">
        <v>98</v>
      </c>
      <c r="K18" t="s">
        <v>78</v>
      </c>
      <c r="L18" t="s">
        <v>194</v>
      </c>
    </row>
    <row r="19" spans="1:12">
      <c r="A19" t="s">
        <v>195</v>
      </c>
      <c r="B19" t="s">
        <v>196</v>
      </c>
      <c r="C19" t="s">
        <v>120</v>
      </c>
      <c r="D19" t="s">
        <v>121</v>
      </c>
      <c r="E19" t="s">
        <v>197</v>
      </c>
      <c r="F19" t="s">
        <v>85</v>
      </c>
      <c r="G19" t="s">
        <v>74</v>
      </c>
      <c r="H19" t="s">
        <v>198</v>
      </c>
      <c r="I19" t="s">
        <v>199</v>
      </c>
      <c r="J19" t="s">
        <v>200</v>
      </c>
      <c r="K19" t="s">
        <v>78</v>
      </c>
      <c r="L19" t="s">
        <v>201</v>
      </c>
    </row>
    <row r="20" spans="1:12">
      <c r="A20" t="s">
        <v>202</v>
      </c>
      <c r="B20" t="s">
        <v>203</v>
      </c>
      <c r="C20" t="s">
        <v>204</v>
      </c>
      <c r="D20" t="s">
        <v>173</v>
      </c>
      <c r="E20" t="s">
        <v>146</v>
      </c>
      <c r="F20" t="s">
        <v>205</v>
      </c>
      <c r="G20" t="s">
        <v>86</v>
      </c>
      <c r="H20" t="s">
        <v>206</v>
      </c>
      <c r="I20" t="s">
        <v>207</v>
      </c>
      <c r="J20" t="s">
        <v>98</v>
      </c>
      <c r="L20" t="s">
        <v>208</v>
      </c>
    </row>
    <row r="21" spans="1:12">
      <c r="A21" t="s">
        <v>209</v>
      </c>
      <c r="B21" t="s">
        <v>210</v>
      </c>
      <c r="C21" t="s">
        <v>93</v>
      </c>
      <c r="D21" t="s">
        <v>211</v>
      </c>
      <c r="E21" t="s">
        <v>212</v>
      </c>
      <c r="F21" t="s">
        <v>205</v>
      </c>
      <c r="G21" t="s">
        <v>86</v>
      </c>
      <c r="H21" t="s">
        <v>213</v>
      </c>
      <c r="I21" t="s">
        <v>214</v>
      </c>
      <c r="J21" t="s">
        <v>98</v>
      </c>
      <c r="L21" t="s">
        <v>215</v>
      </c>
    </row>
    <row r="22" spans="1:12">
      <c r="A22" t="s">
        <v>216</v>
      </c>
      <c r="B22" t="s">
        <v>217</v>
      </c>
      <c r="C22" t="s">
        <v>103</v>
      </c>
      <c r="D22" t="s">
        <v>83</v>
      </c>
      <c r="E22" t="s">
        <v>153</v>
      </c>
      <c r="F22" t="s">
        <v>85</v>
      </c>
      <c r="G22" t="s">
        <v>114</v>
      </c>
      <c r="H22" t="s">
        <v>218</v>
      </c>
      <c r="I22" t="s">
        <v>219</v>
      </c>
      <c r="J22" t="s">
        <v>98</v>
      </c>
      <c r="K22" t="s">
        <v>78</v>
      </c>
      <c r="L22" t="s">
        <v>220</v>
      </c>
    </row>
    <row r="23" spans="1:12">
      <c r="A23" t="s">
        <v>221</v>
      </c>
      <c r="B23" t="s">
        <v>222</v>
      </c>
      <c r="C23" t="s">
        <v>223</v>
      </c>
      <c r="D23" t="s">
        <v>224</v>
      </c>
      <c r="E23" t="s">
        <v>225</v>
      </c>
      <c r="F23" t="s">
        <v>205</v>
      </c>
      <c r="G23" t="s">
        <v>86</v>
      </c>
      <c r="H23" t="s">
        <v>226</v>
      </c>
      <c r="I23" t="s">
        <v>227</v>
      </c>
      <c r="J23" t="s">
        <v>77</v>
      </c>
      <c r="L23" t="s">
        <v>228</v>
      </c>
    </row>
    <row r="24" spans="1:12">
      <c r="A24" t="s">
        <v>229</v>
      </c>
      <c r="B24" t="s">
        <v>230</v>
      </c>
      <c r="C24" t="s">
        <v>138</v>
      </c>
      <c r="D24" t="s">
        <v>83</v>
      </c>
      <c r="E24" t="s">
        <v>84</v>
      </c>
      <c r="F24" t="s">
        <v>205</v>
      </c>
      <c r="G24" t="s">
        <v>86</v>
      </c>
      <c r="H24" t="s">
        <v>231</v>
      </c>
      <c r="I24" t="s">
        <v>232</v>
      </c>
      <c r="J24" t="s">
        <v>98</v>
      </c>
      <c r="K24" t="s">
        <v>99</v>
      </c>
      <c r="L24" t="s">
        <v>233</v>
      </c>
    </row>
    <row r="25" spans="1:12">
      <c r="A25" t="s">
        <v>234</v>
      </c>
      <c r="B25" t="s">
        <v>235</v>
      </c>
      <c r="C25" t="s">
        <v>138</v>
      </c>
      <c r="D25" t="s">
        <v>173</v>
      </c>
      <c r="E25" t="s">
        <v>95</v>
      </c>
      <c r="F25" t="s">
        <v>106</v>
      </c>
      <c r="G25" t="s">
        <v>167</v>
      </c>
      <c r="H25" t="s">
        <v>236</v>
      </c>
      <c r="I25" t="s">
        <v>237</v>
      </c>
      <c r="J25" t="s">
        <v>134</v>
      </c>
      <c r="L25" t="s">
        <v>238</v>
      </c>
    </row>
    <row r="26" spans="1:12">
      <c r="A26" t="s">
        <v>239</v>
      </c>
      <c r="B26" t="s">
        <v>240</v>
      </c>
      <c r="C26" t="s">
        <v>138</v>
      </c>
      <c r="D26" t="s">
        <v>121</v>
      </c>
      <c r="E26" t="s">
        <v>122</v>
      </c>
      <c r="F26" t="s">
        <v>166</v>
      </c>
      <c r="G26" t="s">
        <v>241</v>
      </c>
      <c r="H26" t="s">
        <v>242</v>
      </c>
      <c r="I26" t="s">
        <v>243</v>
      </c>
      <c r="J26" t="s">
        <v>134</v>
      </c>
      <c r="K26" t="s">
        <v>89</v>
      </c>
      <c r="L26" t="s">
        <v>244</v>
      </c>
    </row>
    <row r="27" spans="1:12">
      <c r="A27" t="s">
        <v>245</v>
      </c>
      <c r="B27" t="s">
        <v>246</v>
      </c>
      <c r="C27" t="s">
        <v>138</v>
      </c>
      <c r="D27" t="s">
        <v>211</v>
      </c>
      <c r="E27" t="s">
        <v>72</v>
      </c>
      <c r="F27" t="s">
        <v>123</v>
      </c>
      <c r="G27" t="s">
        <v>247</v>
      </c>
      <c r="H27" t="s">
        <v>248</v>
      </c>
      <c r="I27" t="s">
        <v>249</v>
      </c>
      <c r="J27" t="s">
        <v>77</v>
      </c>
      <c r="K27" t="s">
        <v>99</v>
      </c>
      <c r="L27" t="s">
        <v>250</v>
      </c>
    </row>
    <row r="28" spans="1:12">
      <c r="A28" t="s">
        <v>251</v>
      </c>
      <c r="B28" t="s">
        <v>252</v>
      </c>
      <c r="C28" t="s">
        <v>138</v>
      </c>
      <c r="D28" t="s">
        <v>253</v>
      </c>
      <c r="E28" t="s">
        <v>131</v>
      </c>
      <c r="F28" t="s">
        <v>205</v>
      </c>
      <c r="G28" t="s">
        <v>167</v>
      </c>
      <c r="H28" t="s">
        <v>254</v>
      </c>
      <c r="I28" t="s">
        <v>255</v>
      </c>
      <c r="J28" t="s">
        <v>134</v>
      </c>
      <c r="L28" t="s">
        <v>256</v>
      </c>
    </row>
    <row r="29" spans="1:12">
      <c r="A29" t="s">
        <v>257</v>
      </c>
      <c r="B29" t="s">
        <v>258</v>
      </c>
      <c r="C29" t="s">
        <v>120</v>
      </c>
      <c r="D29" t="s">
        <v>259</v>
      </c>
      <c r="E29" t="s">
        <v>95</v>
      </c>
      <c r="F29" t="s">
        <v>85</v>
      </c>
      <c r="G29" t="s">
        <v>86</v>
      </c>
      <c r="H29" t="s">
        <v>260</v>
      </c>
      <c r="I29" t="s">
        <v>261</v>
      </c>
      <c r="J29" t="s">
        <v>98</v>
      </c>
      <c r="K29" t="s">
        <v>99</v>
      </c>
      <c r="L29" t="s">
        <v>262</v>
      </c>
    </row>
    <row r="30" spans="1:12">
      <c r="A30" t="s">
        <v>263</v>
      </c>
      <c r="B30" t="s">
        <v>264</v>
      </c>
      <c r="C30" t="s">
        <v>265</v>
      </c>
      <c r="D30" t="s">
        <v>83</v>
      </c>
      <c r="E30" t="s">
        <v>153</v>
      </c>
      <c r="F30" t="s">
        <v>106</v>
      </c>
      <c r="G30" t="s">
        <v>114</v>
      </c>
      <c r="H30" t="s">
        <v>266</v>
      </c>
      <c r="I30" t="s">
        <v>267</v>
      </c>
      <c r="J30" t="s">
        <v>98</v>
      </c>
      <c r="K30" t="s">
        <v>99</v>
      </c>
      <c r="L30" t="s">
        <v>268</v>
      </c>
    </row>
    <row r="31" spans="1:12">
      <c r="A31" t="s">
        <v>269</v>
      </c>
      <c r="B31" t="s">
        <v>270</v>
      </c>
      <c r="C31" t="s">
        <v>152</v>
      </c>
      <c r="D31" t="s">
        <v>83</v>
      </c>
      <c r="E31" t="s">
        <v>153</v>
      </c>
      <c r="F31" t="s">
        <v>154</v>
      </c>
      <c r="G31" t="s">
        <v>74</v>
      </c>
      <c r="H31" t="s">
        <v>271</v>
      </c>
      <c r="I31" t="s">
        <v>272</v>
      </c>
      <c r="J31" t="s">
        <v>77</v>
      </c>
      <c r="K31" t="s">
        <v>78</v>
      </c>
      <c r="L31" t="s">
        <v>273</v>
      </c>
    </row>
    <row r="32" spans="1:12">
      <c r="A32" t="s">
        <v>274</v>
      </c>
      <c r="B32" t="s">
        <v>275</v>
      </c>
      <c r="C32" t="s">
        <v>93</v>
      </c>
      <c r="D32" t="s">
        <v>276</v>
      </c>
      <c r="E32" t="s">
        <v>153</v>
      </c>
      <c r="F32" t="s">
        <v>154</v>
      </c>
      <c r="G32" t="s">
        <v>167</v>
      </c>
      <c r="H32" t="s">
        <v>277</v>
      </c>
      <c r="I32" t="s">
        <v>278</v>
      </c>
      <c r="J32" t="s">
        <v>200</v>
      </c>
      <c r="K32" t="s">
        <v>99</v>
      </c>
      <c r="L32" t="s">
        <v>279</v>
      </c>
    </row>
    <row r="33" spans="1:12">
      <c r="A33" t="s">
        <v>280</v>
      </c>
      <c r="B33" t="s">
        <v>281</v>
      </c>
      <c r="C33" t="s">
        <v>282</v>
      </c>
      <c r="D33" t="s">
        <v>179</v>
      </c>
      <c r="E33" t="s">
        <v>84</v>
      </c>
      <c r="F33" t="s">
        <v>205</v>
      </c>
      <c r="G33" t="s">
        <v>167</v>
      </c>
      <c r="H33" t="s">
        <v>283</v>
      </c>
      <c r="I33" t="s">
        <v>284</v>
      </c>
      <c r="J33" t="s">
        <v>77</v>
      </c>
      <c r="K33" t="s">
        <v>99</v>
      </c>
      <c r="L33" t="s">
        <v>285</v>
      </c>
    </row>
    <row r="34" spans="1:12">
      <c r="A34" t="s">
        <v>286</v>
      </c>
      <c r="B34" t="s">
        <v>287</v>
      </c>
      <c r="C34" t="s">
        <v>138</v>
      </c>
      <c r="D34" t="s">
        <v>288</v>
      </c>
      <c r="E34" t="s">
        <v>84</v>
      </c>
      <c r="F34" t="s">
        <v>289</v>
      </c>
      <c r="G34" t="s">
        <v>74</v>
      </c>
      <c r="H34" t="s">
        <v>290</v>
      </c>
      <c r="I34" t="s">
        <v>291</v>
      </c>
      <c r="J34" t="s">
        <v>77</v>
      </c>
      <c r="K34" t="s">
        <v>78</v>
      </c>
      <c r="L34" t="s">
        <v>292</v>
      </c>
    </row>
    <row r="35" spans="1:12">
      <c r="A35" t="s">
        <v>293</v>
      </c>
      <c r="B35" t="s">
        <v>294</v>
      </c>
      <c r="C35" t="s">
        <v>103</v>
      </c>
      <c r="D35" t="s">
        <v>121</v>
      </c>
      <c r="E35" t="s">
        <v>105</v>
      </c>
      <c r="F35" t="s">
        <v>154</v>
      </c>
      <c r="G35" t="s">
        <v>167</v>
      </c>
      <c r="H35" t="s">
        <v>295</v>
      </c>
      <c r="I35" t="s">
        <v>296</v>
      </c>
      <c r="J35" t="s">
        <v>77</v>
      </c>
      <c r="K35" t="s">
        <v>99</v>
      </c>
      <c r="L35" t="s">
        <v>297</v>
      </c>
    </row>
    <row r="36" spans="1:12">
      <c r="A36" t="s">
        <v>298</v>
      </c>
      <c r="B36" t="s">
        <v>299</v>
      </c>
      <c r="C36" t="s">
        <v>120</v>
      </c>
      <c r="D36" t="s">
        <v>211</v>
      </c>
      <c r="E36" t="s">
        <v>72</v>
      </c>
      <c r="F36" t="s">
        <v>85</v>
      </c>
      <c r="G36" t="s">
        <v>74</v>
      </c>
      <c r="H36" t="s">
        <v>300</v>
      </c>
      <c r="I36" t="s">
        <v>301</v>
      </c>
      <c r="J36" t="s">
        <v>77</v>
      </c>
      <c r="L36" t="s">
        <v>302</v>
      </c>
    </row>
    <row r="37" spans="1:12">
      <c r="A37" t="s">
        <v>303</v>
      </c>
      <c r="B37" t="s">
        <v>304</v>
      </c>
      <c r="C37" t="s">
        <v>305</v>
      </c>
      <c r="D37" t="s">
        <v>139</v>
      </c>
      <c r="E37" t="s">
        <v>95</v>
      </c>
      <c r="F37" t="s">
        <v>205</v>
      </c>
      <c r="G37" t="s">
        <v>86</v>
      </c>
      <c r="H37" t="s">
        <v>306</v>
      </c>
      <c r="I37" t="s">
        <v>307</v>
      </c>
      <c r="J37" t="s">
        <v>98</v>
      </c>
      <c r="K37" t="s">
        <v>78</v>
      </c>
      <c r="L37" t="s">
        <v>308</v>
      </c>
    </row>
    <row r="38" spans="1:12">
      <c r="A38" t="s">
        <v>309</v>
      </c>
      <c r="B38" t="s">
        <v>310</v>
      </c>
      <c r="C38" t="s">
        <v>311</v>
      </c>
      <c r="D38" t="s">
        <v>121</v>
      </c>
      <c r="E38" t="s">
        <v>122</v>
      </c>
      <c r="F38" t="s">
        <v>106</v>
      </c>
      <c r="G38" t="s">
        <v>114</v>
      </c>
      <c r="H38" t="s">
        <v>312</v>
      </c>
      <c r="I38" t="s">
        <v>313</v>
      </c>
      <c r="J38" t="s">
        <v>77</v>
      </c>
      <c r="K38" t="s">
        <v>99</v>
      </c>
      <c r="L38" t="s">
        <v>314</v>
      </c>
    </row>
    <row r="39" spans="1:12">
      <c r="A39" t="s">
        <v>315</v>
      </c>
      <c r="B39" t="s">
        <v>316</v>
      </c>
      <c r="C39" t="s">
        <v>82</v>
      </c>
      <c r="D39" t="s">
        <v>173</v>
      </c>
      <c r="E39" t="s">
        <v>146</v>
      </c>
      <c r="F39" t="s">
        <v>205</v>
      </c>
      <c r="G39" t="s">
        <v>74</v>
      </c>
      <c r="H39" t="s">
        <v>317</v>
      </c>
      <c r="I39" t="s">
        <v>318</v>
      </c>
      <c r="J39" t="s">
        <v>134</v>
      </c>
      <c r="K39" t="s">
        <v>99</v>
      </c>
      <c r="L39" t="s">
        <v>319</v>
      </c>
    </row>
    <row r="40" spans="1:12">
      <c r="A40" t="s">
        <v>320</v>
      </c>
      <c r="B40" t="s">
        <v>321</v>
      </c>
      <c r="D40" t="s">
        <v>145</v>
      </c>
      <c r="E40" t="s">
        <v>95</v>
      </c>
      <c r="F40" t="s">
        <v>205</v>
      </c>
      <c r="G40" t="s">
        <v>74</v>
      </c>
      <c r="H40" t="s">
        <v>322</v>
      </c>
      <c r="I40" t="s">
        <v>323</v>
      </c>
      <c r="J40" t="s">
        <v>134</v>
      </c>
      <c r="L40" t="s">
        <v>324</v>
      </c>
    </row>
    <row r="41" spans="1:12">
      <c r="A41" t="s">
        <v>325</v>
      </c>
      <c r="B41" t="s">
        <v>326</v>
      </c>
      <c r="C41" t="s">
        <v>120</v>
      </c>
      <c r="D41" t="s">
        <v>327</v>
      </c>
      <c r="E41" t="s">
        <v>328</v>
      </c>
      <c r="F41" t="s">
        <v>106</v>
      </c>
      <c r="G41" t="s">
        <v>114</v>
      </c>
      <c r="H41" t="s">
        <v>329</v>
      </c>
      <c r="I41" t="s">
        <v>330</v>
      </c>
      <c r="J41" t="s">
        <v>134</v>
      </c>
      <c r="K41" t="s">
        <v>99</v>
      </c>
      <c r="L41" t="s">
        <v>331</v>
      </c>
    </row>
    <row r="42" spans="1:12">
      <c r="A42" t="s">
        <v>332</v>
      </c>
      <c r="B42" t="s">
        <v>333</v>
      </c>
      <c r="C42" t="s">
        <v>311</v>
      </c>
      <c r="D42" t="s">
        <v>211</v>
      </c>
      <c r="E42" t="s">
        <v>131</v>
      </c>
      <c r="F42" t="s">
        <v>85</v>
      </c>
      <c r="G42" t="s">
        <v>74</v>
      </c>
      <c r="H42" t="s">
        <v>334</v>
      </c>
      <c r="I42" t="s">
        <v>335</v>
      </c>
      <c r="J42" t="s">
        <v>77</v>
      </c>
      <c r="K42" t="s">
        <v>109</v>
      </c>
      <c r="L42" t="s">
        <v>336</v>
      </c>
    </row>
    <row r="43" spans="1:12">
      <c r="A43" t="s">
        <v>337</v>
      </c>
      <c r="B43" t="s">
        <v>338</v>
      </c>
      <c r="C43" t="s">
        <v>138</v>
      </c>
      <c r="D43" t="s">
        <v>71</v>
      </c>
      <c r="E43" t="s">
        <v>131</v>
      </c>
      <c r="F43" t="s">
        <v>205</v>
      </c>
      <c r="G43" t="s">
        <v>247</v>
      </c>
      <c r="H43" t="s">
        <v>339</v>
      </c>
      <c r="I43" t="s">
        <v>340</v>
      </c>
      <c r="J43" t="s">
        <v>98</v>
      </c>
      <c r="K43" t="s">
        <v>109</v>
      </c>
      <c r="L43" t="s">
        <v>341</v>
      </c>
    </row>
    <row r="44" spans="1:12">
      <c r="A44" t="s">
        <v>342</v>
      </c>
      <c r="B44" t="s">
        <v>343</v>
      </c>
      <c r="C44" t="s">
        <v>82</v>
      </c>
      <c r="D44" t="s">
        <v>83</v>
      </c>
      <c r="E44" t="s">
        <v>344</v>
      </c>
      <c r="F44" t="s">
        <v>205</v>
      </c>
      <c r="G44" t="s">
        <v>345</v>
      </c>
      <c r="H44" t="s">
        <v>346</v>
      </c>
      <c r="I44" t="s">
        <v>347</v>
      </c>
      <c r="J44" t="s">
        <v>98</v>
      </c>
      <c r="K44" t="s">
        <v>99</v>
      </c>
      <c r="L44" t="s">
        <v>348</v>
      </c>
    </row>
    <row r="45" spans="1:12">
      <c r="A45" t="s">
        <v>349</v>
      </c>
      <c r="B45" t="s">
        <v>350</v>
      </c>
      <c r="C45" t="s">
        <v>120</v>
      </c>
      <c r="D45" t="s">
        <v>351</v>
      </c>
      <c r="E45" t="s">
        <v>105</v>
      </c>
      <c r="F45" t="s">
        <v>205</v>
      </c>
      <c r="G45" t="s">
        <v>86</v>
      </c>
      <c r="H45" t="s">
        <v>352</v>
      </c>
      <c r="I45" t="s">
        <v>353</v>
      </c>
      <c r="J45" t="s">
        <v>134</v>
      </c>
      <c r="L45" t="s">
        <v>354</v>
      </c>
    </row>
    <row r="46" spans="1:12">
      <c r="A46" t="s">
        <v>355</v>
      </c>
      <c r="B46" t="s">
        <v>356</v>
      </c>
      <c r="C46" t="s">
        <v>93</v>
      </c>
      <c r="D46" t="s">
        <v>327</v>
      </c>
      <c r="E46" t="s">
        <v>105</v>
      </c>
      <c r="F46" t="s">
        <v>106</v>
      </c>
      <c r="G46" t="s">
        <v>345</v>
      </c>
      <c r="H46" t="s">
        <v>357</v>
      </c>
      <c r="I46" t="s">
        <v>358</v>
      </c>
      <c r="J46" t="s">
        <v>134</v>
      </c>
      <c r="K46" t="s">
        <v>78</v>
      </c>
      <c r="L46" t="s">
        <v>359</v>
      </c>
    </row>
    <row r="47" spans="1:12">
      <c r="A47" t="s">
        <v>360</v>
      </c>
      <c r="B47" t="s">
        <v>361</v>
      </c>
      <c r="C47" t="s">
        <v>362</v>
      </c>
      <c r="D47" t="s">
        <v>211</v>
      </c>
      <c r="E47" t="s">
        <v>363</v>
      </c>
      <c r="F47" t="s">
        <v>205</v>
      </c>
      <c r="G47" t="s">
        <v>86</v>
      </c>
      <c r="H47" t="s">
        <v>364</v>
      </c>
      <c r="I47" t="s">
        <v>365</v>
      </c>
      <c r="J47" t="s">
        <v>98</v>
      </c>
      <c r="K47" t="s">
        <v>78</v>
      </c>
      <c r="L47" t="s">
        <v>366</v>
      </c>
    </row>
    <row r="48" spans="1:12">
      <c r="A48" t="s">
        <v>367</v>
      </c>
      <c r="B48" t="s">
        <v>368</v>
      </c>
      <c r="C48" t="s">
        <v>311</v>
      </c>
      <c r="D48" t="s">
        <v>121</v>
      </c>
      <c r="E48" t="s">
        <v>369</v>
      </c>
      <c r="F48" t="s">
        <v>106</v>
      </c>
      <c r="G48" t="s">
        <v>86</v>
      </c>
      <c r="H48" t="s">
        <v>370</v>
      </c>
      <c r="I48" t="s">
        <v>371</v>
      </c>
      <c r="J48" t="s">
        <v>134</v>
      </c>
      <c r="K48" t="s">
        <v>99</v>
      </c>
      <c r="L48" t="s">
        <v>372</v>
      </c>
    </row>
    <row r="49" spans="1:12">
      <c r="A49" t="s">
        <v>373</v>
      </c>
      <c r="B49" t="s">
        <v>374</v>
      </c>
      <c r="C49" t="s">
        <v>93</v>
      </c>
      <c r="D49" t="s">
        <v>173</v>
      </c>
      <c r="E49" t="s">
        <v>95</v>
      </c>
      <c r="F49" t="s">
        <v>375</v>
      </c>
      <c r="G49" t="s">
        <v>86</v>
      </c>
      <c r="H49" t="s">
        <v>376</v>
      </c>
      <c r="I49" t="s">
        <v>377</v>
      </c>
      <c r="J49" t="s">
        <v>77</v>
      </c>
      <c r="L49" t="s">
        <v>378</v>
      </c>
    </row>
    <row r="50" spans="1:12">
      <c r="A50" t="s">
        <v>379</v>
      </c>
      <c r="B50" t="s">
        <v>380</v>
      </c>
      <c r="C50" t="s">
        <v>138</v>
      </c>
      <c r="D50" t="s">
        <v>121</v>
      </c>
      <c r="E50" t="s">
        <v>381</v>
      </c>
      <c r="F50" t="s">
        <v>154</v>
      </c>
      <c r="G50" t="s">
        <v>114</v>
      </c>
      <c r="H50" t="s">
        <v>382</v>
      </c>
      <c r="I50" t="s">
        <v>383</v>
      </c>
      <c r="J50" t="s">
        <v>200</v>
      </c>
      <c r="K50" t="s">
        <v>109</v>
      </c>
      <c r="L50" t="s">
        <v>384</v>
      </c>
    </row>
    <row r="51" spans="1:12">
      <c r="A51" t="s">
        <v>385</v>
      </c>
      <c r="B51" t="s">
        <v>386</v>
      </c>
      <c r="D51" t="s">
        <v>83</v>
      </c>
      <c r="E51" t="s">
        <v>84</v>
      </c>
      <c r="F51" t="s">
        <v>289</v>
      </c>
      <c r="G51" t="s">
        <v>167</v>
      </c>
      <c r="H51" t="s">
        <v>387</v>
      </c>
      <c r="I51" t="s">
        <v>388</v>
      </c>
      <c r="J51" t="s">
        <v>134</v>
      </c>
      <c r="K51" t="s">
        <v>78</v>
      </c>
      <c r="L51" t="s">
        <v>389</v>
      </c>
    </row>
    <row r="52" spans="1:12">
      <c r="A52" t="s">
        <v>390</v>
      </c>
      <c r="B52" t="s">
        <v>391</v>
      </c>
      <c r="C52" t="s">
        <v>93</v>
      </c>
      <c r="D52" t="s">
        <v>173</v>
      </c>
      <c r="E52" t="s">
        <v>146</v>
      </c>
      <c r="F52" t="s">
        <v>123</v>
      </c>
      <c r="G52" t="s">
        <v>167</v>
      </c>
      <c r="H52" t="s">
        <v>392</v>
      </c>
      <c r="I52" t="s">
        <v>393</v>
      </c>
      <c r="J52" t="s">
        <v>134</v>
      </c>
      <c r="L52" t="s">
        <v>394</v>
      </c>
    </row>
    <row r="53" spans="1:12">
      <c r="A53" t="s">
        <v>395</v>
      </c>
      <c r="B53" t="s">
        <v>137</v>
      </c>
      <c r="C53" t="s">
        <v>311</v>
      </c>
      <c r="D53" t="s">
        <v>104</v>
      </c>
      <c r="E53" t="s">
        <v>105</v>
      </c>
      <c r="F53" t="s">
        <v>396</v>
      </c>
      <c r="G53" t="s">
        <v>86</v>
      </c>
      <c r="H53" t="s">
        <v>397</v>
      </c>
      <c r="I53" t="s">
        <v>398</v>
      </c>
      <c r="J53" t="s">
        <v>77</v>
      </c>
      <c r="K53" t="s">
        <v>99</v>
      </c>
      <c r="L53" t="s">
        <v>399</v>
      </c>
    </row>
    <row r="54" spans="1:12">
      <c r="A54" t="s">
        <v>400</v>
      </c>
      <c r="B54" t="s">
        <v>391</v>
      </c>
      <c r="C54" t="s">
        <v>82</v>
      </c>
      <c r="D54" t="s">
        <v>401</v>
      </c>
      <c r="E54" t="s">
        <v>402</v>
      </c>
      <c r="F54" t="s">
        <v>154</v>
      </c>
      <c r="G54" t="s">
        <v>74</v>
      </c>
      <c r="H54" t="s">
        <v>403</v>
      </c>
      <c r="I54" t="s">
        <v>404</v>
      </c>
      <c r="J54" t="s">
        <v>77</v>
      </c>
      <c r="K54" t="s">
        <v>78</v>
      </c>
      <c r="L54" t="s">
        <v>405</v>
      </c>
    </row>
    <row r="55" spans="1:12">
      <c r="A55" t="s">
        <v>406</v>
      </c>
      <c r="B55" t="s">
        <v>407</v>
      </c>
      <c r="C55" t="s">
        <v>103</v>
      </c>
      <c r="D55" t="s">
        <v>173</v>
      </c>
      <c r="E55" t="s">
        <v>95</v>
      </c>
      <c r="F55" t="s">
        <v>85</v>
      </c>
      <c r="G55" t="s">
        <v>74</v>
      </c>
      <c r="H55" t="s">
        <v>408</v>
      </c>
      <c r="I55" t="s">
        <v>409</v>
      </c>
      <c r="J55" t="s">
        <v>134</v>
      </c>
      <c r="K55" t="s">
        <v>109</v>
      </c>
      <c r="L55" t="s">
        <v>410</v>
      </c>
    </row>
    <row r="56" spans="1:12">
      <c r="A56" t="s">
        <v>411</v>
      </c>
      <c r="B56" t="s">
        <v>412</v>
      </c>
      <c r="C56" t="s">
        <v>185</v>
      </c>
      <c r="D56" t="s">
        <v>83</v>
      </c>
      <c r="E56" t="s">
        <v>153</v>
      </c>
      <c r="F56" t="s">
        <v>106</v>
      </c>
      <c r="G56" t="s">
        <v>74</v>
      </c>
      <c r="H56" t="s">
        <v>413</v>
      </c>
      <c r="I56" t="s">
        <v>414</v>
      </c>
      <c r="J56" t="s">
        <v>77</v>
      </c>
      <c r="L56" t="s">
        <v>415</v>
      </c>
    </row>
    <row r="57" spans="1:12">
      <c r="A57" t="s">
        <v>416</v>
      </c>
      <c r="B57" t="s">
        <v>417</v>
      </c>
      <c r="C57" t="s">
        <v>82</v>
      </c>
      <c r="D57" t="s">
        <v>83</v>
      </c>
      <c r="E57" t="s">
        <v>153</v>
      </c>
      <c r="F57" t="s">
        <v>123</v>
      </c>
      <c r="G57" t="s">
        <v>74</v>
      </c>
      <c r="H57" t="s">
        <v>418</v>
      </c>
      <c r="I57" t="s">
        <v>419</v>
      </c>
      <c r="J57" t="s">
        <v>98</v>
      </c>
      <c r="K57" t="s">
        <v>109</v>
      </c>
      <c r="L57" t="s">
        <v>420</v>
      </c>
    </row>
    <row r="58" spans="1:12">
      <c r="A58" t="s">
        <v>421</v>
      </c>
      <c r="B58" t="s">
        <v>422</v>
      </c>
      <c r="C58" t="s">
        <v>93</v>
      </c>
      <c r="D58" t="s">
        <v>423</v>
      </c>
      <c r="E58" t="s">
        <v>363</v>
      </c>
      <c r="F58" t="s">
        <v>85</v>
      </c>
      <c r="G58" t="s">
        <v>74</v>
      </c>
      <c r="H58" t="s">
        <v>424</v>
      </c>
      <c r="I58" t="s">
        <v>425</v>
      </c>
      <c r="J58" t="s">
        <v>98</v>
      </c>
      <c r="L58" t="s">
        <v>426</v>
      </c>
    </row>
    <row r="59" spans="1:12">
      <c r="A59" t="s">
        <v>427</v>
      </c>
      <c r="B59" t="s">
        <v>428</v>
      </c>
      <c r="C59" t="s">
        <v>103</v>
      </c>
      <c r="D59" t="s">
        <v>121</v>
      </c>
      <c r="E59" t="s">
        <v>381</v>
      </c>
      <c r="F59" t="s">
        <v>106</v>
      </c>
      <c r="G59" t="s">
        <v>74</v>
      </c>
      <c r="H59" t="s">
        <v>429</v>
      </c>
      <c r="I59" t="s">
        <v>430</v>
      </c>
      <c r="J59" t="s">
        <v>134</v>
      </c>
      <c r="K59" t="s">
        <v>109</v>
      </c>
      <c r="L59" t="s">
        <v>431</v>
      </c>
    </row>
    <row r="60" spans="1:12">
      <c r="A60" t="s">
        <v>432</v>
      </c>
      <c r="B60" t="s">
        <v>433</v>
      </c>
      <c r="C60" t="s">
        <v>204</v>
      </c>
      <c r="D60" t="s">
        <v>351</v>
      </c>
      <c r="E60" t="s">
        <v>328</v>
      </c>
      <c r="F60" t="s">
        <v>106</v>
      </c>
      <c r="G60" t="s">
        <v>86</v>
      </c>
      <c r="H60" t="s">
        <v>434</v>
      </c>
      <c r="I60" t="s">
        <v>435</v>
      </c>
      <c r="J60" t="s">
        <v>98</v>
      </c>
      <c r="K60" t="s">
        <v>109</v>
      </c>
      <c r="L60" t="s">
        <v>436</v>
      </c>
    </row>
    <row r="61" spans="1:12">
      <c r="A61" t="s">
        <v>437</v>
      </c>
      <c r="B61" t="s">
        <v>438</v>
      </c>
      <c r="C61" t="s">
        <v>439</v>
      </c>
      <c r="D61" t="s">
        <v>253</v>
      </c>
      <c r="E61" t="s">
        <v>131</v>
      </c>
      <c r="F61" t="s">
        <v>106</v>
      </c>
      <c r="G61" t="s">
        <v>247</v>
      </c>
      <c r="H61" t="s">
        <v>440</v>
      </c>
      <c r="I61" t="s">
        <v>441</v>
      </c>
      <c r="J61" t="s">
        <v>200</v>
      </c>
      <c r="L61" t="s">
        <v>442</v>
      </c>
    </row>
    <row r="62" spans="1:12">
      <c r="A62" t="s">
        <v>443</v>
      </c>
      <c r="B62" t="s">
        <v>444</v>
      </c>
      <c r="C62" t="s">
        <v>445</v>
      </c>
      <c r="D62" t="s">
        <v>423</v>
      </c>
      <c r="E62" t="s">
        <v>363</v>
      </c>
      <c r="F62" t="s">
        <v>106</v>
      </c>
      <c r="G62" t="s">
        <v>167</v>
      </c>
      <c r="H62" t="s">
        <v>446</v>
      </c>
      <c r="I62" t="s">
        <v>447</v>
      </c>
      <c r="J62" t="s">
        <v>77</v>
      </c>
      <c r="K62" t="s">
        <v>99</v>
      </c>
      <c r="L62" t="s">
        <v>448</v>
      </c>
    </row>
    <row r="63" spans="1:12">
      <c r="A63" t="s">
        <v>449</v>
      </c>
      <c r="B63" t="s">
        <v>417</v>
      </c>
      <c r="C63" t="s">
        <v>439</v>
      </c>
      <c r="D63" t="s">
        <v>173</v>
      </c>
      <c r="E63" t="s">
        <v>450</v>
      </c>
      <c r="F63" t="s">
        <v>106</v>
      </c>
      <c r="G63" t="s">
        <v>114</v>
      </c>
      <c r="H63" t="s">
        <v>451</v>
      </c>
      <c r="I63" t="s">
        <v>452</v>
      </c>
      <c r="J63" t="s">
        <v>77</v>
      </c>
      <c r="K63" t="s">
        <v>78</v>
      </c>
      <c r="L63" t="s">
        <v>453</v>
      </c>
    </row>
    <row r="64" spans="1:12">
      <c r="A64" t="s">
        <v>454</v>
      </c>
      <c r="B64" t="s">
        <v>455</v>
      </c>
      <c r="C64" t="s">
        <v>456</v>
      </c>
      <c r="D64" t="s">
        <v>211</v>
      </c>
      <c r="E64" t="s">
        <v>457</v>
      </c>
      <c r="F64" t="s">
        <v>205</v>
      </c>
      <c r="G64" t="s">
        <v>86</v>
      </c>
      <c r="H64" t="s">
        <v>458</v>
      </c>
      <c r="I64" t="s">
        <v>459</v>
      </c>
      <c r="J64" t="s">
        <v>98</v>
      </c>
      <c r="K64" t="s">
        <v>78</v>
      </c>
      <c r="L64" t="s">
        <v>460</v>
      </c>
    </row>
    <row r="65" spans="1:12">
      <c r="A65" t="s">
        <v>461</v>
      </c>
      <c r="B65" t="s">
        <v>462</v>
      </c>
      <c r="C65" t="s">
        <v>120</v>
      </c>
      <c r="D65" t="s">
        <v>351</v>
      </c>
      <c r="E65" t="s">
        <v>105</v>
      </c>
      <c r="F65" t="s">
        <v>106</v>
      </c>
      <c r="G65" t="s">
        <v>167</v>
      </c>
      <c r="H65" t="s">
        <v>463</v>
      </c>
      <c r="I65" t="s">
        <v>464</v>
      </c>
      <c r="J65" t="s">
        <v>134</v>
      </c>
      <c r="K65" t="s">
        <v>99</v>
      </c>
      <c r="L65" t="s">
        <v>465</v>
      </c>
    </row>
    <row r="66" spans="1:12">
      <c r="A66" t="s">
        <v>466</v>
      </c>
      <c r="B66" t="s">
        <v>217</v>
      </c>
      <c r="C66" t="s">
        <v>467</v>
      </c>
      <c r="D66" t="s">
        <v>173</v>
      </c>
      <c r="E66" t="s">
        <v>468</v>
      </c>
      <c r="F66" t="s">
        <v>85</v>
      </c>
      <c r="G66" t="s">
        <v>86</v>
      </c>
      <c r="H66" t="s">
        <v>469</v>
      </c>
      <c r="I66" t="s">
        <v>470</v>
      </c>
      <c r="J66" t="s">
        <v>98</v>
      </c>
      <c r="K66" t="s">
        <v>78</v>
      </c>
      <c r="L66" t="s">
        <v>471</v>
      </c>
    </row>
    <row r="67" spans="1:12">
      <c r="A67" t="s">
        <v>472</v>
      </c>
      <c r="B67" t="s">
        <v>473</v>
      </c>
      <c r="C67" t="s">
        <v>82</v>
      </c>
      <c r="D67" t="s">
        <v>83</v>
      </c>
      <c r="E67" t="s">
        <v>153</v>
      </c>
      <c r="F67" t="s">
        <v>123</v>
      </c>
      <c r="G67" t="s">
        <v>247</v>
      </c>
      <c r="H67" t="s">
        <v>236</v>
      </c>
      <c r="I67" t="s">
        <v>474</v>
      </c>
      <c r="J67" t="s">
        <v>98</v>
      </c>
      <c r="K67" t="s">
        <v>78</v>
      </c>
      <c r="L67" t="s">
        <v>475</v>
      </c>
    </row>
    <row r="68" spans="1:12">
      <c r="A68" t="s">
        <v>476</v>
      </c>
      <c r="B68" t="s">
        <v>477</v>
      </c>
      <c r="C68" t="s">
        <v>478</v>
      </c>
      <c r="D68" t="s">
        <v>211</v>
      </c>
      <c r="E68" t="s">
        <v>72</v>
      </c>
      <c r="F68" t="s">
        <v>205</v>
      </c>
      <c r="G68" t="s">
        <v>167</v>
      </c>
      <c r="H68" t="s">
        <v>479</v>
      </c>
      <c r="I68" t="s">
        <v>480</v>
      </c>
      <c r="J68" t="s">
        <v>134</v>
      </c>
      <c r="K68" t="s">
        <v>109</v>
      </c>
      <c r="L68" t="s">
        <v>481</v>
      </c>
    </row>
    <row r="69" spans="1:12">
      <c r="A69" t="s">
        <v>482</v>
      </c>
      <c r="B69" t="s">
        <v>483</v>
      </c>
      <c r="C69" t="s">
        <v>439</v>
      </c>
      <c r="D69" t="s">
        <v>276</v>
      </c>
      <c r="E69" t="s">
        <v>186</v>
      </c>
      <c r="F69" t="s">
        <v>484</v>
      </c>
      <c r="G69" t="s">
        <v>167</v>
      </c>
      <c r="H69" t="s">
        <v>485</v>
      </c>
      <c r="I69" t="s">
        <v>486</v>
      </c>
      <c r="J69" t="s">
        <v>134</v>
      </c>
      <c r="K69" t="s">
        <v>109</v>
      </c>
      <c r="L69" t="s">
        <v>487</v>
      </c>
    </row>
    <row r="70" spans="1:12">
      <c r="A70" t="s">
        <v>488</v>
      </c>
      <c r="B70" t="s">
        <v>489</v>
      </c>
      <c r="C70" t="s">
        <v>490</v>
      </c>
      <c r="D70" t="s">
        <v>71</v>
      </c>
      <c r="E70" t="s">
        <v>363</v>
      </c>
      <c r="F70" t="s">
        <v>205</v>
      </c>
      <c r="G70" t="s">
        <v>167</v>
      </c>
      <c r="H70" t="s">
        <v>491</v>
      </c>
      <c r="I70" t="s">
        <v>492</v>
      </c>
      <c r="J70" t="s">
        <v>77</v>
      </c>
      <c r="K70" t="s">
        <v>109</v>
      </c>
      <c r="L70" t="s">
        <v>493</v>
      </c>
    </row>
    <row r="71" spans="1:12">
      <c r="A71" t="s">
        <v>494</v>
      </c>
      <c r="B71" t="s">
        <v>495</v>
      </c>
      <c r="C71" t="s">
        <v>82</v>
      </c>
      <c r="D71" t="s">
        <v>173</v>
      </c>
      <c r="E71" t="s">
        <v>95</v>
      </c>
      <c r="F71" t="s">
        <v>123</v>
      </c>
      <c r="G71" t="s">
        <v>86</v>
      </c>
      <c r="H71" t="s">
        <v>496</v>
      </c>
      <c r="I71" t="s">
        <v>497</v>
      </c>
      <c r="J71" t="s">
        <v>77</v>
      </c>
      <c r="K71" t="s">
        <v>78</v>
      </c>
      <c r="L71" t="s">
        <v>498</v>
      </c>
    </row>
    <row r="72" spans="1:12">
      <c r="A72" t="s">
        <v>499</v>
      </c>
      <c r="B72" t="s">
        <v>196</v>
      </c>
      <c r="C72" t="s">
        <v>223</v>
      </c>
      <c r="D72" t="s">
        <v>173</v>
      </c>
      <c r="E72" t="s">
        <v>95</v>
      </c>
      <c r="F72" t="s">
        <v>106</v>
      </c>
      <c r="G72" t="s">
        <v>74</v>
      </c>
      <c r="H72" t="s">
        <v>500</v>
      </c>
      <c r="I72" t="s">
        <v>501</v>
      </c>
      <c r="J72" t="s">
        <v>77</v>
      </c>
      <c r="K72" t="s">
        <v>78</v>
      </c>
      <c r="L72" t="s">
        <v>502</v>
      </c>
    </row>
    <row r="73" spans="1:12">
      <c r="A73" t="s">
        <v>503</v>
      </c>
      <c r="B73" t="s">
        <v>504</v>
      </c>
      <c r="C73" t="s">
        <v>138</v>
      </c>
      <c r="D73" t="s">
        <v>259</v>
      </c>
      <c r="E73" t="s">
        <v>95</v>
      </c>
      <c r="F73" t="s">
        <v>505</v>
      </c>
      <c r="G73" t="s">
        <v>74</v>
      </c>
      <c r="H73" t="s">
        <v>506</v>
      </c>
      <c r="I73" t="s">
        <v>507</v>
      </c>
      <c r="J73" t="s">
        <v>98</v>
      </c>
      <c r="K73" t="s">
        <v>78</v>
      </c>
      <c r="L73" t="s">
        <v>508</v>
      </c>
    </row>
    <row r="74" spans="1:12">
      <c r="A74" t="s">
        <v>509</v>
      </c>
      <c r="B74" t="s">
        <v>391</v>
      </c>
      <c r="C74" t="s">
        <v>510</v>
      </c>
      <c r="D74" t="s">
        <v>511</v>
      </c>
      <c r="E74" t="s">
        <v>186</v>
      </c>
      <c r="F74" t="s">
        <v>512</v>
      </c>
      <c r="G74" t="s">
        <v>74</v>
      </c>
      <c r="H74" t="s">
        <v>513</v>
      </c>
      <c r="I74" t="s">
        <v>514</v>
      </c>
      <c r="J74" t="s">
        <v>98</v>
      </c>
      <c r="L74" t="s">
        <v>515</v>
      </c>
    </row>
    <row r="75" spans="1:12">
      <c r="A75" t="s">
        <v>516</v>
      </c>
      <c r="B75" t="s">
        <v>517</v>
      </c>
      <c r="D75" t="s">
        <v>145</v>
      </c>
      <c r="E75" t="s">
        <v>146</v>
      </c>
      <c r="F75" t="s">
        <v>518</v>
      </c>
      <c r="G75" t="s">
        <v>247</v>
      </c>
      <c r="H75" t="s">
        <v>519</v>
      </c>
      <c r="I75" t="s">
        <v>520</v>
      </c>
      <c r="J75" t="s">
        <v>134</v>
      </c>
      <c r="L75" t="s">
        <v>521</v>
      </c>
    </row>
    <row r="76" spans="1:12">
      <c r="A76" t="s">
        <v>522</v>
      </c>
      <c r="B76" t="s">
        <v>240</v>
      </c>
      <c r="C76" t="s">
        <v>185</v>
      </c>
      <c r="D76" t="s">
        <v>83</v>
      </c>
      <c r="E76" t="s">
        <v>153</v>
      </c>
      <c r="F76" t="s">
        <v>154</v>
      </c>
      <c r="G76" t="s">
        <v>86</v>
      </c>
      <c r="H76" t="s">
        <v>523</v>
      </c>
      <c r="I76" t="s">
        <v>524</v>
      </c>
      <c r="J76" t="s">
        <v>98</v>
      </c>
      <c r="K76" t="s">
        <v>78</v>
      </c>
      <c r="L76" t="s">
        <v>525</v>
      </c>
    </row>
    <row r="77" spans="1:12">
      <c r="A77" t="s">
        <v>526</v>
      </c>
      <c r="B77" t="s">
        <v>527</v>
      </c>
      <c r="C77" t="s">
        <v>490</v>
      </c>
      <c r="D77" t="s">
        <v>121</v>
      </c>
      <c r="E77" t="s">
        <v>122</v>
      </c>
      <c r="F77" t="s">
        <v>205</v>
      </c>
      <c r="G77" t="s">
        <v>247</v>
      </c>
      <c r="H77" t="s">
        <v>528</v>
      </c>
      <c r="I77" t="s">
        <v>529</v>
      </c>
      <c r="J77" t="s">
        <v>134</v>
      </c>
      <c r="K77" t="s">
        <v>78</v>
      </c>
      <c r="L77" t="s">
        <v>530</v>
      </c>
    </row>
    <row r="78" spans="1:12">
      <c r="A78" t="s">
        <v>531</v>
      </c>
      <c r="B78" t="s">
        <v>532</v>
      </c>
      <c r="C78" t="s">
        <v>490</v>
      </c>
      <c r="D78" t="s">
        <v>173</v>
      </c>
      <c r="E78" t="s">
        <v>146</v>
      </c>
      <c r="F78" t="s">
        <v>533</v>
      </c>
      <c r="G78" t="s">
        <v>74</v>
      </c>
      <c r="H78" t="s">
        <v>534</v>
      </c>
      <c r="I78" t="s">
        <v>535</v>
      </c>
      <c r="J78" t="s">
        <v>134</v>
      </c>
      <c r="K78" t="s">
        <v>99</v>
      </c>
      <c r="L78" t="s">
        <v>536</v>
      </c>
    </row>
    <row r="79" spans="1:12">
      <c r="A79" t="s">
        <v>537</v>
      </c>
      <c r="B79" t="s">
        <v>538</v>
      </c>
      <c r="C79" t="s">
        <v>138</v>
      </c>
      <c r="D79" t="s">
        <v>83</v>
      </c>
      <c r="E79" t="s">
        <v>84</v>
      </c>
      <c r="F79" t="s">
        <v>123</v>
      </c>
      <c r="G79" t="s">
        <v>74</v>
      </c>
      <c r="H79" t="s">
        <v>539</v>
      </c>
      <c r="I79" t="s">
        <v>540</v>
      </c>
      <c r="J79" t="s">
        <v>134</v>
      </c>
      <c r="L79" t="s">
        <v>541</v>
      </c>
    </row>
    <row r="80" spans="1:12">
      <c r="A80" t="s">
        <v>542</v>
      </c>
      <c r="B80" t="s">
        <v>543</v>
      </c>
      <c r="C80" t="s">
        <v>82</v>
      </c>
      <c r="D80" t="s">
        <v>121</v>
      </c>
      <c r="E80" t="s">
        <v>122</v>
      </c>
      <c r="F80" t="s">
        <v>154</v>
      </c>
      <c r="G80" t="s">
        <v>167</v>
      </c>
      <c r="H80" t="s">
        <v>544</v>
      </c>
      <c r="I80" t="s">
        <v>545</v>
      </c>
      <c r="J80" t="s">
        <v>134</v>
      </c>
      <c r="K80" t="s">
        <v>89</v>
      </c>
      <c r="L80" t="s">
        <v>546</v>
      </c>
    </row>
    <row r="81" spans="1:12">
      <c r="A81" t="s">
        <v>547</v>
      </c>
      <c r="B81" t="s">
        <v>548</v>
      </c>
      <c r="C81" t="s">
        <v>93</v>
      </c>
      <c r="D81" t="s">
        <v>351</v>
      </c>
      <c r="E81" t="s">
        <v>105</v>
      </c>
      <c r="F81" t="s">
        <v>123</v>
      </c>
      <c r="G81" t="s">
        <v>167</v>
      </c>
      <c r="H81" t="s">
        <v>549</v>
      </c>
      <c r="I81" t="s">
        <v>550</v>
      </c>
      <c r="J81" t="s">
        <v>134</v>
      </c>
      <c r="K81" t="s">
        <v>78</v>
      </c>
      <c r="L81" t="s">
        <v>551</v>
      </c>
    </row>
    <row r="82" spans="1:12">
      <c r="A82" t="s">
        <v>552</v>
      </c>
      <c r="B82" t="s">
        <v>553</v>
      </c>
      <c r="D82" t="s">
        <v>401</v>
      </c>
      <c r="E82" t="s">
        <v>122</v>
      </c>
      <c r="F82" t="s">
        <v>85</v>
      </c>
      <c r="G82" t="s">
        <v>86</v>
      </c>
      <c r="H82" t="s">
        <v>554</v>
      </c>
      <c r="I82" t="s">
        <v>555</v>
      </c>
      <c r="J82" t="s">
        <v>134</v>
      </c>
      <c r="K82" t="s">
        <v>99</v>
      </c>
      <c r="L82" t="s">
        <v>556</v>
      </c>
    </row>
    <row r="83" spans="1:12">
      <c r="A83" t="s">
        <v>557</v>
      </c>
      <c r="B83" t="s">
        <v>210</v>
      </c>
      <c r="C83" t="s">
        <v>558</v>
      </c>
      <c r="D83" t="s">
        <v>173</v>
      </c>
      <c r="E83" t="s">
        <v>146</v>
      </c>
      <c r="F83" t="s">
        <v>154</v>
      </c>
      <c r="G83" t="s">
        <v>86</v>
      </c>
      <c r="H83" t="s">
        <v>559</v>
      </c>
      <c r="I83" t="s">
        <v>560</v>
      </c>
      <c r="J83" t="s">
        <v>134</v>
      </c>
      <c r="K83" t="s">
        <v>78</v>
      </c>
      <c r="L83" t="s">
        <v>561</v>
      </c>
    </row>
    <row r="84" spans="1:12">
      <c r="A84" t="s">
        <v>562</v>
      </c>
      <c r="B84" t="s">
        <v>563</v>
      </c>
      <c r="C84" t="s">
        <v>445</v>
      </c>
      <c r="D84" t="s">
        <v>173</v>
      </c>
      <c r="E84" t="s">
        <v>450</v>
      </c>
      <c r="F84" t="s">
        <v>564</v>
      </c>
      <c r="G84" t="s">
        <v>74</v>
      </c>
      <c r="H84" t="s">
        <v>565</v>
      </c>
      <c r="I84" t="s">
        <v>566</v>
      </c>
      <c r="J84" t="s">
        <v>98</v>
      </c>
      <c r="L84" t="s">
        <v>567</v>
      </c>
    </row>
    <row r="85" spans="1:12">
      <c r="A85" t="s">
        <v>568</v>
      </c>
      <c r="B85" t="s">
        <v>569</v>
      </c>
      <c r="C85" t="s">
        <v>93</v>
      </c>
      <c r="D85" t="s">
        <v>211</v>
      </c>
      <c r="E85" t="s">
        <v>72</v>
      </c>
      <c r="F85" t="s">
        <v>123</v>
      </c>
      <c r="G85" t="s">
        <v>86</v>
      </c>
      <c r="H85" t="s">
        <v>570</v>
      </c>
      <c r="I85" t="s">
        <v>571</v>
      </c>
      <c r="J85" t="s">
        <v>98</v>
      </c>
      <c r="K85" t="s">
        <v>109</v>
      </c>
      <c r="L85" t="s">
        <v>572</v>
      </c>
    </row>
    <row r="86" spans="1:12">
      <c r="A86" t="s">
        <v>573</v>
      </c>
      <c r="B86" t="s">
        <v>574</v>
      </c>
      <c r="C86" t="s">
        <v>282</v>
      </c>
      <c r="D86" t="s">
        <v>83</v>
      </c>
      <c r="E86" t="s">
        <v>153</v>
      </c>
      <c r="F86" t="s">
        <v>85</v>
      </c>
      <c r="G86" t="s">
        <v>86</v>
      </c>
      <c r="H86" t="s">
        <v>575</v>
      </c>
      <c r="I86" t="s">
        <v>576</v>
      </c>
      <c r="J86" t="s">
        <v>577</v>
      </c>
      <c r="K86" t="s">
        <v>78</v>
      </c>
      <c r="L86" t="s">
        <v>578</v>
      </c>
    </row>
    <row r="87" spans="1:12">
      <c r="A87" t="s">
        <v>579</v>
      </c>
      <c r="B87" t="s">
        <v>580</v>
      </c>
      <c r="C87" t="s">
        <v>120</v>
      </c>
      <c r="D87" t="s">
        <v>211</v>
      </c>
      <c r="E87" t="s">
        <v>581</v>
      </c>
      <c r="F87" t="s">
        <v>85</v>
      </c>
      <c r="G87" t="s">
        <v>86</v>
      </c>
      <c r="H87" t="s">
        <v>582</v>
      </c>
      <c r="I87" t="s">
        <v>583</v>
      </c>
      <c r="J87" t="s">
        <v>77</v>
      </c>
      <c r="L87" t="s">
        <v>584</v>
      </c>
    </row>
    <row r="88" spans="1:12">
      <c r="A88" t="s">
        <v>585</v>
      </c>
      <c r="B88" t="s">
        <v>586</v>
      </c>
      <c r="C88" t="s">
        <v>138</v>
      </c>
      <c r="D88" t="s">
        <v>83</v>
      </c>
      <c r="E88" t="s">
        <v>153</v>
      </c>
      <c r="F88" t="s">
        <v>205</v>
      </c>
      <c r="G88" t="s">
        <v>167</v>
      </c>
      <c r="H88" t="s">
        <v>587</v>
      </c>
      <c r="I88" t="s">
        <v>588</v>
      </c>
      <c r="J88" t="s">
        <v>134</v>
      </c>
      <c r="L88" t="s">
        <v>589</v>
      </c>
    </row>
    <row r="89" spans="1:12">
      <c r="A89" t="s">
        <v>590</v>
      </c>
      <c r="B89" t="s">
        <v>591</v>
      </c>
      <c r="C89" t="s">
        <v>592</v>
      </c>
      <c r="D89" t="s">
        <v>211</v>
      </c>
      <c r="E89" t="s">
        <v>593</v>
      </c>
      <c r="F89" t="s">
        <v>205</v>
      </c>
      <c r="H89" t="s">
        <v>594</v>
      </c>
      <c r="I89" t="s">
        <v>595</v>
      </c>
      <c r="J89" t="s">
        <v>77</v>
      </c>
      <c r="K89" t="s">
        <v>89</v>
      </c>
      <c r="L89" t="s">
        <v>596</v>
      </c>
    </row>
    <row r="90" spans="1:12">
      <c r="A90" t="s">
        <v>597</v>
      </c>
      <c r="B90" t="s">
        <v>119</v>
      </c>
      <c r="C90" t="s">
        <v>93</v>
      </c>
      <c r="D90" t="s">
        <v>83</v>
      </c>
      <c r="E90" t="s">
        <v>344</v>
      </c>
      <c r="F90" t="s">
        <v>289</v>
      </c>
      <c r="G90" t="s">
        <v>241</v>
      </c>
      <c r="H90" t="s">
        <v>598</v>
      </c>
      <c r="I90" t="s">
        <v>599</v>
      </c>
      <c r="J90" t="s">
        <v>98</v>
      </c>
      <c r="L90" t="s">
        <v>600</v>
      </c>
    </row>
    <row r="91" spans="1:12">
      <c r="A91" t="s">
        <v>601</v>
      </c>
      <c r="B91" t="s">
        <v>602</v>
      </c>
      <c r="C91" t="s">
        <v>103</v>
      </c>
      <c r="D91" t="s">
        <v>211</v>
      </c>
      <c r="E91" t="s">
        <v>363</v>
      </c>
      <c r="F91" t="s">
        <v>603</v>
      </c>
      <c r="G91" t="s">
        <v>74</v>
      </c>
      <c r="H91" t="s">
        <v>519</v>
      </c>
      <c r="I91" t="s">
        <v>604</v>
      </c>
      <c r="J91" t="s">
        <v>134</v>
      </c>
      <c r="K91" t="s">
        <v>99</v>
      </c>
      <c r="L91" t="s">
        <v>605</v>
      </c>
    </row>
    <row r="92" spans="1:12">
      <c r="A92" t="s">
        <v>606</v>
      </c>
      <c r="B92" t="s">
        <v>607</v>
      </c>
      <c r="C92" t="s">
        <v>70</v>
      </c>
      <c r="D92" t="s">
        <v>179</v>
      </c>
      <c r="E92" t="s">
        <v>153</v>
      </c>
      <c r="F92" t="s">
        <v>484</v>
      </c>
      <c r="G92" t="s">
        <v>86</v>
      </c>
      <c r="H92" t="s">
        <v>608</v>
      </c>
      <c r="I92" t="s">
        <v>609</v>
      </c>
      <c r="J92" t="s">
        <v>77</v>
      </c>
      <c r="K92" t="s">
        <v>78</v>
      </c>
      <c r="L92" t="s">
        <v>610</v>
      </c>
    </row>
    <row r="93" spans="1:12">
      <c r="A93" t="s">
        <v>611</v>
      </c>
      <c r="B93" t="s">
        <v>612</v>
      </c>
      <c r="C93" t="s">
        <v>282</v>
      </c>
      <c r="D93" t="s">
        <v>83</v>
      </c>
      <c r="E93" t="s">
        <v>84</v>
      </c>
      <c r="F93" t="s">
        <v>123</v>
      </c>
      <c r="G93" t="s">
        <v>86</v>
      </c>
      <c r="H93" t="s">
        <v>613</v>
      </c>
      <c r="I93" t="s">
        <v>614</v>
      </c>
      <c r="J93" t="s">
        <v>98</v>
      </c>
      <c r="K93" t="s">
        <v>109</v>
      </c>
      <c r="L93" t="s">
        <v>615</v>
      </c>
    </row>
    <row r="94" spans="1:12">
      <c r="A94" t="s">
        <v>616</v>
      </c>
      <c r="B94" t="s">
        <v>217</v>
      </c>
      <c r="C94" t="s">
        <v>82</v>
      </c>
      <c r="D94" t="s">
        <v>139</v>
      </c>
      <c r="E94" t="s">
        <v>95</v>
      </c>
      <c r="F94" t="s">
        <v>123</v>
      </c>
      <c r="G94" t="s">
        <v>114</v>
      </c>
      <c r="H94" t="s">
        <v>617</v>
      </c>
      <c r="I94" t="s">
        <v>618</v>
      </c>
      <c r="J94" t="s">
        <v>77</v>
      </c>
      <c r="K94" t="s">
        <v>109</v>
      </c>
      <c r="L94" t="s">
        <v>619</v>
      </c>
    </row>
    <row r="95" spans="1:12">
      <c r="A95" t="s">
        <v>620</v>
      </c>
      <c r="B95" t="s">
        <v>412</v>
      </c>
      <c r="C95" t="s">
        <v>82</v>
      </c>
      <c r="D95" t="s">
        <v>351</v>
      </c>
      <c r="E95" t="s">
        <v>122</v>
      </c>
      <c r="F95" t="s">
        <v>621</v>
      </c>
      <c r="G95" t="s">
        <v>74</v>
      </c>
      <c r="H95" t="s">
        <v>622</v>
      </c>
      <c r="I95" t="s">
        <v>623</v>
      </c>
      <c r="J95" t="s">
        <v>98</v>
      </c>
      <c r="K95" t="s">
        <v>99</v>
      </c>
      <c r="L95" t="s">
        <v>624</v>
      </c>
    </row>
    <row r="96" spans="1:12">
      <c r="A96" t="s">
        <v>625</v>
      </c>
      <c r="B96" t="s">
        <v>626</v>
      </c>
      <c r="C96" t="s">
        <v>510</v>
      </c>
      <c r="D96" t="s">
        <v>173</v>
      </c>
      <c r="E96" t="s">
        <v>146</v>
      </c>
      <c r="F96" t="s">
        <v>123</v>
      </c>
      <c r="G96" t="s">
        <v>247</v>
      </c>
      <c r="H96" t="s">
        <v>627</v>
      </c>
      <c r="I96" t="s">
        <v>628</v>
      </c>
      <c r="J96" t="s">
        <v>77</v>
      </c>
      <c r="L96" t="s">
        <v>629</v>
      </c>
    </row>
    <row r="97" spans="1:12">
      <c r="A97" t="s">
        <v>630</v>
      </c>
      <c r="B97" t="s">
        <v>326</v>
      </c>
      <c r="C97" t="s">
        <v>138</v>
      </c>
      <c r="D97" t="s">
        <v>139</v>
      </c>
      <c r="E97" t="s">
        <v>95</v>
      </c>
      <c r="F97" t="s">
        <v>631</v>
      </c>
      <c r="G97" t="s">
        <v>167</v>
      </c>
      <c r="H97" t="s">
        <v>632</v>
      </c>
      <c r="I97" t="s">
        <v>633</v>
      </c>
      <c r="J97" t="s">
        <v>98</v>
      </c>
      <c r="K97" t="s">
        <v>78</v>
      </c>
      <c r="L97" t="s">
        <v>634</v>
      </c>
    </row>
    <row r="98" spans="1:12">
      <c r="A98" t="s">
        <v>635</v>
      </c>
      <c r="B98" t="s">
        <v>636</v>
      </c>
      <c r="C98" t="s">
        <v>93</v>
      </c>
      <c r="D98" t="s">
        <v>104</v>
      </c>
      <c r="E98" t="s">
        <v>122</v>
      </c>
      <c r="F98" t="s">
        <v>106</v>
      </c>
      <c r="G98" t="s">
        <v>74</v>
      </c>
      <c r="H98" t="s">
        <v>637</v>
      </c>
      <c r="I98" t="s">
        <v>638</v>
      </c>
      <c r="J98" t="s">
        <v>98</v>
      </c>
      <c r="K98" t="s">
        <v>78</v>
      </c>
      <c r="L98" t="s">
        <v>639</v>
      </c>
    </row>
    <row r="99" spans="1:12">
      <c r="A99" t="s">
        <v>640</v>
      </c>
      <c r="B99" t="s">
        <v>641</v>
      </c>
      <c r="C99" t="s">
        <v>82</v>
      </c>
      <c r="D99" t="s">
        <v>276</v>
      </c>
      <c r="E99" t="s">
        <v>153</v>
      </c>
      <c r="F99" t="s">
        <v>512</v>
      </c>
      <c r="G99" t="s">
        <v>167</v>
      </c>
      <c r="H99" t="s">
        <v>642</v>
      </c>
      <c r="I99" t="s">
        <v>643</v>
      </c>
      <c r="J99" t="s">
        <v>134</v>
      </c>
      <c r="K99" t="s">
        <v>78</v>
      </c>
      <c r="L99" t="s">
        <v>644</v>
      </c>
    </row>
    <row r="100" spans="1:12">
      <c r="A100" t="s">
        <v>645</v>
      </c>
      <c r="B100" t="s">
        <v>646</v>
      </c>
      <c r="C100" t="s">
        <v>223</v>
      </c>
      <c r="D100" t="s">
        <v>173</v>
      </c>
      <c r="E100" t="s">
        <v>146</v>
      </c>
      <c r="F100" t="s">
        <v>106</v>
      </c>
      <c r="G100" t="s">
        <v>86</v>
      </c>
      <c r="H100" t="s">
        <v>647</v>
      </c>
      <c r="I100" t="s">
        <v>648</v>
      </c>
      <c r="J100" t="s">
        <v>98</v>
      </c>
      <c r="K100" t="s">
        <v>78</v>
      </c>
      <c r="L100" t="s">
        <v>649</v>
      </c>
    </row>
    <row r="101" spans="1:12">
      <c r="A101" t="s">
        <v>650</v>
      </c>
      <c r="B101" t="s">
        <v>651</v>
      </c>
      <c r="C101" t="s">
        <v>456</v>
      </c>
      <c r="D101" t="s">
        <v>211</v>
      </c>
      <c r="E101" t="s">
        <v>72</v>
      </c>
      <c r="F101" t="s">
        <v>652</v>
      </c>
      <c r="G101" t="s">
        <v>114</v>
      </c>
      <c r="H101" t="s">
        <v>653</v>
      </c>
      <c r="I101" t="s">
        <v>654</v>
      </c>
      <c r="J101" t="s">
        <v>134</v>
      </c>
      <c r="K101" t="s">
        <v>78</v>
      </c>
      <c r="L101" t="s">
        <v>655</v>
      </c>
    </row>
    <row r="102" spans="1:12">
      <c r="A102" t="s">
        <v>656</v>
      </c>
      <c r="B102" t="s">
        <v>657</v>
      </c>
      <c r="C102" t="s">
        <v>658</v>
      </c>
      <c r="D102" t="s">
        <v>173</v>
      </c>
      <c r="E102" t="s">
        <v>659</v>
      </c>
      <c r="F102" t="s">
        <v>106</v>
      </c>
      <c r="G102" t="s">
        <v>114</v>
      </c>
      <c r="H102" t="s">
        <v>660</v>
      </c>
      <c r="I102" t="s">
        <v>661</v>
      </c>
      <c r="J102" t="s">
        <v>98</v>
      </c>
      <c r="K102" t="s">
        <v>109</v>
      </c>
      <c r="L102" t="s">
        <v>662</v>
      </c>
    </row>
    <row r="103" spans="1:12">
      <c r="A103" t="s">
        <v>663</v>
      </c>
      <c r="B103" t="s">
        <v>664</v>
      </c>
      <c r="C103" t="s">
        <v>185</v>
      </c>
      <c r="D103" t="s">
        <v>83</v>
      </c>
      <c r="E103" t="s">
        <v>84</v>
      </c>
      <c r="F103" t="s">
        <v>484</v>
      </c>
      <c r="G103" t="s">
        <v>74</v>
      </c>
      <c r="H103" t="s">
        <v>665</v>
      </c>
      <c r="I103" t="s">
        <v>666</v>
      </c>
      <c r="J103" t="s">
        <v>134</v>
      </c>
      <c r="K103" t="s">
        <v>78</v>
      </c>
      <c r="L103" t="s">
        <v>667</v>
      </c>
    </row>
    <row r="104" spans="1:12">
      <c r="A104" t="s">
        <v>668</v>
      </c>
      <c r="B104" t="s">
        <v>669</v>
      </c>
      <c r="C104" t="s">
        <v>120</v>
      </c>
      <c r="D104" t="s">
        <v>83</v>
      </c>
      <c r="E104" t="s">
        <v>153</v>
      </c>
      <c r="F104" t="s">
        <v>106</v>
      </c>
      <c r="G104" t="s">
        <v>86</v>
      </c>
      <c r="H104" t="s">
        <v>670</v>
      </c>
      <c r="I104" t="s">
        <v>671</v>
      </c>
      <c r="J104" t="s">
        <v>134</v>
      </c>
      <c r="K104" t="s">
        <v>78</v>
      </c>
      <c r="L104" t="s">
        <v>672</v>
      </c>
    </row>
    <row r="105" spans="1:12">
      <c r="A105" t="s">
        <v>673</v>
      </c>
      <c r="B105" t="s">
        <v>674</v>
      </c>
      <c r="C105" t="s">
        <v>93</v>
      </c>
      <c r="D105" t="s">
        <v>83</v>
      </c>
      <c r="E105" t="s">
        <v>84</v>
      </c>
      <c r="F105" t="s">
        <v>85</v>
      </c>
      <c r="G105" t="s">
        <v>167</v>
      </c>
      <c r="H105" t="s">
        <v>675</v>
      </c>
      <c r="I105" t="s">
        <v>676</v>
      </c>
      <c r="J105" t="s">
        <v>134</v>
      </c>
      <c r="K105" t="s">
        <v>78</v>
      </c>
      <c r="L105" t="s">
        <v>677</v>
      </c>
    </row>
    <row r="106" spans="1:12">
      <c r="A106" t="s">
        <v>678</v>
      </c>
      <c r="B106" t="s">
        <v>532</v>
      </c>
      <c r="C106" t="s">
        <v>93</v>
      </c>
      <c r="D106" t="s">
        <v>211</v>
      </c>
      <c r="E106" t="s">
        <v>679</v>
      </c>
      <c r="F106" t="s">
        <v>680</v>
      </c>
      <c r="G106" t="s">
        <v>167</v>
      </c>
      <c r="H106" t="s">
        <v>681</v>
      </c>
      <c r="I106" t="s">
        <v>682</v>
      </c>
      <c r="J106" t="s">
        <v>98</v>
      </c>
      <c r="K106" t="s">
        <v>99</v>
      </c>
      <c r="L106" t="s">
        <v>683</v>
      </c>
    </row>
    <row r="107" spans="1:12">
      <c r="A107" t="s">
        <v>684</v>
      </c>
      <c r="B107" t="s">
        <v>685</v>
      </c>
      <c r="C107" t="s">
        <v>103</v>
      </c>
      <c r="D107" t="s">
        <v>211</v>
      </c>
      <c r="E107" t="s">
        <v>686</v>
      </c>
      <c r="F107" t="s">
        <v>123</v>
      </c>
      <c r="G107" t="s">
        <v>86</v>
      </c>
      <c r="H107" t="s">
        <v>687</v>
      </c>
      <c r="I107" t="s">
        <v>688</v>
      </c>
      <c r="J107" t="s">
        <v>98</v>
      </c>
      <c r="K107" t="s">
        <v>99</v>
      </c>
      <c r="L107" t="s">
        <v>689</v>
      </c>
    </row>
    <row r="108" spans="1:12">
      <c r="A108" t="s">
        <v>690</v>
      </c>
      <c r="B108" t="s">
        <v>691</v>
      </c>
      <c r="C108" t="s">
        <v>120</v>
      </c>
      <c r="D108" t="s">
        <v>211</v>
      </c>
      <c r="E108" t="s">
        <v>581</v>
      </c>
      <c r="F108" t="s">
        <v>621</v>
      </c>
      <c r="G108" t="s">
        <v>167</v>
      </c>
      <c r="H108" t="s">
        <v>692</v>
      </c>
      <c r="I108" t="s">
        <v>693</v>
      </c>
      <c r="J108" t="s">
        <v>134</v>
      </c>
      <c r="K108" t="s">
        <v>109</v>
      </c>
      <c r="L108" t="s">
        <v>694</v>
      </c>
    </row>
    <row r="109" spans="1:12">
      <c r="A109" t="s">
        <v>695</v>
      </c>
      <c r="B109" t="s">
        <v>696</v>
      </c>
      <c r="C109" t="s">
        <v>311</v>
      </c>
      <c r="D109" t="s">
        <v>211</v>
      </c>
      <c r="E109" t="s">
        <v>697</v>
      </c>
      <c r="F109" t="s">
        <v>603</v>
      </c>
      <c r="G109" t="s">
        <v>167</v>
      </c>
      <c r="H109" t="s">
        <v>698</v>
      </c>
      <c r="I109" t="s">
        <v>699</v>
      </c>
      <c r="J109" t="s">
        <v>98</v>
      </c>
      <c r="K109" t="s">
        <v>99</v>
      </c>
      <c r="L109" t="s">
        <v>700</v>
      </c>
    </row>
    <row r="110" spans="1:12">
      <c r="A110" t="s">
        <v>701</v>
      </c>
      <c r="B110" t="s">
        <v>702</v>
      </c>
      <c r="C110" t="s">
        <v>152</v>
      </c>
      <c r="D110" t="s">
        <v>71</v>
      </c>
      <c r="E110" t="s">
        <v>363</v>
      </c>
      <c r="F110" t="s">
        <v>106</v>
      </c>
      <c r="G110" t="s">
        <v>114</v>
      </c>
      <c r="H110" t="s">
        <v>703</v>
      </c>
      <c r="I110" t="s">
        <v>704</v>
      </c>
      <c r="J110" t="s">
        <v>705</v>
      </c>
      <c r="K110" t="s">
        <v>109</v>
      </c>
      <c r="L110" t="s">
        <v>706</v>
      </c>
    </row>
    <row r="111" spans="1:12">
      <c r="A111" t="s">
        <v>707</v>
      </c>
      <c r="B111" t="s">
        <v>708</v>
      </c>
      <c r="C111" t="s">
        <v>490</v>
      </c>
      <c r="D111" t="s">
        <v>401</v>
      </c>
      <c r="E111" t="s">
        <v>105</v>
      </c>
      <c r="F111" t="s">
        <v>709</v>
      </c>
      <c r="G111" t="s">
        <v>247</v>
      </c>
      <c r="H111" t="s">
        <v>710</v>
      </c>
      <c r="I111" t="s">
        <v>711</v>
      </c>
      <c r="J111" t="s">
        <v>134</v>
      </c>
      <c r="K111" t="s">
        <v>78</v>
      </c>
      <c r="L111" t="s">
        <v>712</v>
      </c>
    </row>
    <row r="112" spans="1:12">
      <c r="A112" t="s">
        <v>713</v>
      </c>
      <c r="B112" t="s">
        <v>714</v>
      </c>
      <c r="C112" t="s">
        <v>138</v>
      </c>
      <c r="D112" t="s">
        <v>173</v>
      </c>
      <c r="E112" t="s">
        <v>95</v>
      </c>
      <c r="F112" t="s">
        <v>505</v>
      </c>
      <c r="G112" t="s">
        <v>114</v>
      </c>
      <c r="H112" t="s">
        <v>715</v>
      </c>
      <c r="I112" t="s">
        <v>716</v>
      </c>
      <c r="J112" t="s">
        <v>134</v>
      </c>
      <c r="K112" t="s">
        <v>78</v>
      </c>
      <c r="L112" t="s">
        <v>717</v>
      </c>
    </row>
    <row r="113" spans="1:12">
      <c r="A113" t="s">
        <v>718</v>
      </c>
      <c r="B113" t="s">
        <v>719</v>
      </c>
      <c r="C113" t="s">
        <v>445</v>
      </c>
      <c r="D113" t="s">
        <v>211</v>
      </c>
      <c r="E113" t="s">
        <v>72</v>
      </c>
      <c r="F113" t="s">
        <v>123</v>
      </c>
      <c r="G113" t="s">
        <v>114</v>
      </c>
      <c r="H113" t="s">
        <v>720</v>
      </c>
      <c r="I113" t="s">
        <v>721</v>
      </c>
      <c r="J113" t="s">
        <v>77</v>
      </c>
      <c r="K113" t="s">
        <v>99</v>
      </c>
      <c r="L113" t="s">
        <v>722</v>
      </c>
    </row>
    <row r="114" spans="1:12">
      <c r="A114" t="s">
        <v>723</v>
      </c>
      <c r="B114" t="s">
        <v>724</v>
      </c>
      <c r="C114" t="s">
        <v>120</v>
      </c>
      <c r="D114" t="s">
        <v>83</v>
      </c>
      <c r="E114" t="s">
        <v>84</v>
      </c>
      <c r="F114" t="s">
        <v>154</v>
      </c>
      <c r="G114" t="s">
        <v>74</v>
      </c>
      <c r="H114" t="s">
        <v>725</v>
      </c>
      <c r="I114" t="s">
        <v>726</v>
      </c>
      <c r="J114" t="s">
        <v>98</v>
      </c>
      <c r="K114" t="s">
        <v>109</v>
      </c>
      <c r="L114" t="s">
        <v>727</v>
      </c>
    </row>
    <row r="115" spans="1:12">
      <c r="A115" t="s">
        <v>728</v>
      </c>
      <c r="B115" t="s">
        <v>729</v>
      </c>
      <c r="C115" t="s">
        <v>82</v>
      </c>
      <c r="D115" t="s">
        <v>173</v>
      </c>
      <c r="E115" t="s">
        <v>146</v>
      </c>
      <c r="F115" t="s">
        <v>85</v>
      </c>
      <c r="G115" t="s">
        <v>114</v>
      </c>
      <c r="H115" t="s">
        <v>730</v>
      </c>
      <c r="I115" t="s">
        <v>731</v>
      </c>
      <c r="J115" t="s">
        <v>134</v>
      </c>
      <c r="K115" t="s">
        <v>109</v>
      </c>
      <c r="L115" t="s">
        <v>732</v>
      </c>
    </row>
    <row r="116" spans="1:12">
      <c r="A116" t="s">
        <v>733</v>
      </c>
      <c r="B116" t="s">
        <v>734</v>
      </c>
      <c r="C116" t="s">
        <v>152</v>
      </c>
      <c r="D116" t="s">
        <v>121</v>
      </c>
      <c r="E116" t="s">
        <v>197</v>
      </c>
      <c r="F116" t="s">
        <v>85</v>
      </c>
      <c r="G116" t="s">
        <v>74</v>
      </c>
      <c r="H116" t="s">
        <v>735</v>
      </c>
      <c r="I116" t="s">
        <v>736</v>
      </c>
      <c r="J116" t="s">
        <v>134</v>
      </c>
      <c r="L116" t="s">
        <v>737</v>
      </c>
    </row>
    <row r="117" spans="1:12">
      <c r="A117" t="s">
        <v>738</v>
      </c>
      <c r="B117" t="s">
        <v>333</v>
      </c>
      <c r="C117" t="s">
        <v>152</v>
      </c>
      <c r="D117" t="s">
        <v>211</v>
      </c>
      <c r="E117" t="s">
        <v>363</v>
      </c>
      <c r="F117" t="s">
        <v>85</v>
      </c>
      <c r="G117" t="s">
        <v>74</v>
      </c>
      <c r="H117" t="s">
        <v>739</v>
      </c>
      <c r="I117" t="s">
        <v>740</v>
      </c>
      <c r="J117" t="s">
        <v>77</v>
      </c>
      <c r="K117" t="s">
        <v>109</v>
      </c>
      <c r="L117" t="s">
        <v>741</v>
      </c>
    </row>
    <row r="118" spans="1:12">
      <c r="A118" t="s">
        <v>742</v>
      </c>
      <c r="B118" t="s">
        <v>734</v>
      </c>
      <c r="C118" t="s">
        <v>152</v>
      </c>
      <c r="D118" t="s">
        <v>173</v>
      </c>
      <c r="E118" t="s">
        <v>146</v>
      </c>
      <c r="F118" t="s">
        <v>154</v>
      </c>
      <c r="G118" t="s">
        <v>114</v>
      </c>
      <c r="H118" t="s">
        <v>743</v>
      </c>
      <c r="I118" t="s">
        <v>744</v>
      </c>
      <c r="J118" t="s">
        <v>98</v>
      </c>
      <c r="K118" t="s">
        <v>109</v>
      </c>
      <c r="L118" t="s">
        <v>745</v>
      </c>
    </row>
    <row r="119" spans="1:12">
      <c r="A119" t="s">
        <v>746</v>
      </c>
      <c r="B119" t="s">
        <v>747</v>
      </c>
      <c r="C119" t="s">
        <v>103</v>
      </c>
      <c r="D119" t="s">
        <v>224</v>
      </c>
      <c r="E119" t="s">
        <v>153</v>
      </c>
      <c r="F119" t="s">
        <v>106</v>
      </c>
      <c r="G119" t="s">
        <v>86</v>
      </c>
      <c r="H119" t="s">
        <v>748</v>
      </c>
      <c r="I119" t="s">
        <v>749</v>
      </c>
      <c r="J119" t="s">
        <v>134</v>
      </c>
      <c r="L119" t="s">
        <v>750</v>
      </c>
    </row>
    <row r="120" spans="1:12">
      <c r="A120" t="s">
        <v>751</v>
      </c>
      <c r="B120" t="s">
        <v>752</v>
      </c>
      <c r="D120" t="s">
        <v>121</v>
      </c>
      <c r="E120" t="s">
        <v>122</v>
      </c>
      <c r="F120" t="s">
        <v>505</v>
      </c>
      <c r="G120" t="s">
        <v>86</v>
      </c>
      <c r="H120" t="s">
        <v>753</v>
      </c>
      <c r="I120" t="s">
        <v>754</v>
      </c>
      <c r="J120" t="s">
        <v>134</v>
      </c>
      <c r="K120" t="s">
        <v>99</v>
      </c>
      <c r="L120" t="s">
        <v>755</v>
      </c>
    </row>
    <row r="121" spans="1:12">
      <c r="A121" t="s">
        <v>756</v>
      </c>
      <c r="B121" t="s">
        <v>757</v>
      </c>
      <c r="C121" t="s">
        <v>592</v>
      </c>
      <c r="E121" t="s">
        <v>72</v>
      </c>
      <c r="F121" t="s">
        <v>123</v>
      </c>
      <c r="G121" t="s">
        <v>86</v>
      </c>
      <c r="H121" t="s">
        <v>758</v>
      </c>
      <c r="I121" t="s">
        <v>759</v>
      </c>
      <c r="J121" t="s">
        <v>98</v>
      </c>
      <c r="K121" t="s">
        <v>99</v>
      </c>
      <c r="L121" t="s">
        <v>760</v>
      </c>
    </row>
    <row r="122" spans="1:12">
      <c r="A122" t="s">
        <v>761</v>
      </c>
      <c r="B122" t="s">
        <v>543</v>
      </c>
      <c r="C122" t="s">
        <v>558</v>
      </c>
      <c r="D122" t="s">
        <v>94</v>
      </c>
      <c r="E122" t="s">
        <v>95</v>
      </c>
      <c r="F122" t="s">
        <v>106</v>
      </c>
      <c r="G122" t="s">
        <v>86</v>
      </c>
      <c r="H122" t="s">
        <v>762</v>
      </c>
      <c r="I122" t="s">
        <v>763</v>
      </c>
      <c r="J122" t="s">
        <v>77</v>
      </c>
      <c r="K122" t="s">
        <v>109</v>
      </c>
      <c r="L122" t="s">
        <v>764</v>
      </c>
    </row>
    <row r="123" spans="1:12">
      <c r="A123" t="s">
        <v>765</v>
      </c>
      <c r="B123" t="s">
        <v>766</v>
      </c>
      <c r="C123" t="s">
        <v>93</v>
      </c>
      <c r="D123" t="s">
        <v>121</v>
      </c>
      <c r="E123" t="s">
        <v>122</v>
      </c>
      <c r="F123" t="s">
        <v>123</v>
      </c>
      <c r="G123" t="s">
        <v>74</v>
      </c>
      <c r="H123" t="s">
        <v>767</v>
      </c>
      <c r="I123" t="s">
        <v>768</v>
      </c>
      <c r="J123" t="s">
        <v>98</v>
      </c>
      <c r="K123" t="s">
        <v>78</v>
      </c>
      <c r="L123" t="s">
        <v>769</v>
      </c>
    </row>
    <row r="124" spans="1:12">
      <c r="A124" t="s">
        <v>770</v>
      </c>
      <c r="B124" t="s">
        <v>771</v>
      </c>
      <c r="C124" t="s">
        <v>93</v>
      </c>
      <c r="D124" t="s">
        <v>121</v>
      </c>
      <c r="E124" t="s">
        <v>122</v>
      </c>
      <c r="F124" t="s">
        <v>85</v>
      </c>
      <c r="G124" t="s">
        <v>74</v>
      </c>
      <c r="H124" t="s">
        <v>772</v>
      </c>
      <c r="I124" t="s">
        <v>773</v>
      </c>
      <c r="J124" t="s">
        <v>77</v>
      </c>
      <c r="L124" t="s">
        <v>774</v>
      </c>
    </row>
    <row r="125" spans="1:12">
      <c r="A125" t="s">
        <v>775</v>
      </c>
      <c r="B125" t="s">
        <v>776</v>
      </c>
      <c r="C125" t="s">
        <v>93</v>
      </c>
      <c r="D125" t="s">
        <v>211</v>
      </c>
      <c r="E125" t="s">
        <v>131</v>
      </c>
      <c r="F125" t="s">
        <v>777</v>
      </c>
      <c r="G125" t="s">
        <v>167</v>
      </c>
      <c r="H125" t="s">
        <v>236</v>
      </c>
      <c r="I125" t="s">
        <v>778</v>
      </c>
      <c r="J125" t="s">
        <v>98</v>
      </c>
      <c r="K125" t="s">
        <v>109</v>
      </c>
      <c r="L125" t="s">
        <v>779</v>
      </c>
    </row>
    <row r="126" spans="1:12">
      <c r="A126" t="s">
        <v>780</v>
      </c>
      <c r="B126" t="s">
        <v>781</v>
      </c>
      <c r="C126" t="s">
        <v>185</v>
      </c>
      <c r="D126" t="s">
        <v>173</v>
      </c>
      <c r="E126" t="s">
        <v>146</v>
      </c>
      <c r="F126" t="s">
        <v>106</v>
      </c>
      <c r="G126" t="s">
        <v>167</v>
      </c>
      <c r="H126" t="s">
        <v>782</v>
      </c>
      <c r="I126" t="s">
        <v>783</v>
      </c>
      <c r="J126" t="s">
        <v>77</v>
      </c>
      <c r="K126" t="s">
        <v>109</v>
      </c>
      <c r="L126" t="s">
        <v>784</v>
      </c>
    </row>
    <row r="127" spans="1:12">
      <c r="A127" t="s">
        <v>785</v>
      </c>
      <c r="B127" t="s">
        <v>326</v>
      </c>
      <c r="C127" t="s">
        <v>103</v>
      </c>
      <c r="D127" t="s">
        <v>104</v>
      </c>
      <c r="E127" t="s">
        <v>122</v>
      </c>
      <c r="F127" t="s">
        <v>205</v>
      </c>
      <c r="G127" t="s">
        <v>86</v>
      </c>
      <c r="H127" t="s">
        <v>786</v>
      </c>
      <c r="I127" t="s">
        <v>787</v>
      </c>
      <c r="J127" t="s">
        <v>98</v>
      </c>
      <c r="K127" t="s">
        <v>109</v>
      </c>
      <c r="L127" t="s">
        <v>788</v>
      </c>
    </row>
    <row r="128" spans="1:12">
      <c r="A128" t="s">
        <v>789</v>
      </c>
      <c r="B128" t="s">
        <v>790</v>
      </c>
      <c r="C128" t="s">
        <v>138</v>
      </c>
      <c r="D128" t="s">
        <v>173</v>
      </c>
      <c r="E128" t="s">
        <v>791</v>
      </c>
      <c r="F128" t="s">
        <v>85</v>
      </c>
      <c r="G128" t="s">
        <v>345</v>
      </c>
      <c r="H128" t="s">
        <v>792</v>
      </c>
      <c r="I128" t="s">
        <v>793</v>
      </c>
      <c r="J128" t="s">
        <v>77</v>
      </c>
      <c r="K128" t="s">
        <v>89</v>
      </c>
      <c r="L128" t="s">
        <v>794</v>
      </c>
    </row>
    <row r="129" spans="1:12">
      <c r="A129" t="s">
        <v>795</v>
      </c>
      <c r="B129" t="s">
        <v>796</v>
      </c>
      <c r="C129" t="s">
        <v>362</v>
      </c>
      <c r="D129" t="s">
        <v>253</v>
      </c>
      <c r="E129" t="s">
        <v>797</v>
      </c>
      <c r="F129" t="s">
        <v>123</v>
      </c>
      <c r="G129" t="s">
        <v>74</v>
      </c>
      <c r="H129" t="s">
        <v>798</v>
      </c>
      <c r="I129" t="s">
        <v>799</v>
      </c>
      <c r="J129" t="s">
        <v>134</v>
      </c>
      <c r="K129" t="s">
        <v>99</v>
      </c>
      <c r="L129" t="s">
        <v>800</v>
      </c>
    </row>
    <row r="130" spans="1:12">
      <c r="A130" t="s">
        <v>801</v>
      </c>
      <c r="B130" t="s">
        <v>802</v>
      </c>
      <c r="C130" t="s">
        <v>120</v>
      </c>
      <c r="D130" t="s">
        <v>803</v>
      </c>
      <c r="E130" t="s">
        <v>804</v>
      </c>
      <c r="F130" t="s">
        <v>123</v>
      </c>
      <c r="G130" t="s">
        <v>86</v>
      </c>
      <c r="H130" t="s">
        <v>805</v>
      </c>
      <c r="I130" t="s">
        <v>806</v>
      </c>
      <c r="J130" t="s">
        <v>134</v>
      </c>
      <c r="L130" t="s">
        <v>807</v>
      </c>
    </row>
    <row r="131" spans="1:12">
      <c r="A131" t="s">
        <v>808</v>
      </c>
      <c r="B131" t="s">
        <v>602</v>
      </c>
      <c r="C131" t="s">
        <v>120</v>
      </c>
      <c r="D131" t="s">
        <v>211</v>
      </c>
      <c r="E131" t="s">
        <v>363</v>
      </c>
      <c r="F131" t="s">
        <v>123</v>
      </c>
      <c r="G131" t="s">
        <v>86</v>
      </c>
      <c r="H131" t="s">
        <v>809</v>
      </c>
      <c r="I131" t="s">
        <v>810</v>
      </c>
      <c r="J131" t="s">
        <v>98</v>
      </c>
      <c r="K131" t="s">
        <v>99</v>
      </c>
      <c r="L131" t="s">
        <v>811</v>
      </c>
    </row>
    <row r="132" spans="1:12">
      <c r="A132" t="s">
        <v>812</v>
      </c>
      <c r="B132" t="s">
        <v>776</v>
      </c>
      <c r="C132" t="s">
        <v>93</v>
      </c>
      <c r="D132" t="s">
        <v>121</v>
      </c>
      <c r="E132" t="s">
        <v>122</v>
      </c>
      <c r="F132" t="s">
        <v>154</v>
      </c>
      <c r="G132" t="s">
        <v>114</v>
      </c>
      <c r="H132" t="s">
        <v>813</v>
      </c>
      <c r="I132" t="s">
        <v>814</v>
      </c>
      <c r="J132" t="s">
        <v>705</v>
      </c>
      <c r="L132" t="s">
        <v>815</v>
      </c>
    </row>
    <row r="133" spans="1:12">
      <c r="A133" t="s">
        <v>816</v>
      </c>
      <c r="B133" t="s">
        <v>817</v>
      </c>
      <c r="C133" t="s">
        <v>439</v>
      </c>
      <c r="D133" t="s">
        <v>211</v>
      </c>
      <c r="E133" t="s">
        <v>72</v>
      </c>
      <c r="F133" t="s">
        <v>85</v>
      </c>
      <c r="G133" t="s">
        <v>86</v>
      </c>
      <c r="H133" t="s">
        <v>818</v>
      </c>
      <c r="I133" t="s">
        <v>819</v>
      </c>
      <c r="J133" t="s">
        <v>98</v>
      </c>
      <c r="L133" t="s">
        <v>820</v>
      </c>
    </row>
    <row r="134" spans="1:12">
      <c r="A134" t="s">
        <v>821</v>
      </c>
      <c r="B134" t="s">
        <v>822</v>
      </c>
      <c r="C134" t="s">
        <v>120</v>
      </c>
      <c r="D134" t="s">
        <v>83</v>
      </c>
      <c r="E134" t="s">
        <v>84</v>
      </c>
      <c r="F134" t="s">
        <v>680</v>
      </c>
      <c r="G134" t="s">
        <v>86</v>
      </c>
      <c r="H134" t="s">
        <v>823</v>
      </c>
      <c r="I134" t="s">
        <v>824</v>
      </c>
      <c r="J134" t="s">
        <v>134</v>
      </c>
      <c r="K134" t="s">
        <v>78</v>
      </c>
      <c r="L134" t="s">
        <v>825</v>
      </c>
    </row>
    <row r="135" spans="1:12">
      <c r="A135" t="s">
        <v>826</v>
      </c>
      <c r="B135" t="s">
        <v>827</v>
      </c>
      <c r="C135" t="s">
        <v>82</v>
      </c>
      <c r="D135" t="s">
        <v>211</v>
      </c>
      <c r="E135" t="s">
        <v>131</v>
      </c>
      <c r="F135" t="s">
        <v>828</v>
      </c>
      <c r="G135" t="s">
        <v>86</v>
      </c>
      <c r="H135" t="s">
        <v>829</v>
      </c>
      <c r="I135" t="s">
        <v>830</v>
      </c>
      <c r="J135" t="s">
        <v>134</v>
      </c>
      <c r="K135" t="s">
        <v>109</v>
      </c>
      <c r="L135" t="s">
        <v>831</v>
      </c>
    </row>
    <row r="136" spans="1:12">
      <c r="A136" t="s">
        <v>832</v>
      </c>
      <c r="B136" t="s">
        <v>833</v>
      </c>
      <c r="C136" t="s">
        <v>223</v>
      </c>
      <c r="D136" t="s">
        <v>173</v>
      </c>
      <c r="E136" t="s">
        <v>95</v>
      </c>
      <c r="F136" t="s">
        <v>154</v>
      </c>
      <c r="G136" t="s">
        <v>74</v>
      </c>
      <c r="H136" t="s">
        <v>834</v>
      </c>
      <c r="I136" t="s">
        <v>835</v>
      </c>
      <c r="J136" t="s">
        <v>98</v>
      </c>
      <c r="K136" t="s">
        <v>78</v>
      </c>
      <c r="L136" t="s">
        <v>836</v>
      </c>
    </row>
    <row r="137" spans="1:12">
      <c r="A137" t="s">
        <v>837</v>
      </c>
      <c r="B137" t="s">
        <v>538</v>
      </c>
      <c r="C137" t="s">
        <v>445</v>
      </c>
      <c r="D137" t="s">
        <v>121</v>
      </c>
      <c r="E137" t="s">
        <v>838</v>
      </c>
      <c r="F137" t="s">
        <v>205</v>
      </c>
      <c r="G137" t="s">
        <v>86</v>
      </c>
      <c r="I137" t="s">
        <v>839</v>
      </c>
      <c r="J137" t="s">
        <v>77</v>
      </c>
      <c r="K137" t="s">
        <v>78</v>
      </c>
      <c r="L137" t="s">
        <v>840</v>
      </c>
    </row>
    <row r="138" spans="1:12">
      <c r="A138" t="s">
        <v>789</v>
      </c>
      <c r="B138" t="s">
        <v>790</v>
      </c>
      <c r="C138" t="s">
        <v>138</v>
      </c>
      <c r="D138" t="s">
        <v>173</v>
      </c>
      <c r="E138" t="s">
        <v>791</v>
      </c>
      <c r="F138" t="s">
        <v>85</v>
      </c>
      <c r="G138" t="s">
        <v>345</v>
      </c>
      <c r="H138" t="s">
        <v>792</v>
      </c>
      <c r="I138" t="s">
        <v>793</v>
      </c>
      <c r="J138" t="s">
        <v>77</v>
      </c>
      <c r="K138" t="s">
        <v>99</v>
      </c>
      <c r="L138" t="s">
        <v>794</v>
      </c>
    </row>
    <row r="139" spans="1:12">
      <c r="A139" t="s">
        <v>841</v>
      </c>
      <c r="B139" t="s">
        <v>842</v>
      </c>
      <c r="C139" t="s">
        <v>223</v>
      </c>
      <c r="D139" t="s">
        <v>121</v>
      </c>
      <c r="E139" t="s">
        <v>122</v>
      </c>
      <c r="F139" t="s">
        <v>123</v>
      </c>
      <c r="G139" t="s">
        <v>167</v>
      </c>
      <c r="H139" t="s">
        <v>843</v>
      </c>
      <c r="I139" t="s">
        <v>844</v>
      </c>
      <c r="J139" t="s">
        <v>77</v>
      </c>
      <c r="K139" t="s">
        <v>78</v>
      </c>
      <c r="L139" t="s">
        <v>845</v>
      </c>
    </row>
    <row r="140" spans="1:12">
      <c r="A140" t="s">
        <v>846</v>
      </c>
      <c r="B140" t="s">
        <v>847</v>
      </c>
      <c r="C140" t="s">
        <v>93</v>
      </c>
      <c r="D140" t="s">
        <v>83</v>
      </c>
      <c r="E140" t="s">
        <v>153</v>
      </c>
      <c r="F140" t="s">
        <v>848</v>
      </c>
      <c r="G140" t="s">
        <v>74</v>
      </c>
      <c r="H140" t="s">
        <v>849</v>
      </c>
      <c r="I140" t="s">
        <v>850</v>
      </c>
      <c r="J140" t="s">
        <v>77</v>
      </c>
      <c r="K140" t="s">
        <v>99</v>
      </c>
      <c r="L140" t="s">
        <v>851</v>
      </c>
    </row>
    <row r="141" spans="1:12">
      <c r="A141" t="s">
        <v>590</v>
      </c>
      <c r="B141" t="s">
        <v>591</v>
      </c>
      <c r="C141" t="s">
        <v>592</v>
      </c>
      <c r="D141" t="s">
        <v>211</v>
      </c>
      <c r="E141" t="s">
        <v>593</v>
      </c>
      <c r="F141" t="s">
        <v>205</v>
      </c>
      <c r="H141" t="s">
        <v>594</v>
      </c>
      <c r="I141" t="s">
        <v>595</v>
      </c>
      <c r="J141" t="s">
        <v>77</v>
      </c>
      <c r="K141" t="s">
        <v>109</v>
      </c>
      <c r="L141" t="s">
        <v>596</v>
      </c>
    </row>
    <row r="142" spans="1:12">
      <c r="A142" t="s">
        <v>852</v>
      </c>
      <c r="B142" t="s">
        <v>853</v>
      </c>
      <c r="C142" t="s">
        <v>103</v>
      </c>
      <c r="D142" t="s">
        <v>211</v>
      </c>
      <c r="E142" t="s">
        <v>363</v>
      </c>
      <c r="F142" t="s">
        <v>154</v>
      </c>
      <c r="G142" t="s">
        <v>241</v>
      </c>
      <c r="H142" t="s">
        <v>854</v>
      </c>
      <c r="I142" t="s">
        <v>855</v>
      </c>
      <c r="J142" t="s">
        <v>98</v>
      </c>
      <c r="K142" t="s">
        <v>99</v>
      </c>
      <c r="L142" t="s">
        <v>856</v>
      </c>
    </row>
    <row r="143" spans="1:12">
      <c r="A143" t="s">
        <v>857</v>
      </c>
      <c r="B143" t="s">
        <v>184</v>
      </c>
      <c r="C143" t="s">
        <v>120</v>
      </c>
      <c r="D143" t="s">
        <v>173</v>
      </c>
      <c r="E143" t="s">
        <v>95</v>
      </c>
      <c r="F143" t="s">
        <v>85</v>
      </c>
      <c r="G143" t="s">
        <v>74</v>
      </c>
      <c r="H143" t="s">
        <v>858</v>
      </c>
      <c r="I143" t="s">
        <v>859</v>
      </c>
      <c r="J143" t="s">
        <v>98</v>
      </c>
      <c r="L143" t="s">
        <v>860</v>
      </c>
    </row>
    <row r="144" spans="1:12">
      <c r="A144" t="s">
        <v>861</v>
      </c>
      <c r="B144" t="s">
        <v>862</v>
      </c>
      <c r="C144" t="s">
        <v>185</v>
      </c>
      <c r="D144" t="s">
        <v>71</v>
      </c>
      <c r="E144" t="s">
        <v>363</v>
      </c>
      <c r="F144" t="s">
        <v>205</v>
      </c>
      <c r="G144" t="s">
        <v>74</v>
      </c>
      <c r="H144" t="s">
        <v>863</v>
      </c>
      <c r="I144" t="s">
        <v>864</v>
      </c>
      <c r="J144" t="s">
        <v>134</v>
      </c>
      <c r="K144" t="s">
        <v>78</v>
      </c>
      <c r="L144" t="s">
        <v>865</v>
      </c>
    </row>
    <row r="145" spans="1:12">
      <c r="A145" t="s">
        <v>866</v>
      </c>
      <c r="B145" t="s">
        <v>867</v>
      </c>
      <c r="C145" t="s">
        <v>204</v>
      </c>
      <c r="D145" t="s">
        <v>173</v>
      </c>
      <c r="E145" t="s">
        <v>95</v>
      </c>
      <c r="F145" t="s">
        <v>106</v>
      </c>
      <c r="G145" t="s">
        <v>114</v>
      </c>
      <c r="H145" t="s">
        <v>868</v>
      </c>
      <c r="I145" t="s">
        <v>869</v>
      </c>
      <c r="J145" t="s">
        <v>98</v>
      </c>
      <c r="K145" t="s">
        <v>99</v>
      </c>
      <c r="L145" t="s">
        <v>870</v>
      </c>
    </row>
    <row r="146" spans="1:12">
      <c r="A146" t="s">
        <v>871</v>
      </c>
      <c r="C146" t="s">
        <v>138</v>
      </c>
      <c r="D146" t="s">
        <v>121</v>
      </c>
      <c r="E146" t="s">
        <v>328</v>
      </c>
      <c r="F146" t="s">
        <v>205</v>
      </c>
      <c r="G146" t="s">
        <v>74</v>
      </c>
      <c r="H146" t="s">
        <v>872</v>
      </c>
      <c r="I146" t="s">
        <v>873</v>
      </c>
      <c r="J146" t="s">
        <v>98</v>
      </c>
      <c r="K146" t="s">
        <v>109</v>
      </c>
      <c r="L146" t="s">
        <v>874</v>
      </c>
    </row>
    <row r="147" spans="1:12">
      <c r="A147" t="s">
        <v>875</v>
      </c>
      <c r="B147" t="s">
        <v>321</v>
      </c>
      <c r="C147" t="s">
        <v>876</v>
      </c>
      <c r="D147" t="s">
        <v>173</v>
      </c>
      <c r="E147" t="s">
        <v>95</v>
      </c>
      <c r="F147" t="s">
        <v>106</v>
      </c>
      <c r="G147" t="s">
        <v>74</v>
      </c>
      <c r="H147" t="s">
        <v>877</v>
      </c>
      <c r="I147" t="s">
        <v>878</v>
      </c>
      <c r="J147" t="s">
        <v>98</v>
      </c>
      <c r="K147" t="s">
        <v>99</v>
      </c>
      <c r="L147" t="s">
        <v>879</v>
      </c>
    </row>
    <row r="148" spans="1:12">
      <c r="A148" t="s">
        <v>880</v>
      </c>
      <c r="B148" t="s">
        <v>235</v>
      </c>
      <c r="C148" t="s">
        <v>558</v>
      </c>
      <c r="D148" t="s">
        <v>173</v>
      </c>
      <c r="E148" t="s">
        <v>95</v>
      </c>
      <c r="F148" t="s">
        <v>85</v>
      </c>
      <c r="G148" t="s">
        <v>86</v>
      </c>
      <c r="H148" t="s">
        <v>881</v>
      </c>
      <c r="I148" t="s">
        <v>882</v>
      </c>
      <c r="J148" t="s">
        <v>134</v>
      </c>
      <c r="L148" t="s">
        <v>883</v>
      </c>
    </row>
    <row r="149" spans="1:12">
      <c r="A149" t="s">
        <v>884</v>
      </c>
      <c r="B149" t="s">
        <v>885</v>
      </c>
      <c r="C149" t="s">
        <v>185</v>
      </c>
      <c r="D149" t="s">
        <v>94</v>
      </c>
      <c r="E149" t="s">
        <v>95</v>
      </c>
      <c r="F149" t="s">
        <v>205</v>
      </c>
      <c r="G149" t="s">
        <v>74</v>
      </c>
      <c r="H149" t="s">
        <v>886</v>
      </c>
      <c r="I149" t="s">
        <v>887</v>
      </c>
      <c r="J149" t="s">
        <v>77</v>
      </c>
      <c r="K149" t="s">
        <v>99</v>
      </c>
      <c r="L149" t="s">
        <v>888</v>
      </c>
    </row>
    <row r="150" spans="1:12">
      <c r="A150" t="s">
        <v>889</v>
      </c>
      <c r="B150" t="s">
        <v>853</v>
      </c>
      <c r="C150" t="s">
        <v>120</v>
      </c>
      <c r="D150" t="s">
        <v>890</v>
      </c>
      <c r="E150" t="s">
        <v>160</v>
      </c>
      <c r="F150" t="s">
        <v>85</v>
      </c>
      <c r="G150" t="s">
        <v>74</v>
      </c>
      <c r="H150" t="s">
        <v>891</v>
      </c>
      <c r="I150" t="s">
        <v>892</v>
      </c>
      <c r="J150" t="s">
        <v>77</v>
      </c>
      <c r="K150" t="s">
        <v>78</v>
      </c>
      <c r="L150" t="s">
        <v>893</v>
      </c>
    </row>
    <row r="151" spans="1:12">
      <c r="A151" t="s">
        <v>894</v>
      </c>
      <c r="B151" t="s">
        <v>895</v>
      </c>
      <c r="C151" t="s">
        <v>120</v>
      </c>
      <c r="D151" t="s">
        <v>173</v>
      </c>
      <c r="E151" t="s">
        <v>95</v>
      </c>
      <c r="F151" t="s">
        <v>85</v>
      </c>
      <c r="G151" t="s">
        <v>74</v>
      </c>
      <c r="H151" t="s">
        <v>896</v>
      </c>
      <c r="I151" t="s">
        <v>897</v>
      </c>
      <c r="J151" t="s">
        <v>98</v>
      </c>
      <c r="K151" t="s">
        <v>109</v>
      </c>
      <c r="L151" t="s">
        <v>898</v>
      </c>
    </row>
    <row r="152" spans="1:12">
      <c r="A152" t="s">
        <v>899</v>
      </c>
      <c r="B152" t="s">
        <v>802</v>
      </c>
      <c r="C152" t="s">
        <v>103</v>
      </c>
      <c r="D152" t="s">
        <v>83</v>
      </c>
      <c r="E152" t="s">
        <v>84</v>
      </c>
      <c r="F152" t="s">
        <v>154</v>
      </c>
      <c r="G152" t="s">
        <v>167</v>
      </c>
      <c r="H152" t="s">
        <v>900</v>
      </c>
      <c r="I152" t="s">
        <v>901</v>
      </c>
      <c r="J152" t="s">
        <v>134</v>
      </c>
      <c r="K152" t="s">
        <v>99</v>
      </c>
      <c r="L152" t="s">
        <v>902</v>
      </c>
    </row>
    <row r="153" spans="1:12">
      <c r="A153" t="s">
        <v>903</v>
      </c>
      <c r="B153" t="s">
        <v>904</v>
      </c>
      <c r="C153" t="s">
        <v>93</v>
      </c>
      <c r="D153" t="s">
        <v>173</v>
      </c>
      <c r="E153" t="s">
        <v>146</v>
      </c>
      <c r="F153" t="s">
        <v>205</v>
      </c>
      <c r="G153" t="s">
        <v>86</v>
      </c>
      <c r="H153" t="s">
        <v>905</v>
      </c>
      <c r="I153" t="s">
        <v>906</v>
      </c>
      <c r="J153" t="s">
        <v>77</v>
      </c>
      <c r="K153" t="s">
        <v>78</v>
      </c>
      <c r="L153" t="s">
        <v>907</v>
      </c>
    </row>
    <row r="154" spans="1:12">
      <c r="A154" t="s">
        <v>908</v>
      </c>
      <c r="B154" t="s">
        <v>885</v>
      </c>
      <c r="C154" t="s">
        <v>103</v>
      </c>
      <c r="D154" t="s">
        <v>104</v>
      </c>
      <c r="E154" t="s">
        <v>105</v>
      </c>
      <c r="F154" t="s">
        <v>154</v>
      </c>
      <c r="G154" t="s">
        <v>74</v>
      </c>
      <c r="H154" t="s">
        <v>909</v>
      </c>
      <c r="I154" t="s">
        <v>910</v>
      </c>
      <c r="J154" t="s">
        <v>134</v>
      </c>
      <c r="K154" t="s">
        <v>99</v>
      </c>
      <c r="L154" t="s">
        <v>911</v>
      </c>
    </row>
    <row r="155" spans="1:12">
      <c r="A155" t="s">
        <v>912</v>
      </c>
      <c r="B155" t="s">
        <v>913</v>
      </c>
      <c r="C155" t="s">
        <v>658</v>
      </c>
      <c r="D155" t="s">
        <v>179</v>
      </c>
      <c r="E155" t="s">
        <v>84</v>
      </c>
      <c r="F155" t="s">
        <v>205</v>
      </c>
      <c r="G155" t="s">
        <v>114</v>
      </c>
      <c r="H155" t="s">
        <v>914</v>
      </c>
      <c r="I155" t="s">
        <v>915</v>
      </c>
      <c r="J155" t="s">
        <v>77</v>
      </c>
      <c r="K155" t="s">
        <v>78</v>
      </c>
      <c r="L155" t="s">
        <v>916</v>
      </c>
    </row>
    <row r="156" spans="1:12">
      <c r="A156" t="s">
        <v>917</v>
      </c>
      <c r="B156" t="s">
        <v>719</v>
      </c>
      <c r="C156" t="s">
        <v>152</v>
      </c>
      <c r="D156" t="s">
        <v>121</v>
      </c>
      <c r="E156" t="s">
        <v>105</v>
      </c>
      <c r="F156" t="s">
        <v>106</v>
      </c>
      <c r="G156" t="s">
        <v>114</v>
      </c>
      <c r="H156" t="s">
        <v>918</v>
      </c>
      <c r="I156" t="s">
        <v>919</v>
      </c>
      <c r="J156" t="s">
        <v>98</v>
      </c>
      <c r="K156" t="s">
        <v>109</v>
      </c>
      <c r="L156" t="s">
        <v>920</v>
      </c>
    </row>
    <row r="157" spans="1:12">
      <c r="A157" t="s">
        <v>921</v>
      </c>
      <c r="B157" t="s">
        <v>602</v>
      </c>
      <c r="C157" t="s">
        <v>185</v>
      </c>
      <c r="D157" t="s">
        <v>83</v>
      </c>
      <c r="E157" t="s">
        <v>153</v>
      </c>
      <c r="F157" t="s">
        <v>85</v>
      </c>
      <c r="G157" t="s">
        <v>86</v>
      </c>
      <c r="H157" t="s">
        <v>922</v>
      </c>
      <c r="I157" t="s">
        <v>923</v>
      </c>
      <c r="J157" t="s">
        <v>134</v>
      </c>
      <c r="L157" t="s">
        <v>924</v>
      </c>
    </row>
    <row r="158" spans="1:12">
      <c r="A158" t="s">
        <v>925</v>
      </c>
      <c r="B158" t="s">
        <v>926</v>
      </c>
      <c r="C158" t="s">
        <v>138</v>
      </c>
      <c r="D158" t="s">
        <v>173</v>
      </c>
      <c r="E158" t="s">
        <v>146</v>
      </c>
      <c r="F158" t="s">
        <v>123</v>
      </c>
      <c r="G158" t="s">
        <v>927</v>
      </c>
      <c r="H158" t="s">
        <v>928</v>
      </c>
      <c r="I158" t="s">
        <v>929</v>
      </c>
      <c r="J158" t="s">
        <v>77</v>
      </c>
      <c r="K158" t="s">
        <v>109</v>
      </c>
      <c r="L158" t="s">
        <v>930</v>
      </c>
    </row>
    <row r="159" spans="1:12">
      <c r="A159" t="s">
        <v>931</v>
      </c>
      <c r="B159" t="s">
        <v>932</v>
      </c>
      <c r="C159" t="s">
        <v>138</v>
      </c>
      <c r="D159" t="s">
        <v>211</v>
      </c>
      <c r="E159" t="s">
        <v>131</v>
      </c>
      <c r="F159" t="s">
        <v>205</v>
      </c>
      <c r="G159" t="s">
        <v>86</v>
      </c>
      <c r="H159" t="s">
        <v>933</v>
      </c>
      <c r="I159" t="s">
        <v>934</v>
      </c>
      <c r="J159" t="s">
        <v>77</v>
      </c>
      <c r="K159" t="s">
        <v>109</v>
      </c>
      <c r="L159" t="s">
        <v>935</v>
      </c>
    </row>
    <row r="160" spans="1:12">
      <c r="A160" t="s">
        <v>936</v>
      </c>
      <c r="B160" t="s">
        <v>937</v>
      </c>
      <c r="C160" t="s">
        <v>120</v>
      </c>
      <c r="D160" t="s">
        <v>179</v>
      </c>
      <c r="E160" t="s">
        <v>84</v>
      </c>
      <c r="F160" t="s">
        <v>106</v>
      </c>
      <c r="G160" t="s">
        <v>241</v>
      </c>
      <c r="H160" t="s">
        <v>938</v>
      </c>
      <c r="I160" t="s">
        <v>939</v>
      </c>
      <c r="J160" t="s">
        <v>77</v>
      </c>
      <c r="K160" t="s">
        <v>99</v>
      </c>
      <c r="L160" t="s">
        <v>940</v>
      </c>
    </row>
    <row r="161" spans="1:12">
      <c r="A161" t="s">
        <v>941</v>
      </c>
      <c r="B161" t="s">
        <v>942</v>
      </c>
      <c r="C161" t="s">
        <v>82</v>
      </c>
      <c r="D161" t="s">
        <v>211</v>
      </c>
      <c r="E161" t="s">
        <v>131</v>
      </c>
      <c r="F161" t="s">
        <v>205</v>
      </c>
      <c r="G161" t="s">
        <v>74</v>
      </c>
      <c r="H161" t="s">
        <v>943</v>
      </c>
      <c r="I161" t="s">
        <v>944</v>
      </c>
      <c r="J161" t="s">
        <v>134</v>
      </c>
      <c r="K161" t="s">
        <v>99</v>
      </c>
      <c r="L161" t="s">
        <v>945</v>
      </c>
    </row>
    <row r="162" spans="1:12">
      <c r="A162" t="s">
        <v>946</v>
      </c>
      <c r="B162" t="s">
        <v>947</v>
      </c>
      <c r="C162" t="s">
        <v>490</v>
      </c>
      <c r="D162" t="s">
        <v>173</v>
      </c>
      <c r="E162" t="s">
        <v>791</v>
      </c>
      <c r="F162" t="s">
        <v>106</v>
      </c>
      <c r="G162" t="s">
        <v>74</v>
      </c>
      <c r="H162" t="s">
        <v>948</v>
      </c>
      <c r="I162" t="s">
        <v>949</v>
      </c>
      <c r="J162" t="s">
        <v>577</v>
      </c>
      <c r="K162" t="s">
        <v>78</v>
      </c>
      <c r="L162" t="s">
        <v>950</v>
      </c>
    </row>
    <row r="163" spans="1:12">
      <c r="A163" t="s">
        <v>951</v>
      </c>
      <c r="B163" t="s">
        <v>952</v>
      </c>
      <c r="C163" t="s">
        <v>103</v>
      </c>
      <c r="D163" t="s">
        <v>276</v>
      </c>
      <c r="E163" t="s">
        <v>153</v>
      </c>
      <c r="F163" t="s">
        <v>154</v>
      </c>
      <c r="G163" t="s">
        <v>86</v>
      </c>
      <c r="H163" t="s">
        <v>953</v>
      </c>
      <c r="I163" t="s">
        <v>954</v>
      </c>
      <c r="J163" t="s">
        <v>98</v>
      </c>
      <c r="K163" t="s">
        <v>78</v>
      </c>
      <c r="L163" t="s">
        <v>955</v>
      </c>
    </row>
    <row r="164" spans="1:12">
      <c r="A164" t="s">
        <v>956</v>
      </c>
      <c r="B164" t="s">
        <v>685</v>
      </c>
      <c r="C164" t="s">
        <v>103</v>
      </c>
      <c r="E164" t="s">
        <v>593</v>
      </c>
      <c r="F164" t="s">
        <v>106</v>
      </c>
      <c r="G164" t="s">
        <v>247</v>
      </c>
      <c r="H164" t="s">
        <v>957</v>
      </c>
      <c r="I164" t="s">
        <v>958</v>
      </c>
      <c r="J164" t="s">
        <v>134</v>
      </c>
      <c r="K164" t="s">
        <v>78</v>
      </c>
      <c r="L164" t="s">
        <v>959</v>
      </c>
    </row>
    <row r="165" spans="1:12">
      <c r="A165" t="s">
        <v>960</v>
      </c>
      <c r="B165" t="s">
        <v>961</v>
      </c>
      <c r="C165" t="s">
        <v>138</v>
      </c>
      <c r="D165" t="s">
        <v>423</v>
      </c>
      <c r="E165" t="s">
        <v>697</v>
      </c>
      <c r="F165" t="s">
        <v>154</v>
      </c>
      <c r="G165" t="s">
        <v>86</v>
      </c>
      <c r="H165" t="s">
        <v>962</v>
      </c>
      <c r="I165" t="s">
        <v>963</v>
      </c>
      <c r="J165" t="s">
        <v>77</v>
      </c>
      <c r="K165" t="s">
        <v>78</v>
      </c>
      <c r="L165" t="s">
        <v>964</v>
      </c>
    </row>
    <row r="166" spans="1:12">
      <c r="A166" t="s">
        <v>542</v>
      </c>
      <c r="B166" t="s">
        <v>543</v>
      </c>
      <c r="C166" t="s">
        <v>82</v>
      </c>
      <c r="D166" t="s">
        <v>121</v>
      </c>
      <c r="E166" t="s">
        <v>122</v>
      </c>
      <c r="F166" t="s">
        <v>154</v>
      </c>
      <c r="G166" t="s">
        <v>167</v>
      </c>
      <c r="H166" t="s">
        <v>544</v>
      </c>
      <c r="I166" t="s">
        <v>545</v>
      </c>
      <c r="J166" t="s">
        <v>134</v>
      </c>
      <c r="K166" t="s">
        <v>78</v>
      </c>
      <c r="L166" t="s">
        <v>546</v>
      </c>
    </row>
    <row r="167" spans="1:12">
      <c r="A167" t="s">
        <v>965</v>
      </c>
      <c r="B167" t="s">
        <v>952</v>
      </c>
      <c r="C167" t="s">
        <v>138</v>
      </c>
      <c r="D167" t="s">
        <v>121</v>
      </c>
      <c r="E167" t="s">
        <v>122</v>
      </c>
      <c r="F167" t="s">
        <v>289</v>
      </c>
      <c r="G167" t="s">
        <v>345</v>
      </c>
      <c r="H167" t="s">
        <v>966</v>
      </c>
      <c r="I167" t="s">
        <v>967</v>
      </c>
      <c r="J167" t="s">
        <v>134</v>
      </c>
      <c r="K167" t="s">
        <v>89</v>
      </c>
      <c r="L167" t="s">
        <v>968</v>
      </c>
    </row>
    <row r="168" spans="1:12">
      <c r="A168" t="s">
        <v>969</v>
      </c>
      <c r="B168" t="s">
        <v>970</v>
      </c>
      <c r="C168" t="s">
        <v>120</v>
      </c>
      <c r="D168" t="s">
        <v>173</v>
      </c>
      <c r="E168" t="s">
        <v>95</v>
      </c>
      <c r="F168" t="s">
        <v>205</v>
      </c>
      <c r="G168" t="s">
        <v>86</v>
      </c>
      <c r="H168" t="s">
        <v>971</v>
      </c>
      <c r="I168" t="s">
        <v>972</v>
      </c>
      <c r="J168" t="s">
        <v>134</v>
      </c>
      <c r="L168" t="s">
        <v>973</v>
      </c>
    </row>
    <row r="169" spans="1:12">
      <c r="A169" t="s">
        <v>974</v>
      </c>
      <c r="B169" t="s">
        <v>975</v>
      </c>
      <c r="C169" t="s">
        <v>976</v>
      </c>
      <c r="D169" t="s">
        <v>173</v>
      </c>
      <c r="E169" t="s">
        <v>146</v>
      </c>
      <c r="F169" t="s">
        <v>85</v>
      </c>
      <c r="G169" t="s">
        <v>86</v>
      </c>
      <c r="H169" t="s">
        <v>977</v>
      </c>
      <c r="I169" t="s">
        <v>978</v>
      </c>
      <c r="J169" t="s">
        <v>77</v>
      </c>
      <c r="K169" t="s">
        <v>109</v>
      </c>
      <c r="L169" t="s">
        <v>979</v>
      </c>
    </row>
    <row r="170" spans="1:12">
      <c r="A170" t="s">
        <v>980</v>
      </c>
      <c r="B170" t="s">
        <v>981</v>
      </c>
      <c r="C170" t="s">
        <v>138</v>
      </c>
      <c r="D170" t="s">
        <v>253</v>
      </c>
      <c r="E170" t="s">
        <v>363</v>
      </c>
      <c r="F170" t="s">
        <v>982</v>
      </c>
      <c r="G170" t="s">
        <v>74</v>
      </c>
      <c r="H170" t="s">
        <v>983</v>
      </c>
      <c r="I170" t="s">
        <v>984</v>
      </c>
      <c r="J170" t="s">
        <v>77</v>
      </c>
      <c r="L170" t="s">
        <v>985</v>
      </c>
    </row>
    <row r="171" spans="1:12">
      <c r="A171" t="s">
        <v>986</v>
      </c>
      <c r="B171" t="s">
        <v>321</v>
      </c>
      <c r="C171" t="s">
        <v>138</v>
      </c>
      <c r="D171" t="s">
        <v>121</v>
      </c>
      <c r="E171" t="s">
        <v>122</v>
      </c>
      <c r="F171" t="s">
        <v>123</v>
      </c>
      <c r="G171" t="s">
        <v>114</v>
      </c>
      <c r="H171" t="s">
        <v>987</v>
      </c>
      <c r="I171" t="s">
        <v>988</v>
      </c>
      <c r="J171" t="s">
        <v>77</v>
      </c>
      <c r="K171" t="s">
        <v>109</v>
      </c>
      <c r="L171" t="s">
        <v>989</v>
      </c>
    </row>
    <row r="172" spans="1:12">
      <c r="A172" t="s">
        <v>990</v>
      </c>
      <c r="B172" t="s">
        <v>991</v>
      </c>
      <c r="C172" t="s">
        <v>93</v>
      </c>
      <c r="D172" t="s">
        <v>121</v>
      </c>
      <c r="E172" t="s">
        <v>105</v>
      </c>
      <c r="F172" t="s">
        <v>154</v>
      </c>
      <c r="G172" t="s">
        <v>167</v>
      </c>
      <c r="H172" t="s">
        <v>992</v>
      </c>
      <c r="I172" t="s">
        <v>993</v>
      </c>
      <c r="J172" t="s">
        <v>98</v>
      </c>
      <c r="K172" t="s">
        <v>78</v>
      </c>
      <c r="L172" t="s">
        <v>994</v>
      </c>
    </row>
    <row r="173" spans="1:12">
      <c r="A173" t="s">
        <v>995</v>
      </c>
      <c r="B173" t="s">
        <v>996</v>
      </c>
      <c r="C173" t="s">
        <v>93</v>
      </c>
      <c r="D173" t="s">
        <v>130</v>
      </c>
      <c r="E173" t="s">
        <v>363</v>
      </c>
      <c r="F173" t="s">
        <v>564</v>
      </c>
      <c r="G173" t="s">
        <v>74</v>
      </c>
      <c r="H173" t="s">
        <v>997</v>
      </c>
      <c r="I173" t="s">
        <v>998</v>
      </c>
      <c r="J173" t="s">
        <v>98</v>
      </c>
      <c r="K173" t="s">
        <v>99</v>
      </c>
      <c r="L173" t="s">
        <v>999</v>
      </c>
    </row>
    <row r="174" spans="1:12">
      <c r="A174" t="s">
        <v>1000</v>
      </c>
      <c r="C174" t="s">
        <v>82</v>
      </c>
      <c r="D174" t="s">
        <v>423</v>
      </c>
      <c r="E174" t="s">
        <v>363</v>
      </c>
      <c r="F174" t="s">
        <v>123</v>
      </c>
      <c r="G174" t="s">
        <v>74</v>
      </c>
      <c r="H174" t="s">
        <v>1001</v>
      </c>
      <c r="I174" t="s">
        <v>1002</v>
      </c>
      <c r="J174" t="s">
        <v>77</v>
      </c>
      <c r="L174" t="s">
        <v>1003</v>
      </c>
    </row>
    <row r="175" spans="1:12">
      <c r="A175" t="s">
        <v>1004</v>
      </c>
      <c r="B175" t="s">
        <v>1005</v>
      </c>
      <c r="C175" t="s">
        <v>70</v>
      </c>
      <c r="D175" t="s">
        <v>121</v>
      </c>
      <c r="E175" t="s">
        <v>160</v>
      </c>
      <c r="F175" t="s">
        <v>123</v>
      </c>
      <c r="G175" t="s">
        <v>167</v>
      </c>
      <c r="H175" t="s">
        <v>1006</v>
      </c>
      <c r="I175" t="s">
        <v>1007</v>
      </c>
      <c r="J175" t="s">
        <v>77</v>
      </c>
      <c r="L175" t="s">
        <v>1008</v>
      </c>
    </row>
    <row r="176" spans="1:12">
      <c r="A176" t="s">
        <v>1009</v>
      </c>
      <c r="B176" t="s">
        <v>1010</v>
      </c>
      <c r="C176" t="s">
        <v>93</v>
      </c>
      <c r="D176" t="s">
        <v>121</v>
      </c>
      <c r="E176" t="s">
        <v>122</v>
      </c>
      <c r="F176" t="s">
        <v>123</v>
      </c>
      <c r="G176" t="s">
        <v>86</v>
      </c>
      <c r="H176" t="s">
        <v>1011</v>
      </c>
      <c r="I176" t="s">
        <v>1012</v>
      </c>
      <c r="J176" t="s">
        <v>134</v>
      </c>
      <c r="K176" t="s">
        <v>109</v>
      </c>
      <c r="L176" t="s">
        <v>1013</v>
      </c>
    </row>
    <row r="177" spans="1:12">
      <c r="A177" t="s">
        <v>1014</v>
      </c>
      <c r="B177" t="s">
        <v>1015</v>
      </c>
      <c r="C177" t="s">
        <v>129</v>
      </c>
      <c r="D177" t="s">
        <v>121</v>
      </c>
      <c r="E177" t="s">
        <v>122</v>
      </c>
      <c r="F177" t="s">
        <v>205</v>
      </c>
      <c r="G177" t="s">
        <v>74</v>
      </c>
      <c r="H177" t="s">
        <v>1016</v>
      </c>
      <c r="I177" t="s">
        <v>1017</v>
      </c>
      <c r="J177" t="s">
        <v>134</v>
      </c>
      <c r="K177" t="s">
        <v>109</v>
      </c>
      <c r="L177" t="s">
        <v>1018</v>
      </c>
    </row>
    <row r="178" spans="1:12">
      <c r="A178" t="s">
        <v>1019</v>
      </c>
      <c r="B178" t="s">
        <v>867</v>
      </c>
      <c r="C178" t="s">
        <v>103</v>
      </c>
      <c r="D178" t="s">
        <v>211</v>
      </c>
      <c r="E178" t="s">
        <v>131</v>
      </c>
      <c r="F178" t="s">
        <v>85</v>
      </c>
      <c r="G178" t="s">
        <v>74</v>
      </c>
      <c r="H178" t="s">
        <v>1020</v>
      </c>
      <c r="I178" t="s">
        <v>1021</v>
      </c>
      <c r="J178" t="s">
        <v>77</v>
      </c>
      <c r="K178" t="s">
        <v>99</v>
      </c>
      <c r="L178" t="s">
        <v>1022</v>
      </c>
    </row>
    <row r="179" spans="1:12">
      <c r="A179" t="s">
        <v>1023</v>
      </c>
      <c r="B179" t="s">
        <v>1024</v>
      </c>
      <c r="C179" t="s">
        <v>120</v>
      </c>
      <c r="D179" t="s">
        <v>211</v>
      </c>
      <c r="E179" t="s">
        <v>131</v>
      </c>
      <c r="F179" t="s">
        <v>123</v>
      </c>
      <c r="G179" t="s">
        <v>167</v>
      </c>
      <c r="H179" t="s">
        <v>1025</v>
      </c>
      <c r="I179" t="s">
        <v>1026</v>
      </c>
      <c r="J179" t="s">
        <v>98</v>
      </c>
      <c r="K179" t="s">
        <v>109</v>
      </c>
      <c r="L179" t="s">
        <v>1027</v>
      </c>
    </row>
    <row r="180" spans="1:12">
      <c r="A180" t="s">
        <v>1028</v>
      </c>
      <c r="B180" t="s">
        <v>81</v>
      </c>
      <c r="C180" t="s">
        <v>120</v>
      </c>
      <c r="D180" t="s">
        <v>104</v>
      </c>
      <c r="E180" t="s">
        <v>105</v>
      </c>
      <c r="F180" t="s">
        <v>73</v>
      </c>
      <c r="G180" t="s">
        <v>74</v>
      </c>
      <c r="H180" t="s">
        <v>1029</v>
      </c>
      <c r="I180" t="s">
        <v>1030</v>
      </c>
      <c r="J180" t="s">
        <v>98</v>
      </c>
      <c r="L180" t="s">
        <v>1031</v>
      </c>
    </row>
    <row r="181" spans="1:12">
      <c r="A181" t="s">
        <v>1032</v>
      </c>
      <c r="B181" t="s">
        <v>702</v>
      </c>
      <c r="C181" t="s">
        <v>1033</v>
      </c>
      <c r="D181" t="s">
        <v>224</v>
      </c>
      <c r="E181" t="s">
        <v>344</v>
      </c>
      <c r="F181" t="s">
        <v>205</v>
      </c>
      <c r="G181" t="s">
        <v>167</v>
      </c>
      <c r="H181" t="s">
        <v>1034</v>
      </c>
      <c r="I181" t="s">
        <v>1035</v>
      </c>
      <c r="J181" t="s">
        <v>77</v>
      </c>
      <c r="K181" t="s">
        <v>109</v>
      </c>
      <c r="L181" t="s">
        <v>1036</v>
      </c>
    </row>
    <row r="182" spans="1:12">
      <c r="A182" t="s">
        <v>1037</v>
      </c>
      <c r="B182" t="s">
        <v>203</v>
      </c>
      <c r="C182" t="s">
        <v>282</v>
      </c>
      <c r="D182" t="s">
        <v>211</v>
      </c>
      <c r="E182" t="s">
        <v>131</v>
      </c>
      <c r="F182" t="s">
        <v>154</v>
      </c>
      <c r="G182" t="s">
        <v>86</v>
      </c>
      <c r="H182" t="s">
        <v>1038</v>
      </c>
      <c r="I182" t="s">
        <v>1039</v>
      </c>
      <c r="J182" t="s">
        <v>77</v>
      </c>
      <c r="K182" t="s">
        <v>109</v>
      </c>
      <c r="L182" t="s">
        <v>1040</v>
      </c>
    </row>
    <row r="183" spans="1:12">
      <c r="A183" t="s">
        <v>1041</v>
      </c>
      <c r="B183" t="s">
        <v>1042</v>
      </c>
      <c r="C183" t="s">
        <v>138</v>
      </c>
      <c r="D183" t="s">
        <v>327</v>
      </c>
      <c r="E183" t="s">
        <v>105</v>
      </c>
      <c r="F183" t="s">
        <v>85</v>
      </c>
      <c r="G183" t="s">
        <v>167</v>
      </c>
      <c r="H183" t="s">
        <v>1043</v>
      </c>
      <c r="I183" t="s">
        <v>1044</v>
      </c>
      <c r="J183" t="s">
        <v>134</v>
      </c>
      <c r="L183" t="s">
        <v>1045</v>
      </c>
    </row>
    <row r="184" spans="1:12">
      <c r="A184" t="s">
        <v>1046</v>
      </c>
      <c r="B184" t="s">
        <v>1047</v>
      </c>
      <c r="C184" t="s">
        <v>93</v>
      </c>
      <c r="D184" t="s">
        <v>401</v>
      </c>
      <c r="E184" t="s">
        <v>105</v>
      </c>
      <c r="F184" t="s">
        <v>631</v>
      </c>
      <c r="G184" t="s">
        <v>241</v>
      </c>
      <c r="H184" t="s">
        <v>1048</v>
      </c>
      <c r="I184" t="s">
        <v>1049</v>
      </c>
      <c r="J184" t="s">
        <v>98</v>
      </c>
      <c r="K184" t="s">
        <v>78</v>
      </c>
      <c r="L184" t="s">
        <v>1050</v>
      </c>
    </row>
    <row r="185" spans="1:12">
      <c r="A185" t="s">
        <v>1051</v>
      </c>
      <c r="B185" t="s">
        <v>1052</v>
      </c>
      <c r="C185" t="s">
        <v>282</v>
      </c>
      <c r="D185" t="s">
        <v>94</v>
      </c>
      <c r="E185" t="s">
        <v>146</v>
      </c>
      <c r="F185" t="s">
        <v>106</v>
      </c>
      <c r="G185" t="s">
        <v>74</v>
      </c>
      <c r="H185" t="s">
        <v>1053</v>
      </c>
      <c r="I185" t="s">
        <v>1054</v>
      </c>
      <c r="J185" t="s">
        <v>134</v>
      </c>
      <c r="K185" t="s">
        <v>99</v>
      </c>
      <c r="L185" t="s">
        <v>1055</v>
      </c>
    </row>
    <row r="186" spans="1:12">
      <c r="A186" t="s">
        <v>1056</v>
      </c>
      <c r="B186" t="s">
        <v>428</v>
      </c>
      <c r="C186" t="s">
        <v>82</v>
      </c>
      <c r="D186" t="s">
        <v>173</v>
      </c>
      <c r="E186" t="s">
        <v>791</v>
      </c>
      <c r="F186" t="s">
        <v>621</v>
      </c>
      <c r="G186" t="s">
        <v>86</v>
      </c>
      <c r="H186" t="s">
        <v>1057</v>
      </c>
      <c r="I186" t="s">
        <v>1058</v>
      </c>
      <c r="J186" t="s">
        <v>134</v>
      </c>
      <c r="K186" t="s">
        <v>99</v>
      </c>
      <c r="L186" t="s">
        <v>1059</v>
      </c>
    </row>
    <row r="187" spans="1:12">
      <c r="A187" t="s">
        <v>1060</v>
      </c>
      <c r="B187" t="s">
        <v>532</v>
      </c>
      <c r="C187" t="s">
        <v>265</v>
      </c>
      <c r="D187" t="s">
        <v>288</v>
      </c>
      <c r="E187" t="s">
        <v>84</v>
      </c>
      <c r="F187" t="s">
        <v>154</v>
      </c>
      <c r="G187" t="s">
        <v>247</v>
      </c>
      <c r="H187" t="s">
        <v>1061</v>
      </c>
      <c r="I187" t="s">
        <v>1062</v>
      </c>
      <c r="J187" t="s">
        <v>77</v>
      </c>
      <c r="K187" t="s">
        <v>78</v>
      </c>
      <c r="L187" t="s">
        <v>1063</v>
      </c>
    </row>
    <row r="188" spans="1:12">
      <c r="A188" t="s">
        <v>1064</v>
      </c>
      <c r="B188" t="s">
        <v>1065</v>
      </c>
      <c r="C188" t="s">
        <v>311</v>
      </c>
      <c r="E188" t="s">
        <v>84</v>
      </c>
      <c r="F188" t="s">
        <v>85</v>
      </c>
      <c r="G188" t="s">
        <v>167</v>
      </c>
      <c r="H188" t="s">
        <v>1066</v>
      </c>
      <c r="I188" t="s">
        <v>1067</v>
      </c>
      <c r="J188" t="s">
        <v>77</v>
      </c>
      <c r="L188" t="s">
        <v>1068</v>
      </c>
    </row>
    <row r="189" spans="1:12">
      <c r="A189" t="s">
        <v>1069</v>
      </c>
      <c r="B189" t="s">
        <v>1070</v>
      </c>
      <c r="C189" t="s">
        <v>362</v>
      </c>
      <c r="D189" t="s">
        <v>276</v>
      </c>
      <c r="E189" t="s">
        <v>84</v>
      </c>
      <c r="F189" t="s">
        <v>154</v>
      </c>
      <c r="G189" t="s">
        <v>167</v>
      </c>
      <c r="H189" t="s">
        <v>1071</v>
      </c>
      <c r="I189" t="s">
        <v>1072</v>
      </c>
      <c r="J189" t="s">
        <v>77</v>
      </c>
      <c r="K189" t="s">
        <v>109</v>
      </c>
      <c r="L189" t="s">
        <v>1073</v>
      </c>
    </row>
    <row r="190" spans="1:12">
      <c r="A190" t="s">
        <v>1074</v>
      </c>
      <c r="B190" t="s">
        <v>1075</v>
      </c>
      <c r="C190" t="s">
        <v>129</v>
      </c>
      <c r="D190" t="s">
        <v>121</v>
      </c>
      <c r="E190" t="s">
        <v>1076</v>
      </c>
      <c r="F190" t="s">
        <v>518</v>
      </c>
      <c r="G190" t="s">
        <v>86</v>
      </c>
      <c r="H190" t="s">
        <v>1077</v>
      </c>
      <c r="I190" t="s">
        <v>1078</v>
      </c>
      <c r="J190" t="s">
        <v>134</v>
      </c>
      <c r="L190" t="s">
        <v>1079</v>
      </c>
    </row>
    <row r="191" spans="1:12">
      <c r="A191" t="s">
        <v>1080</v>
      </c>
      <c r="B191" t="s">
        <v>304</v>
      </c>
      <c r="C191" t="s">
        <v>658</v>
      </c>
      <c r="D191" t="s">
        <v>83</v>
      </c>
      <c r="E191" t="s">
        <v>1081</v>
      </c>
      <c r="F191" t="s">
        <v>123</v>
      </c>
      <c r="G191" t="s">
        <v>86</v>
      </c>
      <c r="H191" t="s">
        <v>1082</v>
      </c>
      <c r="I191" t="s">
        <v>1083</v>
      </c>
      <c r="J191" t="s">
        <v>77</v>
      </c>
      <c r="K191" t="s">
        <v>109</v>
      </c>
      <c r="L191" t="s">
        <v>1084</v>
      </c>
    </row>
    <row r="192" spans="1:12">
      <c r="A192" t="s">
        <v>1085</v>
      </c>
      <c r="C192" t="s">
        <v>120</v>
      </c>
      <c r="D192" t="s">
        <v>83</v>
      </c>
      <c r="E192" t="s">
        <v>84</v>
      </c>
      <c r="F192" t="s">
        <v>85</v>
      </c>
      <c r="G192" t="s">
        <v>74</v>
      </c>
      <c r="H192" t="s">
        <v>1086</v>
      </c>
      <c r="I192" t="s">
        <v>1087</v>
      </c>
      <c r="J192" t="s">
        <v>98</v>
      </c>
      <c r="K192" t="s">
        <v>78</v>
      </c>
      <c r="L192" t="s">
        <v>1088</v>
      </c>
    </row>
    <row r="193" spans="1:12">
      <c r="A193" t="s">
        <v>1089</v>
      </c>
      <c r="B193" t="s">
        <v>657</v>
      </c>
      <c r="C193" t="s">
        <v>93</v>
      </c>
      <c r="D193" t="s">
        <v>288</v>
      </c>
      <c r="E193" t="s">
        <v>153</v>
      </c>
      <c r="F193" t="s">
        <v>123</v>
      </c>
      <c r="G193" t="s">
        <v>74</v>
      </c>
      <c r="H193" t="s">
        <v>1090</v>
      </c>
      <c r="I193" t="s">
        <v>1091</v>
      </c>
      <c r="J193" t="s">
        <v>577</v>
      </c>
      <c r="K193" t="s">
        <v>109</v>
      </c>
      <c r="L193" t="s">
        <v>1092</v>
      </c>
    </row>
    <row r="194" spans="1:12">
      <c r="A194" t="s">
        <v>1093</v>
      </c>
      <c r="B194" t="s">
        <v>752</v>
      </c>
      <c r="C194" t="s">
        <v>93</v>
      </c>
      <c r="D194" t="s">
        <v>94</v>
      </c>
      <c r="E194" t="s">
        <v>659</v>
      </c>
      <c r="F194" t="s">
        <v>154</v>
      </c>
      <c r="G194" t="s">
        <v>167</v>
      </c>
      <c r="H194" t="s">
        <v>1094</v>
      </c>
      <c r="I194" t="s">
        <v>1095</v>
      </c>
      <c r="J194" t="s">
        <v>98</v>
      </c>
      <c r="K194" t="s">
        <v>109</v>
      </c>
      <c r="L194" t="s">
        <v>1096</v>
      </c>
    </row>
    <row r="195" spans="1:12">
      <c r="A195" t="s">
        <v>1097</v>
      </c>
      <c r="B195" t="s">
        <v>691</v>
      </c>
      <c r="C195" t="s">
        <v>467</v>
      </c>
      <c r="D195" t="s">
        <v>351</v>
      </c>
      <c r="E195" t="s">
        <v>105</v>
      </c>
      <c r="F195" t="s">
        <v>85</v>
      </c>
      <c r="G195" t="s">
        <v>74</v>
      </c>
      <c r="H195" t="s">
        <v>1098</v>
      </c>
      <c r="I195" t="s">
        <v>1099</v>
      </c>
      <c r="J195" t="s">
        <v>77</v>
      </c>
      <c r="K195" t="s">
        <v>99</v>
      </c>
      <c r="L195" t="s">
        <v>1100</v>
      </c>
    </row>
    <row r="196" spans="1:12">
      <c r="A196" t="s">
        <v>1101</v>
      </c>
      <c r="B196" t="s">
        <v>235</v>
      </c>
      <c r="C196" t="s">
        <v>120</v>
      </c>
      <c r="D196" t="s">
        <v>211</v>
      </c>
      <c r="E196" t="s">
        <v>697</v>
      </c>
      <c r="F196" t="s">
        <v>85</v>
      </c>
      <c r="G196" t="s">
        <v>74</v>
      </c>
      <c r="H196" t="s">
        <v>1102</v>
      </c>
      <c r="I196" t="s">
        <v>1103</v>
      </c>
      <c r="J196" t="s">
        <v>134</v>
      </c>
      <c r="K196" t="s">
        <v>99</v>
      </c>
      <c r="L196" t="s">
        <v>1104</v>
      </c>
    </row>
    <row r="197" spans="1:12">
      <c r="A197" t="s">
        <v>1105</v>
      </c>
      <c r="B197" t="s">
        <v>1106</v>
      </c>
      <c r="C197" t="s">
        <v>138</v>
      </c>
      <c r="D197" t="s">
        <v>104</v>
      </c>
      <c r="E197" t="s">
        <v>122</v>
      </c>
      <c r="F197" t="s">
        <v>106</v>
      </c>
      <c r="G197" t="s">
        <v>86</v>
      </c>
      <c r="H197" t="s">
        <v>1107</v>
      </c>
      <c r="I197" t="s">
        <v>1108</v>
      </c>
      <c r="J197" t="s">
        <v>705</v>
      </c>
      <c r="L197" t="s">
        <v>1109</v>
      </c>
    </row>
    <row r="198" spans="1:12">
      <c r="A198" t="s">
        <v>1110</v>
      </c>
      <c r="B198" t="s">
        <v>1111</v>
      </c>
      <c r="C198" t="s">
        <v>103</v>
      </c>
      <c r="D198" t="s">
        <v>173</v>
      </c>
      <c r="E198" t="s">
        <v>95</v>
      </c>
      <c r="F198" t="s">
        <v>123</v>
      </c>
      <c r="G198" t="s">
        <v>167</v>
      </c>
      <c r="H198" t="s">
        <v>1112</v>
      </c>
      <c r="I198" t="s">
        <v>1113</v>
      </c>
      <c r="J198" t="s">
        <v>134</v>
      </c>
      <c r="K198" t="s">
        <v>78</v>
      </c>
      <c r="L198" t="s">
        <v>1114</v>
      </c>
    </row>
    <row r="199" spans="1:12">
      <c r="A199" t="s">
        <v>1115</v>
      </c>
      <c r="B199" t="s">
        <v>1116</v>
      </c>
      <c r="C199" t="s">
        <v>103</v>
      </c>
      <c r="D199" t="s">
        <v>121</v>
      </c>
      <c r="E199" t="s">
        <v>105</v>
      </c>
      <c r="F199" t="s">
        <v>123</v>
      </c>
      <c r="G199" t="s">
        <v>86</v>
      </c>
      <c r="H199" t="s">
        <v>1117</v>
      </c>
      <c r="I199" t="s">
        <v>1118</v>
      </c>
      <c r="J199" t="s">
        <v>77</v>
      </c>
      <c r="K199" t="s">
        <v>78</v>
      </c>
      <c r="L199" t="s">
        <v>1119</v>
      </c>
    </row>
    <row r="200" spans="1:12">
      <c r="A200" t="s">
        <v>1120</v>
      </c>
      <c r="B200" t="s">
        <v>847</v>
      </c>
      <c r="C200" t="s">
        <v>82</v>
      </c>
      <c r="D200" t="s">
        <v>83</v>
      </c>
      <c r="E200" t="s">
        <v>153</v>
      </c>
      <c r="F200" t="s">
        <v>123</v>
      </c>
      <c r="G200" t="s">
        <v>114</v>
      </c>
      <c r="H200" t="s">
        <v>1121</v>
      </c>
      <c r="I200" t="s">
        <v>1122</v>
      </c>
      <c r="J200" t="s">
        <v>77</v>
      </c>
      <c r="K200" t="s">
        <v>78</v>
      </c>
      <c r="L200" t="s">
        <v>1123</v>
      </c>
    </row>
    <row r="201" spans="1:12">
      <c r="A201" t="s">
        <v>1124</v>
      </c>
      <c r="B201" t="s">
        <v>368</v>
      </c>
      <c r="C201" t="s">
        <v>103</v>
      </c>
      <c r="D201" t="s">
        <v>211</v>
      </c>
      <c r="E201" t="s">
        <v>72</v>
      </c>
      <c r="F201" t="s">
        <v>85</v>
      </c>
      <c r="G201" t="s">
        <v>167</v>
      </c>
      <c r="H201" t="s">
        <v>1125</v>
      </c>
      <c r="I201" t="s">
        <v>1126</v>
      </c>
      <c r="J201" t="s">
        <v>77</v>
      </c>
      <c r="K201" t="s">
        <v>78</v>
      </c>
      <c r="L201" t="s">
        <v>1127</v>
      </c>
    </row>
    <row r="202" spans="1:12">
      <c r="A202" t="s">
        <v>1128</v>
      </c>
      <c r="B202" t="s">
        <v>235</v>
      </c>
      <c r="C202" t="s">
        <v>93</v>
      </c>
      <c r="D202" t="s">
        <v>121</v>
      </c>
      <c r="E202" t="s">
        <v>105</v>
      </c>
      <c r="F202" t="s">
        <v>621</v>
      </c>
      <c r="G202" t="s">
        <v>167</v>
      </c>
      <c r="H202" t="s">
        <v>1129</v>
      </c>
      <c r="I202" t="s">
        <v>1130</v>
      </c>
      <c r="J202" t="s">
        <v>98</v>
      </c>
      <c r="K202" t="s">
        <v>78</v>
      </c>
      <c r="L202" t="s">
        <v>1131</v>
      </c>
    </row>
    <row r="203" spans="1:12">
      <c r="A203" t="s">
        <v>1132</v>
      </c>
      <c r="B203" t="s">
        <v>1133</v>
      </c>
      <c r="C203" t="s">
        <v>93</v>
      </c>
      <c r="D203" t="s">
        <v>145</v>
      </c>
      <c r="E203" t="s">
        <v>804</v>
      </c>
      <c r="F203" t="s">
        <v>205</v>
      </c>
      <c r="G203" t="s">
        <v>247</v>
      </c>
      <c r="H203" t="s">
        <v>1134</v>
      </c>
      <c r="I203" t="s">
        <v>1135</v>
      </c>
      <c r="J203" t="s">
        <v>77</v>
      </c>
      <c r="L203" t="s">
        <v>1136</v>
      </c>
    </row>
    <row r="204" spans="1:12">
      <c r="A204" t="s">
        <v>713</v>
      </c>
      <c r="B204" t="s">
        <v>714</v>
      </c>
      <c r="C204" t="s">
        <v>138</v>
      </c>
      <c r="D204" t="s">
        <v>173</v>
      </c>
      <c r="E204" t="s">
        <v>95</v>
      </c>
      <c r="F204" t="s">
        <v>505</v>
      </c>
      <c r="G204" t="s">
        <v>114</v>
      </c>
      <c r="H204" t="s">
        <v>715</v>
      </c>
      <c r="I204" t="s">
        <v>716</v>
      </c>
      <c r="J204" t="s">
        <v>134</v>
      </c>
      <c r="K204" t="s">
        <v>89</v>
      </c>
      <c r="L204" t="s">
        <v>717</v>
      </c>
    </row>
    <row r="205" spans="1:12">
      <c r="A205" t="s">
        <v>1137</v>
      </c>
      <c r="B205" t="s">
        <v>708</v>
      </c>
      <c r="C205" t="s">
        <v>1138</v>
      </c>
      <c r="D205" t="s">
        <v>173</v>
      </c>
      <c r="E205" t="s">
        <v>95</v>
      </c>
      <c r="F205" t="s">
        <v>154</v>
      </c>
      <c r="G205" t="s">
        <v>74</v>
      </c>
      <c r="H205" t="s">
        <v>1139</v>
      </c>
      <c r="I205" t="s">
        <v>1140</v>
      </c>
      <c r="J205" t="s">
        <v>77</v>
      </c>
      <c r="L205" t="s">
        <v>1141</v>
      </c>
    </row>
    <row r="206" spans="1:12">
      <c r="A206" t="s">
        <v>1142</v>
      </c>
      <c r="B206" t="s">
        <v>1143</v>
      </c>
      <c r="C206" t="s">
        <v>152</v>
      </c>
      <c r="E206" t="s">
        <v>72</v>
      </c>
      <c r="F206" t="s">
        <v>106</v>
      </c>
      <c r="G206" t="s">
        <v>241</v>
      </c>
      <c r="H206" t="s">
        <v>1144</v>
      </c>
      <c r="I206" t="s">
        <v>1145</v>
      </c>
      <c r="J206" t="s">
        <v>134</v>
      </c>
      <c r="K206" t="s">
        <v>78</v>
      </c>
      <c r="L206" t="s">
        <v>1146</v>
      </c>
    </row>
    <row r="207" spans="1:12">
      <c r="A207" t="s">
        <v>1147</v>
      </c>
      <c r="B207" t="s">
        <v>1148</v>
      </c>
      <c r="C207" t="s">
        <v>82</v>
      </c>
      <c r="D207" t="s">
        <v>423</v>
      </c>
      <c r="E207" t="s">
        <v>131</v>
      </c>
      <c r="F207" t="s">
        <v>106</v>
      </c>
      <c r="G207" t="s">
        <v>86</v>
      </c>
      <c r="H207" t="s">
        <v>236</v>
      </c>
      <c r="I207" t="s">
        <v>1149</v>
      </c>
      <c r="J207" t="s">
        <v>134</v>
      </c>
      <c r="K207" t="s">
        <v>99</v>
      </c>
      <c r="L207" t="s">
        <v>1150</v>
      </c>
    </row>
    <row r="208" spans="1:12">
      <c r="A208" t="s">
        <v>1151</v>
      </c>
      <c r="B208" t="s">
        <v>119</v>
      </c>
      <c r="C208" t="s">
        <v>362</v>
      </c>
      <c r="E208" t="s">
        <v>122</v>
      </c>
      <c r="F208" t="s">
        <v>106</v>
      </c>
      <c r="G208" t="s">
        <v>167</v>
      </c>
      <c r="H208" t="s">
        <v>1152</v>
      </c>
      <c r="I208" t="s">
        <v>1153</v>
      </c>
      <c r="J208" t="s">
        <v>98</v>
      </c>
      <c r="L208" t="s">
        <v>1154</v>
      </c>
    </row>
    <row r="209" spans="1:12">
      <c r="A209" t="s">
        <v>1155</v>
      </c>
      <c r="B209" t="s">
        <v>230</v>
      </c>
      <c r="C209" t="s">
        <v>456</v>
      </c>
      <c r="D209" t="s">
        <v>121</v>
      </c>
      <c r="E209" t="s">
        <v>122</v>
      </c>
      <c r="F209" t="s">
        <v>205</v>
      </c>
      <c r="G209" t="s">
        <v>74</v>
      </c>
      <c r="H209" t="s">
        <v>1156</v>
      </c>
      <c r="I209" t="s">
        <v>1157</v>
      </c>
      <c r="J209" t="s">
        <v>134</v>
      </c>
      <c r="K209" t="s">
        <v>99</v>
      </c>
      <c r="L209" t="s">
        <v>1158</v>
      </c>
    </row>
    <row r="210" spans="1:12">
      <c r="A210" t="s">
        <v>1159</v>
      </c>
      <c r="B210" t="s">
        <v>1160</v>
      </c>
      <c r="C210" t="s">
        <v>103</v>
      </c>
      <c r="D210" t="s">
        <v>71</v>
      </c>
      <c r="E210" t="s">
        <v>697</v>
      </c>
      <c r="F210" t="s">
        <v>154</v>
      </c>
      <c r="G210" t="s">
        <v>86</v>
      </c>
      <c r="H210" t="s">
        <v>1161</v>
      </c>
      <c r="I210" t="s">
        <v>1162</v>
      </c>
      <c r="J210" t="s">
        <v>77</v>
      </c>
      <c r="K210" t="s">
        <v>109</v>
      </c>
      <c r="L210" t="s">
        <v>1163</v>
      </c>
    </row>
    <row r="211" spans="1:12">
      <c r="A211" t="s">
        <v>1164</v>
      </c>
      <c r="B211" t="s">
        <v>1165</v>
      </c>
      <c r="C211" t="s">
        <v>658</v>
      </c>
      <c r="D211" t="s">
        <v>351</v>
      </c>
      <c r="E211" t="s">
        <v>122</v>
      </c>
      <c r="F211" t="s">
        <v>205</v>
      </c>
      <c r="G211" t="s">
        <v>86</v>
      </c>
      <c r="H211" t="s">
        <v>1166</v>
      </c>
      <c r="I211" t="s">
        <v>1167</v>
      </c>
      <c r="J211" t="s">
        <v>134</v>
      </c>
      <c r="K211" t="s">
        <v>78</v>
      </c>
      <c r="L211" t="s">
        <v>1168</v>
      </c>
    </row>
    <row r="212" spans="1:12">
      <c r="A212" t="s">
        <v>1169</v>
      </c>
      <c r="B212" t="s">
        <v>1170</v>
      </c>
      <c r="C212" t="s">
        <v>265</v>
      </c>
      <c r="D212" t="s">
        <v>211</v>
      </c>
      <c r="E212" t="s">
        <v>363</v>
      </c>
      <c r="F212" t="s">
        <v>73</v>
      </c>
      <c r="G212" t="s">
        <v>74</v>
      </c>
      <c r="H212" t="s">
        <v>1171</v>
      </c>
      <c r="I212" t="s">
        <v>1172</v>
      </c>
      <c r="J212" t="s">
        <v>134</v>
      </c>
      <c r="K212" t="s">
        <v>109</v>
      </c>
      <c r="L212" t="s">
        <v>1173</v>
      </c>
    </row>
    <row r="213" spans="1:12">
      <c r="A213" t="s">
        <v>1174</v>
      </c>
      <c r="B213" t="s">
        <v>1175</v>
      </c>
      <c r="D213" t="s">
        <v>173</v>
      </c>
      <c r="E213" t="s">
        <v>95</v>
      </c>
      <c r="F213" t="s">
        <v>85</v>
      </c>
      <c r="G213" t="s">
        <v>74</v>
      </c>
      <c r="H213" t="s">
        <v>1176</v>
      </c>
      <c r="I213" t="s">
        <v>1177</v>
      </c>
      <c r="J213" t="s">
        <v>77</v>
      </c>
      <c r="K213" t="s">
        <v>78</v>
      </c>
      <c r="L213" t="s">
        <v>1178</v>
      </c>
    </row>
    <row r="214" spans="1:12">
      <c r="A214" t="s">
        <v>1179</v>
      </c>
      <c r="B214" t="s">
        <v>734</v>
      </c>
      <c r="C214" t="s">
        <v>103</v>
      </c>
      <c r="D214" t="s">
        <v>211</v>
      </c>
      <c r="E214" t="s">
        <v>72</v>
      </c>
      <c r="F214" t="s">
        <v>205</v>
      </c>
      <c r="G214" t="s">
        <v>86</v>
      </c>
      <c r="H214" t="s">
        <v>1180</v>
      </c>
      <c r="I214" t="s">
        <v>1181</v>
      </c>
      <c r="J214" t="s">
        <v>134</v>
      </c>
      <c r="K214" t="s">
        <v>99</v>
      </c>
      <c r="L214" t="s">
        <v>1182</v>
      </c>
    </row>
    <row r="215" spans="1:12">
      <c r="A215" t="s">
        <v>1183</v>
      </c>
      <c r="B215" t="s">
        <v>752</v>
      </c>
      <c r="C215" t="s">
        <v>467</v>
      </c>
      <c r="E215" t="s">
        <v>153</v>
      </c>
      <c r="F215" t="s">
        <v>154</v>
      </c>
      <c r="G215" t="s">
        <v>74</v>
      </c>
      <c r="H215" t="s">
        <v>1184</v>
      </c>
      <c r="I215" t="s">
        <v>1185</v>
      </c>
      <c r="J215" t="s">
        <v>98</v>
      </c>
      <c r="L215" t="s">
        <v>1186</v>
      </c>
    </row>
    <row r="216" spans="1:12">
      <c r="A216" t="s">
        <v>1187</v>
      </c>
      <c r="B216" t="s">
        <v>1188</v>
      </c>
      <c r="C216" t="s">
        <v>138</v>
      </c>
      <c r="D216" t="s">
        <v>121</v>
      </c>
      <c r="E216" t="s">
        <v>1189</v>
      </c>
      <c r="F216" t="s">
        <v>154</v>
      </c>
      <c r="G216" t="s">
        <v>74</v>
      </c>
      <c r="H216" t="s">
        <v>1190</v>
      </c>
      <c r="I216" t="s">
        <v>1191</v>
      </c>
      <c r="J216" t="s">
        <v>77</v>
      </c>
      <c r="K216" t="s">
        <v>99</v>
      </c>
      <c r="L216" t="s">
        <v>1192</v>
      </c>
    </row>
    <row r="217" spans="1:12">
      <c r="A217" t="s">
        <v>1193</v>
      </c>
      <c r="B217" t="s">
        <v>853</v>
      </c>
      <c r="C217" t="s">
        <v>93</v>
      </c>
      <c r="D217" t="s">
        <v>121</v>
      </c>
      <c r="E217" t="s">
        <v>122</v>
      </c>
      <c r="F217" t="s">
        <v>106</v>
      </c>
      <c r="G217" t="s">
        <v>86</v>
      </c>
      <c r="H217" t="s">
        <v>1194</v>
      </c>
      <c r="I217" t="s">
        <v>1195</v>
      </c>
      <c r="J217" t="s">
        <v>98</v>
      </c>
      <c r="K217" t="s">
        <v>99</v>
      </c>
      <c r="L217" t="s">
        <v>1196</v>
      </c>
    </row>
    <row r="218" spans="1:12">
      <c r="A218" t="s">
        <v>1197</v>
      </c>
      <c r="B218" t="s">
        <v>842</v>
      </c>
      <c r="C218" t="s">
        <v>129</v>
      </c>
      <c r="D218" t="s">
        <v>121</v>
      </c>
      <c r="E218" t="s">
        <v>105</v>
      </c>
      <c r="F218" t="s">
        <v>505</v>
      </c>
      <c r="G218" t="s">
        <v>86</v>
      </c>
      <c r="H218" t="s">
        <v>1091</v>
      </c>
      <c r="I218" t="s">
        <v>1198</v>
      </c>
      <c r="J218" t="s">
        <v>577</v>
      </c>
      <c r="L218" t="s">
        <v>1199</v>
      </c>
    </row>
    <row r="219" spans="1:12">
      <c r="A219" t="s">
        <v>1200</v>
      </c>
      <c r="B219" t="s">
        <v>771</v>
      </c>
      <c r="C219" t="s">
        <v>82</v>
      </c>
      <c r="D219" t="s">
        <v>121</v>
      </c>
      <c r="E219" t="s">
        <v>122</v>
      </c>
      <c r="F219" t="s">
        <v>154</v>
      </c>
      <c r="G219" t="s">
        <v>167</v>
      </c>
      <c r="H219" t="s">
        <v>1201</v>
      </c>
      <c r="I219" t="s">
        <v>1202</v>
      </c>
      <c r="J219" t="s">
        <v>77</v>
      </c>
      <c r="K219" t="s">
        <v>109</v>
      </c>
      <c r="L219" t="s">
        <v>1203</v>
      </c>
    </row>
    <row r="220" spans="1:12">
      <c r="A220" t="s">
        <v>1204</v>
      </c>
      <c r="B220" t="s">
        <v>696</v>
      </c>
      <c r="D220" t="s">
        <v>83</v>
      </c>
      <c r="E220" t="s">
        <v>153</v>
      </c>
      <c r="F220" t="s">
        <v>123</v>
      </c>
      <c r="G220" t="s">
        <v>167</v>
      </c>
      <c r="H220" t="s">
        <v>1205</v>
      </c>
      <c r="I220" t="s">
        <v>1206</v>
      </c>
      <c r="J220" t="s">
        <v>134</v>
      </c>
      <c r="K220" t="s">
        <v>99</v>
      </c>
      <c r="L220" t="s">
        <v>1207</v>
      </c>
    </row>
    <row r="221" spans="1:12">
      <c r="A221" t="s">
        <v>1208</v>
      </c>
      <c r="B221" t="s">
        <v>961</v>
      </c>
      <c r="C221" t="s">
        <v>976</v>
      </c>
      <c r="D221" t="s">
        <v>139</v>
      </c>
      <c r="E221" t="s">
        <v>146</v>
      </c>
      <c r="F221" t="s">
        <v>205</v>
      </c>
      <c r="G221" t="s">
        <v>167</v>
      </c>
      <c r="H221" t="s">
        <v>1209</v>
      </c>
      <c r="I221" t="s">
        <v>1210</v>
      </c>
      <c r="J221" t="s">
        <v>134</v>
      </c>
      <c r="K221" t="s">
        <v>78</v>
      </c>
      <c r="L221" t="s">
        <v>1211</v>
      </c>
    </row>
    <row r="222" spans="1:12">
      <c r="A222" t="s">
        <v>1212</v>
      </c>
      <c r="B222" t="s">
        <v>926</v>
      </c>
      <c r="C222" t="s">
        <v>204</v>
      </c>
      <c r="D222" t="s">
        <v>121</v>
      </c>
      <c r="E222" t="s">
        <v>122</v>
      </c>
      <c r="F222" t="s">
        <v>85</v>
      </c>
      <c r="G222" t="s">
        <v>86</v>
      </c>
      <c r="H222" t="s">
        <v>1213</v>
      </c>
      <c r="I222" t="s">
        <v>1214</v>
      </c>
      <c r="J222" t="s">
        <v>134</v>
      </c>
      <c r="K222" t="s">
        <v>99</v>
      </c>
      <c r="L222" t="s">
        <v>1215</v>
      </c>
    </row>
    <row r="223" spans="1:12">
      <c r="A223" t="s">
        <v>1216</v>
      </c>
      <c r="B223" t="s">
        <v>1217</v>
      </c>
      <c r="C223" t="s">
        <v>439</v>
      </c>
      <c r="D223" t="s">
        <v>288</v>
      </c>
      <c r="E223" t="s">
        <v>153</v>
      </c>
      <c r="F223" t="s">
        <v>85</v>
      </c>
      <c r="G223" t="s">
        <v>167</v>
      </c>
      <c r="H223" t="s">
        <v>1218</v>
      </c>
      <c r="I223" t="s">
        <v>1219</v>
      </c>
      <c r="J223" t="s">
        <v>77</v>
      </c>
      <c r="K223" t="s">
        <v>78</v>
      </c>
      <c r="L223" t="s">
        <v>1220</v>
      </c>
    </row>
    <row r="224" spans="1:12">
      <c r="A224" t="s">
        <v>1221</v>
      </c>
      <c r="B224" t="s">
        <v>947</v>
      </c>
      <c r="C224" t="s">
        <v>490</v>
      </c>
      <c r="D224" t="s">
        <v>83</v>
      </c>
      <c r="E224" t="s">
        <v>84</v>
      </c>
      <c r="F224" t="s">
        <v>205</v>
      </c>
      <c r="G224" t="s">
        <v>86</v>
      </c>
      <c r="H224" t="s">
        <v>1222</v>
      </c>
      <c r="I224" t="s">
        <v>1223</v>
      </c>
      <c r="J224" t="s">
        <v>98</v>
      </c>
      <c r="K224" t="s">
        <v>78</v>
      </c>
      <c r="L224" t="s">
        <v>1224</v>
      </c>
    </row>
    <row r="225" spans="1:12">
      <c r="A225" t="s">
        <v>1225</v>
      </c>
      <c r="B225" t="s">
        <v>270</v>
      </c>
      <c r="C225" t="s">
        <v>82</v>
      </c>
      <c r="D225" t="s">
        <v>890</v>
      </c>
      <c r="E225" t="s">
        <v>105</v>
      </c>
      <c r="F225" t="s">
        <v>1226</v>
      </c>
      <c r="G225" t="s">
        <v>167</v>
      </c>
      <c r="H225" t="s">
        <v>1227</v>
      </c>
      <c r="I225" t="s">
        <v>1228</v>
      </c>
      <c r="J225" t="s">
        <v>134</v>
      </c>
      <c r="L225" t="s">
        <v>1229</v>
      </c>
    </row>
    <row r="226" spans="1:12">
      <c r="A226" t="s">
        <v>1230</v>
      </c>
      <c r="B226" t="s">
        <v>270</v>
      </c>
      <c r="C226" t="s">
        <v>82</v>
      </c>
      <c r="D226" t="s">
        <v>130</v>
      </c>
      <c r="E226" t="s">
        <v>363</v>
      </c>
      <c r="F226" t="s">
        <v>205</v>
      </c>
      <c r="G226" t="s">
        <v>74</v>
      </c>
      <c r="H226" t="s">
        <v>1231</v>
      </c>
      <c r="I226" t="s">
        <v>1232</v>
      </c>
      <c r="J226" t="s">
        <v>134</v>
      </c>
      <c r="K226" t="s">
        <v>99</v>
      </c>
      <c r="L226" t="s">
        <v>1233</v>
      </c>
    </row>
    <row r="227" spans="1:12">
      <c r="A227" t="s">
        <v>239</v>
      </c>
      <c r="B227" t="s">
        <v>240</v>
      </c>
      <c r="C227" t="s">
        <v>138</v>
      </c>
      <c r="D227" t="s">
        <v>121</v>
      </c>
      <c r="E227" t="s">
        <v>122</v>
      </c>
      <c r="F227" t="s">
        <v>166</v>
      </c>
      <c r="G227" t="s">
        <v>241</v>
      </c>
      <c r="H227" t="s">
        <v>242</v>
      </c>
      <c r="I227" t="s">
        <v>243</v>
      </c>
      <c r="J227" t="s">
        <v>134</v>
      </c>
      <c r="K227" t="s">
        <v>109</v>
      </c>
      <c r="L227" t="s">
        <v>244</v>
      </c>
    </row>
    <row r="228" spans="1:12">
      <c r="A228" t="s">
        <v>1234</v>
      </c>
      <c r="B228" t="s">
        <v>102</v>
      </c>
      <c r="C228" t="s">
        <v>82</v>
      </c>
      <c r="D228" t="s">
        <v>173</v>
      </c>
      <c r="E228" t="s">
        <v>146</v>
      </c>
      <c r="F228" t="s">
        <v>85</v>
      </c>
      <c r="G228" t="s">
        <v>86</v>
      </c>
      <c r="H228" t="s">
        <v>1235</v>
      </c>
      <c r="I228" t="s">
        <v>1236</v>
      </c>
      <c r="J228" t="s">
        <v>77</v>
      </c>
      <c r="L228" t="s">
        <v>1237</v>
      </c>
    </row>
    <row r="229" spans="1:12">
      <c r="A229" t="s">
        <v>1238</v>
      </c>
      <c r="B229" t="s">
        <v>1239</v>
      </c>
      <c r="C229" t="s">
        <v>876</v>
      </c>
      <c r="D229" t="s">
        <v>803</v>
      </c>
      <c r="E229" t="s">
        <v>1240</v>
      </c>
      <c r="F229" t="s">
        <v>123</v>
      </c>
      <c r="G229" t="s">
        <v>74</v>
      </c>
      <c r="H229" t="s">
        <v>1241</v>
      </c>
      <c r="I229" t="s">
        <v>1242</v>
      </c>
      <c r="J229" t="s">
        <v>134</v>
      </c>
      <c r="L229" t="s">
        <v>1243</v>
      </c>
    </row>
    <row r="230" spans="1:12">
      <c r="A230" t="s">
        <v>1244</v>
      </c>
      <c r="B230" t="s">
        <v>1245</v>
      </c>
      <c r="D230" t="s">
        <v>83</v>
      </c>
      <c r="E230" t="s">
        <v>186</v>
      </c>
      <c r="F230" t="s">
        <v>154</v>
      </c>
      <c r="G230" t="s">
        <v>167</v>
      </c>
      <c r="H230" t="s">
        <v>1246</v>
      </c>
      <c r="I230" t="s">
        <v>1247</v>
      </c>
      <c r="J230" t="s">
        <v>134</v>
      </c>
      <c r="K230" t="s">
        <v>109</v>
      </c>
      <c r="L230" t="s">
        <v>1248</v>
      </c>
    </row>
    <row r="231" spans="1:12">
      <c r="A231" t="s">
        <v>1249</v>
      </c>
      <c r="B231" t="s">
        <v>316</v>
      </c>
      <c r="C231" t="s">
        <v>510</v>
      </c>
      <c r="D231" t="s">
        <v>173</v>
      </c>
      <c r="E231" t="s">
        <v>1250</v>
      </c>
      <c r="F231" t="s">
        <v>631</v>
      </c>
      <c r="G231" t="s">
        <v>167</v>
      </c>
      <c r="H231" t="s">
        <v>1251</v>
      </c>
      <c r="I231" t="s">
        <v>1252</v>
      </c>
      <c r="J231" t="s">
        <v>98</v>
      </c>
      <c r="K231" t="s">
        <v>109</v>
      </c>
      <c r="L231" t="s">
        <v>1253</v>
      </c>
    </row>
    <row r="232" spans="1:12">
      <c r="A232" t="s">
        <v>1254</v>
      </c>
      <c r="B232" t="s">
        <v>1255</v>
      </c>
      <c r="C232" t="s">
        <v>876</v>
      </c>
      <c r="E232" t="s">
        <v>72</v>
      </c>
      <c r="F232" t="s">
        <v>154</v>
      </c>
      <c r="G232" t="s">
        <v>167</v>
      </c>
      <c r="H232" t="s">
        <v>1256</v>
      </c>
      <c r="I232" t="s">
        <v>1257</v>
      </c>
      <c r="J232" t="s">
        <v>134</v>
      </c>
      <c r="K232" t="s">
        <v>109</v>
      </c>
      <c r="L232" t="s">
        <v>1258</v>
      </c>
    </row>
    <row r="233" spans="1:12">
      <c r="A233" t="s">
        <v>1259</v>
      </c>
      <c r="B233" t="s">
        <v>422</v>
      </c>
      <c r="C233" t="s">
        <v>103</v>
      </c>
      <c r="D233" t="s">
        <v>211</v>
      </c>
      <c r="E233" t="s">
        <v>131</v>
      </c>
      <c r="F233" t="s">
        <v>154</v>
      </c>
      <c r="G233" t="s">
        <v>114</v>
      </c>
      <c r="H233" t="s">
        <v>1260</v>
      </c>
      <c r="I233" t="s">
        <v>340</v>
      </c>
      <c r="J233" t="s">
        <v>77</v>
      </c>
      <c r="K233" t="s">
        <v>109</v>
      </c>
      <c r="L233" t="s">
        <v>1261</v>
      </c>
    </row>
    <row r="234" spans="1:12">
      <c r="A234" t="s">
        <v>1262</v>
      </c>
      <c r="B234" t="s">
        <v>1263</v>
      </c>
      <c r="C234" t="s">
        <v>82</v>
      </c>
      <c r="D234" t="s">
        <v>173</v>
      </c>
      <c r="E234" t="s">
        <v>146</v>
      </c>
      <c r="F234" t="s">
        <v>123</v>
      </c>
      <c r="G234" t="s">
        <v>114</v>
      </c>
      <c r="H234" t="s">
        <v>1264</v>
      </c>
      <c r="I234" t="s">
        <v>1265</v>
      </c>
      <c r="J234" t="s">
        <v>134</v>
      </c>
      <c r="K234" t="s">
        <v>99</v>
      </c>
      <c r="L234" t="s">
        <v>1266</v>
      </c>
    </row>
    <row r="235" spans="1:12">
      <c r="A235" t="s">
        <v>1267</v>
      </c>
      <c r="B235" t="s">
        <v>1268</v>
      </c>
      <c r="C235" t="s">
        <v>93</v>
      </c>
      <c r="D235" t="s">
        <v>211</v>
      </c>
      <c r="E235" t="s">
        <v>131</v>
      </c>
      <c r="F235" t="s">
        <v>982</v>
      </c>
      <c r="G235" t="s">
        <v>86</v>
      </c>
      <c r="H235" t="s">
        <v>1269</v>
      </c>
      <c r="I235" t="s">
        <v>1270</v>
      </c>
      <c r="J235" t="s">
        <v>98</v>
      </c>
      <c r="K235" t="s">
        <v>78</v>
      </c>
      <c r="L235" t="s">
        <v>1271</v>
      </c>
    </row>
    <row r="236" spans="1:12">
      <c r="A236" t="s">
        <v>1272</v>
      </c>
      <c r="B236" t="s">
        <v>316</v>
      </c>
      <c r="C236" t="s">
        <v>305</v>
      </c>
      <c r="D236" t="s">
        <v>211</v>
      </c>
      <c r="E236" t="s">
        <v>131</v>
      </c>
      <c r="F236" t="s">
        <v>1273</v>
      </c>
      <c r="G236" t="s">
        <v>241</v>
      </c>
      <c r="H236" t="s">
        <v>1274</v>
      </c>
      <c r="I236" t="s">
        <v>1275</v>
      </c>
      <c r="J236" t="s">
        <v>98</v>
      </c>
      <c r="K236" t="s">
        <v>78</v>
      </c>
      <c r="L236" t="s">
        <v>1276</v>
      </c>
    </row>
    <row r="237" spans="1:12">
      <c r="A237" t="s">
        <v>1277</v>
      </c>
      <c r="B237" t="s">
        <v>1278</v>
      </c>
      <c r="C237" t="s">
        <v>138</v>
      </c>
      <c r="D237" t="s">
        <v>83</v>
      </c>
      <c r="E237" t="s">
        <v>84</v>
      </c>
      <c r="F237" t="s">
        <v>85</v>
      </c>
      <c r="G237" t="s">
        <v>167</v>
      </c>
      <c r="H237" t="s">
        <v>1279</v>
      </c>
      <c r="I237" t="s">
        <v>1280</v>
      </c>
      <c r="J237" t="s">
        <v>77</v>
      </c>
      <c r="K237" t="s">
        <v>109</v>
      </c>
      <c r="L237" t="s">
        <v>1281</v>
      </c>
    </row>
    <row r="238" spans="1:12">
      <c r="A238" t="s">
        <v>1282</v>
      </c>
      <c r="B238" t="s">
        <v>1283</v>
      </c>
      <c r="C238" t="s">
        <v>82</v>
      </c>
      <c r="D238" t="s">
        <v>173</v>
      </c>
      <c r="E238" t="s">
        <v>146</v>
      </c>
      <c r="F238" t="s">
        <v>85</v>
      </c>
      <c r="G238" t="s">
        <v>86</v>
      </c>
      <c r="H238" t="s">
        <v>1284</v>
      </c>
      <c r="I238" t="s">
        <v>1285</v>
      </c>
      <c r="J238" t="s">
        <v>98</v>
      </c>
      <c r="L238" t="s">
        <v>1286</v>
      </c>
    </row>
    <row r="239" spans="1:12">
      <c r="A239" t="s">
        <v>1287</v>
      </c>
      <c r="B239" t="s">
        <v>1288</v>
      </c>
      <c r="C239" t="s">
        <v>467</v>
      </c>
      <c r="D239" t="s">
        <v>83</v>
      </c>
      <c r="E239" t="s">
        <v>153</v>
      </c>
      <c r="F239" t="s">
        <v>205</v>
      </c>
      <c r="G239" t="s">
        <v>86</v>
      </c>
      <c r="H239" t="s">
        <v>1289</v>
      </c>
      <c r="I239" t="s">
        <v>1290</v>
      </c>
      <c r="J239" t="s">
        <v>134</v>
      </c>
      <c r="K239" t="s">
        <v>78</v>
      </c>
      <c r="L239" t="s">
        <v>1291</v>
      </c>
    </row>
    <row r="240" spans="1:12">
      <c r="A240" t="s">
        <v>1292</v>
      </c>
      <c r="B240" t="s">
        <v>473</v>
      </c>
      <c r="C240" t="s">
        <v>93</v>
      </c>
      <c r="D240" t="s">
        <v>83</v>
      </c>
      <c r="E240" t="s">
        <v>153</v>
      </c>
      <c r="F240" t="s">
        <v>205</v>
      </c>
      <c r="G240" t="s">
        <v>241</v>
      </c>
      <c r="H240" t="s">
        <v>1293</v>
      </c>
      <c r="I240" t="s">
        <v>1294</v>
      </c>
      <c r="J240" t="s">
        <v>77</v>
      </c>
      <c r="L240" t="s">
        <v>1295</v>
      </c>
    </row>
    <row r="241" spans="1:12">
      <c r="A241" t="s">
        <v>1296</v>
      </c>
      <c r="B241" t="s">
        <v>1297</v>
      </c>
      <c r="C241" t="s">
        <v>138</v>
      </c>
      <c r="D241" t="s">
        <v>83</v>
      </c>
      <c r="E241" t="s">
        <v>153</v>
      </c>
      <c r="F241" t="s">
        <v>1273</v>
      </c>
      <c r="G241" t="s">
        <v>86</v>
      </c>
      <c r="H241" t="s">
        <v>1298</v>
      </c>
      <c r="I241" t="s">
        <v>1299</v>
      </c>
      <c r="J241" t="s">
        <v>134</v>
      </c>
      <c r="K241" t="s">
        <v>99</v>
      </c>
      <c r="L241" t="s">
        <v>1300</v>
      </c>
    </row>
    <row r="242" spans="1:12">
      <c r="A242" t="s">
        <v>1301</v>
      </c>
      <c r="B242" t="s">
        <v>504</v>
      </c>
      <c r="C242" t="s">
        <v>558</v>
      </c>
      <c r="D242" t="s">
        <v>83</v>
      </c>
      <c r="E242" t="s">
        <v>84</v>
      </c>
      <c r="F242" t="s">
        <v>106</v>
      </c>
      <c r="G242" t="s">
        <v>167</v>
      </c>
      <c r="H242" t="s">
        <v>1302</v>
      </c>
      <c r="I242" t="s">
        <v>1303</v>
      </c>
      <c r="J242" t="s">
        <v>98</v>
      </c>
      <c r="K242" t="s">
        <v>109</v>
      </c>
      <c r="L242" t="s">
        <v>1304</v>
      </c>
    </row>
    <row r="243" spans="1:12">
      <c r="A243" t="s">
        <v>1305</v>
      </c>
      <c r="B243" t="s">
        <v>719</v>
      </c>
      <c r="C243" t="s">
        <v>82</v>
      </c>
      <c r="D243" t="s">
        <v>173</v>
      </c>
      <c r="E243" t="s">
        <v>95</v>
      </c>
      <c r="F243" t="s">
        <v>828</v>
      </c>
      <c r="G243" t="s">
        <v>114</v>
      </c>
      <c r="H243" t="s">
        <v>1306</v>
      </c>
      <c r="I243" t="s">
        <v>1307</v>
      </c>
      <c r="J243" t="s">
        <v>134</v>
      </c>
      <c r="K243" t="s">
        <v>109</v>
      </c>
      <c r="L243" t="s">
        <v>1308</v>
      </c>
    </row>
    <row r="244" spans="1:12">
      <c r="A244" t="s">
        <v>965</v>
      </c>
      <c r="B244" t="s">
        <v>952</v>
      </c>
      <c r="C244" t="s">
        <v>138</v>
      </c>
      <c r="D244" t="s">
        <v>121</v>
      </c>
      <c r="E244" t="s">
        <v>122</v>
      </c>
      <c r="F244" t="s">
        <v>289</v>
      </c>
      <c r="G244" t="s">
        <v>345</v>
      </c>
      <c r="H244" t="s">
        <v>966</v>
      </c>
      <c r="I244" t="s">
        <v>967</v>
      </c>
      <c r="J244" t="s">
        <v>134</v>
      </c>
      <c r="L244" t="s">
        <v>968</v>
      </c>
    </row>
    <row r="245" spans="1:12">
      <c r="A245" t="s">
        <v>1309</v>
      </c>
      <c r="B245" t="s">
        <v>895</v>
      </c>
      <c r="C245" t="s">
        <v>265</v>
      </c>
      <c r="D245" t="s">
        <v>179</v>
      </c>
      <c r="E245" t="s">
        <v>84</v>
      </c>
      <c r="F245" t="s">
        <v>106</v>
      </c>
      <c r="G245" t="s">
        <v>241</v>
      </c>
      <c r="H245" t="s">
        <v>1310</v>
      </c>
      <c r="I245" t="s">
        <v>1311</v>
      </c>
      <c r="J245" t="s">
        <v>705</v>
      </c>
      <c r="L245" t="s">
        <v>1312</v>
      </c>
    </row>
    <row r="246" spans="1:12">
      <c r="A246" t="s">
        <v>1313</v>
      </c>
      <c r="B246" t="s">
        <v>326</v>
      </c>
      <c r="C246" t="s">
        <v>223</v>
      </c>
      <c r="D246" t="s">
        <v>173</v>
      </c>
      <c r="E246" t="s">
        <v>146</v>
      </c>
      <c r="F246" t="s">
        <v>154</v>
      </c>
      <c r="G246" t="s">
        <v>74</v>
      </c>
      <c r="H246" t="s">
        <v>236</v>
      </c>
      <c r="I246" t="s">
        <v>1314</v>
      </c>
      <c r="J246" t="s">
        <v>134</v>
      </c>
      <c r="K246" t="s">
        <v>109</v>
      </c>
      <c r="L246" t="s">
        <v>1315</v>
      </c>
    </row>
    <row r="247" spans="1:12">
      <c r="A247" t="s">
        <v>1316</v>
      </c>
      <c r="B247" t="s">
        <v>612</v>
      </c>
      <c r="C247" t="s">
        <v>103</v>
      </c>
      <c r="D247" t="s">
        <v>288</v>
      </c>
      <c r="E247" t="s">
        <v>84</v>
      </c>
      <c r="F247" t="s">
        <v>154</v>
      </c>
      <c r="G247" t="s">
        <v>167</v>
      </c>
      <c r="H247" t="s">
        <v>1317</v>
      </c>
      <c r="I247" t="s">
        <v>1318</v>
      </c>
      <c r="J247" t="s">
        <v>98</v>
      </c>
      <c r="K247" t="s">
        <v>78</v>
      </c>
      <c r="L247" t="s">
        <v>1319</v>
      </c>
    </row>
    <row r="248" spans="1:12">
      <c r="A248" t="s">
        <v>1320</v>
      </c>
      <c r="B248" t="s">
        <v>1321</v>
      </c>
      <c r="C248" t="s">
        <v>70</v>
      </c>
      <c r="D248" t="s">
        <v>83</v>
      </c>
      <c r="E248" t="s">
        <v>1322</v>
      </c>
      <c r="F248" t="s">
        <v>85</v>
      </c>
      <c r="G248" t="s">
        <v>241</v>
      </c>
      <c r="H248" t="s">
        <v>1323</v>
      </c>
      <c r="I248" t="s">
        <v>1324</v>
      </c>
      <c r="J248" t="s">
        <v>134</v>
      </c>
      <c r="L248" t="s">
        <v>1325</v>
      </c>
    </row>
    <row r="249" spans="1:12">
      <c r="A249" t="s">
        <v>1326</v>
      </c>
      <c r="B249" t="s">
        <v>495</v>
      </c>
      <c r="C249" t="s">
        <v>103</v>
      </c>
      <c r="D249" t="s">
        <v>253</v>
      </c>
      <c r="E249" t="s">
        <v>686</v>
      </c>
      <c r="F249" t="s">
        <v>106</v>
      </c>
      <c r="G249" t="s">
        <v>74</v>
      </c>
      <c r="H249" t="s">
        <v>1327</v>
      </c>
      <c r="I249" t="s">
        <v>1328</v>
      </c>
      <c r="J249" t="s">
        <v>98</v>
      </c>
      <c r="K249" t="s">
        <v>78</v>
      </c>
      <c r="L249" t="s">
        <v>1329</v>
      </c>
    </row>
    <row r="250" spans="1:12">
      <c r="A250" t="s">
        <v>1330</v>
      </c>
      <c r="B250" t="s">
        <v>1331</v>
      </c>
      <c r="C250" t="s">
        <v>120</v>
      </c>
      <c r="D250" t="s">
        <v>173</v>
      </c>
      <c r="E250" t="s">
        <v>95</v>
      </c>
      <c r="F250" t="s">
        <v>289</v>
      </c>
      <c r="G250" t="s">
        <v>114</v>
      </c>
      <c r="H250" t="s">
        <v>1332</v>
      </c>
      <c r="I250" t="s">
        <v>1333</v>
      </c>
      <c r="J250" t="s">
        <v>98</v>
      </c>
      <c r="K250" t="s">
        <v>109</v>
      </c>
      <c r="L250" t="s">
        <v>1334</v>
      </c>
    </row>
    <row r="251" spans="1:12">
      <c r="A251" t="s">
        <v>1335</v>
      </c>
      <c r="B251" t="s">
        <v>1336</v>
      </c>
      <c r="C251" t="s">
        <v>103</v>
      </c>
      <c r="D251" t="s">
        <v>121</v>
      </c>
      <c r="E251" t="s">
        <v>122</v>
      </c>
      <c r="F251" t="s">
        <v>106</v>
      </c>
      <c r="G251" t="s">
        <v>247</v>
      </c>
      <c r="H251" t="s">
        <v>1337</v>
      </c>
      <c r="I251" t="s">
        <v>1338</v>
      </c>
      <c r="J251" t="s">
        <v>77</v>
      </c>
      <c r="L251" t="s">
        <v>1339</v>
      </c>
    </row>
    <row r="252" spans="1:12">
      <c r="A252" t="s">
        <v>1340</v>
      </c>
      <c r="B252" t="s">
        <v>1341</v>
      </c>
      <c r="C252" t="s">
        <v>103</v>
      </c>
      <c r="D252" t="s">
        <v>121</v>
      </c>
      <c r="E252" t="s">
        <v>122</v>
      </c>
      <c r="F252" t="s">
        <v>205</v>
      </c>
      <c r="G252" t="s">
        <v>114</v>
      </c>
      <c r="H252" t="s">
        <v>1342</v>
      </c>
      <c r="I252" t="s">
        <v>1343</v>
      </c>
      <c r="J252" t="s">
        <v>98</v>
      </c>
      <c r="K252" t="s">
        <v>99</v>
      </c>
      <c r="L252" t="s">
        <v>1344</v>
      </c>
    </row>
    <row r="253" spans="1:12">
      <c r="A253" t="s">
        <v>1345</v>
      </c>
      <c r="B253" t="s">
        <v>252</v>
      </c>
      <c r="D253" t="s">
        <v>890</v>
      </c>
      <c r="E253" t="s">
        <v>402</v>
      </c>
      <c r="F253" t="s">
        <v>205</v>
      </c>
      <c r="G253" t="s">
        <v>86</v>
      </c>
      <c r="H253" t="s">
        <v>1346</v>
      </c>
      <c r="I253" t="s">
        <v>1347</v>
      </c>
      <c r="J253" t="s">
        <v>98</v>
      </c>
      <c r="K253" t="s">
        <v>78</v>
      </c>
      <c r="L253" t="s">
        <v>1348</v>
      </c>
    </row>
    <row r="254" spans="1:12">
      <c r="A254" t="s">
        <v>1349</v>
      </c>
      <c r="B254" t="s">
        <v>1350</v>
      </c>
      <c r="C254" t="s">
        <v>120</v>
      </c>
      <c r="D254" t="s">
        <v>401</v>
      </c>
      <c r="E254" t="s">
        <v>122</v>
      </c>
      <c r="F254" t="s">
        <v>154</v>
      </c>
      <c r="G254" t="s">
        <v>86</v>
      </c>
      <c r="H254" t="s">
        <v>1351</v>
      </c>
      <c r="I254" t="s">
        <v>1352</v>
      </c>
      <c r="J254" t="s">
        <v>77</v>
      </c>
      <c r="K254" t="s">
        <v>78</v>
      </c>
      <c r="L254" t="s">
        <v>1353</v>
      </c>
    </row>
    <row r="255" spans="1:12">
      <c r="A255" t="s">
        <v>1354</v>
      </c>
      <c r="B255" t="s">
        <v>1355</v>
      </c>
      <c r="C255" t="s">
        <v>93</v>
      </c>
      <c r="D255" t="s">
        <v>173</v>
      </c>
      <c r="E255" t="s">
        <v>1240</v>
      </c>
      <c r="F255" t="s">
        <v>505</v>
      </c>
      <c r="G255" t="s">
        <v>114</v>
      </c>
      <c r="H255" t="s">
        <v>1356</v>
      </c>
      <c r="I255" t="s">
        <v>1357</v>
      </c>
      <c r="J255" t="s">
        <v>98</v>
      </c>
      <c r="K255" t="s">
        <v>109</v>
      </c>
      <c r="L255" t="s">
        <v>1358</v>
      </c>
    </row>
    <row r="256" spans="1:12">
      <c r="A256" t="s">
        <v>1359</v>
      </c>
      <c r="B256" t="s">
        <v>1360</v>
      </c>
      <c r="C256" t="s">
        <v>120</v>
      </c>
      <c r="D256" t="s">
        <v>211</v>
      </c>
      <c r="E256" t="s">
        <v>363</v>
      </c>
      <c r="F256" t="s">
        <v>123</v>
      </c>
      <c r="G256" t="s">
        <v>247</v>
      </c>
      <c r="H256" t="s">
        <v>1361</v>
      </c>
      <c r="I256" t="s">
        <v>1362</v>
      </c>
      <c r="J256" t="s">
        <v>134</v>
      </c>
      <c r="L256" t="s">
        <v>1363</v>
      </c>
    </row>
    <row r="257" spans="1:12">
      <c r="A257" t="s">
        <v>1364</v>
      </c>
      <c r="B257" t="s">
        <v>137</v>
      </c>
      <c r="C257" t="s">
        <v>93</v>
      </c>
      <c r="D257" t="s">
        <v>211</v>
      </c>
      <c r="E257" t="s">
        <v>212</v>
      </c>
      <c r="F257" t="s">
        <v>123</v>
      </c>
      <c r="G257" t="s">
        <v>74</v>
      </c>
      <c r="H257" t="s">
        <v>1365</v>
      </c>
      <c r="I257" t="s">
        <v>1366</v>
      </c>
      <c r="J257" t="s">
        <v>77</v>
      </c>
      <c r="K257" t="s">
        <v>78</v>
      </c>
      <c r="L257" t="s">
        <v>1367</v>
      </c>
    </row>
    <row r="258" spans="1:12">
      <c r="A258" t="s">
        <v>1368</v>
      </c>
      <c r="B258" t="s">
        <v>563</v>
      </c>
      <c r="C258" t="s">
        <v>120</v>
      </c>
      <c r="D258" t="s">
        <v>211</v>
      </c>
      <c r="E258" t="s">
        <v>72</v>
      </c>
      <c r="F258" t="s">
        <v>154</v>
      </c>
      <c r="G258" t="s">
        <v>74</v>
      </c>
      <c r="H258" t="s">
        <v>1369</v>
      </c>
      <c r="I258" t="s">
        <v>1370</v>
      </c>
      <c r="J258" t="s">
        <v>77</v>
      </c>
      <c r="K258" t="s">
        <v>109</v>
      </c>
      <c r="L258" t="s">
        <v>1371</v>
      </c>
    </row>
    <row r="259" spans="1:12">
      <c r="A259" t="s">
        <v>1372</v>
      </c>
      <c r="B259" t="s">
        <v>996</v>
      </c>
      <c r="C259" t="s">
        <v>152</v>
      </c>
      <c r="D259" t="s">
        <v>173</v>
      </c>
      <c r="E259" t="s">
        <v>95</v>
      </c>
      <c r="F259" t="s">
        <v>205</v>
      </c>
      <c r="G259" t="s">
        <v>86</v>
      </c>
      <c r="H259" t="s">
        <v>1373</v>
      </c>
      <c r="I259" t="s">
        <v>1374</v>
      </c>
      <c r="J259" t="s">
        <v>98</v>
      </c>
      <c r="K259" t="s">
        <v>109</v>
      </c>
      <c r="L259" t="s">
        <v>1375</v>
      </c>
    </row>
    <row r="260" spans="1:12">
      <c r="A260" t="s">
        <v>1376</v>
      </c>
      <c r="B260" t="s">
        <v>802</v>
      </c>
      <c r="C260" t="s">
        <v>120</v>
      </c>
      <c r="D260" t="s">
        <v>83</v>
      </c>
      <c r="E260" t="s">
        <v>153</v>
      </c>
      <c r="F260" t="s">
        <v>106</v>
      </c>
      <c r="G260" t="s">
        <v>74</v>
      </c>
      <c r="H260" t="s">
        <v>1377</v>
      </c>
      <c r="I260" t="s">
        <v>1378</v>
      </c>
      <c r="J260" t="s">
        <v>98</v>
      </c>
      <c r="L260" t="s">
        <v>1379</v>
      </c>
    </row>
    <row r="261" spans="1:12">
      <c r="A261" t="s">
        <v>1380</v>
      </c>
      <c r="B261" t="s">
        <v>1381</v>
      </c>
      <c r="C261" t="s">
        <v>93</v>
      </c>
      <c r="D261" t="s">
        <v>83</v>
      </c>
      <c r="E261" t="s">
        <v>344</v>
      </c>
      <c r="F261" t="s">
        <v>123</v>
      </c>
      <c r="G261" t="s">
        <v>86</v>
      </c>
      <c r="H261" t="s">
        <v>1382</v>
      </c>
      <c r="I261" t="s">
        <v>1383</v>
      </c>
      <c r="J261" t="s">
        <v>134</v>
      </c>
      <c r="L261" t="s">
        <v>1384</v>
      </c>
    </row>
    <row r="262" spans="1:12">
      <c r="A262" t="s">
        <v>1385</v>
      </c>
      <c r="B262" t="s">
        <v>885</v>
      </c>
      <c r="D262" t="s">
        <v>121</v>
      </c>
      <c r="E262" t="s">
        <v>105</v>
      </c>
      <c r="F262" t="s">
        <v>85</v>
      </c>
      <c r="G262" t="s">
        <v>74</v>
      </c>
      <c r="H262" t="s">
        <v>1386</v>
      </c>
      <c r="I262" t="s">
        <v>1387</v>
      </c>
      <c r="J262" t="s">
        <v>134</v>
      </c>
      <c r="K262" t="s">
        <v>109</v>
      </c>
      <c r="L262" t="s">
        <v>1388</v>
      </c>
    </row>
    <row r="263" spans="1:12">
      <c r="A263" t="s">
        <v>1389</v>
      </c>
      <c r="B263" t="s">
        <v>1390</v>
      </c>
      <c r="C263" t="s">
        <v>120</v>
      </c>
      <c r="D263" t="s">
        <v>94</v>
      </c>
      <c r="E263" t="s">
        <v>146</v>
      </c>
      <c r="F263" t="s">
        <v>205</v>
      </c>
      <c r="G263" t="s">
        <v>247</v>
      </c>
      <c r="H263" t="s">
        <v>1391</v>
      </c>
      <c r="I263" t="s">
        <v>1392</v>
      </c>
      <c r="J263" t="s">
        <v>98</v>
      </c>
      <c r="K263" t="s">
        <v>109</v>
      </c>
      <c r="L263" t="s">
        <v>1393</v>
      </c>
    </row>
    <row r="264" spans="1:12">
      <c r="A264" t="s">
        <v>1394</v>
      </c>
      <c r="B264" t="s">
        <v>1395</v>
      </c>
      <c r="C264" t="s">
        <v>1033</v>
      </c>
      <c r="D264" t="s">
        <v>121</v>
      </c>
      <c r="E264" t="s">
        <v>197</v>
      </c>
      <c r="F264" t="s">
        <v>505</v>
      </c>
      <c r="G264" t="s">
        <v>247</v>
      </c>
      <c r="H264" t="s">
        <v>1396</v>
      </c>
      <c r="I264" t="s">
        <v>1397</v>
      </c>
      <c r="J264" t="s">
        <v>77</v>
      </c>
      <c r="K264" t="s">
        <v>99</v>
      </c>
      <c r="L264" t="s">
        <v>1398</v>
      </c>
    </row>
    <row r="265" spans="1:12">
      <c r="A265" t="s">
        <v>1399</v>
      </c>
      <c r="B265" t="s">
        <v>1395</v>
      </c>
      <c r="C265" t="s">
        <v>976</v>
      </c>
      <c r="D265" t="s">
        <v>173</v>
      </c>
      <c r="E265" t="s">
        <v>146</v>
      </c>
      <c r="F265" t="s">
        <v>85</v>
      </c>
      <c r="G265" t="s">
        <v>241</v>
      </c>
      <c r="H265" t="s">
        <v>1400</v>
      </c>
      <c r="I265" t="s">
        <v>1401</v>
      </c>
      <c r="J265" t="s">
        <v>98</v>
      </c>
      <c r="L265" t="s">
        <v>1402</v>
      </c>
    </row>
    <row r="266" spans="1:12">
      <c r="A266" t="s">
        <v>1403</v>
      </c>
      <c r="B266" t="s">
        <v>1404</v>
      </c>
      <c r="C266" t="s">
        <v>103</v>
      </c>
      <c r="D266" t="s">
        <v>121</v>
      </c>
      <c r="E266" t="s">
        <v>402</v>
      </c>
      <c r="F266" t="s">
        <v>123</v>
      </c>
      <c r="G266" t="s">
        <v>86</v>
      </c>
      <c r="H266" t="s">
        <v>1405</v>
      </c>
      <c r="I266" t="s">
        <v>1406</v>
      </c>
      <c r="J266" t="s">
        <v>77</v>
      </c>
      <c r="K266" t="s">
        <v>109</v>
      </c>
      <c r="L266" t="s">
        <v>1407</v>
      </c>
    </row>
    <row r="267" spans="1:12">
      <c r="A267" t="s">
        <v>1408</v>
      </c>
      <c r="B267" t="s">
        <v>350</v>
      </c>
      <c r="C267" t="s">
        <v>93</v>
      </c>
      <c r="D267" t="s">
        <v>173</v>
      </c>
      <c r="E267" t="s">
        <v>95</v>
      </c>
      <c r="F267" t="s">
        <v>505</v>
      </c>
      <c r="G267" t="s">
        <v>74</v>
      </c>
      <c r="H267" t="s">
        <v>1409</v>
      </c>
      <c r="I267" t="s">
        <v>1410</v>
      </c>
      <c r="J267" t="s">
        <v>98</v>
      </c>
      <c r="L267" t="s">
        <v>1411</v>
      </c>
    </row>
    <row r="268" spans="1:12">
      <c r="A268" t="s">
        <v>1412</v>
      </c>
      <c r="B268" t="s">
        <v>1413</v>
      </c>
      <c r="C268" t="s">
        <v>120</v>
      </c>
      <c r="D268" t="s">
        <v>253</v>
      </c>
      <c r="E268" t="s">
        <v>363</v>
      </c>
      <c r="F268" t="s">
        <v>123</v>
      </c>
      <c r="G268" t="s">
        <v>167</v>
      </c>
      <c r="H268" t="s">
        <v>1414</v>
      </c>
      <c r="I268" t="s">
        <v>1415</v>
      </c>
      <c r="J268" t="s">
        <v>98</v>
      </c>
      <c r="K268" t="s">
        <v>78</v>
      </c>
      <c r="L268" t="s">
        <v>1416</v>
      </c>
    </row>
    <row r="269" spans="1:12">
      <c r="A269" t="s">
        <v>1417</v>
      </c>
      <c r="B269" t="s">
        <v>1418</v>
      </c>
      <c r="C269" t="s">
        <v>82</v>
      </c>
      <c r="D269" t="s">
        <v>259</v>
      </c>
      <c r="E269" t="s">
        <v>95</v>
      </c>
      <c r="F269" t="s">
        <v>154</v>
      </c>
      <c r="G269" t="s">
        <v>74</v>
      </c>
      <c r="H269" t="s">
        <v>1419</v>
      </c>
      <c r="I269" t="s">
        <v>1420</v>
      </c>
      <c r="J269" t="s">
        <v>77</v>
      </c>
      <c r="K269" t="s">
        <v>99</v>
      </c>
      <c r="L269" t="s">
        <v>1421</v>
      </c>
    </row>
    <row r="270" spans="1:12">
      <c r="A270" t="s">
        <v>1422</v>
      </c>
      <c r="B270" t="s">
        <v>1423</v>
      </c>
      <c r="C270" t="s">
        <v>282</v>
      </c>
      <c r="D270" t="s">
        <v>173</v>
      </c>
      <c r="E270" t="s">
        <v>95</v>
      </c>
      <c r="F270" t="s">
        <v>85</v>
      </c>
      <c r="G270" t="s">
        <v>74</v>
      </c>
      <c r="H270" t="s">
        <v>1424</v>
      </c>
      <c r="I270" t="s">
        <v>1425</v>
      </c>
      <c r="J270" t="s">
        <v>77</v>
      </c>
      <c r="K270" t="s">
        <v>99</v>
      </c>
      <c r="L270" t="s">
        <v>1426</v>
      </c>
    </row>
    <row r="271" spans="1:12">
      <c r="A271" t="s">
        <v>1427</v>
      </c>
      <c r="B271" t="s">
        <v>1428</v>
      </c>
      <c r="C271" t="s">
        <v>93</v>
      </c>
      <c r="D271" t="s">
        <v>173</v>
      </c>
      <c r="E271" t="s">
        <v>468</v>
      </c>
      <c r="F271" t="s">
        <v>205</v>
      </c>
      <c r="G271" t="s">
        <v>167</v>
      </c>
      <c r="H271" t="s">
        <v>1429</v>
      </c>
      <c r="I271" t="s">
        <v>1430</v>
      </c>
      <c r="J271" t="s">
        <v>77</v>
      </c>
      <c r="K271" t="s">
        <v>109</v>
      </c>
      <c r="L271" t="s">
        <v>1431</v>
      </c>
    </row>
    <row r="272" spans="1:12">
      <c r="A272" t="s">
        <v>1432</v>
      </c>
      <c r="B272" t="s">
        <v>1433</v>
      </c>
      <c r="D272" t="s">
        <v>211</v>
      </c>
      <c r="E272" t="s">
        <v>1434</v>
      </c>
      <c r="F272" t="s">
        <v>533</v>
      </c>
      <c r="G272" t="s">
        <v>86</v>
      </c>
      <c r="H272" t="s">
        <v>1435</v>
      </c>
      <c r="I272" t="s">
        <v>1436</v>
      </c>
      <c r="J272" t="s">
        <v>134</v>
      </c>
      <c r="K272" t="s">
        <v>109</v>
      </c>
      <c r="L272" t="s">
        <v>1437</v>
      </c>
    </row>
    <row r="273" spans="1:12">
      <c r="A273" t="s">
        <v>1438</v>
      </c>
      <c r="B273" t="s">
        <v>1439</v>
      </c>
      <c r="C273" t="s">
        <v>138</v>
      </c>
      <c r="D273" t="s">
        <v>173</v>
      </c>
      <c r="E273" t="s">
        <v>804</v>
      </c>
      <c r="F273" t="s">
        <v>848</v>
      </c>
      <c r="G273" t="s">
        <v>167</v>
      </c>
      <c r="H273" t="s">
        <v>1440</v>
      </c>
      <c r="I273" t="s">
        <v>1441</v>
      </c>
      <c r="J273" t="s">
        <v>77</v>
      </c>
      <c r="L273" t="s">
        <v>1442</v>
      </c>
    </row>
    <row r="274" spans="1:12">
      <c r="A274" t="s">
        <v>1443</v>
      </c>
      <c r="B274" t="s">
        <v>1047</v>
      </c>
      <c r="C274" t="s">
        <v>185</v>
      </c>
      <c r="D274" t="s">
        <v>211</v>
      </c>
      <c r="E274" t="s">
        <v>679</v>
      </c>
      <c r="F274" t="s">
        <v>106</v>
      </c>
      <c r="G274" t="s">
        <v>167</v>
      </c>
      <c r="H274" t="s">
        <v>1444</v>
      </c>
      <c r="I274" t="s">
        <v>1445</v>
      </c>
      <c r="J274" t="s">
        <v>134</v>
      </c>
      <c r="K274" t="s">
        <v>109</v>
      </c>
      <c r="L274" t="s">
        <v>1446</v>
      </c>
    </row>
    <row r="275" spans="1:12">
      <c r="A275" t="s">
        <v>1447</v>
      </c>
      <c r="B275" t="s">
        <v>1336</v>
      </c>
      <c r="C275" t="s">
        <v>658</v>
      </c>
      <c r="D275" t="s">
        <v>803</v>
      </c>
      <c r="E275" t="s">
        <v>1448</v>
      </c>
      <c r="F275" t="s">
        <v>154</v>
      </c>
      <c r="G275" t="s">
        <v>86</v>
      </c>
      <c r="H275" t="s">
        <v>1449</v>
      </c>
      <c r="I275" t="s">
        <v>1450</v>
      </c>
      <c r="J275" t="s">
        <v>98</v>
      </c>
      <c r="K275" t="s">
        <v>109</v>
      </c>
      <c r="L275" t="s">
        <v>1451</v>
      </c>
    </row>
    <row r="276" spans="1:12">
      <c r="A276" t="s">
        <v>1452</v>
      </c>
      <c r="B276" t="s">
        <v>1381</v>
      </c>
      <c r="C276" t="s">
        <v>305</v>
      </c>
      <c r="D276" t="s">
        <v>259</v>
      </c>
      <c r="E276" t="s">
        <v>146</v>
      </c>
      <c r="F276" t="s">
        <v>154</v>
      </c>
      <c r="G276" t="s">
        <v>167</v>
      </c>
      <c r="H276" t="s">
        <v>1453</v>
      </c>
      <c r="I276" t="s">
        <v>1454</v>
      </c>
      <c r="J276" t="s">
        <v>134</v>
      </c>
      <c r="K276" t="s">
        <v>78</v>
      </c>
      <c r="L276" t="s">
        <v>1455</v>
      </c>
    </row>
    <row r="277" spans="1:12">
      <c r="A277" t="s">
        <v>1456</v>
      </c>
      <c r="B277" t="s">
        <v>1457</v>
      </c>
      <c r="C277" t="s">
        <v>120</v>
      </c>
      <c r="D277" t="s">
        <v>173</v>
      </c>
      <c r="E277" t="s">
        <v>146</v>
      </c>
      <c r="F277" t="s">
        <v>123</v>
      </c>
      <c r="G277" t="s">
        <v>74</v>
      </c>
      <c r="H277" t="s">
        <v>1458</v>
      </c>
      <c r="I277" t="s">
        <v>1459</v>
      </c>
      <c r="J277" t="s">
        <v>77</v>
      </c>
      <c r="K277" t="s">
        <v>109</v>
      </c>
      <c r="L277" t="s">
        <v>1460</v>
      </c>
    </row>
    <row r="278" spans="1:12">
      <c r="A278" t="s">
        <v>1461</v>
      </c>
      <c r="B278" t="s">
        <v>222</v>
      </c>
      <c r="C278" t="s">
        <v>362</v>
      </c>
      <c r="D278" t="s">
        <v>211</v>
      </c>
      <c r="E278" t="s">
        <v>131</v>
      </c>
      <c r="F278" t="s">
        <v>85</v>
      </c>
      <c r="G278" t="s">
        <v>927</v>
      </c>
      <c r="H278" t="s">
        <v>1462</v>
      </c>
      <c r="I278" t="s">
        <v>1463</v>
      </c>
      <c r="J278" t="s">
        <v>77</v>
      </c>
      <c r="L278" t="s">
        <v>1464</v>
      </c>
    </row>
    <row r="279" spans="1:12">
      <c r="A279" t="s">
        <v>1465</v>
      </c>
      <c r="B279" t="s">
        <v>1466</v>
      </c>
      <c r="C279" t="s">
        <v>439</v>
      </c>
      <c r="D279" t="s">
        <v>121</v>
      </c>
      <c r="E279" t="s">
        <v>105</v>
      </c>
      <c r="F279" t="s">
        <v>106</v>
      </c>
      <c r="G279" t="s">
        <v>167</v>
      </c>
      <c r="H279" t="s">
        <v>1467</v>
      </c>
      <c r="I279" t="s">
        <v>1468</v>
      </c>
      <c r="J279" t="s">
        <v>98</v>
      </c>
      <c r="L279" t="s">
        <v>1469</v>
      </c>
    </row>
    <row r="280" spans="1:12">
      <c r="A280" t="s">
        <v>1470</v>
      </c>
      <c r="B280" t="s">
        <v>1471</v>
      </c>
      <c r="C280" t="s">
        <v>103</v>
      </c>
      <c r="D280" t="s">
        <v>121</v>
      </c>
      <c r="E280" t="s">
        <v>105</v>
      </c>
      <c r="F280" t="s">
        <v>396</v>
      </c>
      <c r="G280" t="s">
        <v>345</v>
      </c>
      <c r="H280" t="s">
        <v>1472</v>
      </c>
      <c r="I280" t="s">
        <v>1473</v>
      </c>
      <c r="J280" t="s">
        <v>134</v>
      </c>
      <c r="K280" t="s">
        <v>109</v>
      </c>
      <c r="L280" t="s">
        <v>1474</v>
      </c>
    </row>
    <row r="281" spans="1:12">
      <c r="A281" t="s">
        <v>1475</v>
      </c>
      <c r="B281" t="s">
        <v>1476</v>
      </c>
      <c r="C281" t="s">
        <v>120</v>
      </c>
      <c r="D281" t="s">
        <v>211</v>
      </c>
      <c r="E281" t="s">
        <v>131</v>
      </c>
      <c r="F281" t="s">
        <v>123</v>
      </c>
      <c r="G281" t="s">
        <v>167</v>
      </c>
      <c r="H281" t="s">
        <v>1477</v>
      </c>
      <c r="I281" t="s">
        <v>1478</v>
      </c>
      <c r="J281" t="s">
        <v>98</v>
      </c>
      <c r="K281" t="s">
        <v>99</v>
      </c>
      <c r="L281" t="s">
        <v>1479</v>
      </c>
    </row>
    <row r="282" spans="1:12">
      <c r="A282" t="s">
        <v>1480</v>
      </c>
      <c r="B282" t="s">
        <v>1321</v>
      </c>
      <c r="C282" t="s">
        <v>103</v>
      </c>
      <c r="D282" t="s">
        <v>139</v>
      </c>
      <c r="E282" t="s">
        <v>146</v>
      </c>
      <c r="F282" t="s">
        <v>123</v>
      </c>
      <c r="G282" t="s">
        <v>114</v>
      </c>
      <c r="H282" t="s">
        <v>1444</v>
      </c>
      <c r="I282" t="s">
        <v>1481</v>
      </c>
      <c r="J282" t="s">
        <v>134</v>
      </c>
      <c r="K282" t="s">
        <v>78</v>
      </c>
      <c r="L282" t="s">
        <v>1482</v>
      </c>
    </row>
    <row r="283" spans="1:12">
      <c r="A283" t="s">
        <v>1483</v>
      </c>
      <c r="B283" t="s">
        <v>970</v>
      </c>
      <c r="C283" t="s">
        <v>82</v>
      </c>
      <c r="D283" t="s">
        <v>121</v>
      </c>
      <c r="E283" t="s">
        <v>122</v>
      </c>
      <c r="F283" t="s">
        <v>205</v>
      </c>
      <c r="G283" t="s">
        <v>86</v>
      </c>
      <c r="H283" t="s">
        <v>1484</v>
      </c>
      <c r="I283" t="s">
        <v>1485</v>
      </c>
      <c r="J283" t="s">
        <v>98</v>
      </c>
      <c r="K283" t="s">
        <v>78</v>
      </c>
      <c r="L283" t="s">
        <v>1486</v>
      </c>
    </row>
    <row r="284" spans="1:12">
      <c r="A284" t="s">
        <v>1487</v>
      </c>
      <c r="B284" t="s">
        <v>527</v>
      </c>
      <c r="C284" t="s">
        <v>103</v>
      </c>
      <c r="D284" t="s">
        <v>139</v>
      </c>
      <c r="E284" t="s">
        <v>146</v>
      </c>
      <c r="F284" t="s">
        <v>154</v>
      </c>
      <c r="G284" t="s">
        <v>74</v>
      </c>
      <c r="H284" t="s">
        <v>1488</v>
      </c>
      <c r="I284" t="s">
        <v>1489</v>
      </c>
      <c r="J284" t="s">
        <v>134</v>
      </c>
      <c r="L284" t="s">
        <v>1490</v>
      </c>
    </row>
    <row r="285" spans="1:12">
      <c r="A285" t="s">
        <v>1491</v>
      </c>
      <c r="B285" t="s">
        <v>1492</v>
      </c>
      <c r="C285" t="s">
        <v>282</v>
      </c>
      <c r="D285" t="s">
        <v>173</v>
      </c>
      <c r="E285" t="s">
        <v>146</v>
      </c>
      <c r="F285" t="s">
        <v>205</v>
      </c>
      <c r="G285" t="s">
        <v>167</v>
      </c>
      <c r="H285" t="s">
        <v>1493</v>
      </c>
      <c r="I285" t="s">
        <v>1494</v>
      </c>
      <c r="J285" t="s">
        <v>134</v>
      </c>
      <c r="K285" t="s">
        <v>109</v>
      </c>
      <c r="L285" t="s">
        <v>1495</v>
      </c>
    </row>
    <row r="286" spans="1:12">
      <c r="A286" t="s">
        <v>1496</v>
      </c>
      <c r="B286" t="s">
        <v>1268</v>
      </c>
      <c r="C286" t="s">
        <v>82</v>
      </c>
      <c r="D286" t="s">
        <v>173</v>
      </c>
      <c r="E286" t="s">
        <v>1497</v>
      </c>
      <c r="F286" t="s">
        <v>106</v>
      </c>
      <c r="G286" t="s">
        <v>86</v>
      </c>
      <c r="H286" t="s">
        <v>1498</v>
      </c>
      <c r="I286" t="s">
        <v>1499</v>
      </c>
      <c r="J286" t="s">
        <v>77</v>
      </c>
      <c r="L286" t="s">
        <v>1500</v>
      </c>
    </row>
    <row r="287" spans="1:12">
      <c r="A287" t="s">
        <v>1501</v>
      </c>
      <c r="B287" t="s">
        <v>702</v>
      </c>
      <c r="C287" t="s">
        <v>129</v>
      </c>
      <c r="D287" t="s">
        <v>139</v>
      </c>
      <c r="E287" t="s">
        <v>95</v>
      </c>
      <c r="F287" t="s">
        <v>154</v>
      </c>
      <c r="G287" t="s">
        <v>86</v>
      </c>
      <c r="H287" t="s">
        <v>1502</v>
      </c>
      <c r="I287" t="s">
        <v>1503</v>
      </c>
      <c r="J287" t="s">
        <v>77</v>
      </c>
      <c r="K287" t="s">
        <v>78</v>
      </c>
      <c r="L287" t="s">
        <v>1504</v>
      </c>
    </row>
    <row r="288" spans="1:12">
      <c r="A288" t="s">
        <v>1505</v>
      </c>
      <c r="B288" t="s">
        <v>1506</v>
      </c>
      <c r="C288" t="s">
        <v>70</v>
      </c>
      <c r="D288" t="s">
        <v>276</v>
      </c>
      <c r="E288" t="s">
        <v>153</v>
      </c>
      <c r="F288" t="s">
        <v>777</v>
      </c>
      <c r="G288" t="s">
        <v>86</v>
      </c>
      <c r="H288" t="s">
        <v>1507</v>
      </c>
      <c r="I288" t="s">
        <v>1508</v>
      </c>
      <c r="J288" t="s">
        <v>77</v>
      </c>
      <c r="K288" t="s">
        <v>78</v>
      </c>
      <c r="L288" t="s">
        <v>1509</v>
      </c>
    </row>
    <row r="289" spans="1:12">
      <c r="A289" t="s">
        <v>1510</v>
      </c>
      <c r="B289" t="s">
        <v>833</v>
      </c>
      <c r="C289" t="s">
        <v>82</v>
      </c>
      <c r="D289" t="s">
        <v>173</v>
      </c>
      <c r="E289" t="s">
        <v>95</v>
      </c>
      <c r="F289" t="s">
        <v>154</v>
      </c>
      <c r="G289" t="s">
        <v>167</v>
      </c>
      <c r="H289" t="s">
        <v>1511</v>
      </c>
      <c r="I289" t="s">
        <v>1512</v>
      </c>
      <c r="J289" t="s">
        <v>77</v>
      </c>
      <c r="K289" t="s">
        <v>99</v>
      </c>
      <c r="L289" t="s">
        <v>1513</v>
      </c>
    </row>
    <row r="290" spans="1:12">
      <c r="A290" t="s">
        <v>1514</v>
      </c>
      <c r="B290" t="s">
        <v>1515</v>
      </c>
      <c r="C290" t="s">
        <v>103</v>
      </c>
      <c r="D290" t="s">
        <v>83</v>
      </c>
      <c r="E290" t="s">
        <v>153</v>
      </c>
      <c r="F290" t="s">
        <v>123</v>
      </c>
      <c r="G290" t="s">
        <v>74</v>
      </c>
      <c r="H290" t="s">
        <v>1516</v>
      </c>
      <c r="I290" t="s">
        <v>1517</v>
      </c>
      <c r="J290" t="s">
        <v>134</v>
      </c>
      <c r="L290" t="s">
        <v>1518</v>
      </c>
    </row>
    <row r="291" spans="1:12">
      <c r="A291" t="s">
        <v>1519</v>
      </c>
      <c r="B291" t="s">
        <v>350</v>
      </c>
      <c r="C291" t="s">
        <v>478</v>
      </c>
      <c r="D291" t="s">
        <v>130</v>
      </c>
      <c r="E291" t="s">
        <v>363</v>
      </c>
      <c r="F291" t="s">
        <v>123</v>
      </c>
      <c r="G291" t="s">
        <v>86</v>
      </c>
      <c r="H291" t="s">
        <v>1520</v>
      </c>
      <c r="I291" t="s">
        <v>1521</v>
      </c>
      <c r="J291" t="s">
        <v>134</v>
      </c>
      <c r="K291" t="s">
        <v>78</v>
      </c>
      <c r="L291" t="s">
        <v>1522</v>
      </c>
    </row>
    <row r="292" spans="1:12">
      <c r="A292" t="s">
        <v>1523</v>
      </c>
      <c r="B292" t="s">
        <v>691</v>
      </c>
      <c r="C292" t="s">
        <v>82</v>
      </c>
      <c r="D292" t="s">
        <v>253</v>
      </c>
      <c r="E292" t="s">
        <v>363</v>
      </c>
      <c r="F292" t="s">
        <v>205</v>
      </c>
      <c r="G292" t="s">
        <v>86</v>
      </c>
      <c r="H292" t="s">
        <v>1524</v>
      </c>
      <c r="I292" t="s">
        <v>1525</v>
      </c>
      <c r="J292" t="s">
        <v>98</v>
      </c>
      <c r="K292" t="s">
        <v>99</v>
      </c>
      <c r="L292" t="s">
        <v>1526</v>
      </c>
    </row>
    <row r="293" spans="1:12">
      <c r="A293" t="s">
        <v>1527</v>
      </c>
      <c r="B293" t="s">
        <v>1528</v>
      </c>
      <c r="C293" t="s">
        <v>93</v>
      </c>
      <c r="D293" t="s">
        <v>173</v>
      </c>
      <c r="E293" t="s">
        <v>95</v>
      </c>
      <c r="F293" t="s">
        <v>106</v>
      </c>
      <c r="G293" t="s">
        <v>74</v>
      </c>
      <c r="H293" t="s">
        <v>1529</v>
      </c>
      <c r="I293" t="s">
        <v>1530</v>
      </c>
      <c r="J293" t="s">
        <v>77</v>
      </c>
      <c r="L293" t="s">
        <v>1531</v>
      </c>
    </row>
    <row r="294" spans="1:12">
      <c r="A294" t="s">
        <v>1532</v>
      </c>
      <c r="B294" t="s">
        <v>527</v>
      </c>
      <c r="C294" t="s">
        <v>138</v>
      </c>
      <c r="D294" t="s">
        <v>1533</v>
      </c>
      <c r="E294" t="s">
        <v>363</v>
      </c>
      <c r="F294" t="s">
        <v>505</v>
      </c>
      <c r="G294" t="s">
        <v>114</v>
      </c>
      <c r="H294" t="s">
        <v>1534</v>
      </c>
      <c r="I294" t="s">
        <v>1535</v>
      </c>
      <c r="J294" t="s">
        <v>98</v>
      </c>
      <c r="L294" t="s">
        <v>1536</v>
      </c>
    </row>
    <row r="295" spans="1:12">
      <c r="A295" t="s">
        <v>1537</v>
      </c>
      <c r="B295" t="s">
        <v>1538</v>
      </c>
      <c r="C295" t="s">
        <v>138</v>
      </c>
      <c r="D295" t="s">
        <v>121</v>
      </c>
      <c r="E295" t="s">
        <v>160</v>
      </c>
      <c r="F295" t="s">
        <v>154</v>
      </c>
      <c r="G295" t="s">
        <v>167</v>
      </c>
      <c r="H295" t="s">
        <v>1539</v>
      </c>
      <c r="I295" t="s">
        <v>1540</v>
      </c>
      <c r="J295" t="s">
        <v>98</v>
      </c>
      <c r="K295" t="s">
        <v>78</v>
      </c>
      <c r="L295" t="s">
        <v>1541</v>
      </c>
    </row>
    <row r="296" spans="1:12">
      <c r="A296" t="s">
        <v>1542</v>
      </c>
      <c r="B296" t="s">
        <v>1492</v>
      </c>
      <c r="C296" t="s">
        <v>1033</v>
      </c>
      <c r="D296" t="s">
        <v>211</v>
      </c>
      <c r="E296" t="s">
        <v>697</v>
      </c>
      <c r="F296" t="s">
        <v>154</v>
      </c>
      <c r="G296" t="s">
        <v>74</v>
      </c>
      <c r="H296" t="s">
        <v>1543</v>
      </c>
      <c r="I296" t="s">
        <v>1544</v>
      </c>
      <c r="J296" t="s">
        <v>98</v>
      </c>
      <c r="K296" t="s">
        <v>109</v>
      </c>
      <c r="L296" t="s">
        <v>1545</v>
      </c>
    </row>
    <row r="297" spans="1:12">
      <c r="A297" t="s">
        <v>1546</v>
      </c>
      <c r="B297" t="s">
        <v>191</v>
      </c>
      <c r="C297" t="s">
        <v>129</v>
      </c>
      <c r="D297" t="s">
        <v>104</v>
      </c>
      <c r="E297" t="s">
        <v>105</v>
      </c>
      <c r="F297" t="s">
        <v>85</v>
      </c>
      <c r="G297" t="s">
        <v>86</v>
      </c>
      <c r="H297" t="s">
        <v>1547</v>
      </c>
      <c r="I297" t="s">
        <v>1548</v>
      </c>
      <c r="J297" t="s">
        <v>134</v>
      </c>
      <c r="L297" t="s">
        <v>1549</v>
      </c>
    </row>
    <row r="298" spans="1:12">
      <c r="A298" t="s">
        <v>1550</v>
      </c>
      <c r="B298" t="s">
        <v>1551</v>
      </c>
      <c r="C298" t="s">
        <v>93</v>
      </c>
      <c r="D298" t="s">
        <v>173</v>
      </c>
      <c r="E298" t="s">
        <v>95</v>
      </c>
      <c r="F298" t="s">
        <v>205</v>
      </c>
      <c r="G298" t="s">
        <v>74</v>
      </c>
      <c r="H298" t="s">
        <v>1552</v>
      </c>
      <c r="I298" t="s">
        <v>1553</v>
      </c>
      <c r="J298" t="s">
        <v>98</v>
      </c>
      <c r="K298" t="s">
        <v>99</v>
      </c>
      <c r="L298" t="s">
        <v>1554</v>
      </c>
    </row>
    <row r="299" spans="1:12">
      <c r="A299" t="s">
        <v>1555</v>
      </c>
      <c r="B299" t="s">
        <v>527</v>
      </c>
      <c r="C299" t="s">
        <v>976</v>
      </c>
      <c r="D299" t="s">
        <v>173</v>
      </c>
      <c r="E299" t="s">
        <v>468</v>
      </c>
      <c r="F299" t="s">
        <v>205</v>
      </c>
      <c r="G299" t="s">
        <v>247</v>
      </c>
      <c r="H299" t="s">
        <v>1556</v>
      </c>
      <c r="I299" t="s">
        <v>1557</v>
      </c>
      <c r="J299" t="s">
        <v>134</v>
      </c>
      <c r="K299" t="s">
        <v>109</v>
      </c>
      <c r="L299" t="s">
        <v>1558</v>
      </c>
    </row>
    <row r="300" spans="1:12">
      <c r="A300" t="s">
        <v>1559</v>
      </c>
      <c r="B300" t="s">
        <v>591</v>
      </c>
      <c r="C300" t="s">
        <v>82</v>
      </c>
      <c r="D300" t="s">
        <v>327</v>
      </c>
      <c r="E300" t="s">
        <v>369</v>
      </c>
      <c r="F300" t="s">
        <v>106</v>
      </c>
      <c r="G300" t="s">
        <v>167</v>
      </c>
      <c r="H300" t="s">
        <v>1560</v>
      </c>
      <c r="I300" t="s">
        <v>1561</v>
      </c>
      <c r="J300" t="s">
        <v>98</v>
      </c>
      <c r="K300" t="s">
        <v>99</v>
      </c>
      <c r="L300" t="s">
        <v>1562</v>
      </c>
    </row>
    <row r="301" spans="1:12">
      <c r="A301" t="s">
        <v>1563</v>
      </c>
      <c r="B301" t="s">
        <v>343</v>
      </c>
      <c r="C301" t="s">
        <v>185</v>
      </c>
      <c r="D301" t="s">
        <v>259</v>
      </c>
      <c r="E301" t="s">
        <v>95</v>
      </c>
      <c r="F301" t="s">
        <v>106</v>
      </c>
      <c r="G301" t="s">
        <v>74</v>
      </c>
      <c r="H301" t="s">
        <v>1564</v>
      </c>
      <c r="I301" t="s">
        <v>1565</v>
      </c>
      <c r="J301" t="s">
        <v>77</v>
      </c>
      <c r="K301" t="s">
        <v>78</v>
      </c>
      <c r="L301" t="s">
        <v>1566</v>
      </c>
    </row>
    <row r="302" spans="1:12">
      <c r="A302" t="s">
        <v>1567</v>
      </c>
      <c r="B302" t="s">
        <v>1568</v>
      </c>
      <c r="C302" t="s">
        <v>120</v>
      </c>
      <c r="D302" t="s">
        <v>1533</v>
      </c>
      <c r="E302" t="s">
        <v>72</v>
      </c>
      <c r="F302" t="s">
        <v>85</v>
      </c>
      <c r="G302" t="s">
        <v>74</v>
      </c>
      <c r="H302" t="s">
        <v>1569</v>
      </c>
      <c r="I302" t="s">
        <v>1570</v>
      </c>
      <c r="J302" t="s">
        <v>200</v>
      </c>
      <c r="K302" t="s">
        <v>78</v>
      </c>
      <c r="L302" t="s">
        <v>1571</v>
      </c>
    </row>
    <row r="303" spans="1:12">
      <c r="A303" t="s">
        <v>1572</v>
      </c>
      <c r="B303" t="s">
        <v>1573</v>
      </c>
      <c r="C303" t="s">
        <v>1138</v>
      </c>
      <c r="D303" t="s">
        <v>121</v>
      </c>
      <c r="E303" t="s">
        <v>105</v>
      </c>
      <c r="F303" t="s">
        <v>106</v>
      </c>
      <c r="G303" t="s">
        <v>114</v>
      </c>
      <c r="H303" t="s">
        <v>1574</v>
      </c>
      <c r="I303" t="s">
        <v>1575</v>
      </c>
      <c r="J303" t="s">
        <v>134</v>
      </c>
      <c r="L303" t="s">
        <v>1576</v>
      </c>
    </row>
    <row r="304" spans="1:12">
      <c r="A304" t="s">
        <v>1577</v>
      </c>
      <c r="B304" t="s">
        <v>612</v>
      </c>
      <c r="C304" t="s">
        <v>93</v>
      </c>
      <c r="D304" t="s">
        <v>83</v>
      </c>
      <c r="E304" t="s">
        <v>84</v>
      </c>
      <c r="F304" t="s">
        <v>85</v>
      </c>
      <c r="G304" t="s">
        <v>167</v>
      </c>
      <c r="H304" t="s">
        <v>1578</v>
      </c>
      <c r="I304" t="s">
        <v>1579</v>
      </c>
      <c r="J304" t="s">
        <v>134</v>
      </c>
      <c r="K304" t="s">
        <v>109</v>
      </c>
      <c r="L304" t="s">
        <v>1580</v>
      </c>
    </row>
    <row r="305" spans="1:12">
      <c r="A305" t="s">
        <v>1581</v>
      </c>
      <c r="B305" t="s">
        <v>1582</v>
      </c>
      <c r="C305" t="s">
        <v>70</v>
      </c>
      <c r="D305" t="s">
        <v>179</v>
      </c>
      <c r="E305" t="s">
        <v>153</v>
      </c>
      <c r="F305" t="s">
        <v>166</v>
      </c>
      <c r="G305" t="s">
        <v>114</v>
      </c>
      <c r="H305" t="s">
        <v>1583</v>
      </c>
      <c r="I305" t="s">
        <v>1584</v>
      </c>
      <c r="J305" t="s">
        <v>98</v>
      </c>
      <c r="K305" t="s">
        <v>78</v>
      </c>
      <c r="L305" t="s">
        <v>1585</v>
      </c>
    </row>
    <row r="306" spans="1:12">
      <c r="A306" t="s">
        <v>1586</v>
      </c>
      <c r="B306" t="s">
        <v>1360</v>
      </c>
      <c r="C306" t="s">
        <v>93</v>
      </c>
      <c r="D306" t="s">
        <v>211</v>
      </c>
      <c r="E306" t="s">
        <v>363</v>
      </c>
      <c r="F306" t="s">
        <v>123</v>
      </c>
      <c r="G306" t="s">
        <v>247</v>
      </c>
      <c r="H306" t="s">
        <v>1587</v>
      </c>
      <c r="I306" t="s">
        <v>1588</v>
      </c>
      <c r="J306" t="s">
        <v>98</v>
      </c>
      <c r="L306" t="s">
        <v>1589</v>
      </c>
    </row>
    <row r="307" spans="1:12">
      <c r="A307" t="s">
        <v>1590</v>
      </c>
      <c r="B307" t="s">
        <v>386</v>
      </c>
      <c r="C307" t="s">
        <v>223</v>
      </c>
      <c r="D307" t="s">
        <v>211</v>
      </c>
      <c r="E307" t="s">
        <v>131</v>
      </c>
      <c r="F307" t="s">
        <v>205</v>
      </c>
      <c r="G307" t="s">
        <v>247</v>
      </c>
      <c r="H307" t="s">
        <v>1591</v>
      </c>
      <c r="I307" t="s">
        <v>1592</v>
      </c>
      <c r="J307" t="s">
        <v>134</v>
      </c>
      <c r="L307" t="s">
        <v>1593</v>
      </c>
    </row>
    <row r="308" spans="1:12">
      <c r="A308" t="s">
        <v>1594</v>
      </c>
      <c r="B308" t="s">
        <v>1595</v>
      </c>
      <c r="C308" t="s">
        <v>82</v>
      </c>
      <c r="D308" t="s">
        <v>890</v>
      </c>
      <c r="E308" t="s">
        <v>105</v>
      </c>
      <c r="F308" t="s">
        <v>603</v>
      </c>
      <c r="G308" t="s">
        <v>86</v>
      </c>
      <c r="H308" t="s">
        <v>1596</v>
      </c>
      <c r="I308" t="s">
        <v>1597</v>
      </c>
      <c r="J308" t="s">
        <v>77</v>
      </c>
      <c r="K308" t="s">
        <v>99</v>
      </c>
      <c r="L308" t="s">
        <v>1598</v>
      </c>
    </row>
    <row r="309" spans="1:12">
      <c r="A309" t="s">
        <v>1599</v>
      </c>
      <c r="B309" t="s">
        <v>691</v>
      </c>
      <c r="C309" t="s">
        <v>876</v>
      </c>
      <c r="D309" t="s">
        <v>173</v>
      </c>
      <c r="E309" t="s">
        <v>146</v>
      </c>
      <c r="F309" t="s">
        <v>1273</v>
      </c>
      <c r="G309" t="s">
        <v>167</v>
      </c>
      <c r="H309" t="s">
        <v>1600</v>
      </c>
      <c r="I309" t="s">
        <v>1601</v>
      </c>
      <c r="J309" t="s">
        <v>77</v>
      </c>
      <c r="K309" t="s">
        <v>99</v>
      </c>
      <c r="L309" t="s">
        <v>1602</v>
      </c>
    </row>
    <row r="310" spans="1:12">
      <c r="A310" t="s">
        <v>1603</v>
      </c>
      <c r="B310" t="s">
        <v>1604</v>
      </c>
      <c r="C310" t="s">
        <v>311</v>
      </c>
      <c r="E310" t="s">
        <v>153</v>
      </c>
      <c r="F310" t="s">
        <v>123</v>
      </c>
      <c r="G310" t="s">
        <v>114</v>
      </c>
      <c r="H310" t="s">
        <v>1605</v>
      </c>
      <c r="I310" t="s">
        <v>1606</v>
      </c>
      <c r="J310" t="s">
        <v>77</v>
      </c>
      <c r="L310" t="s">
        <v>1607</v>
      </c>
    </row>
    <row r="311" spans="1:12">
      <c r="A311" t="s">
        <v>1608</v>
      </c>
      <c r="B311" t="s">
        <v>1609</v>
      </c>
      <c r="C311" t="s">
        <v>93</v>
      </c>
      <c r="D311" t="s">
        <v>83</v>
      </c>
      <c r="E311" t="s">
        <v>1610</v>
      </c>
      <c r="F311" t="s">
        <v>154</v>
      </c>
      <c r="G311" t="s">
        <v>74</v>
      </c>
      <c r="H311" t="s">
        <v>1611</v>
      </c>
      <c r="I311" t="s">
        <v>1612</v>
      </c>
      <c r="J311" t="s">
        <v>77</v>
      </c>
      <c r="K311" t="s">
        <v>78</v>
      </c>
      <c r="L311" t="s">
        <v>1613</v>
      </c>
    </row>
    <row r="312" spans="1:12">
      <c r="A312" t="s">
        <v>1614</v>
      </c>
      <c r="B312" t="s">
        <v>1024</v>
      </c>
      <c r="C312" t="s">
        <v>467</v>
      </c>
      <c r="D312" t="s">
        <v>83</v>
      </c>
      <c r="E312" t="s">
        <v>84</v>
      </c>
      <c r="F312" t="s">
        <v>631</v>
      </c>
      <c r="G312" t="s">
        <v>241</v>
      </c>
      <c r="H312" t="s">
        <v>1615</v>
      </c>
      <c r="I312" t="s">
        <v>1616</v>
      </c>
      <c r="J312" t="s">
        <v>134</v>
      </c>
      <c r="K312" t="s">
        <v>78</v>
      </c>
      <c r="L312" t="s">
        <v>1617</v>
      </c>
    </row>
    <row r="313" spans="1:12">
      <c r="A313" t="s">
        <v>411</v>
      </c>
      <c r="B313" t="s">
        <v>412</v>
      </c>
      <c r="C313" t="s">
        <v>185</v>
      </c>
      <c r="D313" t="s">
        <v>83</v>
      </c>
      <c r="E313" t="s">
        <v>153</v>
      </c>
      <c r="F313" t="s">
        <v>106</v>
      </c>
      <c r="G313" t="s">
        <v>74</v>
      </c>
      <c r="H313" t="s">
        <v>413</v>
      </c>
      <c r="I313" t="s">
        <v>414</v>
      </c>
      <c r="J313" t="s">
        <v>77</v>
      </c>
      <c r="K313" t="s">
        <v>89</v>
      </c>
      <c r="L313" t="s">
        <v>415</v>
      </c>
    </row>
    <row r="314" spans="1:12">
      <c r="A314" t="s">
        <v>1618</v>
      </c>
      <c r="B314" t="s">
        <v>729</v>
      </c>
      <c r="C314" t="s">
        <v>876</v>
      </c>
      <c r="D314" t="s">
        <v>83</v>
      </c>
      <c r="E314" t="s">
        <v>153</v>
      </c>
      <c r="F314" t="s">
        <v>123</v>
      </c>
      <c r="G314" t="s">
        <v>74</v>
      </c>
      <c r="H314" t="s">
        <v>1619</v>
      </c>
      <c r="I314" t="s">
        <v>1620</v>
      </c>
      <c r="J314" t="s">
        <v>705</v>
      </c>
      <c r="K314" t="s">
        <v>78</v>
      </c>
      <c r="L314" t="s">
        <v>1621</v>
      </c>
    </row>
    <row r="315" spans="1:12">
      <c r="A315" t="s">
        <v>1622</v>
      </c>
      <c r="B315" t="s">
        <v>1623</v>
      </c>
      <c r="C315" t="s">
        <v>478</v>
      </c>
      <c r="D315" t="s">
        <v>211</v>
      </c>
      <c r="E315" t="s">
        <v>363</v>
      </c>
      <c r="F315" t="s">
        <v>512</v>
      </c>
      <c r="G315" t="s">
        <v>167</v>
      </c>
      <c r="H315" t="s">
        <v>1624</v>
      </c>
      <c r="I315" t="s">
        <v>1625</v>
      </c>
      <c r="J315" t="s">
        <v>77</v>
      </c>
      <c r="L315" t="s">
        <v>1626</v>
      </c>
    </row>
    <row r="316" spans="1:12">
      <c r="A316" t="s">
        <v>1627</v>
      </c>
      <c r="B316" t="s">
        <v>1628</v>
      </c>
      <c r="C316" t="s">
        <v>103</v>
      </c>
      <c r="D316" t="s">
        <v>121</v>
      </c>
      <c r="E316" t="s">
        <v>105</v>
      </c>
      <c r="F316" t="s">
        <v>106</v>
      </c>
      <c r="G316" t="s">
        <v>167</v>
      </c>
      <c r="H316" t="s">
        <v>1629</v>
      </c>
      <c r="I316" t="s">
        <v>1630</v>
      </c>
      <c r="J316" t="s">
        <v>134</v>
      </c>
      <c r="K316" t="s">
        <v>78</v>
      </c>
      <c r="L316" t="s">
        <v>1631</v>
      </c>
    </row>
    <row r="317" spans="1:12">
      <c r="A317" t="s">
        <v>1632</v>
      </c>
      <c r="B317" t="s">
        <v>343</v>
      </c>
      <c r="C317" t="s">
        <v>93</v>
      </c>
      <c r="D317" t="s">
        <v>121</v>
      </c>
      <c r="E317" t="s">
        <v>122</v>
      </c>
      <c r="F317" t="s">
        <v>564</v>
      </c>
      <c r="G317" t="s">
        <v>86</v>
      </c>
      <c r="H317" t="s">
        <v>1633</v>
      </c>
      <c r="I317" t="s">
        <v>1634</v>
      </c>
      <c r="J317" t="s">
        <v>77</v>
      </c>
      <c r="K317" t="s">
        <v>109</v>
      </c>
      <c r="L317" t="s">
        <v>1635</v>
      </c>
    </row>
    <row r="318" spans="1:12">
      <c r="A318" t="s">
        <v>1636</v>
      </c>
      <c r="B318" t="s">
        <v>1637</v>
      </c>
      <c r="C318" t="s">
        <v>103</v>
      </c>
      <c r="D318" t="s">
        <v>130</v>
      </c>
      <c r="E318" t="s">
        <v>363</v>
      </c>
      <c r="F318" t="s">
        <v>85</v>
      </c>
      <c r="G318" t="s">
        <v>74</v>
      </c>
      <c r="H318" t="s">
        <v>1638</v>
      </c>
      <c r="I318" t="s">
        <v>1639</v>
      </c>
      <c r="J318" t="s">
        <v>98</v>
      </c>
      <c r="K318" t="s">
        <v>99</v>
      </c>
      <c r="L318" t="s">
        <v>1640</v>
      </c>
    </row>
    <row r="319" spans="1:12">
      <c r="A319" t="s">
        <v>1641</v>
      </c>
      <c r="B319" t="s">
        <v>1642</v>
      </c>
      <c r="C319" t="s">
        <v>439</v>
      </c>
      <c r="D319" t="s">
        <v>130</v>
      </c>
      <c r="E319" t="s">
        <v>131</v>
      </c>
      <c r="F319" t="s">
        <v>564</v>
      </c>
      <c r="G319" t="s">
        <v>247</v>
      </c>
      <c r="H319" t="s">
        <v>1643</v>
      </c>
      <c r="I319" t="s">
        <v>1644</v>
      </c>
      <c r="J319" t="s">
        <v>134</v>
      </c>
      <c r="L319" t="s">
        <v>1645</v>
      </c>
    </row>
    <row r="320" spans="1:12">
      <c r="A320" t="s">
        <v>1646</v>
      </c>
      <c r="B320" t="s">
        <v>1647</v>
      </c>
      <c r="C320" t="s">
        <v>82</v>
      </c>
      <c r="D320" t="s">
        <v>83</v>
      </c>
      <c r="E320" t="s">
        <v>84</v>
      </c>
      <c r="F320" t="s">
        <v>154</v>
      </c>
      <c r="G320" t="s">
        <v>74</v>
      </c>
      <c r="H320" t="s">
        <v>1648</v>
      </c>
      <c r="I320" t="s">
        <v>1649</v>
      </c>
      <c r="J320" t="s">
        <v>77</v>
      </c>
      <c r="L320" t="s">
        <v>1650</v>
      </c>
    </row>
    <row r="321" spans="1:12">
      <c r="A321" t="s">
        <v>1651</v>
      </c>
      <c r="B321" t="s">
        <v>1165</v>
      </c>
      <c r="C321" t="s">
        <v>103</v>
      </c>
      <c r="D321" t="s">
        <v>423</v>
      </c>
      <c r="E321" t="s">
        <v>1652</v>
      </c>
      <c r="F321" t="s">
        <v>205</v>
      </c>
      <c r="G321" t="s">
        <v>927</v>
      </c>
      <c r="H321" t="s">
        <v>1653</v>
      </c>
      <c r="I321" t="s">
        <v>1654</v>
      </c>
      <c r="J321" t="s">
        <v>77</v>
      </c>
      <c r="K321" t="s">
        <v>78</v>
      </c>
      <c r="L321" t="s">
        <v>1655</v>
      </c>
    </row>
    <row r="322" spans="1:12">
      <c r="A322" t="s">
        <v>1656</v>
      </c>
      <c r="B322" t="s">
        <v>1657</v>
      </c>
      <c r="C322" t="s">
        <v>876</v>
      </c>
      <c r="D322" t="s">
        <v>104</v>
      </c>
      <c r="E322" t="s">
        <v>122</v>
      </c>
      <c r="F322" t="s">
        <v>166</v>
      </c>
      <c r="G322" t="s">
        <v>114</v>
      </c>
      <c r="H322" t="s">
        <v>1658</v>
      </c>
      <c r="I322" t="s">
        <v>1659</v>
      </c>
      <c r="J322" t="s">
        <v>98</v>
      </c>
      <c r="L322" t="s">
        <v>1660</v>
      </c>
    </row>
    <row r="323" spans="1:12">
      <c r="A323" t="s">
        <v>1661</v>
      </c>
      <c r="B323" t="s">
        <v>932</v>
      </c>
      <c r="C323" t="s">
        <v>93</v>
      </c>
      <c r="D323" t="s">
        <v>211</v>
      </c>
      <c r="E323" t="s">
        <v>72</v>
      </c>
      <c r="F323" t="s">
        <v>85</v>
      </c>
      <c r="G323" t="s">
        <v>74</v>
      </c>
      <c r="H323" t="s">
        <v>1662</v>
      </c>
      <c r="I323" t="s">
        <v>1663</v>
      </c>
      <c r="J323" t="s">
        <v>77</v>
      </c>
      <c r="L323" t="s">
        <v>1664</v>
      </c>
    </row>
    <row r="324" spans="1:12">
      <c r="A324" t="s">
        <v>1665</v>
      </c>
      <c r="B324" t="s">
        <v>1666</v>
      </c>
      <c r="C324" t="s">
        <v>93</v>
      </c>
      <c r="D324" t="s">
        <v>211</v>
      </c>
      <c r="E324" t="s">
        <v>131</v>
      </c>
      <c r="F324" t="s">
        <v>205</v>
      </c>
      <c r="G324" t="s">
        <v>86</v>
      </c>
      <c r="H324" t="s">
        <v>1667</v>
      </c>
      <c r="I324" t="s">
        <v>1668</v>
      </c>
      <c r="J324" t="s">
        <v>98</v>
      </c>
      <c r="K324" t="s">
        <v>99</v>
      </c>
      <c r="L324" t="s">
        <v>1669</v>
      </c>
    </row>
    <row r="325" spans="1:12">
      <c r="A325" t="s">
        <v>1670</v>
      </c>
      <c r="B325" t="s">
        <v>657</v>
      </c>
      <c r="C325" t="s">
        <v>138</v>
      </c>
      <c r="D325" t="s">
        <v>83</v>
      </c>
      <c r="E325" t="s">
        <v>1081</v>
      </c>
      <c r="F325" t="s">
        <v>106</v>
      </c>
      <c r="G325" t="s">
        <v>74</v>
      </c>
      <c r="H325" t="s">
        <v>1671</v>
      </c>
      <c r="I325" t="s">
        <v>1672</v>
      </c>
      <c r="J325" t="s">
        <v>77</v>
      </c>
      <c r="L325" t="s">
        <v>1673</v>
      </c>
    </row>
    <row r="326" spans="1:12">
      <c r="A326" t="s">
        <v>1674</v>
      </c>
      <c r="B326" t="s">
        <v>975</v>
      </c>
      <c r="C326" t="s">
        <v>138</v>
      </c>
      <c r="D326" t="s">
        <v>401</v>
      </c>
      <c r="E326" t="s">
        <v>122</v>
      </c>
      <c r="F326" t="s">
        <v>154</v>
      </c>
      <c r="G326" t="s">
        <v>74</v>
      </c>
      <c r="H326" t="s">
        <v>1675</v>
      </c>
      <c r="I326" t="s">
        <v>1676</v>
      </c>
      <c r="J326" t="s">
        <v>77</v>
      </c>
      <c r="L326" t="s">
        <v>1677</v>
      </c>
    </row>
    <row r="327" spans="1:12">
      <c r="A327" t="s">
        <v>1678</v>
      </c>
      <c r="B327" t="s">
        <v>1679</v>
      </c>
      <c r="C327" t="s">
        <v>478</v>
      </c>
      <c r="D327" t="s">
        <v>423</v>
      </c>
      <c r="E327" t="s">
        <v>72</v>
      </c>
      <c r="F327" t="s">
        <v>1273</v>
      </c>
      <c r="G327" t="s">
        <v>86</v>
      </c>
      <c r="H327" t="s">
        <v>1680</v>
      </c>
      <c r="I327" t="s">
        <v>1681</v>
      </c>
      <c r="J327" t="s">
        <v>134</v>
      </c>
      <c r="K327" t="s">
        <v>99</v>
      </c>
      <c r="L327" t="s">
        <v>1682</v>
      </c>
    </row>
    <row r="328" spans="1:12">
      <c r="A328" t="s">
        <v>1683</v>
      </c>
      <c r="B328" t="s">
        <v>847</v>
      </c>
      <c r="C328" t="s">
        <v>82</v>
      </c>
      <c r="D328" t="s">
        <v>211</v>
      </c>
      <c r="E328" t="s">
        <v>212</v>
      </c>
      <c r="F328" t="s">
        <v>154</v>
      </c>
      <c r="G328" t="s">
        <v>927</v>
      </c>
      <c r="H328" t="s">
        <v>1684</v>
      </c>
      <c r="I328" t="s">
        <v>1685</v>
      </c>
      <c r="J328" t="s">
        <v>98</v>
      </c>
      <c r="L328" t="s">
        <v>1686</v>
      </c>
    </row>
    <row r="329" spans="1:12">
      <c r="A329" t="s">
        <v>1687</v>
      </c>
      <c r="B329" t="s">
        <v>1688</v>
      </c>
      <c r="C329" t="s">
        <v>93</v>
      </c>
      <c r="D329" t="s">
        <v>121</v>
      </c>
      <c r="E329" t="s">
        <v>122</v>
      </c>
      <c r="F329" t="s">
        <v>533</v>
      </c>
      <c r="G329" t="s">
        <v>74</v>
      </c>
      <c r="H329" t="s">
        <v>1689</v>
      </c>
      <c r="I329" t="s">
        <v>1690</v>
      </c>
      <c r="J329" t="s">
        <v>98</v>
      </c>
      <c r="K329" t="s">
        <v>78</v>
      </c>
      <c r="L329" t="s">
        <v>1691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_Config"/>
  <dimension ref="A1:C172"/>
  <sheetViews>
    <sheetView showGridLines="0" workbookViewId="0"/>
  </sheetViews>
  <sheetFormatPr defaultRowHeight="15"/>
  <cols>
    <col min="1" max="1" width="2.7109375" customWidth="1"/>
    <col min="2" max="2" width="42.7109375" customWidth="1"/>
    <col min="3" max="3" width="70.7109375" customWidth="1"/>
  </cols>
  <sheetData>
    <row r="1" spans="1:3" ht="26" customHeight="1">
      <c r="A1" s="28" t="s">
        <v>1692</v>
      </c>
      <c r="B1" s="28"/>
      <c r="C1" s="28"/>
    </row>
    <row r="2" spans="1:3">
      <c r="B2" s="11" t="s">
        <v>1693</v>
      </c>
    </row>
    <row r="4" spans="1:3">
      <c r="A4" s="10" t="s">
        <v>1694</v>
      </c>
      <c r="B4" s="10"/>
      <c r="C4" s="10"/>
    </row>
    <row r="6" spans="1:3">
      <c r="B6" s="29" t="s">
        <v>1695</v>
      </c>
      <c r="C6" s="30"/>
    </row>
    <row r="7" spans="1:3">
      <c r="B7" s="29" t="s">
        <v>1696</v>
      </c>
      <c r="C7" s="30"/>
    </row>
    <row r="8" spans="1:3">
      <c r="B8" s="29" t="s">
        <v>1697</v>
      </c>
      <c r="C8" s="30" t="s">
        <v>1698</v>
      </c>
    </row>
    <row r="9" spans="1:3">
      <c r="B9" s="29" t="s">
        <v>1699</v>
      </c>
      <c r="C9" s="30" t="s">
        <v>1700</v>
      </c>
    </row>
    <row r="10" spans="1:3">
      <c r="B10" s="29" t="s">
        <v>1701</v>
      </c>
      <c r="C10" s="30" t="s">
        <v>1702</v>
      </c>
    </row>
    <row r="11" spans="1:3">
      <c r="B11" s="11" t="s">
        <v>1703</v>
      </c>
    </row>
    <row r="13" spans="1:3">
      <c r="A13" s="10" t="s">
        <v>1704</v>
      </c>
      <c r="B13" s="10"/>
      <c r="C13" s="10"/>
    </row>
    <row r="15" spans="1:3">
      <c r="B15" s="31" t="s">
        <v>1705</v>
      </c>
    </row>
    <row r="16" spans="1:3">
      <c r="B16" s="31"/>
    </row>
    <row r="17" spans="2:2">
      <c r="B17" s="31" t="s">
        <v>1706</v>
      </c>
    </row>
    <row r="18" spans="2:2">
      <c r="B18" s="31" t="s">
        <v>1707</v>
      </c>
    </row>
    <row r="19" spans="2:2">
      <c r="B19" s="31" t="s">
        <v>1708</v>
      </c>
    </row>
    <row r="20" spans="2:2">
      <c r="B20" s="31" t="s">
        <v>1709</v>
      </c>
    </row>
    <row r="21" spans="2:2">
      <c r="B21" s="31" t="s">
        <v>1710</v>
      </c>
    </row>
    <row r="22" spans="2:2">
      <c r="B22" s="31"/>
    </row>
    <row r="23" spans="2:2">
      <c r="B23" s="31" t="s">
        <v>1711</v>
      </c>
    </row>
    <row r="24" spans="2:2">
      <c r="B24" s="31" t="s">
        <v>1712</v>
      </c>
    </row>
    <row r="25" spans="2:2">
      <c r="B25" s="31" t="s">
        <v>1713</v>
      </c>
    </row>
    <row r="26" spans="2:2">
      <c r="B26" s="31" t="s">
        <v>1714</v>
      </c>
    </row>
    <row r="27" spans="2:2">
      <c r="B27" s="31" t="s">
        <v>1715</v>
      </c>
    </row>
    <row r="28" spans="2:2">
      <c r="B28" s="31" t="s">
        <v>1716</v>
      </c>
    </row>
    <row r="29" spans="2:2">
      <c r="B29" s="31" t="s">
        <v>1717</v>
      </c>
    </row>
    <row r="30" spans="2:2">
      <c r="B30" s="31"/>
    </row>
    <row r="31" spans="2:2">
      <c r="B31" s="31" t="s">
        <v>1718</v>
      </c>
    </row>
    <row r="32" spans="2:2">
      <c r="B32" s="31"/>
    </row>
    <row r="33" spans="1:3">
      <c r="B33" s="32" t="s">
        <v>1719</v>
      </c>
    </row>
    <row r="34" spans="1:3">
      <c r="B34" s="32" t="s">
        <v>1720</v>
      </c>
    </row>
    <row r="35" spans="1:3">
      <c r="B35" s="32" t="s">
        <v>1721</v>
      </c>
    </row>
    <row r="36" spans="1:3">
      <c r="B36" s="31" t="s">
        <v>1722</v>
      </c>
    </row>
    <row r="37" spans="1:3">
      <c r="B37" s="32" t="s">
        <v>1723</v>
      </c>
    </row>
    <row r="38" spans="1:3">
      <c r="B38" s="31" t="s">
        <v>1724</v>
      </c>
    </row>
    <row r="39" spans="1:3">
      <c r="B39" s="32" t="s">
        <v>1725</v>
      </c>
    </row>
    <row r="40" spans="1:3">
      <c r="B40" s="31" t="s">
        <v>1726</v>
      </c>
    </row>
    <row r="42" spans="1:3">
      <c r="A42" s="10" t="s">
        <v>1727</v>
      </c>
      <c r="B42" s="10"/>
      <c r="C42" s="10"/>
    </row>
    <row r="43" spans="1:3">
      <c r="B43" s="32" t="s">
        <v>1728</v>
      </c>
    </row>
    <row r="44" spans="1:3">
      <c r="B44" s="32" t="s">
        <v>1729</v>
      </c>
    </row>
    <row r="45" spans="1:3">
      <c r="B45" s="32" t="s">
        <v>1730</v>
      </c>
    </row>
    <row r="46" spans="1:3">
      <c r="B46" s="32" t="s">
        <v>1731</v>
      </c>
    </row>
    <row r="47" spans="1:3">
      <c r="B47" s="32" t="s">
        <v>1732</v>
      </c>
    </row>
    <row r="48" spans="1:3">
      <c r="B48" s="32" t="s">
        <v>1733</v>
      </c>
    </row>
    <row r="49" spans="2:2">
      <c r="B49" s="32" t="s">
        <v>1734</v>
      </c>
    </row>
    <row r="50" spans="2:2">
      <c r="B50" s="32" t="s">
        <v>1735</v>
      </c>
    </row>
    <row r="51" spans="2:2">
      <c r="B51" s="32" t="s">
        <v>1736</v>
      </c>
    </row>
    <row r="52" spans="2:2">
      <c r="B52" s="32" t="s">
        <v>1737</v>
      </c>
    </row>
    <row r="53" spans="2:2">
      <c r="B53" s="32" t="s">
        <v>1732</v>
      </c>
    </row>
    <row r="54" spans="2:2">
      <c r="B54" s="32" t="s">
        <v>1738</v>
      </c>
    </row>
    <row r="55" spans="2:2">
      <c r="B55" s="32" t="s">
        <v>1739</v>
      </c>
    </row>
    <row r="56" spans="2:2">
      <c r="B56" s="32" t="s">
        <v>1740</v>
      </c>
    </row>
    <row r="57" spans="2:2">
      <c r="B57" s="32" t="s">
        <v>1741</v>
      </c>
    </row>
    <row r="58" spans="2:2">
      <c r="B58" s="32" t="s">
        <v>1742</v>
      </c>
    </row>
    <row r="59" spans="2:2">
      <c r="B59" s="32" t="s">
        <v>1743</v>
      </c>
    </row>
    <row r="60" spans="2:2">
      <c r="B60" s="32" t="s">
        <v>1732</v>
      </c>
    </row>
    <row r="61" spans="2:2">
      <c r="B61" s="32" t="s">
        <v>1744</v>
      </c>
    </row>
    <row r="62" spans="2:2">
      <c r="B62" s="32" t="s">
        <v>1745</v>
      </c>
    </row>
    <row r="63" spans="2:2">
      <c r="B63" s="32" t="s">
        <v>1746</v>
      </c>
    </row>
    <row r="64" spans="2:2">
      <c r="B64" s="32" t="s">
        <v>1747</v>
      </c>
    </row>
    <row r="65" spans="2:2">
      <c r="B65" s="32" t="s">
        <v>1748</v>
      </c>
    </row>
    <row r="66" spans="2:2">
      <c r="B66" s="32" t="s">
        <v>1749</v>
      </c>
    </row>
    <row r="67" spans="2:2">
      <c r="B67" s="32" t="s">
        <v>1750</v>
      </c>
    </row>
    <row r="68" spans="2:2">
      <c r="B68" s="32" t="s">
        <v>1728</v>
      </c>
    </row>
    <row r="69" spans="2:2">
      <c r="B69" s="31" t="s">
        <v>1751</v>
      </c>
    </row>
    <row r="70" spans="2:2">
      <c r="B70" s="32" t="s">
        <v>1752</v>
      </c>
    </row>
    <row r="71" spans="2:2">
      <c r="B71" s="32" t="s">
        <v>1753</v>
      </c>
    </row>
    <row r="72" spans="2:2">
      <c r="B72" s="32" t="s">
        <v>1752</v>
      </c>
    </row>
    <row r="73" spans="2:2">
      <c r="B73" s="32" t="s">
        <v>1754</v>
      </c>
    </row>
    <row r="74" spans="2:2">
      <c r="B74" s="32" t="s">
        <v>1755</v>
      </c>
    </row>
    <row r="75" spans="2:2">
      <c r="B75" s="32" t="s">
        <v>1756</v>
      </c>
    </row>
    <row r="76" spans="2:2">
      <c r="B76" s="32" t="s">
        <v>1757</v>
      </c>
    </row>
    <row r="77" spans="2:2">
      <c r="B77" s="32" t="s">
        <v>1758</v>
      </c>
    </row>
    <row r="78" spans="2:2">
      <c r="B78" s="32" t="s">
        <v>1759</v>
      </c>
    </row>
    <row r="79" spans="2:2">
      <c r="B79" s="32" t="s">
        <v>1760</v>
      </c>
    </row>
    <row r="80" spans="2:2">
      <c r="B80" s="32" t="s">
        <v>1761</v>
      </c>
    </row>
    <row r="81" spans="2:2">
      <c r="B81" s="32" t="s">
        <v>1756</v>
      </c>
    </row>
    <row r="82" spans="2:2">
      <c r="B82" s="32" t="s">
        <v>1762</v>
      </c>
    </row>
    <row r="83" spans="2:2">
      <c r="B83" s="32" t="s">
        <v>1756</v>
      </c>
    </row>
    <row r="84" spans="2:2">
      <c r="B84" s="32" t="s">
        <v>1763</v>
      </c>
    </row>
    <row r="85" spans="2:2">
      <c r="B85" s="31" t="s">
        <v>1764</v>
      </c>
    </row>
    <row r="86" spans="2:2">
      <c r="B86" s="31"/>
    </row>
    <row r="87" spans="2:2">
      <c r="B87" s="32" t="s">
        <v>1752</v>
      </c>
    </row>
    <row r="88" spans="2:2">
      <c r="B88" s="32" t="s">
        <v>1765</v>
      </c>
    </row>
    <row r="89" spans="2:2">
      <c r="B89" s="32" t="s">
        <v>1752</v>
      </c>
    </row>
    <row r="90" spans="2:2">
      <c r="B90" s="31"/>
    </row>
    <row r="91" spans="2:2">
      <c r="B91" s="32" t="s">
        <v>1766</v>
      </c>
    </row>
    <row r="92" spans="2:2">
      <c r="B92" s="31" t="s">
        <v>1767</v>
      </c>
    </row>
    <row r="93" spans="2:2">
      <c r="B93" s="31" t="s">
        <v>1768</v>
      </c>
    </row>
    <row r="94" spans="2:2">
      <c r="B94" s="31"/>
    </row>
    <row r="95" spans="2:2">
      <c r="B95" s="32" t="s">
        <v>1769</v>
      </c>
    </row>
    <row r="96" spans="2:2">
      <c r="B96" s="32" t="s">
        <v>1770</v>
      </c>
    </row>
    <row r="97" spans="2:2">
      <c r="B97" s="31" t="s">
        <v>1771</v>
      </c>
    </row>
    <row r="98" spans="2:2">
      <c r="B98" s="31" t="s">
        <v>1772</v>
      </c>
    </row>
    <row r="99" spans="2:2">
      <c r="B99" s="31" t="s">
        <v>1773</v>
      </c>
    </row>
    <row r="100" spans="2:2">
      <c r="B100" s="31" t="s">
        <v>1774</v>
      </c>
    </row>
    <row r="101" spans="2:2">
      <c r="B101" s="31" t="s">
        <v>1775</v>
      </c>
    </row>
    <row r="102" spans="2:2">
      <c r="B102" s="31" t="s">
        <v>1776</v>
      </c>
    </row>
    <row r="103" spans="2:2">
      <c r="B103" s="31" t="s">
        <v>1777</v>
      </c>
    </row>
    <row r="104" spans="2:2">
      <c r="B104" s="31" t="s">
        <v>1778</v>
      </c>
    </row>
    <row r="105" spans="2:2">
      <c r="B105" s="31" t="s">
        <v>1779</v>
      </c>
    </row>
    <row r="106" spans="2:2">
      <c r="B106" s="31" t="s">
        <v>1780</v>
      </c>
    </row>
    <row r="107" spans="2:2">
      <c r="B107" s="31"/>
    </row>
    <row r="108" spans="2:2">
      <c r="B108" s="32" t="s">
        <v>1781</v>
      </c>
    </row>
    <row r="109" spans="2:2">
      <c r="B109" s="31" t="s">
        <v>1782</v>
      </c>
    </row>
    <row r="110" spans="2:2">
      <c r="B110" s="31" t="s">
        <v>1783</v>
      </c>
    </row>
    <row r="111" spans="2:2">
      <c r="B111" s="31"/>
    </row>
    <row r="112" spans="2:2">
      <c r="B112" s="32" t="s">
        <v>1784</v>
      </c>
    </row>
    <row r="113" spans="2:2">
      <c r="B113" s="31" t="s">
        <v>1785</v>
      </c>
    </row>
    <row r="114" spans="2:2">
      <c r="B114" s="31" t="s">
        <v>1786</v>
      </c>
    </row>
    <row r="115" spans="2:2">
      <c r="B115" s="31" t="s">
        <v>1773</v>
      </c>
    </row>
    <row r="116" spans="2:2">
      <c r="B116" s="31" t="s">
        <v>1787</v>
      </c>
    </row>
    <row r="117" spans="2:2">
      <c r="B117" s="31" t="s">
        <v>1788</v>
      </c>
    </row>
    <row r="118" spans="2:2">
      <c r="B118" s="31" t="s">
        <v>1789</v>
      </c>
    </row>
    <row r="119" spans="2:2">
      <c r="B119" s="31" t="s">
        <v>1790</v>
      </c>
    </row>
    <row r="120" spans="2:2">
      <c r="B120" s="31" t="s">
        <v>1791</v>
      </c>
    </row>
    <row r="121" spans="2:2">
      <c r="B121" s="31" t="s">
        <v>1792</v>
      </c>
    </row>
    <row r="122" spans="2:2">
      <c r="B122" s="31" t="s">
        <v>1793</v>
      </c>
    </row>
    <row r="123" spans="2:2">
      <c r="B123" s="31" t="s">
        <v>1794</v>
      </c>
    </row>
    <row r="124" spans="2:2">
      <c r="B124" s="31" t="s">
        <v>1795</v>
      </c>
    </row>
    <row r="125" spans="2:2">
      <c r="B125" s="31" t="s">
        <v>1779</v>
      </c>
    </row>
    <row r="126" spans="2:2">
      <c r="B126" s="31" t="s">
        <v>1796</v>
      </c>
    </row>
    <row r="127" spans="2:2">
      <c r="B127" s="31"/>
    </row>
    <row r="128" spans="2:2">
      <c r="B128" s="32" t="s">
        <v>1797</v>
      </c>
    </row>
    <row r="129" spans="2:2">
      <c r="B129" s="31" t="s">
        <v>1798</v>
      </c>
    </row>
    <row r="130" spans="2:2">
      <c r="B130" s="31"/>
    </row>
    <row r="131" spans="2:2">
      <c r="B131" s="31" t="s">
        <v>1799</v>
      </c>
    </row>
    <row r="132" spans="2:2">
      <c r="B132" s="31" t="s">
        <v>1800</v>
      </c>
    </row>
    <row r="133" spans="2:2">
      <c r="B133" s="31" t="s">
        <v>1801</v>
      </c>
    </row>
    <row r="134" spans="2:2">
      <c r="B134" s="31" t="s">
        <v>1802</v>
      </c>
    </row>
    <row r="135" spans="2:2">
      <c r="B135" s="31" t="s">
        <v>1803</v>
      </c>
    </row>
    <row r="136" spans="2:2">
      <c r="B136" s="31" t="s">
        <v>1804</v>
      </c>
    </row>
    <row r="137" spans="2:2">
      <c r="B137" s="31" t="s">
        <v>1805</v>
      </c>
    </row>
    <row r="138" spans="2:2">
      <c r="B138" s="31" t="s">
        <v>1806</v>
      </c>
    </row>
    <row r="139" spans="2:2">
      <c r="B139" s="31"/>
    </row>
    <row r="140" spans="2:2">
      <c r="B140" s="31" t="s">
        <v>1807</v>
      </c>
    </row>
    <row r="141" spans="2:2">
      <c r="B141" s="31"/>
    </row>
    <row r="142" spans="2:2">
      <c r="B142" s="32" t="s">
        <v>1808</v>
      </c>
    </row>
    <row r="143" spans="2:2">
      <c r="B143" s="31" t="s">
        <v>1809</v>
      </c>
    </row>
    <row r="144" spans="2:2">
      <c r="B144" s="31"/>
    </row>
    <row r="145" spans="2:2">
      <c r="B145" s="32" t="s">
        <v>1810</v>
      </c>
    </row>
    <row r="146" spans="2:2">
      <c r="B146" s="31" t="s">
        <v>1811</v>
      </c>
    </row>
    <row r="147" spans="2:2">
      <c r="B147" s="31" t="s">
        <v>1812</v>
      </c>
    </row>
    <row r="148" spans="2:2">
      <c r="B148" s="31" t="s">
        <v>1813</v>
      </c>
    </row>
    <row r="149" spans="2:2">
      <c r="B149" s="31" t="s">
        <v>1814</v>
      </c>
    </row>
    <row r="150" spans="2:2">
      <c r="B150" s="31" t="s">
        <v>1815</v>
      </c>
    </row>
    <row r="151" spans="2:2">
      <c r="B151" s="31" t="s">
        <v>1816</v>
      </c>
    </row>
    <row r="152" spans="2:2">
      <c r="B152" s="31" t="s">
        <v>1817</v>
      </c>
    </row>
    <row r="153" spans="2:2">
      <c r="B153" s="31" t="s">
        <v>1818</v>
      </c>
    </row>
    <row r="154" spans="2:2">
      <c r="B154" s="31" t="s">
        <v>1819</v>
      </c>
    </row>
    <row r="155" spans="2:2">
      <c r="B155" s="31" t="s">
        <v>1820</v>
      </c>
    </row>
    <row r="156" spans="2:2">
      <c r="B156" s="31" t="s">
        <v>1821</v>
      </c>
    </row>
    <row r="157" spans="2:2">
      <c r="B157" s="31" t="s">
        <v>1822</v>
      </c>
    </row>
    <row r="158" spans="2:2">
      <c r="B158" s="31" t="s">
        <v>1823</v>
      </c>
    </row>
    <row r="159" spans="2:2">
      <c r="B159" s="31" t="s">
        <v>1824</v>
      </c>
    </row>
    <row r="160" spans="2:2">
      <c r="B160" s="31"/>
    </row>
    <row r="161" spans="2:2">
      <c r="B161" s="31" t="s">
        <v>1825</v>
      </c>
    </row>
    <row r="162" spans="2:2">
      <c r="B162" s="31"/>
    </row>
    <row r="163" spans="2:2">
      <c r="B163" s="32" t="s">
        <v>1752</v>
      </c>
    </row>
    <row r="164" spans="2:2">
      <c r="B164" s="32" t="s">
        <v>1826</v>
      </c>
    </row>
    <row r="165" spans="2:2">
      <c r="B165" s="32" t="s">
        <v>1752</v>
      </c>
    </row>
    <row r="166" spans="2:2">
      <c r="B166" s="31" t="s">
        <v>1827</v>
      </c>
    </row>
    <row r="167" spans="2:2">
      <c r="B167" s="31" t="s">
        <v>1828</v>
      </c>
    </row>
    <row r="168" spans="2:2">
      <c r="B168" s="31" t="s">
        <v>1829</v>
      </c>
    </row>
    <row r="169" spans="2:2">
      <c r="B169" s="31" t="s">
        <v>1830</v>
      </c>
    </row>
    <row r="170" spans="2:2">
      <c r="B170" s="31" t="s">
        <v>1831</v>
      </c>
    </row>
    <row r="171" spans="2:2">
      <c r="B171" s="31" t="s">
        <v>1832</v>
      </c>
    </row>
    <row r="172" spans="2:2">
      <c r="B172" s="31" t="s">
        <v>1833</v>
      </c>
    </row>
  </sheetData>
  <mergeCells count="4">
    <mergeCell ref="A1:C1"/>
    <mergeCell ref="A4:C4"/>
    <mergeCell ref="A13:C13"/>
    <mergeCell ref="A42:C4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Reporte_Ejecutivo</vt:lpstr>
      <vt:lpstr>Evaluación_Financiera</vt:lpstr>
      <vt:lpstr>Datos_Limpios</vt:lpstr>
      <vt:lpstr>Datos_Crudos</vt:lpstr>
      <vt:lpstr>Config</vt:lpstr>
      <vt:lpstr>par_CarpetaLibro</vt:lpstr>
      <vt:lpstr>par_RutaCSV</vt:lpstr>
      <vt:lpstr>Evaluación_Financiera!Print_Area</vt:lpstr>
      <vt:lpstr>Reporte_Ejecutivo!Print_Area</vt:lpstr>
    </vt:vector>
  </TitlesOfParts>
  <Company>Coderhouse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Reporte Ejecutivo - Analisis de Expansion Comercial</dc:title>
  <dc:subject>Checkpoint: Flujo ETL, Analisis Financiero y Automatizacion</dc:subject>
  <dc:creator>Lleyton Murphy</dc:creator>
  <dc:description>Libro habilitado para macros. Power Query + VBA + Tabla dinamica.</dc:description>
  <cp:lastModifiedBy>Lleyton Murphy</cp:lastModifiedBy>
  <dcterms:created xsi:type="dcterms:W3CDTF">2026-07-29T14:52:50Z</dcterms:created>
  <dcterms:modified xsi:type="dcterms:W3CDTF">2026-07-29T14:52:50Z</dcterms:modified>
</cp:coreProperties>
</file>