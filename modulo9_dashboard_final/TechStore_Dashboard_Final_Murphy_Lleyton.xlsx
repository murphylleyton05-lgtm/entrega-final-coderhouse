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12.xml.rels" ContentType="application/vnd.openxmlformats-package.relationships+xml"/>
  <Override PartName="/xl/pivotTables/_rels/pivotTable5.xml.rels" ContentType="application/vnd.openxmlformats-package.relationships+xml"/>
  <Override PartName="/xl/pivotTables/_rels/pivotTable11.xml.rels" ContentType="application/vnd.openxmlformats-package.relationships+xml"/>
  <Override PartName="/xl/pivotTables/_rels/pivotTable4.xml.rels" ContentType="application/vnd.openxmlformats-package.relationships+xml"/>
  <Override PartName="/xl/pivotTables/_rels/pivotTable9.xml.rels" ContentType="application/vnd.openxmlformats-package.relationships+xml"/>
  <Override PartName="/xl/pivotTables/_rels/pivotTable10.xml.rels" ContentType="application/vnd.openxmlformats-package.relationships+xml"/>
  <Override PartName="/xl/pivotTables/_rels/pivotTable3.xml.rels" ContentType="application/vnd.openxmlformats-package.relationships+xml"/>
  <Override PartName="/xl/pivotTables/_rels/pivotTable8.xml.rels" ContentType="application/vnd.openxmlformats-package.relationships+xml"/>
  <Override PartName="/xl/pivotTables/_rels/pivotTable7.xml.rels" ContentType="application/vnd.openxmlformats-package.relationships+xml"/>
  <Override PartName="/xl/pivotTables/_rels/pivotTable6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licers/slicer1.xml" ContentType="application/vnd.ms-excel.slicer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Final" sheetId="1" state="visible" r:id="rId3"/>
    <sheet name="Analisis_IA" sheetId="2" state="visible" r:id="rId4"/>
    <sheet name="Datos" sheetId="3" state="visible" r:id="rId5"/>
    <sheet name="Parametros" sheetId="4" state="visible" r:id="rId6"/>
    <sheet name="Guia_de_uso" sheetId="5" state="visible" r:id="rId7"/>
    <sheet name="Calculos" sheetId="6" state="hidden" r:id="rId8"/>
    <sheet name="Pivots" sheetId="7" state="hidden" r:id="rId9"/>
  </sheets>
  <definedNames>
    <definedName function="false" hidden="false" localSheetId="0" name="_xlnm.Print_Area" vbProcedure="false">'Dashboard Final'!$A$1:$R$75</definedName>
  </definedNames>
  <calcPr calcId="171027" fullCalcOnLoad="1"/>
  <pivotCaches>
    <pivotCache cacheId="1" r:id="rId11"/>
  </pivotCaches>
  <extLst>
    <ext xmlns:loext="http://schemas.libreoffice.org/" uri="{7626C862-2A13-11E5-B345-FEFF819CDC9F}">
      <loext:extCalcPr stringRefSyntax="ExcelA1"/>
    </ext>
  </extLst>
  <extLst>
    <ext xmlns:x14="http://schemas.microsoft.com/office/spreadsheetml/2009/9/main" uri="{BBE1A952-AA13-448e-AADC-164F8A28A991}">
      <x14:slicerCaches>
        <x14:slicerCache xmlns:r="http://schemas.openxmlformats.org/officeDocument/2006/relationships" r:id="rId12"/>
        <x14:slicerCache xmlns:r="http://schemas.openxmlformats.org/officeDocument/2006/relationships" r:id="rId13"/>
        <x14:slicerCache xmlns:r="http://schemas.openxmlformats.org/officeDocument/2006/relationships" r:id="rId14"/>
        <x14:slicerCache xmlns:r="http://schemas.openxmlformats.org/officeDocument/2006/relationships" r:id="rId15"/>
      </x14:slicerCaches>
    </ext>
  </extLst>
</workbook>
</file>

<file path=xl/sharedStrings.xml><?xml version="1.0" encoding="utf-8"?>
<sst xmlns="http://schemas.openxmlformats.org/spreadsheetml/2006/main" count="24387" uniqueCount="259">
  <si>
    <t xml:space="preserve">TechStore  |  Sistema de Inteligencia de Negocios</t>
  </si>
  <si>
    <t xml:space="preserve">Actualizado: 06/08/2026   ·   Moneda: USD</t>
  </si>
  <si>
    <t xml:space="preserve">Reporte ejecutivo de ventas y margen  ·  Ejercicios 2024-2025</t>
  </si>
  <si>
    <t xml:space="preserve">VENTAS 2025</t>
  </si>
  <si>
    <t xml:space="preserve">MARGEN BRUTO</t>
  </si>
  <si>
    <t xml:space="preserve">CRECIMIENTO INTERANUAL</t>
  </si>
  <si>
    <t xml:space="preserve">COSTO LOGISTICO / VENTAS</t>
  </si>
  <si>
    <t xml:space="preserve">FILTROS  ·  los cuatro segmentadores afectan a la vez a los cuatro graficos y a las cuatro tarjetas</t>
  </si>
  <si>
    <t xml:space="preserve">QUE PASO Y POR QUE</t>
  </si>
  <si>
    <t xml:space="preserve">DONDE MIRAR AHORA</t>
  </si>
  <si>
    <t xml:space="preserve">NOTAS DE ANALISIS  ·  conclusiones propias, sometidas a revision critica con IA (ver hoja Analisis_IA)</t>
  </si>
  <si>
    <t xml:space="preserve">Fuente: Ventas_Tech_DB (dataset simulado, 2.400 operaciones). Supuestos y metas en la hoja Parametros. Elaborado por Lleyton Murphy - Coderhouse Data Analyst, Modulo 9.</t>
  </si>
  <si>
    <t xml:space="preserve">Analisis asistido por IA - registro del proceso</t>
  </si>
  <si>
    <t xml:space="preserve">La IA se uso como auditor cognitivo, no como redactor: primero se escribieron las conclusiones a mano, despues se le pidio que las atacara, y recien al final se corrigio el tablero. El registro completo, con los prompts textuales, esta en el documento anexo.</t>
  </si>
  <si>
    <t xml:space="preserve">Conclusion 1 - El crecimiento de 2025 es solido</t>
  </si>
  <si>
    <t xml:space="preserve">1. Conclusion propia</t>
  </si>
  <si>
    <t xml:space="preserve">Las ventas pasan de USD 4.726.315 a USD 5.566.046 (+17,8%) y superan la meta de +15%. El negocio crecio.</t>
  </si>
  <si>
    <t xml:space="preserve">2. Prompt de contraste</t>
  </si>
  <si>
    <t xml:space="preserve">Actua como analista senior esceptico. Mi conclusion es: "las ventas de una cadena de retail tecnologico crecieron 17,8% interanual, superando la meta de 15%, entonces el negocio crecio". Antes de darme la razon, decime que variables omitidas podrian hacer que esa lectura sea enganosa y que dato concreto tendria que mirar para descartar cada una.</t>
  </si>
  <si>
    <t xml:space="preserve">3. Objecion de la IA</t>
  </si>
  <si>
    <t xml:space="preserve">Un alza en pesos no prueba crecimiento del negocio. Puede ser (a) puro efecto precio, (b) cambio de mix hacia productos mas caros, o (c) adelanto de demanda por descuentos agresivos. Pidio contrastar contra unidades.</t>
  </si>
  <si>
    <t xml:space="preserve">4. Verificacion sobre los datos</t>
  </si>
  <si>
    <t xml:space="preserve">Las unidades pasan de 25.681 a 29.379 (+14,4%) contra +17,8% en pesos: la mayor parte del crecimiento es volumen y solo unos 3 p.p. vienen de precio. La objecion (a) queda descartada; la (c) queda en pie para Computacion, que tuvo 7% de descuento en el H1.</t>
  </si>
  <si>
    <t xml:space="preserve">5. Cambio en el tablero</t>
  </si>
  <si>
    <t xml:space="preserve">La nota 1 del tablero informa ventas Y unidades juntas, para que nadie lea el +17,8% como volumen puro. La conclusion se mantiene, con el matiz.</t>
  </si>
  <si>
    <t xml:space="preserve">Conclusion 2 - El margen cae por el costo logistico</t>
  </si>
  <si>
    <t xml:space="preserve">El margen bruto cae de 35,8% a 33,3% (-2,5 p.p.) mientras el costo logistico sobre ventas sube de 2,18% a 3,30%. La logistica del e-commerce se comio la mejora.</t>
  </si>
  <si>
    <t xml:space="preserve">Hace de abogado del diablo con esta conclusion: "el margen cayo 2,5 p.p. y en el mismo periodo el costo logistico paso de 2,18% a 3,30% de las ventas, por el crecimiento del e-commerce; entonces la logistica explica la caida del margen". Buscame el error de logica y decime como descomponer la variacion para probar o refutar la causa.</t>
  </si>
  <si>
    <t xml:space="preserve">Falacia de causa unica: el costo logistico subio 1,12 p.p. sobre ventas, o sea menos de la mitad de los 2,5 p.p. perdidos. Que dos cosas se muevan juntas no vuelve a una la causa de la otra. Propuso un puente de margen que separe volumen, precio, costo de compra y logistica.</t>
  </si>
  <si>
    <t xml:space="preserve">El puente cierra exacto y desmiente la atribucion: volumen +USD 258.146 y precio +USD 159.153 contra costo de compra -USD 172.525 y logistica -USD 80.921. La logistica explica el 32% del mayor costo, no el total: el costo de compra pesa mas.</t>
  </si>
  <si>
    <t xml:space="preserve">Cambio estructural del tablero. (1) El titular dinamico dejo de decir "el costo logistico se llevo la mejora" y ahora reparte la causa. (2) Se agrego el grafico de cascada justamente para que la descomposicion se vea, en vez de afirmarla. (3) La nota 2 explicita las dos causas con sus montos.</t>
  </si>
  <si>
    <t xml:space="preserve">Conclusion 3 - La correccion del Q3 funciono</t>
  </si>
  <si>
    <t xml:space="preserve">El margen del segundo semestre (34,5%) supera al del primero (31,8%) despues de fijar el umbral de envio minimo en Q3. La medida funciono.</t>
  </si>
  <si>
    <t xml:space="preserve">Mi conclusion es: "tras aplicar en Q3 un umbral de envio minimo, el margen del segundo semestre (34,5%) supera al del primero (31,8%), asi que la medida funciono". Decime que sesgos hay en esa lectura y con que comparacion deberia reemplazarla.</t>
  </si>
  <si>
    <t xml:space="preserve">Dos problemas. Uno, causalidad asumida: el Q4 es el trimestre mas fuerte del ano (Nov-Dic) y un mix estacional distinto puede subir el margen sin que la medida haya hecho nada. Dos, comparacion contra el periodo equivocado: hay que comparar H2-2025 contra H2-2024, no contra H1-2025.</t>
  </si>
  <si>
    <t xml:space="preserve">H2-2024 cerro en 35,7% y H2-2025 en 34,5%: contra el mismo periodo del ano anterior el margen sigue 1,2 p.p. abajo. La recuperacion es real pero parcial, y parte de la mejora es estacional.</t>
  </si>
  <si>
    <t xml:space="preserve">El grafico mensual muestra 2024 y 2025 juntos (no 2025 solo), que es lo unico que deja ver la brecha estacional. El titulo dinamico y la nota 3 dicen "sin volver al nivel de 2024" en lugar de "se recupero".</t>
  </si>
  <si>
    <t xml:space="preserve">Que cambio el proceso</t>
  </si>
  <si>
    <t xml:space="preserve">Saldo</t>
  </si>
  <si>
    <t xml:space="preserve">De las tres conclusiones, una se confirmo con un matiz (la 1), una se refuto en su atribucion causal (la 2) y una se corrigio por comparar contra el periodo equivocado (la 3). El grafico de cascada y la comparativa 2024-2025 del grafico mensual existen por esas objeciones: no estaban en el diseno original.</t>
  </si>
  <si>
    <t xml:space="preserve">ID_Venta</t>
  </si>
  <si>
    <t xml:space="preserve">Fecha</t>
  </si>
  <si>
    <t xml:space="preserve">Anio</t>
  </si>
  <si>
    <t xml:space="preserve">Trimestre</t>
  </si>
  <si>
    <t xml:space="preserve">Mes_Num</t>
  </si>
  <si>
    <t xml:space="preserve">Mes</t>
  </si>
  <si>
    <t xml:space="preserve">Periodo</t>
  </si>
  <si>
    <t xml:space="preserve">Region</t>
  </si>
  <si>
    <t xml:space="preserve">Ciudad</t>
  </si>
  <si>
    <t xml:space="preserve">Canal</t>
  </si>
  <si>
    <t xml:space="preserve">Categoria</t>
  </si>
  <si>
    <t xml:space="preserve">Cat_Anio</t>
  </si>
  <si>
    <t xml:space="preserve">Producto</t>
  </si>
  <si>
    <t xml:space="preserve">Prod_Anio</t>
  </si>
  <si>
    <t xml:space="preserve">Unidades</t>
  </si>
  <si>
    <t xml:space="preserve">Precio_Unitario</t>
  </si>
  <si>
    <t xml:space="preserve">Costo_Unitario</t>
  </si>
  <si>
    <t xml:space="preserve">Ventas</t>
  </si>
  <si>
    <t xml:space="preserve">Costo_Producto</t>
  </si>
  <si>
    <t xml:space="preserve">Costo_Logistico</t>
  </si>
  <si>
    <t xml:space="preserve">Margen_Bruto</t>
  </si>
  <si>
    <t xml:space="preserve">Q1</t>
  </si>
  <si>
    <t xml:space="preserve">Ene</t>
  </si>
  <si>
    <t xml:space="preserve">2024-01</t>
  </si>
  <si>
    <t xml:space="preserve">AMBA</t>
  </si>
  <si>
    <t xml:space="preserve">Buenos Aires</t>
  </si>
  <si>
    <t xml:space="preserve">Tienda fisica</t>
  </si>
  <si>
    <t xml:space="preserve">Computacion</t>
  </si>
  <si>
    <t xml:space="preserve">Computacion 2024</t>
  </si>
  <si>
    <t xml:space="preserve">Laptop Pro 15</t>
  </si>
  <si>
    <t xml:space="preserve">Laptop Pro 15 2024</t>
  </si>
  <si>
    <t xml:space="preserve">E-commerce</t>
  </si>
  <si>
    <t xml:space="preserve">Monitor 4K 27</t>
  </si>
  <si>
    <t xml:space="preserve">Monitor 4K 27 2024</t>
  </si>
  <si>
    <t xml:space="preserve">PC Gamer Ryzen</t>
  </si>
  <si>
    <t xml:space="preserve">PC Gamer Ryzen 2024</t>
  </si>
  <si>
    <t xml:space="preserve">Accesorios</t>
  </si>
  <si>
    <t xml:space="preserve">Accesorios 2024</t>
  </si>
  <si>
    <t xml:space="preserve">Mouse Inalambrico</t>
  </si>
  <si>
    <t xml:space="preserve">Mouse Inalambrico 2024</t>
  </si>
  <si>
    <t xml:space="preserve">Teclado Mecanico</t>
  </si>
  <si>
    <t xml:space="preserve">Teclado Mecanico 2024</t>
  </si>
  <si>
    <t xml:space="preserve">Webcam Full HD</t>
  </si>
  <si>
    <t xml:space="preserve">Webcam Full HD 2024</t>
  </si>
  <si>
    <t xml:space="preserve">Audio</t>
  </si>
  <si>
    <t xml:space="preserve">Audio 2024</t>
  </si>
  <si>
    <t xml:space="preserve">Auriculares BT Pro</t>
  </si>
  <si>
    <t xml:space="preserve">Auriculares BT Pro 2024</t>
  </si>
  <si>
    <t xml:space="preserve">Parlante Bluetooth</t>
  </si>
  <si>
    <t xml:space="preserve">Parlante Bluetooth 2024</t>
  </si>
  <si>
    <t xml:space="preserve">Almacenamiento</t>
  </si>
  <si>
    <t xml:space="preserve">Almacenamiento 2024</t>
  </si>
  <si>
    <t xml:space="preserve">SSD Externo 1TB</t>
  </si>
  <si>
    <t xml:space="preserve">SSD Externo 1TB 2024</t>
  </si>
  <si>
    <t xml:space="preserve">Pendrive 256GB</t>
  </si>
  <si>
    <t xml:space="preserve">Pendrive 256GB 2024</t>
  </si>
  <si>
    <t xml:space="preserve">Centro</t>
  </si>
  <si>
    <t xml:space="preserve">Cordoba</t>
  </si>
  <si>
    <t xml:space="preserve">Litoral</t>
  </si>
  <si>
    <t xml:space="preserve">Rosario</t>
  </si>
  <si>
    <t xml:space="preserve">Cuyo</t>
  </si>
  <si>
    <t xml:space="preserve">Mendoza</t>
  </si>
  <si>
    <t xml:space="preserve">NOA</t>
  </si>
  <si>
    <t xml:space="preserve">Tucuman</t>
  </si>
  <si>
    <t xml:space="preserve">Feb</t>
  </si>
  <si>
    <t xml:space="preserve">2024-02</t>
  </si>
  <si>
    <t xml:space="preserve">Mar</t>
  </si>
  <si>
    <t xml:space="preserve">2024-03</t>
  </si>
  <si>
    <t xml:space="preserve">Q2</t>
  </si>
  <si>
    <t xml:space="preserve">Abr</t>
  </si>
  <si>
    <t xml:space="preserve">2024-04</t>
  </si>
  <si>
    <t xml:space="preserve">May</t>
  </si>
  <si>
    <t xml:space="preserve">2024-05</t>
  </si>
  <si>
    <t xml:space="preserve">Jun</t>
  </si>
  <si>
    <t xml:space="preserve">2024-06</t>
  </si>
  <si>
    <t xml:space="preserve">Q3</t>
  </si>
  <si>
    <t xml:space="preserve">Jul</t>
  </si>
  <si>
    <t xml:space="preserve">2024-07</t>
  </si>
  <si>
    <t xml:space="preserve">Ago</t>
  </si>
  <si>
    <t xml:space="preserve">2024-08</t>
  </si>
  <si>
    <t xml:space="preserve">Sep</t>
  </si>
  <si>
    <t xml:space="preserve">2024-09</t>
  </si>
  <si>
    <t xml:space="preserve">Q4</t>
  </si>
  <si>
    <t xml:space="preserve">Oct</t>
  </si>
  <si>
    <t xml:space="preserve">2024-10</t>
  </si>
  <si>
    <t xml:space="preserve">Nov</t>
  </si>
  <si>
    <t xml:space="preserve">2024-11</t>
  </si>
  <si>
    <t xml:space="preserve">Dic</t>
  </si>
  <si>
    <t xml:space="preserve">2024-12</t>
  </si>
  <si>
    <t xml:space="preserve">2025-01</t>
  </si>
  <si>
    <t xml:space="preserve">Computacion 2025</t>
  </si>
  <si>
    <t xml:space="preserve">Laptop Pro 15 2025</t>
  </si>
  <si>
    <t xml:space="preserve">Monitor 4K 27 2025</t>
  </si>
  <si>
    <t xml:space="preserve">PC Gamer Ryzen 2025</t>
  </si>
  <si>
    <t xml:space="preserve">Accesorios 2025</t>
  </si>
  <si>
    <t xml:space="preserve">Mouse Inalambrico 2025</t>
  </si>
  <si>
    <t xml:space="preserve">Teclado Mecanico 2025</t>
  </si>
  <si>
    <t xml:space="preserve">Webcam Full HD 2025</t>
  </si>
  <si>
    <t xml:space="preserve">Audio 2025</t>
  </si>
  <si>
    <t xml:space="preserve">Auriculares BT Pro 2025</t>
  </si>
  <si>
    <t xml:space="preserve">Parlante Bluetooth 2025</t>
  </si>
  <si>
    <t xml:space="preserve">Almacenamiento 2025</t>
  </si>
  <si>
    <t xml:space="preserve">SSD Externo 1TB 2025</t>
  </si>
  <si>
    <t xml:space="preserve">Pendrive 256GB 2025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</si>
  <si>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</si>
  <si>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</si>
  <si>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</si>
  <si>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</si>
  <si>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</si>
  <si>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</si>
  <si>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</si>
  <si>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</si>
  <si>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</si>
  <si>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</si>
  <si>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</si>
  <si>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Parametros, supuestos y metas</t>
  </si>
  <si>
    <t xml:space="preserve">Todo numero fijo del modelo vive en esta hoja. Los calculos del tablero lo referencian; ninguno lo repite escrito a mano.</t>
  </si>
  <si>
    <t xml:space="preserve">METAS DEL EJERCICIO 2025</t>
  </si>
  <si>
    <t xml:space="preserve">Indicador</t>
  </si>
  <si>
    <t xml:space="preserve">Meta</t>
  </si>
  <si>
    <t xml:space="preserve">Origen del supuesto</t>
  </si>
  <si>
    <t xml:space="preserve">Ventas totales 2025</t>
  </si>
  <si>
    <t xml:space="preserve">Presupuesto comercial aprobado para el ejercicio (dato de negocio).</t>
  </si>
  <si>
    <t xml:space="preserve">Margen bruto %</t>
  </si>
  <si>
    <t xml:space="preserve">Piso historico de la cadena: el margen 2024 cerro en 35,8%.</t>
  </si>
  <si>
    <t xml:space="preserve">Crecimiento interanual de ventas</t>
  </si>
  <si>
    <t xml:space="preserve">Objetivo de expansion fijado por la direccion.</t>
  </si>
  <si>
    <t xml:space="preserve">Costo logistico sobre ventas</t>
  </si>
  <si>
    <t xml:space="preserve">Techo tolerado; 2024 cerro en 2,18%.</t>
  </si>
  <si>
    <t xml:space="preserve">Margen bruto % minimo por producto</t>
  </si>
  <si>
    <t xml:space="preserve">Corte usado en el grafico de dispersion para marcar la zona de riesgo.</t>
  </si>
  <si>
    <t xml:space="preserve">SUPUESTOS DEL DATASET SIMULADO</t>
  </si>
  <si>
    <t xml:space="preserve">Periodo cubierto</t>
  </si>
  <si>
    <t xml:space="preserve">Ene-2024 a Dic-2025</t>
  </si>
  <si>
    <t xml:space="preserve">Dataset SIMULADO con semilla fija. Extiende el modelo Ventas_Tech_DB del checkpoint de SQL (mismas categorias, productos y ciudades) a 24 meses, 5 regiones y 2 canales.</t>
  </si>
  <si>
    <t xml:space="preserve">Filas de la tabla de hechos</t>
  </si>
  <si>
    <t xml:space="preserve">Aumento de precio de lista 2025</t>
  </si>
  <si>
    <t xml:space="preserve">Inflacion de costo de compra 2025</t>
  </si>
  <si>
    <t xml:space="preserve">Crecimiento de unidades 2025</t>
  </si>
  <si>
    <t xml:space="preserve">Participacion de e-commerce 2024</t>
  </si>
  <si>
    <t xml:space="preserve">COSTO LOGISTICO SOBRE VENTAS (tasa aplicada en Datos)</t>
  </si>
  <si>
    <t xml:space="preserve">Tasa</t>
  </si>
  <si>
    <t xml:space="preserve">El salto de e-commerce en 2025 (ultima milla y envio bonificado) y su baja en Q3-Q4 al fijar un umbral de envio minimo es el hecho que explica la caida y posterior recuperacion del margen.</t>
  </si>
  <si>
    <t xml:space="preserve">Guia de uso del tablero</t>
  </si>
  <si>
    <t xml:space="preserve">Como se lee</t>
  </si>
  <si>
    <t xml:space="preserve">De arriba hacia abajo: el titular dice que paso, las cuatro tarjetas lo cuantifican contra la meta, los dos graficos de arriba explican por que, y los dos de abajo indican donde actuar.</t>
  </si>
  <si>
    <t xml:space="preserve">Los segmentadores</t>
  </si>
  <si>
    <t xml:space="preserve">Trimestre, Categoria, Region y Canal. Los cuatro estan conectados al mismo cache de tablas dinamicas, asi que cualquier seleccion recalcula a la vez las tarjetas y los cuatro graficos.</t>
  </si>
  <si>
    <t xml:space="preserve">Por que Trimestre y no Ano</t>
  </si>
  <si>
    <t xml:space="preserve">El filtro de tiempo es el trimestre justamente para no romper la comparacion interanual: al elegir Q1 se comparan Q1-2024 contra Q1-2025. Un filtro de ano dejaria sin sentido el KPI de crecimiento.</t>
  </si>
  <si>
    <t xml:space="preserve">Como viaja el filtro</t>
  </si>
  <si>
    <t xml:space="preserve">Segmentador -&gt; tabla dinamica (hoja Pivots) -&gt; GETPIVOTDATA (hoja Calculos) -&gt; grafico. Pivots y Calculos estan ocultas a proposito: son soporte, no lectura.</t>
  </si>
  <si>
    <t xml:space="preserve">Si los numeros no se mueven</t>
  </si>
  <si>
    <t xml:space="preserve">Datos &gt; Actualizar todo. El libro fuerza el recalculo al abrir, pero algunos visores de terceros no ejecutan tablas dinamicas.</t>
  </si>
  <si>
    <t xml:space="preserve">Paleta</t>
  </si>
  <si>
    <t xml:space="preserve">Tres colores: azul institucional (valor principal y ano corriente), gris (contexto y ano anterior) y ambar (alerta y efectos que restan). Nada mas.</t>
  </si>
  <si>
    <t xml:space="preserve">Origen de los datos</t>
  </si>
  <si>
    <t xml:space="preserve">Dataset simulado y determinista que extiende el modelo Ventas_Tech_DB del checkpoint de SQL. Todos los supuestos estan en la hoja Parametros.</t>
  </si>
  <si>
    <t xml:space="preserve">Capa intermedia del tablero</t>
  </si>
  <si>
    <t xml:space="preserve">Cadena del filtro:  segmentador -&gt; tabla dinamica (Pivots) -&gt; GETPIVOTDATA (esta hoja) -&gt; grafico del tablero.</t>
  </si>
  <si>
    <t xml:space="preserve">Totales por ejercicio</t>
  </si>
  <si>
    <t xml:space="preserve">Costo de producto</t>
  </si>
  <si>
    <t xml:space="preserve">Costo logistico</t>
  </si>
  <si>
    <t xml:space="preserve">Margen bruto</t>
  </si>
  <si>
    <t xml:space="preserve">Precio promedio por unidad</t>
  </si>
  <si>
    <t xml:space="preserve">Costo de producto por unidad</t>
  </si>
  <si>
    <t xml:space="preserve">Margen unitario</t>
  </si>
  <si>
    <t xml:space="preserve">Costo logistico / ventas</t>
  </si>
  <si>
    <t xml:space="preserve">KPI</t>
  </si>
  <si>
    <t xml:space="preserve">Valor</t>
  </si>
  <si>
    <t xml:space="preserve">Brecha</t>
  </si>
  <si>
    <t xml:space="preserve">Cumple</t>
  </si>
  <si>
    <t xml:space="preserve">Ventas 2025</t>
  </si>
  <si>
    <t xml:space="preserve">Crecimiento interanual</t>
  </si>
  <si>
    <t xml:space="preserve">Variacion del margen % (p.p.)</t>
  </si>
  <si>
    <t xml:space="preserve">Variacion del costo logistico / ventas (p.p.)</t>
  </si>
  <si>
    <t xml:space="preserve">Puente de margen bruto 2024 -&gt; 2025</t>
  </si>
  <si>
    <t xml:space="preserve">Efecto</t>
  </si>
  <si>
    <t xml:space="preserve">Acumulado</t>
  </si>
  <si>
    <t xml:space="preserve">Base</t>
  </si>
  <si>
    <t xml:space="preserve">Total</t>
  </si>
  <si>
    <t xml:space="preserve">Suma</t>
  </si>
  <si>
    <t xml:space="preserve">Resta</t>
  </si>
  <si>
    <t xml:space="preserve">Margen bruto 2024</t>
  </si>
  <si>
    <t xml:space="preserve">Mas unidades vendidas</t>
  </si>
  <si>
    <t xml:space="preserve">Precios de venta mas altos</t>
  </si>
  <si>
    <t xml:space="preserve">Costo de compra mas caro</t>
  </si>
  <si>
    <t xml:space="preserve">Costo logistico mas caro</t>
  </si>
  <si>
    <t xml:space="preserve">Margen bruto 2025</t>
  </si>
  <si>
    <t xml:space="preserve">Control: los efectos deben cerrar en cero</t>
  </si>
  <si>
    <t xml:space="preserve">Evolucion mensual</t>
  </si>
  <si>
    <t xml:space="preserve">Ventas 2024</t>
  </si>
  <si>
    <t xml:space="preserve">Margen % 2025</t>
  </si>
  <si>
    <t xml:space="preserve">Margen 2025</t>
  </si>
  <si>
    <t xml:space="preserve">Margen 2024</t>
  </si>
  <si>
    <t xml:space="preserve">Margen % por categoria</t>
  </si>
  <si>
    <t xml:space="preserve">Margen % 2024</t>
  </si>
  <si>
    <t xml:space="preserve">Productos 2025</t>
  </si>
  <si>
    <t xml:space="preserve">Crecimiento</t>
  </si>
  <si>
    <t xml:space="preserve">Margen %</t>
  </si>
  <si>
    <t xml:space="preserve">X en meta</t>
  </si>
  <si>
    <t xml:space="preserve">Y en meta</t>
  </si>
  <si>
    <t xml:space="preserve">X riesgo</t>
  </si>
  <si>
    <t xml:space="preserve">Y riesgo</t>
  </si>
  <si>
    <t xml:space="preserve">Textos que el tablero muestra</t>
  </si>
  <si>
    <t xml:space="preserve">titular</t>
  </si>
  <si>
    <t xml:space="preserve">bajada</t>
  </si>
  <si>
    <t xml:space="preserve">g1</t>
  </si>
  <si>
    <t xml:space="preserve">g2</t>
  </si>
  <si>
    <t xml:space="preserve">g3</t>
  </si>
  <si>
    <t xml:space="preserve">g4</t>
  </si>
  <si>
    <t xml:space="preserve">nota1</t>
  </si>
  <si>
    <t xml:space="preserve">nota2</t>
  </si>
  <si>
    <t xml:space="preserve">nota3</t>
  </si>
  <si>
    <t xml:space="preserve">Tablas dinamicas de soporte. Los segmentadores del tablero filtran estas tablas y los graficos las leen con GETPIVOTDATA. No editar a mano.</t>
  </si>
  <si>
    <t xml:space="preserve">Margen</t>
  </si>
  <si>
    <t xml:space="preserve">CostoProd</t>
  </si>
  <si>
    <t xml:space="preserve">CostoLog</t>
  </si>
  <si>
    <t xml:space="preserve">Total Result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</si>
</sst>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%"/>
    <numFmt numFmtId="167" formatCode="0.00%"/>
    <numFmt numFmtId="168" formatCode="\$#,##0,&quot; k&quot;"/>
    <numFmt numFmtId="169" formatCode="dd/mm/yyyy"/>
    <numFmt numFmtId="170" formatCode="#,##0"/>
    <numFmt numFmtId="171" formatCode="0.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7"/>
      <color rgb="FFFFFFFF"/>
      <name val="Arial"/>
      <family val="0"/>
      <charset val="1"/>
    </font>
    <font>
      <sz val="9"/>
      <color rgb="FFC7CEDB"/>
      <name val="Arial"/>
      <family val="0"/>
      <charset val="1"/>
    </font>
    <font>
      <sz val="10"/>
      <color rgb="FFC7CEDB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.5"/>
      <color rgb="FF8C8C8C"/>
      <name val="Arial"/>
      <family val="0"/>
      <charset val="1"/>
    </font>
    <font>
      <b val="true"/>
      <sz val="8"/>
      <color rgb="FF8C8C8C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sz val="8.5"/>
      <color rgb="FF8C8C8C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8.5"/>
      <color rgb="FF8C8C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F3437"/>
      <name val="Arial"/>
      <family val="0"/>
      <charset val="1"/>
    </font>
    <font>
      <sz val="8"/>
      <color rgb="FF8C8C8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1F3864"/>
      <name val="Arial"/>
      <family val="0"/>
      <charset val="1"/>
    </font>
    <font>
      <i val="true"/>
      <sz val="9"/>
      <color rgb="FF8C8C8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.5"/>
      <color rgb="FF2F34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F3437"/>
      <name val="Arial"/>
      <family val="0"/>
      <charset val="1"/>
    </font>
    <font>
      <sz val="10"/>
      <color rgb="FF2F3437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8C8C8C"/>
      <name val="Arial"/>
      <family val="0"/>
      <charset val="1"/>
    </font>
    <font>
      <sz val="10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F3437"/>
      </patternFill>
    </fill>
    <fill>
      <patternFill patternType="solid">
        <fgColor rgb="FFF2F4F7"/>
        <bgColor rgb="FFFDF3E3"/>
      </patternFill>
    </fill>
    <fill>
      <patternFill patternType="solid">
        <fgColor rgb="FFFFFFFF"/>
        <bgColor rgb="FFF2F4F7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CE0E6"/>
      </left>
      <right style="thin">
        <color rgb="FFDCE0E6"/>
      </right>
      <top style="thin">
        <color rgb="FFDCE0E6"/>
      </top>
      <bottom/>
      <diagonal/>
    </border>
    <border diagonalUp="false" diagonalDown="false">
      <left style="thin">
        <color rgb="FFDCE0E6"/>
      </left>
      <right style="thin">
        <color rgb="FFDCE0E6"/>
      </right>
      <top/>
      <bottom/>
      <diagonal/>
    </border>
    <border diagonalUp="false" diagonalDown="false">
      <left style="thin">
        <color rgb="FFDCE0E6"/>
      </left>
      <right style="thin">
        <color rgb="FFDCE0E6"/>
      </right>
      <top/>
      <bottom style="thin">
        <color rgb="FFDCE0E6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5">
    <dxf>
      <font>
        <name val="Arial"/>
        <charset val="1"/>
        <family val="0"/>
        <b val="1"/>
        <color rgb="FFE8A33D"/>
      </font>
      <fill>
        <patternFill>
          <bgColor rgb="FFFDF3E3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DF3E3"/>
      <rgbColor rgb="FFF2F4F7"/>
      <rgbColor rgb="FF660066"/>
      <rgbColor rgb="FFFF8080"/>
      <rgbColor rgb="FF0066CC"/>
      <rgbColor rgb="FFC7CE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0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33D"/>
      <rgbColor rgb="FFFF6600"/>
      <rgbColor rgb="FF666699"/>
      <rgbColor rgb="FF8C8C8C"/>
      <rgbColor rgb="FF1F3864"/>
      <rgbColor rgb="FF339966"/>
      <rgbColor rgb="FF003300"/>
      <rgbColor rgb="FF333300"/>
      <rgbColor rgb="FF993300"/>
      <rgbColor rgb="FF993366"/>
      <rgbColor rgb="FF333399"/>
      <rgbColor rgb="FF2F34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
<Relationship Id="rId12" Type="http://schemas.microsoft.com/office/2007/relationships/slicerCache" Target="slicerCaches/slicerCache1.xml"/><Relationship Id="rId13" Type="http://schemas.microsoft.com/office/2007/relationships/slicerCache" Target="slicerCaches/slicerCache2.xml"/><Relationship Id="rId14" Type="http://schemas.microsoft.com/office/2007/relationships/slicerCache" Target="slicerCaches/slicerCache3.xml"/><Relationship Id="rId15" Type="http://schemas.microsoft.com/office/2007/relationships/slicerCache" Target="slicerCaches/slicerCach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strRef>
          <c:f>Calculos!$B$77</c:f>
          <c:strCache>
            <c:ptCount val="1"/>
            <c:pt idx="0">
              <c:v>El margen se recupera en el segundo semestre (34.5%) pero no vuelve al nivel de 2024 (35.7%)</c:v>
            </c:pt>
          </c:strCache>
        </c:strRef>
      </c:tx>
      <c:overlay val="0"/>
      <c:txPr>
        <a:bodyPr rot="0"/>
        <a:lstStyle/>
        <a:p>
          <a:pPr>
            <a:defRPr sz="1000" b="1">
              <a:solidFill>
                <a:srgbClr val="1F3864"/>
              </a:solidFill>
              <a:latin typeface="Arial"/>
            </a:defRPr>
          </a:pPr>
          <a:endParaRPr lang="es-AR"/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Calculos!B37</c:f>
              <c:strCache>
                <c:ptCount val="1"/>
                <c:pt idx="0">
                  <c:v>Ventas 2024</c:v>
                </c:pt>
              </c:strCache>
            </c:strRef>
          </c:tx>
          <c:spPr>
            <a:solidFill>
              <a:srgbClr val="8c8c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Calculos!$A$38:$A$49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Calculos!$B$38:$B$49</c:f>
              <c:numCache>
                <c:formatCode>\$#,##0</c:formatCode>
                <c:ptCount val="12"/>
                <c:pt idx="0">
                  <c:v>335709.78</c:v>
                </c:pt>
                <c:pt idx="1">
                  <c:v>297385.9</c:v>
                </c:pt>
                <c:pt idx="2">
                  <c:v>362339.32</c:v>
                </c:pt>
                <c:pt idx="3">
                  <c:v>351882.72</c:v>
                </c:pt>
                <c:pt idx="4">
                  <c:v>379787.24</c:v>
                </c:pt>
                <c:pt idx="5">
                  <c:v>402575.18</c:v>
                </c:pt>
                <c:pt idx="6">
                  <c:v>421091.3</c:v>
                </c:pt>
                <c:pt idx="7">
                  <c:v>369456.08</c:v>
                </c:pt>
                <c:pt idx="8">
                  <c:v>374810.8</c:v>
                </c:pt>
                <c:pt idx="9">
                  <c:v>400237.88</c:v>
                </c:pt>
                <c:pt idx="10">
                  <c:v>474654.18</c:v>
                </c:pt>
                <c:pt idx="11">
                  <c:v>556384.22</c:v>
                </c:pt>
              </c:numCache>
            </c:numRef>
          </c:val>
        </c:ser>
        <c:ser>
          <c:idx val="1"/>
          <c:order val="1"/>
          <c:tx>
            <c:strRef>
              <c:f>Calculos!C37</c:f>
              <c:strCache>
                <c:ptCount val="1"/>
                <c:pt idx="0">
                  <c:v>Ventas 2025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Calculos!$A$38:$A$49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Calculos!$C$38:$C$49</c:f>
              <c:numCache>
                <c:formatCode>\$#,##0</c:formatCode>
                <c:ptCount val="12"/>
                <c:pt idx="0">
                  <c:v>376115.96</c:v>
                </c:pt>
                <c:pt idx="1">
                  <c:v>354148.74</c:v>
                </c:pt>
                <c:pt idx="2">
                  <c:v>424353.81</c:v>
                </c:pt>
                <c:pt idx="3">
                  <c:v>401046.29</c:v>
                </c:pt>
                <c:pt idx="4">
                  <c:v>447928.5</c:v>
                </c:pt>
                <c:pt idx="5">
                  <c:v>466752.11</c:v>
                </c:pt>
                <c:pt idx="6">
                  <c:v>500057.9</c:v>
                </c:pt>
                <c:pt idx="7">
                  <c:v>444999.85</c:v>
                </c:pt>
                <c:pt idx="8">
                  <c:v>445706.66</c:v>
                </c:pt>
                <c:pt idx="9">
                  <c:v>466416.5</c:v>
                </c:pt>
                <c:pt idx="10">
                  <c:v>567804.81</c:v>
                </c:pt>
                <c:pt idx="11">
                  <c:v>670714.47</c:v>
                </c:pt>
              </c:numCache>
            </c:numRef>
          </c:val>
        </c:ser>
        <c:gapWidth val="60"/>
        <c:overlap val="-10"/>
        <c:axId val="63490830"/>
        <c:axId val="631815"/>
      </c:barChart>
      <c:lineChart>
        <c:grouping val="standard"/>
        <c:varyColors val="0"/>
        <c:ser>
          <c:idx val="2"/>
          <c:order val="2"/>
          <c:tx>
            <c:strRef>
              <c:f>Calculos!D37</c:f>
              <c:strCache>
                <c:ptCount val="1"/>
                <c:pt idx="0">
                  <c:v>Margen % 2025</c:v>
                </c:pt>
              </c:strCache>
            </c:strRef>
          </c:tx>
          <c:spPr>
            <a:solidFill>
              <a:srgbClr val="e8a33d"/>
            </a:solidFill>
            <a:ln w="21960">
              <a:solidFill>
                <a:srgbClr val="e8a33d"/>
              </a:solidFill>
              <a:round/>
            </a:ln>
          </c:spPr>
          <c:marker>
            <c:symbol val="circle"/>
            <c:size val="5"/>
            <c:spPr>
              <a:solidFill>
                <a:srgbClr val="e8a3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Calculos!$A$38:$A$49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Calculos!$D$38:$D$49</c:f>
              <c:numCache>
                <c:formatCode>0.0%</c:formatCode>
                <c:ptCount val="12"/>
                <c:pt idx="0">
                  <c:v>0.318490499578907</c:v>
                </c:pt>
                <c:pt idx="1">
                  <c:v>0.32058481981328</c:v>
                </c:pt>
                <c:pt idx="2">
                  <c:v>0.319193834974641</c:v>
                </c:pt>
                <c:pt idx="3">
                  <c:v>0.318380628829655</c:v>
                </c:pt>
                <c:pt idx="4">
                  <c:v>0.314476462203231</c:v>
                </c:pt>
                <c:pt idx="5">
                  <c:v>0.31764996198946</c:v>
                </c:pt>
                <c:pt idx="6">
                  <c:v>0.343593891827327</c:v>
                </c:pt>
                <c:pt idx="7">
                  <c:v>0.345087015197871</c:v>
                </c:pt>
                <c:pt idx="8">
                  <c:v>0.344371004014165</c:v>
                </c:pt>
                <c:pt idx="9">
                  <c:v>0.346056389514522</c:v>
                </c:pt>
                <c:pt idx="10">
                  <c:v>0.345865615333551</c:v>
                </c:pt>
                <c:pt idx="11">
                  <c:v>0.345073008488992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891258"/>
        <c:axId val="20274182"/>
      </c:lineChart>
      <c:catAx>
        <c:axId val="634908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815"/>
        <c:crosses val="autoZero"/>
        <c:auto val="1"/>
        <c:lblAlgn val="ctr"/>
        <c:lblOffset val="100"/>
        <c:noMultiLvlLbl val="0"/>
      </c:catAx>
      <c:valAx>
        <c:axId val="6318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&quot; k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90830"/>
        <c:crosses val="autoZero"/>
        <c:crossBetween val="between"/>
      </c:valAx>
      <c:catAx>
        <c:axId val="3289125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74182"/>
        <c:crosses val="autoZero"/>
        <c:auto val="1"/>
        <c:lblAlgn val="ctr"/>
        <c:lblOffset val="100"/>
        <c:noMultiLvlLbl val="0"/>
      </c:catAx>
      <c:valAx>
        <c:axId val="20274182"/>
        <c:scaling>
          <c:orientation val="minMax"/>
        </c:scaling>
        <c:delete val="0"/>
        <c:axPos val="r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9125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strRef>
          <c:f>Calculos!$B$78</c:f>
          <c:strCache>
            <c:ptCount val="1"/>
            <c:pt idx="0">
              <c:v>Volumen y precio sumaron $417,299 de margen; los costos se llevaron $253,446</c:v>
            </c:pt>
          </c:strCache>
        </c:strRef>
      </c:tx>
      <c:overlay val="0"/>
      <c:txPr>
        <a:bodyPr rot="0"/>
        <a:lstStyle/>
        <a:p>
          <a:pPr>
            <a:defRPr sz="1000" b="1">
              <a:solidFill>
                <a:srgbClr val="1F3864"/>
              </a:solidFill>
              <a:latin typeface="Arial"/>
            </a:defRPr>
          </a:pPr>
          <a:endParaRPr lang="es-AR"/>
        </a:p>
      </c:tx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Calculos!D27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Calculos!$A$28:$A$33</c:f>
              <c:strCache>
                <c:ptCount val="6"/>
                <c:pt idx="0">
                  <c:v>Margen bruto 2024</c:v>
                </c:pt>
                <c:pt idx="1">
                  <c:v>Mas unidades vendidas</c:v>
                </c:pt>
                <c:pt idx="2">
                  <c:v>Precios de venta mas altos</c:v>
                </c:pt>
                <c:pt idx="3">
                  <c:v>Costo de compra mas caro</c:v>
                </c:pt>
                <c:pt idx="4">
                  <c:v>Costo logistico mas caro</c:v>
                </c:pt>
                <c:pt idx="5">
                  <c:v>Margen bruto 2025</c:v>
                </c:pt>
              </c:strCache>
            </c:strRef>
          </c:cat>
          <c:val>
            <c:numRef>
              <c:f>Calculos!$D$28:$D$33</c:f>
              <c:numCache>
                <c:formatCode>\$#,##0</c:formatCode>
                <c:ptCount val="6"/>
                <c:pt idx="0">
                  <c:v>0</c:v>
                </c:pt>
                <c:pt idx="1">
                  <c:v>1689839.03</c:v>
                </c:pt>
                <c:pt idx="2">
                  <c:v>1947984.85707994</c:v>
                </c:pt>
                <c:pt idx="3">
                  <c:v>1934612.86</c:v>
                </c:pt>
                <c:pt idx="4">
                  <c:v>1853692.31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Calculos!E27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Calculos!$A$28:$A$33</c:f>
              <c:strCache>
                <c:ptCount val="6"/>
                <c:pt idx="0">
                  <c:v>Margen bruto 2024</c:v>
                </c:pt>
                <c:pt idx="1">
                  <c:v>Mas unidades vendidas</c:v>
                </c:pt>
                <c:pt idx="2">
                  <c:v>Precios de venta mas altos</c:v>
                </c:pt>
                <c:pt idx="3">
                  <c:v>Costo de compra mas caro</c:v>
                </c:pt>
                <c:pt idx="4">
                  <c:v>Costo logistico mas caro</c:v>
                </c:pt>
                <c:pt idx="5">
                  <c:v>Margen bruto 2025</c:v>
                </c:pt>
              </c:strCache>
            </c:strRef>
          </c:cat>
          <c:val>
            <c:numRef>
              <c:f>Calculos!$E$28:$E$33</c:f>
              <c:numCache>
                <c:formatCode>\$#,##0</c:formatCode>
                <c:ptCount val="6"/>
                <c:pt idx="0">
                  <c:v>1689839.03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1853692.31</c:v>
                </c:pt>
              </c:numCache>
            </c:numRef>
          </c:val>
        </c:ser>
        <c:ser>
          <c:idx val="2"/>
          <c:order val="2"/>
          <c:tx>
            <c:strRef>
              <c:f>Calculos!F27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8c8c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Calculos!$A$28:$A$33</c:f>
              <c:strCache>
                <c:ptCount val="6"/>
                <c:pt idx="0">
                  <c:v>Margen bruto 2024</c:v>
                </c:pt>
                <c:pt idx="1">
                  <c:v>Mas unidades vendidas</c:v>
                </c:pt>
                <c:pt idx="2">
                  <c:v>Precios de venta mas altos</c:v>
                </c:pt>
                <c:pt idx="3">
                  <c:v>Costo de compra mas caro</c:v>
                </c:pt>
                <c:pt idx="4">
                  <c:v>Costo logistico mas caro</c:v>
                </c:pt>
                <c:pt idx="5">
                  <c:v>Margen bruto 2025</c:v>
                </c:pt>
              </c:strCache>
            </c:strRef>
          </c:cat>
          <c:val>
            <c:numRef>
              <c:f>Calculos!$F$28:$F$33</c:f>
              <c:numCache>
                <c:formatCode>\$#,##0</c:formatCode>
                <c:ptCount val="6"/>
                <c:pt idx="0">
                  <c:v>0</c:v>
                </c:pt>
                <c:pt idx="1">
                  <c:v>258145.827079942</c:v>
                </c:pt>
                <c:pt idx="2">
                  <c:v>159153.476118533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Calculos!G27</c:f>
              <c:strCache>
                <c:ptCount val="1"/>
                <c:pt idx="0">
                  <c:v>Resta</c:v>
                </c:pt>
              </c:strCache>
            </c:strRef>
          </c:tx>
          <c:spPr>
            <a:solidFill>
              <a:srgbClr val="e8a33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Calculos!$A$28:$A$33</c:f>
              <c:strCache>
                <c:ptCount val="6"/>
                <c:pt idx="0">
                  <c:v>Margen bruto 2024</c:v>
                </c:pt>
                <c:pt idx="1">
                  <c:v>Mas unidades vendidas</c:v>
                </c:pt>
                <c:pt idx="2">
                  <c:v>Precios de venta mas altos</c:v>
                </c:pt>
                <c:pt idx="3">
                  <c:v>Costo de compra mas caro</c:v>
                </c:pt>
                <c:pt idx="4">
                  <c:v>Costo logistico mas caro</c:v>
                </c:pt>
                <c:pt idx="5">
                  <c:v>Margen bruto 2025</c:v>
                </c:pt>
              </c:strCache>
            </c:strRef>
          </c:cat>
          <c:val>
            <c:numRef>
              <c:f>Calculos!$G$28:$G$33</c:f>
              <c:numCache>
                <c:formatCode>\$#,##0</c:formatCode>
                <c:ptCount val="6"/>
                <c:pt idx="0">
                  <c:v>0</c:v>
                </c:pt>
                <c:pt idx="1">
                  <c:v>-0</c:v>
                </c:pt>
                <c:pt idx="2">
                  <c:v>-0</c:v>
                </c:pt>
                <c:pt idx="3">
                  <c:v>172525.473198474</c:v>
                </c:pt>
                <c:pt idx="4">
                  <c:v>80920.5499999999</c:v>
                </c:pt>
                <c:pt idx="5">
                  <c:v>0</c:v>
                </c:pt>
              </c:numCache>
            </c:numRef>
          </c:val>
        </c:ser>
        <c:gapWidth val="45"/>
        <c:overlap val="100"/>
        <c:axId val="79662011"/>
        <c:axId val="99677456"/>
      </c:barChart>
      <c:catAx>
        <c:axId val="796620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77456"/>
        <c:crosses val="autoZero"/>
        <c:auto val="1"/>
        <c:lblAlgn val="ctr"/>
        <c:lblOffset val="100"/>
        <c:noMultiLvlLbl val="0"/>
      </c:catAx>
      <c:valAx>
        <c:axId val="99677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&quot; k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620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strRef>
          <c:f>Calculos!$B$79</c:f>
          <c:strCache>
            <c:ptCount val="1"/>
            <c:pt idx="0">
              <c:v>Los productos que mas crecen son los que menos margen dejan</c:v>
            </c:pt>
          </c:strCache>
        </c:strRef>
      </c:tx>
      <c:overlay val="0"/>
      <c:txPr>
        <a:bodyPr rot="0"/>
        <a:lstStyle/>
        <a:p>
          <a:pPr>
            <a:defRPr sz="1000" b="1">
              <a:solidFill>
                <a:srgbClr val="1F3864"/>
              </a:solidFill>
              <a:latin typeface="Arial"/>
            </a:defRPr>
          </a:pPr>
          <a:endParaRPr lang="es-AR"/>
        </a:p>
      </c:tx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"En meta de margen"</c:f>
              <c:strCache>
                <c:ptCount val="1"/>
                <c:pt idx="0">
                  <c:v>En meta de margen</c:v>
                </c:pt>
              </c:strCache>
            </c:strRef>
          </c:tx>
          <c:spPr>
            <a:solidFill>
              <a:srgbClr val="1f3864"/>
            </a:solidFill>
            <a:ln w="28440">
              <a:noFill/>
            </a:ln>
          </c:spPr>
          <c:marker>
            <c:symbol val="circle"/>
            <c:size val="9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Calculos!$E$62:$E$71</c:f>
              <c:numCache>
                <c:formatCode>0.0%</c:formatCode>
                <c:ptCount val="10"/>
                <c:pt idx="1">
                  <c:v>0.176050080108353</c:v>
                </c:pt>
                <c:pt idx="3">
                  <c:v>0.151039779936655</c:v>
                </c:pt>
                <c:pt idx="4">
                  <c:v>0.165154986074542</c:v>
                </c:pt>
                <c:pt idx="5">
                  <c:v>0.141136610823022</c:v>
                </c:pt>
                <c:pt idx="6">
                  <c:v>0.210496672247157</c:v>
                </c:pt>
                <c:pt idx="7">
                  <c:v>0.168288417729297</c:v>
                </c:pt>
                <c:pt idx="8">
                  <c:v>0.165529648169793</c:v>
                </c:pt>
                <c:pt idx="9">
                  <c:v>0.174085219698131</c:v>
                </c:pt>
              </c:numCache>
            </c:numRef>
          </c:xVal>
          <c:yVal>
            <c:numRef>
              <c:f>Calculos!$F$62:$F$71</c:f>
              <c:numCache>
                <c:formatCode>0.0%</c:formatCode>
                <c:ptCount val="10"/>
                <c:pt idx="1">
                  <c:v>0.334185808826126</c:v>
                </c:pt>
                <c:pt idx="3">
                  <c:v>0.472445193744698</c:v>
                </c:pt>
                <c:pt idx="4">
                  <c:v>0.445955323884097</c:v>
                </c:pt>
                <c:pt idx="5">
                  <c:v>0.404791368878501</c:v>
                </c:pt>
                <c:pt idx="6">
                  <c:v>0.420637746381836</c:v>
                </c:pt>
                <c:pt idx="7">
                  <c:v>0.383919700245319</c:v>
                </c:pt>
                <c:pt idx="8">
                  <c:v>0.363930889211542</c:v>
                </c:pt>
                <c:pt idx="9">
                  <c:v>0.441217900592534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"Zona de riesgo"</c:f>
              <c:strCache>
                <c:ptCount val="1"/>
                <c:pt idx="0">
                  <c:v>Zona de riesgo</c:v>
                </c:pt>
              </c:strCache>
            </c:strRef>
          </c:tx>
          <c:spPr>
            <a:solidFill>
              <a:srgbClr val="e8a33d"/>
            </a:solidFill>
            <a:ln w="28440">
              <a:noFill/>
            </a:ln>
          </c:spPr>
          <c:marker>
            <c:symbol val="circle"/>
            <c:size val="9"/>
            <c:spPr>
              <a:solidFill>
                <a:srgbClr val="e8a33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Calculos!$G$62:$G$71</c:f>
              <c:numCache>
                <c:formatCode>0.0%</c:formatCode>
                <c:ptCount val="10"/>
                <c:pt idx="0">
                  <c:v>0.152764737473936</c:v>
                </c:pt>
                <c:pt idx="2">
                  <c:v>0.208592049527534</c:v>
                </c:pt>
              </c:numCache>
            </c:numRef>
          </c:xVal>
          <c:yVal>
            <c:numRef>
              <c:f>Calculos!$H$62:$H$71</c:f>
              <c:numCache>
                <c:formatCode>0.0%</c:formatCode>
                <c:ptCount val="10"/>
                <c:pt idx="0">
                  <c:v>0.319144570311307</c:v>
                </c:pt>
                <c:pt idx="2">
                  <c:v>0.256294526964319</c:v>
                </c:pt>
              </c:numCache>
            </c:numRef>
          </c:yVal>
          <c:smooth val="1"/>
        </c:ser>
        <c:axId val="51329378"/>
        <c:axId val="78721107"/>
      </c:scatterChart>
      <c:valAx>
        <c:axId val="513293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Crecimiento de ventas 2025 vs 2024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21107"/>
        <c:crosses val="autoZero"/>
        <c:crossBetween val="midCat"/>
      </c:valAx>
      <c:valAx>
        <c:axId val="787211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Margen bruto % 2025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2937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strRef>
          <c:f>Calculos!$B$80</c:f>
          <c:strCache>
            <c:ptCount val="1"/>
            <c:pt idx="0">
              <c:v>Computacion concentra la caida: pierde 2.8 p.p. de margen</c:v>
            </c:pt>
          </c:strCache>
        </c:strRef>
      </c:tx>
      <c:overlay val="0"/>
      <c:txPr>
        <a:bodyPr rot="0"/>
        <a:lstStyle/>
        <a:p>
          <a:pPr>
            <a:defRPr sz="1000" b="1">
              <a:solidFill>
                <a:srgbClr val="1F3864"/>
              </a:solidFill>
              <a:latin typeface="Arial"/>
            </a:defRPr>
          </a:pPr>
          <a:endParaRPr lang="es-AR"/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Calculos!B53</c:f>
              <c:strCache>
                <c:ptCount val="1"/>
                <c:pt idx="0">
                  <c:v>Margen % 2024</c:v>
                </c:pt>
              </c:strCache>
            </c:strRef>
          </c:tx>
          <c:spPr>
            <a:solidFill>
              <a:srgbClr val="8c8c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Calculos!$A$54:$A$57</c:f>
              <c:strCache>
                <c:ptCount val="4"/>
                <c:pt idx="0">
                  <c:v>Computacion</c:v>
                </c:pt>
                <c:pt idx="1">
                  <c:v>Accesorios</c:v>
                </c:pt>
                <c:pt idx="2">
                  <c:v>Audio</c:v>
                </c:pt>
                <c:pt idx="3">
                  <c:v>Almacenamiento</c:v>
                </c:pt>
              </c:strCache>
            </c:strRef>
          </c:cat>
          <c:val>
            <c:numRef>
              <c:f>Calculos!$B$54:$B$57</c:f>
              <c:numCache>
                <c:formatCode>0.0%</c:formatCode>
                <c:ptCount val="4"/>
                <c:pt idx="0">
                  <c:v>0.317633256226047</c:v>
                </c:pt>
                <c:pt idx="1">
                  <c:v>0.452658865186448</c:v>
                </c:pt>
                <c:pt idx="2">
                  <c:v>0.422397160050906</c:v>
                </c:pt>
                <c:pt idx="3">
                  <c:v>0.397559203122239</c:v>
                </c:pt>
              </c:numCache>
            </c:numRef>
          </c:val>
        </c:ser>
        <c:ser>
          <c:idx val="1"/>
          <c:order val="1"/>
          <c:tx>
            <c:strRef>
              <c:f>Calculos!C53</c:f>
              <c:strCache>
                <c:ptCount val="1"/>
                <c:pt idx="0">
                  <c:v>Margen % 2025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Calculos!$A$54:$A$57</c:f>
              <c:strCache>
                <c:ptCount val="4"/>
                <c:pt idx="0">
                  <c:v>Computacion</c:v>
                </c:pt>
                <c:pt idx="1">
                  <c:v>Accesorios</c:v>
                </c:pt>
                <c:pt idx="2">
                  <c:v>Audio</c:v>
                </c:pt>
                <c:pt idx="3">
                  <c:v>Almacenamiento</c:v>
                </c:pt>
              </c:strCache>
            </c:strRef>
          </c:cat>
          <c:val>
            <c:numRef>
              <c:f>Calculos!$C$54:$C$57</c:f>
              <c:numCache>
                <c:formatCode>0.0%</c:formatCode>
                <c:ptCount val="4"/>
                <c:pt idx="0">
                  <c:v>0.28973779429825</c:v>
                </c:pt>
                <c:pt idx="1">
                  <c:v>0.435744939103133</c:v>
                </c:pt>
                <c:pt idx="2">
                  <c:v>0.405529772887226</c:v>
                </c:pt>
                <c:pt idx="3">
                  <c:v>0.380429720359443</c:v>
                </c:pt>
              </c:numCache>
            </c:numRef>
          </c:val>
        </c:ser>
        <c:gapWidth val="60"/>
        <c:overlap val="0"/>
        <c:axId val="23885952"/>
        <c:axId val="28284182"/>
      </c:barChart>
      <c:catAx>
        <c:axId val="23885952"/>
        <c:scaling>
          <c:orientation val="minMax"/>
        </c:scaling>
        <c:delete val="0"/>
        <c:axPos val="b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84182"/>
        <c:crosses val="autoZero"/>
        <c:auto val="1"/>
        <c:lblAlgn val="ctr"/>
        <c:lblOffset val="100"/>
        <c:noMultiLvlLbl val="0"/>
      </c:catAx>
      <c:valAx>
        <c:axId val="282841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859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0</xdr:rowOff>
    </xdr:from>
    <xdr:to>
      <xdr:col>6</xdr:col>
      <xdr:colOff>573120</xdr:colOff>
      <xdr:row>43</xdr:row>
      <xdr:rowOff>134640</xdr:rowOff>
    </xdr:to>
    <xdr:graphicFrame>
      <xdr:nvGraphicFramePr>
        <xdr:cNvPr id="0" name="Chart 1"/>
        <xdr:cNvGraphicFramePr/>
      </xdr:nvGraphicFramePr>
      <xdr:xfrm>
        <a:off x="195480" y="4724280"/>
        <a:ext cx="4751640" cy="35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25</xdr:row>
      <xdr:rowOff>0</xdr:rowOff>
    </xdr:from>
    <xdr:to>
      <xdr:col>14</xdr:col>
      <xdr:colOff>573480</xdr:colOff>
      <xdr:row>43</xdr:row>
      <xdr:rowOff>134640</xdr:rowOff>
    </xdr:to>
    <xdr:graphicFrame>
      <xdr:nvGraphicFramePr>
        <xdr:cNvPr id="1" name="Chart 2"/>
        <xdr:cNvGraphicFramePr/>
      </xdr:nvGraphicFramePr>
      <xdr:xfrm>
        <a:off x="6881040" y="4724280"/>
        <a:ext cx="4751640" cy="35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6</xdr:col>
      <xdr:colOff>573120</xdr:colOff>
      <xdr:row>65</xdr:row>
      <xdr:rowOff>134640</xdr:rowOff>
    </xdr:to>
    <xdr:graphicFrame>
      <xdr:nvGraphicFramePr>
        <xdr:cNvPr id="2" name="Chart 3"/>
        <xdr:cNvGraphicFramePr/>
      </xdr:nvGraphicFramePr>
      <xdr:xfrm>
        <a:off x="195480" y="8915400"/>
        <a:ext cx="4751640" cy="35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47</xdr:row>
      <xdr:rowOff>0</xdr:rowOff>
    </xdr:from>
    <xdr:to>
      <xdr:col>14</xdr:col>
      <xdr:colOff>573480</xdr:colOff>
      <xdr:row>65</xdr:row>
      <xdr:rowOff>134640</xdr:rowOff>
    </xdr:to>
    <xdr:graphicFrame>
      <xdr:nvGraphicFramePr>
        <xdr:cNvPr id="3" name="Chart 4"/>
        <xdr:cNvGraphicFramePr/>
      </xdr:nvGraphicFramePr>
      <xdr:xfrm>
        <a:off x="6881040" y="8915400"/>
        <a:ext cx="4751640" cy="35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14</xdr:row>
      <xdr:rowOff>0</xdr:rowOff>
    </xdr:from>
    <xdr:to>
      <xdr:col>5</xdr:col>
      <xdr:colOff>0</xdr:colOff>
      <xdr:row>23</xdr:row>
      <xdr:rowOff>0</xdr:rowOff>
    </xdr:to>
    <mc:AlternateContent xmlns:mc="http://schemas.openxmlformats.org/markup-compatibility/2006">
      <mc:Choice xmlns:sle="http://schemas.microsoft.com/office/drawing/2010/slicer" Requires="sle">
        <xdr:graphicFrame macro="">
          <xdr:nvGraphicFramePr>
            <xdr:cNvPr id="4" name="Trimestr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"/>
            </a:graphicData>
          </a:graphic>
        </xdr:graphicFrame>
      </mc:Choice>
      <mc:Fallback>
        <xdr:sp macro="" textlink="">
          <xdr:nvSpPr>
            <xdr:cNvPr id="4" name="Trimestre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8C8C8C"/>
              </a:solidFill>
            </a:ln>
          </xdr:spPr>
          <xdr:txBody>
            <a:bodyPr vertOverflow="clip" horzOverflow="clip"/>
            <a:lstStyle/>
            <a:p>
              <a:r>
                <a:rPr lang="es-AR" sz="1000"/>
                <a:t>Segmentador "Trimestre": requiere Excel 2010 o posterior.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14</xdr:row>
      <xdr:rowOff>0</xdr:rowOff>
    </xdr:from>
    <xdr:to>
      <xdr:col>9</xdr:col>
      <xdr:colOff>0</xdr:colOff>
      <xdr:row>23</xdr:row>
      <xdr:rowOff>0</xdr:rowOff>
    </xdr:to>
    <mc:AlternateContent xmlns:mc="http://schemas.openxmlformats.org/markup-compatibility/2006">
      <mc:Choice xmlns:sle="http://schemas.microsoft.com/office/drawing/2010/slicer" Requires="sle">
        <xdr:graphicFrame macro="">
          <xdr:nvGraphicFramePr>
            <xdr:cNvPr id="5" name="Categori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5" name="Categoria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8C8C8C"/>
              </a:solidFill>
            </a:ln>
          </xdr:spPr>
          <xdr:txBody>
            <a:bodyPr vertOverflow="clip" horzOverflow="clip"/>
            <a:lstStyle/>
            <a:p>
              <a:r>
                <a:rPr lang="es-AR" sz="1000"/>
                <a:t>Segmentador "Categoria": requiere Excel 2010 o posterior.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14</xdr:row>
      <xdr:rowOff>0</xdr:rowOff>
    </xdr:from>
    <xdr:to>
      <xdr:col>13</xdr:col>
      <xdr:colOff>0</xdr:colOff>
      <xdr:row>23</xdr:row>
      <xdr:rowOff>0</xdr:rowOff>
    </xdr:to>
    <mc:AlternateContent xmlns:mc="http://schemas.openxmlformats.org/markup-compatibility/2006">
      <mc:Choice xmlns:sle="http://schemas.microsoft.com/office/drawing/2010/slicer" Requires="sle">
        <xdr:graphicFrame macro="">
          <xdr:nvGraphicFramePr>
            <xdr:cNvPr id="6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6" name="Region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8C8C8C"/>
              </a:solidFill>
            </a:ln>
          </xdr:spPr>
          <xdr:txBody>
            <a:bodyPr vertOverflow="clip" horzOverflow="clip"/>
            <a:lstStyle/>
            <a:p>
              <a:r>
                <a:rPr lang="es-AR" sz="1000"/>
                <a:t>Segmentador "Region": requiere Excel 2010 o posterior.</a:t>
              </a:r>
            </a:p>
          </xdr:txBody>
        </xdr:sp>
      </mc:Fallback>
    </mc:AlternateContent>
    <xdr:clientData/>
  </xdr:twoCellAnchor>
  <xdr:twoCellAnchor>
    <xdr:from>
      <xdr:col>13</xdr:col>
      <xdr:colOff>0</xdr:colOff>
      <xdr:row>14</xdr:row>
      <xdr:rowOff>0</xdr:rowOff>
    </xdr:from>
    <xdr:to>
      <xdr:col>17</xdr:col>
      <xdr:colOff>0</xdr:colOff>
      <xdr:row>23</xdr:row>
      <xdr:rowOff>0</xdr:rowOff>
    </xdr:to>
    <mc:AlternateContent xmlns:mc="http://schemas.openxmlformats.org/markup-compatibility/2006">
      <mc:Choice xmlns:sle="http://schemas.microsoft.com/office/drawing/2010/slicer" Requires="sle">
        <xdr:graphicFrame macro="">
          <xdr:nvGraphicFramePr>
            <xdr:cNvPr id="7" name="Cana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>
        <xdr:sp macro="" textlink="">
          <xdr:nvSpPr>
            <xdr:cNvPr id="7" name="Canal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8C8C8C"/>
              </a:solidFill>
            </a:ln>
          </xdr:spPr>
          <xdr:txBody>
            <a:bodyPr vertOverflow="clip" horzOverflow="clip"/>
            <a:lstStyle/>
            <a:p>
              <a:r>
                <a:rPr lang="es-AR" sz="1000"/>
                <a:t>Segmentador "Canal": requiere Excel 2010 o posterior.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r:id="rId1" recordCount="2400" createdVersion="3">
  <cacheSource type="worksheet">
    <worksheetSource ref="A1:U2401" sheet="Datos"/>
  </cacheSource>
  <cacheFields count="21">
    <cacheField name="ID_Venta" numFmtId="0">
      <sharedItems containsSemiMixedTypes="0" containsString="0" containsNumber="1" containsInteger="1" minValue="1" maxValue="2400" count="24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</sharedItems>
    </cacheField>
    <cacheField name="Fecha" numFmtId="0">
      <sharedItems containsSemiMixedTypes="0" containsNonDate="0" containsDate="1" containsString="0" minDate="2024-01-01T00:00:00" maxDate="2025-12-27T00:00:00" count="648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</sharedItems>
    </cacheField>
    <cacheField name="Anio" numFmtId="0">
      <sharedItems containsSemiMixedTypes="0" containsString="0" containsNumber="1" containsInteger="1" minValue="2024" maxValue="2025" count="2">
        <n v="2024"/>
        <n v="2025"/>
      </sharedItems>
    </cacheField>
    <cacheField name="Trimestre" numFmtId="0">
      <sharedItems count="4">
        <s v="Q1"/>
        <s v="Q2"/>
        <s v="Q3"/>
        <s v="Q4"/>
      </sharedItems>
    </cacheField>
    <cacheField name="Mes_Num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es" numFmtId="0">
      <sharedItems count="12">
        <s v="Abr"/>
        <s v="Ago"/>
        <s v="Dic"/>
        <s v="Ene"/>
        <s v="Feb"/>
        <s v="Jul"/>
        <s v="Jun"/>
        <s v="Mar"/>
        <s v="May"/>
        <s v="Nov"/>
        <s v="Oct"/>
        <s v="Sep"/>
      </sharedItems>
    </cacheField>
    <cacheField name="Periodo" numFmtId="0">
      <sharedItems count="24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Region" numFmtId="0">
      <sharedItems count="5">
        <s v="AMBA"/>
        <s v="Centro"/>
        <s v="Cuyo"/>
        <s v="Litoral"/>
        <s v="NOA"/>
      </sharedItems>
    </cacheField>
    <cacheField name="Ciudad" numFmtId="0">
      <sharedItems count="5">
        <s v="Buenos Aires"/>
        <s v="Cordoba"/>
        <s v="Mendoza"/>
        <s v="Rosario"/>
        <s v="Tucuman"/>
      </sharedItems>
    </cacheField>
    <cacheField name="Canal" numFmtId="0">
      <sharedItems count="2">
        <s v="E-commerce"/>
        <s v="Tienda fisica"/>
      </sharedItems>
    </cacheField>
    <cacheField name="Categoria" numFmtId="0">
      <sharedItems count="4">
        <s v="Accesorios"/>
        <s v="Almacenamiento"/>
        <s v="Audio"/>
        <s v="Computacion"/>
      </sharedItems>
    </cacheField>
    <cacheField name="Cat_Anio" numFmtId="0">
      <sharedItems count="8">
        <s v="Accesorios 2024"/>
        <s v="Accesorios 2025"/>
        <s v="Almacenamiento 2024"/>
        <s v="Almacenamiento 2025"/>
        <s v="Audio 2024"/>
        <s v="Audio 2025"/>
        <s v="Computacion 2024"/>
        <s v="Computacion 2025"/>
      </sharedItems>
    </cacheField>
    <cacheField name="Producto" numFmtId="0">
      <sharedItems count="10">
        <s v="Auriculares BT Pro"/>
        <s v="Laptop Pro 15"/>
        <s v="Monitor 4K 27"/>
        <s v="Mouse Inalambrico"/>
        <s v="Parlante Bluetooth"/>
        <s v="PC Gamer Ryzen"/>
        <s v="Pendrive 256GB"/>
        <s v="SSD Externo 1TB"/>
        <s v="Teclado Mecanico"/>
        <s v="Webcam Full HD"/>
      </sharedItems>
    </cacheField>
    <cacheField name="Prod_Anio" numFmtId="0">
      <sharedItems count="20">
        <s v="Auriculares BT Pro 2024"/>
        <s v="Auriculares BT Pro 2025"/>
        <s v="Laptop Pro 15 2024"/>
        <s v="Laptop Pro 15 2025"/>
        <s v="Monitor 4K 27 2024"/>
        <s v="Monitor 4K 27 2025"/>
        <s v="Mouse Inalambrico 2024"/>
        <s v="Mouse Inalambrico 2025"/>
        <s v="Parlante Bluetooth 2024"/>
        <s v="Parlante Bluetooth 2025"/>
        <s v="PC Gamer Ryzen 2024"/>
        <s v="PC Gamer Ryzen 2025"/>
        <s v="Pendrive 256GB 2024"/>
        <s v="Pendrive 256GB 2025"/>
        <s v="SSD Externo 1TB 2024"/>
        <s v="SSD Externo 1TB 2025"/>
        <s v="Teclado Mecanico 2024"/>
        <s v="Teclado Mecanico 2025"/>
        <s v="Webcam Full HD 2024"/>
        <s v="Webcam Full HD 2025"/>
      </sharedItems>
    </cacheField>
    <cacheField name="Unidades" numFmtId="0">
      <sharedItems containsSemiMixedTypes="0" containsString="0" containsNumber="1" containsInteger="1" minValue="2" maxValue="158" count="118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1"/>
        <n v="102"/>
        <n v="103"/>
        <n v="104"/>
        <n v="105"/>
        <n v="106"/>
        <n v="107"/>
        <n v="110"/>
        <n v="112"/>
        <n v="113"/>
        <n v="114"/>
        <n v="115"/>
        <n v="118"/>
        <n v="119"/>
        <n v="122"/>
        <n v="124"/>
        <n v="125"/>
        <n v="127"/>
        <n v="132"/>
        <n v="136"/>
        <n v="153"/>
        <n v="158"/>
      </sharedItems>
    </cacheField>
    <cacheField name="Precio_Unitario" numFmtId="0">
      <sharedItems containsSemiMixedTypes="0" containsString="0" containsNumber="1" minValue="27.44" maxValue="1656.52" count="30">
        <n v="27.44"/>
        <n v="27.82"/>
        <n v="28.11"/>
        <n v="34.3"/>
        <n v="34.78"/>
        <n v="35.14"/>
        <n v="63.7"/>
        <n v="64.58"/>
        <n v="65.26"/>
        <n v="83.3"/>
        <n v="84.46"/>
        <n v="85.34"/>
        <n v="93.1"/>
        <n v="94.39"/>
        <n v="95.38"/>
        <n v="117.6"/>
        <n v="119.23"/>
        <n v="120.47"/>
        <n v="127.4"/>
        <n v="129.17"/>
        <n v="130.51"/>
        <n v="433.15"/>
        <n v="441"/>
        <n v="451.78"/>
        <n v="1155.06"/>
        <n v="1176"/>
        <n v="1204.74"/>
        <n v="1588.21"/>
        <n v="1617"/>
        <n v="1656.52"/>
      </sharedItems>
    </cacheField>
    <cacheField name="Costo_Unitario" numFmtId="0">
      <sharedItems containsSemiMixedTypes="0" containsString="0" containsNumber="1" minValue="13.44" maxValue="1155.66" count="20">
        <n v="13.44"/>
        <n v="13.84"/>
        <n v="17.85"/>
        <n v="18.39"/>
        <n v="35.43"/>
        <n v="36.49"/>
        <n v="47.98"/>
        <n v="48.02"/>
        <n v="49.41"/>
        <n v="49.47"/>
        <n v="63.6"/>
        <n v="65.51"/>
        <n v="76.05"/>
        <n v="78.33"/>
        <n v="272.25"/>
        <n v="280.42"/>
        <n v="744"/>
        <n v="766.32"/>
        <n v="1122"/>
        <n v="1155.66"/>
      </sharedItems>
    </cacheField>
    <cacheField name="Ventas" numFmtId="0">
      <sharedItems containsSemiMixedTypes="0" containsString="0" containsNumber="1" minValue="171.5" maxValue="56321.68" count="891">
        <n v="171.5"/>
        <n v="205.8"/>
        <n v="219.52"/>
        <n v="240.1"/>
        <n v="246.96"/>
        <n v="274.4"/>
        <n v="301.84"/>
        <n v="308.7"/>
        <n v="329.28"/>
        <n v="333.2"/>
        <n v="343"/>
        <n v="347.8"/>
        <n v="356.72"/>
        <n v="377.3"/>
        <n v="382.58"/>
        <n v="384.16"/>
        <n v="389.48"/>
        <n v="411.6"/>
        <n v="416.5"/>
        <n v="417.3"/>
        <n v="417.36"/>
        <n v="421.68"/>
        <n v="439.04"/>
        <n v="445.12"/>
        <n v="445.9"/>
        <n v="452.14"/>
        <n v="456.82"/>
        <n v="466.48"/>
        <n v="470.4"/>
        <n v="472.94"/>
        <n v="480.2"/>
        <n v="486.92"/>
        <n v="491.96"/>
        <n v="493.92"/>
        <n v="499.8"/>
        <n v="500.76"/>
        <n v="505.98"/>
        <n v="514.5"/>
        <n v="521.36"/>
        <n v="521.7"/>
        <n v="527.1"/>
        <n v="534.09"/>
        <n v="548.8"/>
        <n v="556.4"/>
        <n v="556.48"/>
        <n v="562.24"/>
        <n v="583.1"/>
        <n v="584.22"/>
        <n v="588"/>
        <n v="590.31"/>
        <n v="591.22"/>
        <n v="591.26"/>
        <n v="597.38"/>
        <n v="603.68"/>
        <n v="617.4"/>
        <n v="618.42"/>
        <n v="626.04"/>
        <n v="631.12"/>
        <n v="632.52"/>
        <n v="637"/>
        <n v="639.86"/>
        <n v="646.53"/>
        <n v="651.7"/>
        <n v="658.56"/>
        <n v="660.82"/>
        <n v="666.4"/>
        <n v="667.66"/>
        <n v="667.68"/>
        <n v="674.64"/>
        <n v="675.68"/>
        <n v="686"/>
        <n v="695.5"/>
        <n v="695.6"/>
        <n v="700.7"/>
        <n v="702.75"/>
        <n v="702.8"/>
        <n v="705.6"/>
        <n v="713.44"/>
        <n v="720.3"/>
        <n v="723.32"/>
        <n v="730.38"/>
        <n v="730.86"/>
        <n v="737.94"/>
        <n v="740.88"/>
        <n v="749.7"/>
        <n v="751.14"/>
        <n v="754.6"/>
        <n v="758.97"/>
        <n v="760.14"/>
        <n v="764.4"/>
        <n v="765.16"/>
        <n v="768.06"/>
        <n v="768.32"/>
        <n v="778.96"/>
        <n v="788.9"/>
        <n v="795.76"/>
        <n v="799.94"/>
        <n v="808.22"/>
        <n v="815.19"/>
        <n v="823.2"/>
        <n v="828.1"/>
        <n v="833"/>
        <n v="834.6"/>
        <n v="834.61"/>
        <n v="834.72"/>
        <n v="837.9"/>
        <n v="843.3"/>
        <n v="843.36"/>
        <n v="844.6"/>
        <n v="853.4"/>
        <n v="857.5"/>
        <n v="862.42"/>
        <n v="869.5"/>
        <n v="871.41"/>
        <n v="878.08"/>
        <n v="878.5"/>
        <n v="882"/>
        <n v="890.24"/>
        <n v="891.8"/>
        <n v="905.52"/>
        <n v="913.64"/>
        <n v="916.3"/>
        <n v="918.06"/>
        <n v="926.1"/>
        <n v="927.63"/>
        <n v="929.06"/>
        <n v="931"/>
        <n v="932.96"/>
        <n v="938.74"/>
        <n v="939.06"/>
        <n v="940.8"/>
        <n v="945.88"/>
        <n v="948.78"/>
        <n v="953.84"/>
        <n v="955.5"/>
        <n v="955.74"/>
        <n v="960.4"/>
        <n v="963.76"/>
        <n v="968.7"/>
        <n v="973.7"/>
        <n v="973.84"/>
        <n v="983.85"/>
        <n v="987.84"/>
        <n v="994.7"/>
        <n v="999.6"/>
        <n v="1001.52"/>
        <n v="1008.62"/>
        <n v="1011.96"/>
        <n v="1013.52"/>
        <n v="1019.06"/>
        <n v="1019.2"/>
        <n v="1024.08"/>
        <n v="1024.1"/>
        <n v="1029"/>
        <n v="1029.34"/>
        <n v="1033.28"/>
        <n v="1033.36"/>
        <n v="1042.72"/>
        <n v="1054.2"/>
        <n v="1057.16"/>
        <n v="1058.4"/>
        <n v="1063.3"/>
        <n v="1068.18"/>
        <n v="1073.07"/>
        <n v="1078.18"/>
        <n v="1082.9"/>
        <n v="1084.23"/>
        <n v="1084.98"/>
        <n v="1089.34"/>
        <n v="1097.6"/>
        <n v="1097.98"/>
        <n v="1109.42"/>
        <n v="1112.8"/>
        <n v="1117.2"/>
        <n v="1125.04"/>
        <n v="1131.9"/>
        <n v="1146.6"/>
        <n v="1147.74"/>
        <n v="1152.48"/>
        <n v="1152.51"/>
        <n v="1159.62"/>
        <n v="1162.44"/>
        <n v="1162.53"/>
        <n v="1166.2"/>
        <n v="1174.68"/>
        <n v="1176"/>
        <n v="1179.92"/>
        <n v="1180.62"/>
        <n v="1182.44"/>
        <n v="1182.52"/>
        <n v="1192.3"/>
        <n v="1194.76"/>
        <n v="1196.26"/>
        <n v="1200.5"/>
        <n v="1204.7"/>
        <n v="1207.36"/>
        <n v="1210.3"/>
        <n v="1217.3"/>
        <n v="1227.02"/>
        <n v="1234.8"/>
        <n v="1236.84"/>
        <n v="1239.94"/>
        <n v="1249.5"/>
        <n v="1262.24"/>
        <n v="1264.95"/>
        <n v="1265.04"/>
        <n v="1266.9"/>
        <n v="1274"/>
        <n v="1279.72"/>
        <n v="1280.1"/>
        <n v="1291.6"/>
        <n v="1291.7"/>
        <n v="1293.6"/>
        <n v="1299.45"/>
        <n v="1300.18"/>
        <n v="1303.4"/>
        <n v="1305.1"/>
        <n v="1307.54"/>
        <n v="1311.53"/>
        <n v="1321.64"/>
        <n v="1323"/>
        <n v="1325.17"/>
        <n v="1332.8"/>
        <n v="1335.36"/>
        <n v="1337.7"/>
        <n v="1344.56"/>
        <n v="1351.36"/>
        <n v="1356.18"/>
        <n v="1365.44"/>
        <n v="1370.46"/>
        <n v="1372"/>
        <n v="1377.39"/>
        <n v="1391"/>
        <n v="1396.5"/>
        <n v="1399.44"/>
        <n v="1401.4"/>
        <n v="1405.5"/>
        <n v="1411.2"/>
        <n v="1415.85"/>
        <n v="1416.1"/>
        <n v="1418.82"/>
        <n v="1420.76"/>
        <n v="1420.87"/>
        <n v="1425.98"/>
        <n v="1426.88"/>
        <n v="1430.76"/>
        <n v="1435.61"/>
        <n v="1435.72"/>
        <n v="1440.6"/>
        <n v="1440.74"/>
        <n v="1445.64"/>
        <n v="1450.78"/>
        <n v="1454.32"/>
        <n v="1460.76"/>
        <n v="1465.1"/>
        <n v="1474.9"/>
        <n v="1475.88"/>
        <n v="1485.34"/>
        <n v="1489.6"/>
        <n v="1499.4"/>
        <n v="1500.98"/>
        <n v="1520.28"/>
        <n v="1528.8"/>
        <n v="1530.32"/>
        <n v="1536.12"/>
        <n v="1546.05"/>
        <n v="1549.92"/>
        <n v="1549.99"/>
        <n v="1550.04"/>
        <n v="1564.08"/>
        <n v="1566.11"/>
        <n v="1566.12"/>
        <n v="1566.24"/>
        <n v="1574.16"/>
        <n v="1582.7"/>
        <n v="1585.74"/>
        <n v="1591.52"/>
        <n v="1592.5"/>
        <n v="1602.27"/>
        <n v="1604.63"/>
        <n v="1614.5"/>
        <n v="1616.44"/>
        <n v="1618.96"/>
        <n v="1621.46"/>
        <n v="1631.5"/>
        <n v="1634.66"/>
        <n v="1646.4"/>
        <n v="1651.58"/>
        <n v="1656.2"/>
        <n v="1658.49"/>
        <n v="1666"/>
        <n v="1669.22"/>
        <n v="1669.44"/>
        <n v="1675.8"/>
        <n v="1679.08"/>
        <n v="1679.21"/>
        <n v="1680.7"/>
        <n v="1686.58"/>
        <n v="1686.6"/>
        <n v="1686.72"/>
        <n v="1689.2"/>
        <n v="1696.63"/>
        <n v="1696.76"/>
        <n v="1697.02"/>
        <n v="1699.02"/>
        <n v="1704.22"/>
        <n v="1706.8"/>
        <n v="1716.84"/>
        <n v="1719.9"/>
        <n v="1732.6"/>
        <n v="1742.82"/>
        <n v="1743.66"/>
        <n v="1749.3"/>
        <n v="1756.16"/>
        <n v="1757"/>
        <n v="1762.02"/>
        <n v="1764"/>
        <n v="1768.9"/>
        <n v="1773.66"/>
        <n v="1780.48"/>
        <n v="1783.6"/>
        <n v="1788.45"/>
        <n v="1792.14"/>
        <n v="1793.41"/>
        <n v="1799.04"/>
        <n v="1807.05"/>
        <n v="1807.12"/>
        <n v="1808.24"/>
        <n v="1808.38"/>
        <n v="1817.9"/>
        <n v="1827.14"/>
        <n v="1827.28"/>
        <n v="1832.6"/>
        <n v="1858.12"/>
        <n v="1862"/>
        <n v="1872.82"/>
        <n v="1877.48"/>
        <n v="1881.6"/>
        <n v="1887.8"/>
        <n v="1893.36"/>
        <n v="1907.6"/>
        <n v="1907.68"/>
        <n v="1911"/>
        <n v="1915.9"/>
        <n v="1920.8"/>
        <n v="1927.52"/>
        <n v="1937.4"/>
        <n v="1937.55"/>
        <n v="1955.1"/>
        <n v="1957.8"/>
        <n v="1974.7"/>
        <n v="1999.2"/>
        <n v="2001.98"/>
        <n v="2002.98"/>
        <n v="2023.06"/>
        <n v="2023.92"/>
        <n v="2026.91"/>
        <n v="2030.56"/>
        <n v="2038.4"/>
        <n v="2047.99"/>
        <n v="2048.16"/>
        <n v="2048.2"/>
        <n v="2066.72"/>
        <n v="2076.58"/>
        <n v="2082.5"/>
        <n v="2088.16"/>
        <n v="2088.32"/>
        <n v="2092.3"/>
        <n v="2102.1"/>
        <n v="2116.8"/>
        <n v="2142.14"/>
        <n v="2146.14"/>
        <n v="2153.58"/>
        <n v="2160.9"/>
        <n v="2165.75"/>
        <n v="2165.8"/>
        <n v="2168.46"/>
        <n v="2170.97"/>
        <n v="2191.14"/>
        <n v="2193.74"/>
        <n v="2195.2"/>
        <n v="2195.89"/>
        <n v="2195.96"/>
        <n v="2197.78"/>
        <n v="2205"/>
        <n v="2218.67"/>
        <n v="2218.84"/>
        <n v="2229.5"/>
        <n v="2234.4"/>
        <n v="2249.1"/>
        <n v="2258.9"/>
        <n v="2260.3"/>
        <n v="2263.8"/>
        <n v="2265.36"/>
        <n v="2276.91"/>
        <n v="2277.52"/>
        <n v="2281.24"/>
        <n v="2288.93"/>
        <n v="2289.12"/>
        <n v="2293.2"/>
        <n v="2304.18"/>
        <n v="2309.06"/>
        <n v="2325.06"/>
        <n v="2327.5"/>
        <n v="2332.4"/>
        <n v="2349.18"/>
        <n v="2349.36"/>
        <n v="2352"/>
        <n v="2356.9"/>
        <n v="2361.24"/>
        <n v="2384.6"/>
        <n v="2409.4"/>
        <n v="2414.62"/>
        <n v="2420.34"/>
        <n v="2420.6"/>
        <n v="2435.3"/>
        <n v="2449.34"/>
        <n v="2454.23"/>
        <n v="2469.6"/>
        <n v="2479.88"/>
        <n v="2484.3"/>
        <n v="2497.04"/>
        <n v="2499"/>
        <n v="2501.79"/>
        <n v="2513.7"/>
        <n v="2524.48"/>
        <n v="2529.87"/>
        <n v="2533.8"/>
        <n v="2545.14"/>
        <n v="2548"/>
        <n v="2548.53"/>
        <n v="2583.4"/>
        <n v="2587.2"/>
        <n v="2587.26"/>
        <n v="2598.9"/>
        <n v="2606.8"/>
        <n v="2610.2"/>
        <n v="2610.4"/>
        <n v="2611.7"/>
        <n v="2614.23"/>
        <n v="2618.26"/>
        <n v="2623.06"/>
        <n v="2642.34"/>
        <n v="2642.92"/>
        <n v="2645.54"/>
        <n v="2646"/>
        <n v="2650.34"/>
        <n v="2670.45"/>
        <n v="2670.64"/>
        <n v="2675.4"/>
        <n v="2675.66"/>
        <n v="2689.12"/>
        <n v="2699.9"/>
        <n v="2704.8"/>
        <n v="2710.68"/>
        <n v="2712.57"/>
        <n v="2739.1"/>
        <n v="2740.71"/>
        <n v="2740.92"/>
        <n v="2742.29"/>
        <n v="2744"/>
        <n v="2766.02"/>
        <n v="2771.44"/>
        <n v="2776.94"/>
        <n v="2782.89"/>
        <n v="2787.18"/>
        <n v="2793"/>
        <n v="2798.88"/>
        <n v="2802.8"/>
        <n v="2806.18"/>
        <n v="2822.4"/>
        <n v="2826.32"/>
        <n v="2831.7"/>
        <n v="2841.52"/>
        <n v="2861.4"/>
        <n v="2871.22"/>
        <n v="2871.44"/>
        <n v="2871.64"/>
        <n v="2881.2"/>
        <n v="2886.1"/>
        <n v="2891.28"/>
        <n v="2915.5"/>
        <n v="2930.2"/>
        <n v="2940"/>
        <n v="2948.92"/>
        <n v="2956.1"/>
        <n v="2956.78"/>
        <n v="2970.68"/>
        <n v="2970.91"/>
        <n v="2980.75"/>
        <n v="2986.9"/>
        <n v="3020.48"/>
        <n v="3032.05"/>
        <n v="3040.56"/>
        <n v="3052.16"/>
        <n v="3057.6"/>
        <n v="3067.22"/>
        <n v="3072.24"/>
        <n v="3072.3"/>
        <n v="3082.1"/>
        <n v="3087"/>
        <n v="3092.32"/>
        <n v="3099.98"/>
        <n v="3100.08"/>
        <n v="3132.22"/>
        <n v="3132.24"/>
        <n v="3132.48"/>
        <n v="3147.54"/>
        <n v="3162.46"/>
        <n v="3164.42"/>
        <n v="3165.4"/>
        <n v="3175.2"/>
        <n v="3185"/>
        <n v="3197.74"/>
        <n v="3209.26"/>
        <n v="3209.48"/>
        <n v="3219.21"/>
        <n v="3234"/>
        <n v="3242.92"/>
        <n v="3252.69"/>
        <n v="3258.5"/>
        <n v="3262.75"/>
        <n v="3263"/>
        <n v="3292.8"/>
        <n v="3303.65"/>
        <n v="3312.4"/>
        <n v="3316.98"/>
        <n v="3328.26"/>
        <n v="3338.3"/>
        <n v="3338.44"/>
        <n v="3345.09"/>
        <n v="3347.68"/>
        <n v="3351.6"/>
        <n v="3358.42"/>
        <n v="3373.16"/>
        <n v="3376.1"/>
        <n v="3402.56"/>
        <n v="3410.4"/>
        <n v="3415.3"/>
        <n v="3433.68"/>
        <n v="3439.8"/>
        <n v="3444.7"/>
        <n v="3465.18"/>
        <n v="3465.2"/>
        <n v="3487.32"/>
        <n v="3487.59"/>
        <n v="3492.43"/>
        <n v="3523.77"/>
        <n v="3528"/>
        <n v="3529.06"/>
        <n v="3537.8"/>
        <n v="3567.2"/>
        <n v="3576.9"/>
        <n v="3581.9"/>
        <n v="3589.3"/>
        <n v="3614.24"/>
        <n v="3616.48"/>
        <n v="3624.44"/>
        <n v="3630.9"/>
        <n v="3654.28"/>
        <n v="3665.2"/>
        <n v="3681.21"/>
        <n v="3694.6"/>
        <n v="3696.13"/>
        <n v="3716.24"/>
        <n v="3719.82"/>
        <n v="3724"/>
        <n v="3734.57"/>
        <n v="3745.93"/>
        <n v="3758.3"/>
        <n v="3763.2"/>
        <n v="3775.6"/>
        <n v="3784.79"/>
        <n v="3810.22"/>
        <n v="3815.2"/>
        <n v="3817.1"/>
        <n v="3822"/>
        <n v="3855.04"/>
        <n v="3875.1"/>
        <n v="3898.35"/>
        <n v="3910.2"/>
        <n v="3915.3"/>
        <n v="3949.4"/>
        <n v="3969"/>
        <n v="3998.4"/>
        <n v="4003.3"/>
        <n v="4003.96"/>
        <n v="4004.27"/>
        <n v="4046.12"/>
        <n v="4058.77"/>
        <n v="4066.02"/>
        <n v="4076.8"/>
        <n v="4081.7"/>
        <n v="4096.32"/>
        <n v="4096.4"/>
        <n v="4101.34"/>
        <n v="4133.12"/>
        <n v="4140.5"/>
        <n v="4153.16"/>
        <n v="4165"/>
        <n v="4176.32"/>
        <n v="4176.64"/>
        <n v="4189.5"/>
        <n v="4196.72"/>
        <n v="4197.7"/>
        <n v="4204.2"/>
        <n v="4216.45"/>
        <n v="4233.6"/>
        <n v="4267"/>
        <n v="4282.6"/>
        <n v="4292.1"/>
        <n v="4292.28"/>
        <n v="4331.5"/>
        <n v="4331.6"/>
        <n v="4335.52"/>
        <n v="4341.94"/>
        <n v="4351.2"/>
        <n v="4372.42"/>
        <n v="4375.7"/>
        <n v="4391.78"/>
        <n v="4410"/>
        <n v="4437.34"/>
        <n v="4459"/>
        <n v="4517.8"/>
        <n v="4520.95"/>
        <n v="4530.74"/>
        <n v="4561.9"/>
        <n v="4586.4"/>
        <n v="4620.24"/>
        <n v="4649.76"/>
        <n v="4650.12"/>
        <n v="4673.62"/>
        <n v="4698.33"/>
        <n v="4698.72"/>
        <n v="4704"/>
        <n v="4713.8"/>
        <n v="4714.34"/>
        <n v="4748.1"/>
        <n v="4764.65"/>
        <n v="4769"/>
        <n v="4779.29"/>
        <n v="4818.96"/>
        <n v="4829.24"/>
        <n v="4841.2"/>
        <n v="4851"/>
        <n v="4908.46"/>
        <n v="4934.3"/>
        <n v="4939.27"/>
        <n v="4959.38"/>
        <n v="4969.58"/>
        <n v="4972.66"/>
        <n v="5025.02"/>
        <n v="5056.8"/>
        <n v="5081.3"/>
        <n v="5089.89"/>
        <n v="5097.06"/>
        <n v="5120.5"/>
        <n v="5126.89"/>
        <n v="5159.7"/>
        <n v="5166.8"/>
        <n v="5191.45"/>
        <n v="5197.8"/>
        <n v="5213.6"/>
        <n v="5220.8"/>
        <n v="5245.9"/>
        <n v="5292"/>
        <n v="5300.68"/>
        <n v="5350.8"/>
        <n v="5350.91"/>
        <n v="5365.35"/>
        <n v="5399.8"/>
        <n v="5409.6"/>
        <n v="5414.5"/>
        <n v="5416.58"/>
        <n v="5421.36"/>
        <n v="5424.72"/>
        <n v="5436.66"/>
        <n v="5474.62"/>
        <n v="5478.2"/>
        <n v="5481.42"/>
        <n v="5532.04"/>
        <n v="5541.62"/>
        <n v="5541.9"/>
        <n v="5553.88"/>
        <n v="5603.81"/>
        <n v="5618.46"/>
        <n v="5644.8"/>
        <n v="5662.09"/>
        <n v="5663.4"/>
        <n v="5677.62"/>
        <n v="5722.8"/>
        <n v="5733"/>
        <n v="5742.88"/>
        <n v="5775.3"/>
        <n v="5803.12"/>
        <n v="5812.65"/>
        <n v="5818.18"/>
        <n v="5880"/>
        <n v="5938.66"/>
        <n v="5987.8"/>
        <n v="5997.6"/>
        <n v="6023.7"/>
        <n v="6040.96"/>
        <n v="6051.5"/>
        <n v="6064.1"/>
        <n v="6070.52"/>
        <n v="6104.32"/>
        <n v="6115.2"/>
        <n v="6133.97"/>
        <n v="6144.6"/>
        <n v="6174"/>
        <n v="6199.7"/>
        <n v="6200.16"/>
        <n v="6229.74"/>
        <n v="6242.6"/>
        <n v="6264.96"/>
        <n v="6324.92"/>
        <n v="6352.84"/>
        <n v="6370"/>
        <n v="6394.99"/>
        <n v="6433.7"/>
        <n v="6468"/>
        <n v="6497.25"/>
        <n v="6607.3"/>
        <n v="6615"/>
        <n v="6624.8"/>
        <n v="6626.08"/>
        <n v="6676.6"/>
        <n v="6701.69"/>
        <n v="6703.2"/>
        <n v="6746.32"/>
        <n v="6776.7"/>
        <n v="6796.08"/>
        <n v="6796.3"/>
        <n v="6815.9"/>
        <n v="6930.36"/>
        <n v="6930.4"/>
        <n v="6962.74"/>
        <n v="6987.26"/>
        <n v="7056"/>
        <n v="7134.4"/>
        <n v="7178.05"/>
        <n v="7228.44"/>
        <n v="7228.48"/>
        <n v="7261.8"/>
        <n v="7308.56"/>
        <n v="7325.5"/>
        <n v="7344.26"/>
        <n v="7362.42"/>
        <n v="7439.64"/>
        <n v="7491.86"/>
        <n v="7497"/>
        <n v="7680.26"/>
        <n v="7700.09"/>
        <n v="7750.2"/>
        <n v="7834.37"/>
        <n v="7913.5"/>
        <n v="7938"/>
        <n v="7941.05"/>
        <n v="7996.8"/>
        <n v="8085"/>
        <n v="8085.42"/>
        <n v="8089.9"/>
        <n v="8099.7"/>
        <n v="8132.04"/>
        <n v="8153.6"/>
        <n v="8222.13"/>
        <n v="8229.85"/>
        <n v="8232"/>
        <n v="8281"/>
        <n v="8282.6"/>
        <n v="8379"/>
        <n v="8408.4"/>
        <n v="8433.18"/>
        <n v="8535.8"/>
        <n v="8584.2"/>
        <n v="8614.32"/>
        <n v="8663"/>
        <n v="8663.2"/>
        <n v="8679.58"/>
        <n v="8774.96"/>
        <n v="8844.5"/>
        <n v="8967.05"/>
        <n v="9030.7"/>
        <n v="9035.6"/>
        <n v="9061.1"/>
        <n v="9240.48"/>
        <n v="9261"/>
        <n v="9266.21"/>
        <n v="9408"/>
        <n v="9487.38"/>
        <n v="9529.26"/>
        <n v="9637.92"/>
        <n v="9702"/>
        <n v="9824.14"/>
        <n v="9939.12"/>
        <n v="9939.16"/>
        <n v="9962.45"/>
        <n v="10099.73"/>
        <n v="10143"/>
        <n v="10241"/>
        <n v="10319.4"/>
        <n v="10427.2"/>
        <n v="10520.3"/>
        <n v="10584"/>
        <n v="10842.66"/>
        <n v="10842.72"/>
        <n v="11117.47"/>
        <n v="11319"/>
        <n v="11550.6"/>
        <n v="11595.64"/>
        <n v="11636.36"/>
        <n v="11637.5"/>
        <n v="11760"/>
        <n v="12047.4"/>
        <n v="12649.84"/>
        <n v="12705.66"/>
        <n v="12705.68"/>
        <n v="12936"/>
        <n v="12971.68"/>
        <n v="13252.14"/>
        <n v="13252.16"/>
        <n v="13671"/>
        <n v="13860.72"/>
        <n v="14005.18"/>
        <n v="14112"/>
        <n v="14244.3"/>
        <n v="14293.89"/>
        <n v="14456.88"/>
        <n v="14553"/>
        <n v="14908.68"/>
        <n v="15015.78"/>
        <n v="15288"/>
        <n v="15661.62"/>
        <n v="15882.1"/>
        <n v="16170"/>
        <n v="16170.84"/>
        <n v="16464"/>
        <n v="16565.2"/>
        <n v="16866.36"/>
        <n v="17325.9"/>
        <n v="17470.31"/>
        <n v="17787"/>
        <n v="18071.1"/>
        <n v="18221.72"/>
        <n v="18480.96"/>
        <n v="19058.52"/>
        <n v="19404"/>
        <n v="19992"/>
        <n v="20480.58"/>
        <n v="20646.73"/>
        <n v="21021"/>
        <n v="21168"/>
        <n v="21685.32"/>
        <n v="21946.14"/>
        <n v="22344"/>
        <n v="22638"/>
        <n v="22890.06"/>
        <n v="23191.28"/>
        <n v="23520"/>
        <n v="23823.15"/>
        <n v="24094.8"/>
        <n v="24255"/>
        <n v="24696"/>
        <n v="24847.8"/>
        <n v="26504.32"/>
        <n v="26566.38"/>
        <n v="27048"/>
        <n v="27489"/>
        <n v="28160.84"/>
        <n v="29106"/>
        <n v="29817.36"/>
        <n v="30175.99"/>
        <n v="30576"/>
        <n v="30723"/>
        <n v="31473.88"/>
        <n v="31764.2"/>
        <n v="32340"/>
        <n v="33352.41"/>
        <n v="33732.72"/>
        <n v="33957"/>
        <n v="34786.92"/>
        <n v="35574"/>
        <n v="36443.44"/>
        <n v="37191"/>
        <n v="37346.94"/>
        <n v="38117.04"/>
        <n v="41413"/>
        <n v="42042"/>
        <n v="42336"/>
        <n v="56321.68"/>
      </sharedItems>
    </cacheField>
    <cacheField name="Costo_Producto" numFmtId="0">
      <sharedItems containsSemiMixedTypes="0" containsString="0" containsNumber="1" minValue="89.25" maxValue="39292.44" count="795">
        <n v="89.25"/>
        <n v="107.1"/>
        <n v="107.52"/>
        <n v="120.96"/>
        <n v="124.95"/>
        <n v="134.4"/>
        <n v="142.8"/>
        <n v="147.84"/>
        <n v="160.65"/>
        <n v="161.28"/>
        <n v="174.72"/>
        <n v="178.5"/>
        <n v="183.9"/>
        <n v="188.16"/>
        <n v="192.08"/>
        <n v="193.76"/>
        <n v="196.35"/>
        <n v="201.6"/>
        <n v="202.29"/>
        <n v="207.6"/>
        <n v="214.2"/>
        <n v="215.04"/>
        <n v="220.68"/>
        <n v="221.44"/>
        <n v="228.48"/>
        <n v="232.05"/>
        <n v="235.28"/>
        <n v="239.07"/>
        <n v="240.1"/>
        <n v="241.92"/>
        <n v="249.12"/>
        <n v="249.9"/>
        <n v="254.4"/>
        <n v="255.36"/>
        <n v="257.46"/>
        <n v="262.96"/>
        <n v="267.75"/>
        <n v="268.8"/>
        <n v="275.85"/>
        <n v="276.8"/>
        <n v="285.6"/>
        <n v="288.12"/>
        <n v="290.64"/>
        <n v="294.24"/>
        <n v="295.68"/>
        <n v="303.45"/>
        <n v="304.48"/>
        <n v="309.12"/>
        <n v="312.63"/>
        <n v="318"/>
        <n v="318.32"/>
        <n v="321.3"/>
        <n v="322.56"/>
        <n v="331.02"/>
        <n v="332.16"/>
        <n v="336"/>
        <n v="336.14"/>
        <n v="339.15"/>
        <n v="346"/>
        <n v="346.29"/>
        <n v="349.41"/>
        <n v="349.44"/>
        <n v="354.3"/>
        <n v="357"/>
        <n v="359.84"/>
        <n v="362.88"/>
        <n v="367.8"/>
        <n v="373.68"/>
        <n v="374.85"/>
        <n v="376.32"/>
        <n v="381.6"/>
        <n v="384.16"/>
        <n v="386.19"/>
        <n v="387.52"/>
        <n v="389.73"/>
        <n v="389.76"/>
        <n v="392.7"/>
        <n v="395.76"/>
        <n v="401.36"/>
        <n v="403.2"/>
        <n v="404.58"/>
        <n v="410.55"/>
        <n v="415.2"/>
        <n v="422.97"/>
        <n v="425.16"/>
        <n v="428.4"/>
        <n v="429.04"/>
        <n v="430.08"/>
        <n v="431.82"/>
        <n v="432.18"/>
        <n v="441.36"/>
        <n v="442.88"/>
        <n v="443.52"/>
        <n v="445.2"/>
        <n v="445.23"/>
        <n v="446.25"/>
        <n v="456.3"/>
        <n v="456.72"/>
        <n v="456.96"/>
        <n v="458.57"/>
        <n v="459.75"/>
        <n v="460.59"/>
        <n v="464.1"/>
        <n v="470.4"/>
        <n v="470.56"/>
        <n v="478.14"/>
        <n v="479.8"/>
        <n v="480.2"/>
        <n v="481.95"/>
        <n v="483.84"/>
        <n v="484.4"/>
        <n v="494.7"/>
        <n v="496.02"/>
        <n v="496.53"/>
        <n v="498.24"/>
        <n v="499.8"/>
        <n v="508.8"/>
        <n v="510.72"/>
        <n v="512.08"/>
        <n v="514.92"/>
        <n v="517.65"/>
        <n v="524.08"/>
        <n v="525.92"/>
        <n v="527.78"/>
        <n v="528.22"/>
        <n v="531.45"/>
        <n v="532.35"/>
        <n v="533.31"/>
        <n v="535.5"/>
        <n v="537.6"/>
        <n v="539.76"/>
        <n v="544.17"/>
        <n v="544.5"/>
        <n v="547.35"/>
        <n v="551.04"/>
        <n v="551.7"/>
        <n v="553.35"/>
        <n v="553.6"/>
        <n v="564.48"/>
        <n v="566.88"/>
        <n v="567.44"/>
        <n v="570.09"/>
        <n v="572.4"/>
        <n v="575.76"/>
        <n v="576.24"/>
        <n v="577.92"/>
        <n v="581.28"/>
        <n v="583.84"/>
        <n v="589.05"/>
        <n v="589.59"/>
        <n v="591.36"/>
        <n v="593.64"/>
        <n v="595.12"/>
        <n v="602.31"/>
        <n v="604.8"/>
        <n v="606.87"/>
        <n v="606.9"/>
        <n v="608.4"/>
        <n v="608.96"/>
        <n v="618.24"/>
        <n v="622.8"/>
        <n v="623.74"/>
        <n v="624.26"/>
        <n v="624.75"/>
        <n v="625.26"/>
        <n v="626.64"/>
        <n v="636"/>
        <n v="636.64"/>
        <n v="637.74"/>
        <n v="643.11"/>
        <n v="643.65"/>
        <n v="650.48"/>
        <n v="655.1"/>
        <n v="656.82"/>
        <n v="658.56"/>
        <n v="662.04"/>
        <n v="664.32"/>
        <n v="671.72"/>
        <n v="672"/>
        <n v="672.28"/>
        <n v="673.17"/>
        <n v="678.16"/>
        <n v="680.43"/>
        <n v="684.45"/>
        <n v="685.44"/>
        <n v="692"/>
        <n v="692.58"/>
        <n v="693.31"/>
        <n v="698.82"/>
        <n v="698.88"/>
        <n v="699.6"/>
        <n v="704.97"/>
        <n v="705.84"/>
        <n v="708.6"/>
        <n v="712.32"/>
        <n v="714"/>
        <n v="717.21"/>
        <n v="719.7"/>
        <n v="720.3"/>
        <n v="720.61"/>
        <n v="729.8"/>
        <n v="741.15"/>
        <n v="742.05"/>
        <n v="744.03"/>
        <n v="749.7"/>
        <n v="753.99"/>
        <n v="760.5"/>
        <n v="761.2"/>
        <n v="763.2"/>
        <n v="766.08"/>
        <n v="766.29"/>
        <n v="767.55"/>
        <n v="767.68"/>
        <n v="768.32"/>
        <n v="772.38"/>
        <n v="775.04"/>
        <n v="779.46"/>
        <n v="779.52"/>
        <n v="783.3"/>
        <n v="786.12"/>
        <n v="788.88"/>
        <n v="791.52"/>
        <n v="792.96"/>
        <n v="802.78"/>
        <n v="809.16"/>
        <n v="814.89"/>
        <n v="815.66"/>
        <n v="816.34"/>
        <n v="816.56"/>
        <n v="816.75"/>
        <n v="826.8"/>
        <n v="830.4"/>
        <n v="836.55"/>
        <n v="839.27"/>
        <n v="839.97"/>
        <n v="840.99"/>
        <n v="841.26"/>
        <n v="844.24"/>
        <n v="845.94"/>
        <n v="850.32"/>
        <n v="851.63"/>
        <n v="858.08"/>
        <n v="860.16"/>
        <n v="861.63"/>
        <n v="863.64"/>
        <n v="864.33"/>
        <n v="864.36"/>
        <n v="874.65"/>
        <n v="875.76"/>
        <n v="882.72"/>
        <n v="885.75"/>
        <n v="885.76"/>
        <n v="889.38"/>
        <n v="890.4"/>
        <n v="890.46"/>
        <n v="901.11"/>
        <n v="911.62"/>
        <n v="912.25"/>
        <n v="912.38"/>
        <n v="912.6"/>
        <n v="917.14"/>
        <n v="919.5"/>
        <n v="921.18"/>
        <n v="927.36"/>
        <n v="928.2"/>
        <n v="937.89"/>
        <n v="938.79"/>
        <n v="939.96"/>
        <n v="940.8"/>
        <n v="946.05"/>
        <n v="948.74"/>
        <n v="954"/>
        <n v="956.28"/>
        <n v="956.61"/>
        <n v="959.6"/>
        <n v="960.4"/>
        <n v="982.65"/>
        <n v="985.23"/>
        <n v="988.2"/>
        <n v="988.65"/>
        <n v="989.4"/>
        <n v="992.04"/>
        <n v="994.56"/>
        <n v="996.48"/>
        <n v="999.6"/>
        <n v="1007.58"/>
        <n v="1008.42"/>
        <n v="1017.6"/>
        <n v="1018.29"/>
        <n v="1021.72"/>
        <n v="1037.61"/>
        <n v="1038.87"/>
        <n v="1048.16"/>
        <n v="1048.23"/>
        <n v="1055.56"/>
        <n v="1056.44"/>
        <n v="1058.21"/>
        <n v="1062.9"/>
        <n v="1064.7"/>
        <n v="1065.68"/>
        <n v="1081.2"/>
        <n v="1087.02"/>
        <n v="1088.34"/>
        <n v="1088.85"/>
        <n v="1089"/>
        <n v="1093.36"/>
        <n v="1094.7"/>
        <n v="1096.62"/>
        <n v="1098.33"/>
        <n v="1104.46"/>
        <n v="1113.67"/>
        <n v="1115.52"/>
        <n v="1121.04"/>
        <n v="1121.68"/>
        <n v="1124.55"/>
        <n v="1131.19"/>
        <n v="1133.76"/>
        <n v="1134.88"/>
        <n v="1136.43"/>
        <n v="1140.75"/>
        <n v="1142.4"/>
        <n v="1144.8"/>
        <n v="1148.72"/>
        <n v="1152.48"/>
        <n v="1158.57"/>
        <n v="1162.56"/>
        <n v="1167.68"/>
        <n v="1169.19"/>
        <n v="1174.95"/>
        <n v="1178.1"/>
        <n v="1179.18"/>
        <n v="1185.84"/>
        <n v="1187.28"/>
        <n v="1199.5"/>
        <n v="1200.5"/>
        <n v="1204.08"/>
        <n v="1204.17"/>
        <n v="1204.62"/>
        <n v="1208.4"/>
        <n v="1216.8"/>
        <n v="1223.04"/>
        <n v="1231.76"/>
        <n v="1236.48"/>
        <n v="1240.05"/>
        <n v="1240.66"/>
        <n v="1244.69"/>
        <n v="1247.48"/>
        <n v="1248.52"/>
        <n v="1253.28"/>
        <n v="1267.35"/>
        <n v="1272"/>
        <n v="1275.48"/>
        <n v="1277.15"/>
        <n v="1284.66"/>
        <n v="1286.22"/>
        <n v="1287.12"/>
        <n v="1292.85"/>
        <n v="1295.46"/>
        <n v="1296.54"/>
        <n v="1300.96"/>
        <n v="1310.2"/>
        <n v="1310.91"/>
        <n v="1313.64"/>
        <n v="1314.8"/>
        <n v="1317.12"/>
        <n v="1331.61"/>
        <n v="1334.07"/>
        <n v="1335.6"/>
        <n v="1335.69"/>
        <n v="1343.44"/>
        <n v="1344.56"/>
        <n v="1346.34"/>
        <n v="1350.13"/>
        <n v="1357.44"/>
        <n v="1361.25"/>
        <n v="1368.9"/>
        <n v="1370.16"/>
        <n v="1370.88"/>
        <n v="1375.71"/>
        <n v="1381.77"/>
        <n v="1383.48"/>
        <n v="1384.32"/>
        <n v="1386.62"/>
        <n v="1391.42"/>
        <n v="1399.2"/>
        <n v="1402.1"/>
        <n v="1409.94"/>
        <n v="1411.2"/>
        <n v="1417.2"/>
        <n v="1423.11"/>
        <n v="1428"/>
        <n v="1432.89"/>
        <n v="1434.63"/>
        <n v="1439.4"/>
        <n v="1440.6"/>
        <n v="1441.22"/>
        <n v="1444.95"/>
        <n v="1452.63"/>
        <n v="1459.6"/>
        <n v="1462.8"/>
        <n v="1467.04"/>
        <n v="1482.3"/>
        <n v="1484.1"/>
        <n v="1487.38"/>
        <n v="1488"/>
        <n v="1488.06"/>
        <n v="1488.27"/>
        <n v="1496.09"/>
        <n v="1506.73"/>
        <n v="1521"/>
        <n v="1523.49"/>
        <n v="1526.4"/>
        <n v="1531.71"/>
        <n v="1532.58"/>
        <n v="1533.57"/>
        <n v="1566.6"/>
        <n v="1569.07"/>
        <n v="1572.24"/>
        <n v="1581.12"/>
        <n v="1583.34"/>
        <n v="1590"/>
        <n v="1597.05"/>
        <n v="1605.56"/>
        <n v="1618.32"/>
        <n v="1629.78"/>
        <n v="1630.53"/>
        <n v="1631.32"/>
        <n v="1632.51"/>
        <n v="1633.12"/>
        <n v="1633.5"/>
        <n v="1637.75"/>
        <n v="1639.68"/>
        <n v="1644.93"/>
        <n v="1646.96"/>
        <n v="1653.6"/>
        <n v="1666.56"/>
        <n v="1673.1"/>
        <n v="1678.54"/>
        <n v="1679.3"/>
        <n v="1679.94"/>
        <n v="1680.7"/>
        <n v="1681.98"/>
        <n v="1682.52"/>
        <n v="1700.64"/>
        <n v="1703.26"/>
        <n v="1715.03"/>
        <n v="1717.2"/>
        <n v="1723.26"/>
        <n v="1727.28"/>
        <n v="1729.35"/>
        <n v="1731.45"/>
        <n v="1749.15"/>
        <n v="1751.52"/>
        <n v="1768.77"/>
        <n v="1771.5"/>
        <n v="1775.26"/>
        <n v="1776.74"/>
        <n v="1778.76"/>
        <n v="1780.8"/>
        <n v="1780.92"/>
        <n v="1788.01"/>
        <n v="1801.59"/>
        <n v="1823.24"/>
        <n v="1824.5"/>
        <n v="1824.76"/>
        <n v="1825.2"/>
        <n v="1828.17"/>
        <n v="1834.28"/>
        <n v="1844.4"/>
        <n v="1860.99"/>
        <n v="1871.22"/>
        <n v="1877.58"/>
        <n v="1877.79"/>
        <n v="1879.86"/>
        <n v="1879.92"/>
        <n v="1901.25"/>
        <n v="1905.75"/>
        <n v="1913.22"/>
        <n v="1919.2"/>
        <n v="1926.99"/>
        <n v="1929.33"/>
        <n v="1958.25"/>
        <n v="1962.94"/>
        <n v="1965.3"/>
        <n v="1967.18"/>
        <n v="1968.82"/>
        <n v="1970.46"/>
        <n v="1976.4"/>
        <n v="1977.3"/>
        <n v="1984.08"/>
        <n v="2006.95"/>
        <n v="2015.16"/>
        <n v="2019.51"/>
        <n v="2030.81"/>
        <n v="2035.2"/>
        <n v="2036.58"/>
        <n v="2043.44"/>
        <n v="2053.35"/>
        <n v="2054.94"/>
        <n v="2063.14"/>
        <n v="2064.86"/>
        <n v="2079.93"/>
        <n v="2090.37"/>
        <n v="2096.32"/>
        <n v="2111.12"/>
        <n v="2112.88"/>
        <n v="2114.91"/>
        <n v="2123.52"/>
        <n v="2124.63"/>
        <n v="2125.8"/>
        <n v="2152.91"/>
        <n v="2159.1"/>
        <n v="2174.04"/>
        <n v="2176.68"/>
        <n v="2178"/>
        <n v="2193.24"/>
        <n v="2196.66"/>
        <n v="2207.08"/>
        <n v="2223.45"/>
        <n v="2232"/>
        <n v="2243.36"/>
        <n v="2244"/>
        <n v="2255.06"/>
        <n v="2262.38"/>
        <n v="2267.52"/>
        <n v="2271.57"/>
        <n v="2272.86"/>
        <n v="2281.5"/>
        <n v="2289.6"/>
        <n v="2292.85"/>
        <n v="2298.96"/>
        <n v="2302.95"/>
        <n v="2304.96"/>
        <n v="2335.36"/>
        <n v="2349.9"/>
        <n v="2351.02"/>
        <n v="2352.98"/>
        <n v="2353.2"/>
        <n v="2357.55"/>
        <n v="2358.36"/>
        <n v="2371.85"/>
        <n v="2374.56"/>
        <n v="2401"/>
        <n v="2421.09"/>
        <n v="2428.23"/>
        <n v="2433.6"/>
        <n v="2444.83"/>
        <n v="2446.98"/>
        <n v="2450.25"/>
        <n v="2470.5"/>
        <n v="2473.5"/>
        <n v="2480.1"/>
        <n v="2489.38"/>
        <n v="2494.96"/>
        <n v="2506.56"/>
        <n v="2509.65"/>
        <n v="2523.78"/>
        <n v="2542.94"/>
        <n v="2544"/>
        <n v="2550.96"/>
        <n v="2554.89"/>
        <n v="2585.7"/>
        <n v="2627.28"/>
        <n v="2638.9"/>
        <n v="2661.75"/>
        <n v="2663.22"/>
        <n v="2663.77"/>
        <n v="2668.14"/>
        <n v="2685.91"/>
        <n v="2686.88"/>
        <n v="2700.26"/>
        <n v="2717.55"/>
        <n v="2722.5"/>
        <n v="2734.8"/>
        <n v="2737.8"/>
        <n v="2741.55"/>
        <n v="2782.84"/>
        <n v="2804.2"/>
        <n v="2809.73"/>
        <n v="2813.85"/>
        <n v="2816.37"/>
        <n v="2816.93"/>
        <n v="2819.88"/>
        <n v="2865.78"/>
        <n v="2869.83"/>
        <n v="2882.44"/>
        <n v="2898.21"/>
        <n v="2919.2"/>
        <n v="2925.6"/>
        <n v="2929.22"/>
        <n v="2947.95"/>
        <n v="2964.6"/>
        <n v="2976"/>
        <n v="2976.54"/>
        <n v="3013.46"/>
        <n v="3014.01"/>
        <n v="3028.67"/>
        <n v="3052.8"/>
        <n v="3054.87"/>
        <n v="3065.16"/>
        <n v="3065.28"/>
        <n v="3078.97"/>
        <n v="3082.41"/>
        <n v="3084.62"/>
        <n v="3118.7"/>
        <n v="3121.3"/>
        <n v="3133.2"/>
        <n v="3138.14"/>
        <n v="3162.24"/>
        <n v="3166.68"/>
        <n v="3174.63"/>
        <n v="3194.1"/>
        <n v="3211.12"/>
        <n v="3211.53"/>
        <n v="3243.6"/>
        <n v="3261.06"/>
        <n v="3267"/>
        <n v="3270.15"/>
        <n v="3289.86"/>
        <n v="3320.59"/>
        <n v="3330.42"/>
        <n v="3363.96"/>
        <n v="3365.04"/>
        <n v="3366"/>
        <n v="3401.28"/>
        <n v="3422.25"/>
        <n v="3430.06"/>
        <n v="3454.56"/>
        <n v="3458.7"/>
        <n v="3466.55"/>
        <n v="3472.14"/>
        <n v="3502.54"/>
        <n v="3503.04"/>
        <n v="3508.11"/>
        <n v="3524.85"/>
        <n v="3539.25"/>
        <n v="3557.52"/>
        <n v="3574.35"/>
        <n v="3578.43"/>
        <n v="3606.93"/>
        <n v="3625.2"/>
        <n v="3650.4"/>
        <n v="3668.56"/>
        <n v="3681.51"/>
        <n v="3684.72"/>
        <n v="3720"/>
        <n v="3726.45"/>
        <n v="3759.84"/>
        <n v="3791.01"/>
        <n v="3799.58"/>
        <n v="3802.5"/>
        <n v="3804.57"/>
        <n v="3811.5"/>
        <n v="3831.6"/>
        <n v="3838.17"/>
        <n v="3853.98"/>
        <n v="3925.88"/>
        <n v="4039.02"/>
        <n v="4074.45"/>
        <n v="4078.3"/>
        <n v="4083.75"/>
        <n v="4101.03"/>
        <n v="4174.26"/>
        <n v="4206.3"/>
        <n v="4258.8"/>
        <n v="4308.15"/>
        <n v="4318.2"/>
        <n v="4324.8"/>
        <n v="4356"/>
        <n v="4386.48"/>
        <n v="4446.9"/>
        <n v="4464"/>
        <n v="4486.72"/>
        <n v="4488"/>
        <n v="4496.31"/>
        <n v="4499.61"/>
        <n v="4543.14"/>
        <n v="4545.72"/>
        <n v="4558.1"/>
        <n v="4597.92"/>
        <n v="4621.47"/>
        <n v="4622.64"/>
        <n v="4628.25"/>
        <n v="4654.06"/>
        <n v="4676.76"/>
        <n v="4693.95"/>
        <n v="4699.8"/>
        <n v="4767.14"/>
        <n v="4816.68"/>
        <n v="4867.2"/>
        <n v="4900.5"/>
        <n v="4934.79"/>
        <n v="4943.25"/>
        <n v="5047.56"/>
        <n v="5089.23"/>
        <n v="5095.35"/>
        <n v="5171.4"/>
        <n v="5172.75"/>
        <n v="5208"/>
        <n v="5277.8"/>
        <n v="5286.87"/>
        <n v="5327.98"/>
        <n v="5364.24"/>
        <n v="5373.76"/>
        <n v="5421.74"/>
        <n v="5561.43"/>
        <n v="5608.4"/>
        <n v="5610"/>
        <n v="5717.25"/>
        <n v="5778.3"/>
        <n v="5888.82"/>
        <n v="5952"/>
        <n v="5989.5"/>
        <n v="5997.5"/>
        <n v="6028.02"/>
        <n v="6130.56"/>
        <n v="6160.05"/>
        <n v="6169.24"/>
        <n v="6261.75"/>
        <n v="6449.66"/>
        <n v="6534"/>
        <n v="6696"/>
        <n v="6719.76"/>
        <n v="6730.08"/>
        <n v="6732"/>
        <n v="6896.88"/>
        <n v="6933.96"/>
        <n v="7340.94"/>
        <n v="7440"/>
        <n v="7663.2"/>
        <n v="7851.76"/>
        <n v="7854"/>
        <n v="8089.62"/>
        <n v="8184"/>
        <n v="8429.52"/>
        <n v="8439.75"/>
        <n v="8693.02"/>
        <n v="8928"/>
        <n v="8976"/>
        <n v="8984.25"/>
        <n v="9195.84"/>
        <n v="9245.28"/>
        <n v="9672"/>
        <n v="9962.16"/>
        <n v="10098"/>
        <n v="10400.94"/>
        <n v="10416"/>
        <n v="10728.48"/>
        <n v="11220"/>
        <n v="11494.8"/>
        <n v="11556.6"/>
        <n v="12261.12"/>
        <n v="12342"/>
        <n v="12648"/>
        <n v="12712.26"/>
        <n v="13027.44"/>
        <n v="13392"/>
        <n v="13464"/>
        <n v="13793.76"/>
        <n v="13867.92"/>
        <n v="14136"/>
        <n v="14560.08"/>
        <n v="14586"/>
        <n v="14880"/>
        <n v="15023.58"/>
        <n v="15326.4"/>
        <n v="15624"/>
        <n v="15708"/>
        <n v="16179.24"/>
        <n v="16830"/>
        <n v="17112"/>
        <n v="17334.9"/>
        <n v="17625.36"/>
        <n v="18490.56"/>
        <n v="19074"/>
        <n v="19344"/>
        <n v="19646.22"/>
        <n v="20196"/>
        <n v="20801.88"/>
        <n v="21318"/>
        <n v="21456.96"/>
        <n v="21957.54"/>
        <n v="22440"/>
        <n v="23113.2"/>
        <n v="23562"/>
        <n v="23755.92"/>
        <n v="24268.86"/>
        <n v="24684"/>
        <n v="25424.52"/>
        <n v="25806"/>
        <n v="26784"/>
        <n v="27735.84"/>
        <n v="28891.5"/>
        <n v="29172"/>
        <n v="39292.44"/>
      </sharedItems>
    </cacheField>
    <cacheField name="Costo_Logistico" numFmtId="0">
      <sharedItems containsSemiMixedTypes="0" containsString="0" containsNumber="1" minValue="5.35" maxValue="1808.92" count="1338">
        <n v="5.35"/>
        <n v="5.76"/>
        <n v="5.88"/>
        <n v="6.17"/>
        <n v="6.33"/>
        <n v="6.59"/>
        <n v="6.69"/>
        <n v="6.85"/>
        <n v="7"/>
        <n v="7.2"/>
        <n v="7.23"/>
        <n v="7.24"/>
        <n v="7.3"/>
        <n v="7.31"/>
        <n v="7.41"/>
        <n v="7.55"/>
        <n v="7.57"/>
        <n v="7.58"/>
        <n v="7.59"/>
        <n v="7.69"/>
        <n v="7.77"/>
        <n v="7.79"/>
        <n v="7.82"/>
        <n v="7.9"/>
        <n v="8.03"/>
        <n v="8.22"/>
        <n v="8.23"/>
        <n v="8.32"/>
        <n v="8.64"/>
        <n v="8.68"/>
        <n v="8.76"/>
        <n v="8.92"/>
        <n v="9.04"/>
        <n v="9.06"/>
        <n v="9.14"/>
        <n v="9.22"/>
        <n v="9.25"/>
        <n v="9.27"/>
        <n v="9.36"/>
        <n v="9.4"/>
        <n v="9.47"/>
        <n v="9.55"/>
        <n v="9.63"/>
        <n v="9.87"/>
        <n v="9.88"/>
        <n v="9.95"/>
        <n v="9.99"/>
        <n v="10.08"/>
        <n v="10.13"/>
        <n v="10.23"/>
        <n v="10.37"/>
        <n v="10.51"/>
        <n v="10.54"/>
        <n v="10.56"/>
        <n v="10.6"/>
        <n v="10.7"/>
        <n v="10.85"/>
        <n v="10.87"/>
        <n v="10.91"/>
        <n v="10.96"/>
        <n v="11"/>
        <n v="11.15"/>
        <n v="11.2"/>
        <n v="11.3"/>
        <n v="11.42"/>
        <n v="11.52"/>
        <n v="11.59"/>
        <n v="11.68"/>
        <n v="11.77"/>
        <n v="11.88"/>
        <n v="12"/>
        <n v="12.04"/>
        <n v="12.06"/>
        <n v="12.07"/>
        <n v="12.08"/>
        <n v="12.2"/>
        <n v="12.21"/>
        <n v="12.33"/>
        <n v="12.35"/>
        <n v="12.42"/>
        <n v="12.49"/>
        <n v="12.62"/>
        <n v="12.66"/>
        <n v="12.68"/>
        <n v="12.79"/>
        <n v="12.93"/>
        <n v="12.97"/>
        <n v="12.99"/>
        <n v="13.15"/>
        <n v="13.16"/>
        <n v="13.17"/>
        <n v="13.24"/>
        <n v="13.25"/>
        <n v="13.28"/>
        <n v="13.31"/>
        <n v="13.38"/>
        <n v="13.63"/>
        <n v="13.7"/>
        <n v="13.74"/>
        <n v="13.83"/>
        <n v="13.89"/>
        <n v="13.99"/>
        <n v="14.02"/>
        <n v="14.08"/>
        <n v="14.11"/>
        <n v="14.12"/>
        <n v="14.19"/>
        <n v="14.2"/>
        <n v="14.27"/>
        <n v="14.41"/>
        <n v="14.42"/>
        <n v="14.49"/>
        <n v="14.66"/>
        <n v="14.71"/>
        <n v="14.8"/>
        <n v="14.82"/>
        <n v="14.98"/>
        <n v="14.99"/>
        <n v="15.09"/>
        <n v="15.15"/>
        <n v="15.16"/>
        <n v="15.34"/>
        <n v="15.35"/>
        <n v="15.37"/>
        <n v="15.5"/>
        <n v="15.52"/>
        <n v="15.53"/>
        <n v="15.55"/>
        <n v="15.81"/>
        <n v="15.85"/>
        <n v="15.99"/>
        <n v="16.08"/>
        <n v="16.13"/>
        <n v="16.24"/>
        <n v="16.41"/>
        <n v="16.44"/>
        <n v="16.45"/>
        <n v="16.46"/>
        <n v="16.47"/>
        <n v="16.6"/>
        <n v="16.64"/>
        <n v="16.9"/>
        <n v="16.93"/>
        <n v="16.99"/>
        <n v="17.04"/>
        <n v="17.05"/>
        <n v="17.12"/>
        <n v="17.36"/>
        <n v="17.48"/>
        <n v="17.49"/>
        <n v="17.57"/>
        <n v="17.67"/>
        <n v="17.74"/>
        <n v="17.75"/>
        <n v="17.82"/>
        <n v="17.84"/>
        <n v="17.91"/>
        <n v="18.11"/>
        <n v="18.19"/>
        <n v="18.27"/>
        <n v="18.31"/>
        <n v="18.33"/>
        <n v="18.35"/>
        <n v="18.41"/>
        <n v="18.44"/>
        <n v="18.5"/>
        <n v="18.54"/>
        <n v="18.6"/>
        <n v="18.7"/>
        <n v="18.73"/>
        <n v="18.77"/>
        <n v="18.79"/>
        <n v="18.86"/>
        <n v="18.91"/>
        <n v="18.92"/>
        <n v="18.93"/>
        <n v="18.99"/>
        <n v="19.1"/>
        <n v="19.11"/>
        <n v="19.16"/>
        <n v="19.17"/>
        <n v="19.19"/>
        <n v="19.31"/>
        <n v="19.47"/>
        <n v="19.49"/>
        <n v="19.76"/>
        <n v="19.87"/>
        <n v="19.89"/>
        <n v="19.97"/>
        <n v="19.99"/>
        <n v="20.1"/>
        <n v="20.17"/>
        <n v="20.2"/>
        <n v="20.36"/>
        <n v="20.53"/>
        <n v="20.58"/>
        <n v="20.74"/>
        <n v="20.83"/>
        <n v="20.99"/>
        <n v="21.05"/>
        <n v="21.07"/>
        <n v="21.17"/>
        <n v="21.4"/>
        <n v="21.7"/>
        <n v="21.81"/>
        <n v="21.83"/>
        <n v="21.85"/>
        <n v="21.93"/>
        <n v="21.96"/>
        <n v="21.99"/>
        <n v="22.15"/>
        <n v="22.19"/>
        <n v="22.39"/>
        <n v="22.58"/>
        <n v="22.64"/>
        <n v="22.66"/>
        <n v="22.67"/>
        <n v="22.72"/>
        <n v="22.74"/>
        <n v="22.83"/>
        <n v="22.84"/>
        <n v="22.89"/>
        <n v="22.91"/>
        <n v="22.93"/>
        <n v="22.99"/>
        <n v="23.05"/>
        <n v="23.3"/>
        <n v="23.37"/>
        <n v="23.46"/>
        <n v="23.49"/>
        <n v="23.51"/>
        <n v="23.61"/>
        <n v="23.65"/>
        <n v="23.7"/>
        <n v="23.75"/>
        <n v="23.82"/>
        <n v="23.98"/>
        <n v="23.99"/>
        <n v="24.41"/>
        <n v="24.46"/>
        <n v="24.49"/>
        <n v="24.61"/>
        <n v="24.7"/>
        <n v="24.8"/>
        <n v="24.83"/>
        <n v="24.84"/>
        <n v="24.91"/>
        <n v="24.93"/>
        <n v="24.97"/>
        <n v="25.03"/>
        <n v="25.04"/>
        <n v="25.19"/>
        <n v="25.23"/>
        <n v="25.24"/>
        <n v="25.32"/>
        <n v="25.35"/>
        <n v="25.4"/>
        <n v="25.45"/>
        <n v="25.58"/>
        <n v="25.74"/>
        <n v="25.87"/>
        <n v="25.93"/>
        <n v="25.99"/>
        <n v="26.01"/>
        <n v="26.02"/>
        <n v="26.03"/>
        <n v="26.04"/>
        <n v="26.22"/>
        <n v="26.3"/>
        <n v="26.31"/>
        <n v="26.34"/>
        <n v="26.35"/>
        <n v="26.4"/>
        <n v="26.46"/>
        <n v="26.48"/>
        <n v="26.5"/>
        <n v="26.56"/>
        <n v="26.62"/>
        <n v="26.63"/>
        <n v="26.75"/>
        <n v="26.82"/>
        <n v="26.87"/>
        <n v="26.99"/>
        <n v="27"/>
        <n v="27.05"/>
        <n v="27.07"/>
        <n v="27.12"/>
        <n v="27.13"/>
        <n v="27.15"/>
        <n v="27.2"/>
        <n v="27.33"/>
        <n v="27.41"/>
        <n v="27.52"/>
        <n v="27.55"/>
        <n v="27.77"/>
        <n v="27.85"/>
        <n v="27.9"/>
        <n v="27.93"/>
        <n v="27.99"/>
        <n v="28"/>
        <n v="28.03"/>
        <n v="28.15"/>
        <n v="28.16"/>
        <n v="28.19"/>
        <n v="28.28"/>
        <n v="28.31"/>
        <n v="28.33"/>
        <n v="28.38"/>
        <n v="28.81"/>
        <n v="28.84"/>
        <n v="28.98"/>
        <n v="29.03"/>
        <n v="29.05"/>
        <n v="29.24"/>
        <n v="29.3"/>
        <n v="29.32"/>
        <n v="29.37"/>
        <n v="29.38"/>
        <n v="29.43"/>
        <n v="29.45"/>
        <n v="29.52"/>
        <n v="29.64"/>
        <n v="29.76"/>
        <n v="29.81"/>
        <n v="29.95"/>
        <n v="29.96"/>
        <n v="29.99"/>
        <n v="30.05"/>
        <n v="30.16"/>
        <n v="30.18"/>
        <n v="30.23"/>
        <n v="30.29"/>
        <n v="30.32"/>
        <n v="30.54"/>
        <n v="30.58"/>
        <n v="30.65"/>
        <n v="30.68"/>
        <n v="30.7"/>
        <n v="30.74"/>
        <n v="30.75"/>
        <n v="30.83"/>
        <n v="30.88"/>
        <n v="31.05"/>
        <n v="31.06"/>
        <n v="31.28"/>
        <n v="31.34"/>
        <n v="31.39"/>
        <n v="31.46"/>
        <n v="31.47"/>
        <n v="31.49"/>
        <n v="31.56"/>
        <n v="31.64"/>
        <n v="31.66"/>
        <n v="31.72"/>
        <n v="31.75"/>
        <n v="31.9"/>
        <n v="31.94"/>
        <n v="31.99"/>
        <n v="32.1"/>
        <n v="32.16"/>
        <n v="32.23"/>
        <n v="32.24"/>
        <n v="32.27"/>
        <n v="32.33"/>
        <n v="32.4"/>
        <n v="32.46"/>
        <n v="32.49"/>
        <n v="32.52"/>
        <n v="32.55"/>
        <n v="32.82"/>
        <n v="32.87"/>
        <n v="32.89"/>
        <n v="32.93"/>
        <n v="32.94"/>
        <n v="32.99"/>
        <n v="33.12"/>
        <n v="33.13"/>
        <n v="33.26"/>
        <n v="33.38"/>
        <n v="33.52"/>
        <n v="33.63"/>
        <n v="33.79"/>
        <n v="33.87"/>
        <n v="33.93"/>
        <n v="33.94"/>
        <n v="34.05"/>
        <n v="34.1"/>
        <n v="34.35"/>
        <n v="34.36"/>
        <n v="34.4"/>
        <n v="34.45"/>
        <n v="34.57"/>
        <n v="34.63"/>
        <n v="34.72"/>
        <n v="34.78"/>
        <n v="34.99"/>
        <n v="35.16"/>
        <n v="35.19"/>
        <n v="35.24"/>
        <n v="35.26"/>
        <n v="35.42"/>
        <n v="35.47"/>
        <n v="35.48"/>
        <n v="35.56"/>
        <n v="35.61"/>
        <n v="35.63"/>
        <n v="35.65"/>
        <n v="35.67"/>
        <n v="35.68"/>
        <n v="35.99"/>
        <n v="36.02"/>
        <n v="36.1"/>
        <n v="36.17"/>
        <n v="36.18"/>
        <n v="36.21"/>
        <n v="36.22"/>
        <n v="36.23"/>
        <n v="36.31"/>
        <n v="36.38"/>
        <n v="36.39"/>
        <n v="36.44"/>
        <n v="36.69"/>
        <n v="36.74"/>
        <n v="36.81"/>
        <n v="36.87"/>
        <n v="37"/>
        <n v="37.04"/>
        <n v="37.06"/>
        <n v="37.39"/>
        <n v="37.46"/>
        <n v="37.59"/>
        <n v="37.73"/>
        <n v="37.78"/>
        <n v="37.84"/>
        <n v="37.87"/>
        <n v="37.98"/>
        <n v="38"/>
        <n v="38.09"/>
        <n v="38.22"/>
        <n v="38.32"/>
        <n v="38.37"/>
        <n v="38.44"/>
        <n v="38.61"/>
        <n v="38.62"/>
        <n v="38.64"/>
        <n v="38.81"/>
        <n v="39.1"/>
        <n v="39.24"/>
        <n v="39.35"/>
        <n v="39.42"/>
        <n v="39.45"/>
        <n v="39.51"/>
        <n v="39.53"/>
        <n v="39.64"/>
        <n v="39.68"/>
        <n v="39.75"/>
        <n v="39.78"/>
        <n v="39.87"/>
        <n v="39.94"/>
        <n v="39.98"/>
        <n v="40.07"/>
        <n v="40.13"/>
        <n v="40.17"/>
        <n v="40.2"/>
        <n v="40.21"/>
        <n v="40.22"/>
        <n v="40.3"/>
        <n v="40.32"/>
        <n v="40.34"/>
        <n v="40.57"/>
        <n v="40.72"/>
        <n v="40.93"/>
        <n v="40.96"/>
        <n v="41.02"/>
        <n v="41.11"/>
        <n v="41.15"/>
        <n v="41.16"/>
        <n v="41.17"/>
        <n v="41.18"/>
        <n v="41.28"/>
        <n v="41.34"/>
        <n v="41.39"/>
        <n v="41.41"/>
        <n v="41.57"/>
        <n v="41.72"/>
        <n v="41.73"/>
        <n v="42.04"/>
        <n v="42.15"/>
        <n v="42.16"/>
        <n v="42.28"/>
        <n v="42.29"/>
        <n v="42.34"/>
        <n v="42.42"/>
        <n v="42.45"/>
        <n v="42.6"/>
        <n v="42.81"/>
        <n v="42.83"/>
        <n v="42.98"/>
        <n v="43.01"/>
        <n v="43.06"/>
        <n v="43.12"/>
        <n v="43.23"/>
        <n v="43.27"/>
        <n v="43.28"/>
        <n v="43.4"/>
        <n v="43.46"/>
        <n v="43.49"/>
        <n v="43.57"/>
        <n v="43.66"/>
        <n v="43.75"/>
        <n v="43.85"/>
        <n v="43.89"/>
        <n v="43.98"/>
        <n v="44.23"/>
        <n v="44.3"/>
        <n v="44.34"/>
        <n v="44.4"/>
        <n v="44.45"/>
        <n v="44.64"/>
        <n v="44.72"/>
        <n v="44.78"/>
        <n v="44.84"/>
        <n v="44.93"/>
        <n v="44.94"/>
        <n v="45.06"/>
        <n v="45.16"/>
        <n v="45.31"/>
        <n v="45.4"/>
        <n v="45.48"/>
        <n v="45.68"/>
        <n v="45.81"/>
        <n v="45.86"/>
        <n v="45.88"/>
        <n v="45.95"/>
        <n v="45.98"/>
        <n v="46.5"/>
        <n v="46.56"/>
        <n v="46.57"/>
        <n v="46.74"/>
        <n v="46.88"/>
        <n v="46.99"/>
        <n v="47.11"/>
        <n v="47.12"/>
        <n v="47.2"/>
        <n v="47.22"/>
        <n v="47.25"/>
        <n v="47.29"/>
        <n v="47.3"/>
        <n v="47.35"/>
        <n v="47.39"/>
        <n v="47.51"/>
        <n v="47.63"/>
        <n v="47.75"/>
        <n v="47.79"/>
        <n v="47.86"/>
        <n v="47.97"/>
        <n v="47.98"/>
        <n v="48.03"/>
        <n v="48.16"/>
        <n v="48.24"/>
        <n v="48.36"/>
        <n v="48.41"/>
        <n v="48.51"/>
        <n v="48.69"/>
        <n v="48.7"/>
        <n v="48.81"/>
        <n v="48.82"/>
        <n v="48.83"/>
        <n v="48.86"/>
        <n v="48.89"/>
        <n v="48.92"/>
        <n v="48.98"/>
        <n v="49.08"/>
        <n v="49.16"/>
        <n v="49.2"/>
        <n v="49.5"/>
        <n v="49.53"/>
        <n v="49.6"/>
        <n v="49.62"/>
        <n v="49.69"/>
        <n v="50"/>
        <n v="50.05"/>
        <n v="50.27"/>
        <n v="50.45"/>
        <n v="50.49"/>
        <n v="50.68"/>
        <n v="50.8"/>
        <n v="50.83"/>
        <n v="50.9"/>
        <n v="51.04"/>
        <n v="51.08"/>
        <n v="51.16"/>
        <n v="51.34"/>
        <n v="51.39"/>
        <n v="51.47"/>
        <n v="51.6"/>
        <n v="51.69"/>
        <n v="51.98"/>
        <n v="52.03"/>
        <n v="52.48"/>
        <n v="52.57"/>
        <n v="52.6"/>
        <n v="52.74"/>
        <n v="52.76"/>
        <n v="52.86"/>
        <n v="52.92"/>
        <n v="53"/>
        <n v="53.25"/>
        <n v="53.32"/>
        <n v="53.51"/>
        <n v="53.83"/>
        <n v="53.97"/>
        <n v="54.1"/>
        <n v="54.15"/>
        <n v="54.46"/>
        <n v="54.56"/>
        <n v="54.58"/>
        <n v="54.74"/>
        <n v="55.04"/>
        <n v="55.47"/>
        <n v="55.55"/>
        <n v="55.57"/>
        <n v="55.58"/>
        <n v="55.67"/>
        <n v="55.8"/>
        <n v="55.98"/>
        <n v="56.06"/>
        <n v="56.25"/>
        <n v="56.31"/>
        <n v="56.36"/>
        <n v="56.38"/>
        <n v="56.45"/>
        <n v="56.57"/>
        <n v="56.67"/>
        <n v="56.75"/>
        <n v="56.8"/>
        <n v="56.88"/>
        <n v="56.92"/>
        <n v="56.98"/>
        <n v="57.33"/>
        <n v="57.35"/>
        <n v="57.43"/>
        <n v="57.69"/>
        <n v="57.86"/>
        <n v="57.95"/>
        <n v="57.97"/>
        <n v="58.09"/>
        <n v="58.14"/>
        <n v="58.21"/>
        <n v="58.6"/>
        <n v="58.73"/>
        <n v="58.86"/>
        <n v="58.9"/>
        <n v="59.2"/>
        <n v="59.27"/>
        <n v="60.3"/>
        <n v="60.72"/>
        <n v="60.79"/>
        <n v="60.86"/>
        <n v="61"/>
        <n v="61.08"/>
        <n v="61.15"/>
        <n v="61.28"/>
        <n v="61.29"/>
        <n v="61.66"/>
        <n v="61.77"/>
        <n v="61.92"/>
        <n v="61.94"/>
        <n v="62"/>
        <n v="62.13"/>
        <n v="62.31"/>
        <n v="62.43"/>
        <n v="62.5"/>
        <n v="62.56"/>
        <n v="62.94"/>
        <n v="63.18"/>
        <n v="63.29"/>
        <n v="63.5"/>
        <n v="63.86"/>
        <n v="64.15"/>
        <n v="64.21"/>
        <n v="64.46"/>
        <n v="64.47"/>
        <n v="64.6"/>
        <n v="64.8"/>
        <n v="64.86"/>
        <n v="64.92"/>
        <n v="65.14"/>
        <n v="65.74"/>
        <n v="65.78"/>
        <n v="65.87"/>
        <n v="65.88"/>
        <n v="65.97"/>
        <n v="66.06"/>
        <n v="66.11"/>
        <n v="66.47"/>
        <n v="66.57"/>
        <n v="66.71"/>
        <n v="67.03"/>
        <n v="67.08"/>
        <n v="67.17"/>
        <n v="67.27"/>
        <n v="67.46"/>
        <n v="67.74"/>
        <n v="67.78"/>
        <n v="67.97"/>
        <n v="68.2"/>
        <n v="68.75"/>
        <n v="68.8"/>
        <n v="68.91"/>
        <n v="69.15"/>
        <n v="69.26"/>
        <n v="69.44"/>
        <n v="69.56"/>
        <n v="69.62"/>
        <n v="70.26"/>
        <n v="70.27"/>
        <n v="70.32"/>
        <n v="70.39"/>
        <n v="70.52"/>
        <n v="70.56"/>
        <n v="70.58"/>
        <n v="71"/>
        <n v="71.26"/>
        <n v="71.36"/>
        <n v="71.5"/>
        <n v="71.62"/>
        <n v="71.69"/>
        <n v="71.78"/>
        <n v="71.85"/>
        <n v="71.92"/>
        <n v="71.97"/>
        <n v="72.04"/>
        <n v="72.24"/>
        <n v="72.62"/>
        <n v="72.8"/>
        <n v="72.97"/>
        <n v="73.09"/>
        <n v="73.26"/>
        <n v="73.3"/>
        <n v="73.38"/>
        <n v="73.62"/>
        <n v="73.81"/>
        <n v="74.09"/>
        <n v="74.21"/>
        <n v="74.53"/>
        <n v="74.66"/>
        <n v="74.91"/>
        <n v="74.92"/>
        <n v="75.08"/>
        <n v="75.11"/>
        <n v="75.17"/>
        <n v="75.44"/>
        <n v="75.56"/>
        <n v="75.64"/>
        <n v="75.67"/>
        <n v="76.17"/>
        <n v="76.19"/>
        <n v="76.39"/>
        <n v="76.64"/>
        <n v="77.09"/>
        <n v="77.2"/>
        <n v="77.62"/>
        <n v="77.75"/>
        <n v="77.83"/>
        <n v="77.84"/>
        <n v="78.05"/>
        <n v="78.31"/>
        <n v="78.45"/>
        <n v="78.48"/>
        <n v="78.66"/>
        <n v="78.67"/>
        <n v="78.92"/>
        <n v="79.05"/>
        <n v="79.36"/>
        <n v="79.41"/>
        <n v="79.5"/>
        <n v="79.74"/>
        <n v="79.88"/>
        <n v="80.26"/>
        <n v="80.29"/>
        <n v="80.39"/>
        <n v="80.4"/>
        <n v="80.41"/>
        <n v="80.44"/>
        <n v="80.6"/>
        <n v="80.68"/>
        <n v="80.85"/>
        <n v="80.96"/>
        <n v="80.99"/>
        <n v="81.08"/>
        <n v="81.14"/>
        <n v="81.24"/>
        <n v="81.25"/>
        <n v="81.35"/>
        <n v="81.38"/>
        <n v="81.44"/>
        <n v="81.79"/>
        <n v="81.93"/>
        <n v="82.22"/>
        <n v="82.81"/>
        <n v="82.94"/>
        <n v="83.13"/>
        <n v="83.32"/>
        <n v="83.64"/>
        <n v="83.97"/>
        <n v="84.05"/>
        <n v="84.3"/>
        <n v="84.46"/>
        <n v="84.67"/>
        <n v="84.9"/>
        <n v="84.91"/>
        <n v="85.61"/>
        <n v="85.88"/>
        <n v="86"/>
        <n v="86.02"/>
        <n v="86.15"/>
        <n v="86.55"/>
        <n v="86.8"/>
        <n v="87.14"/>
        <n v="87.5"/>
        <n v="87.7"/>
        <n v="87.83"/>
        <n v="87.84"/>
        <n v="88.1"/>
        <n v="88.15"/>
        <n v="88.22"/>
        <n v="88.23"/>
        <n v="88.35"/>
        <n v="88.36"/>
        <n v="88.91"/>
        <n v="89.18"/>
        <n v="89.28"/>
        <n v="90.09"/>
        <n v="90.52"/>
        <n v="90.8"/>
        <n v="90.83"/>
        <n v="91.36"/>
        <n v="91.63"/>
        <n v="91.73"/>
        <n v="91.89"/>
        <n v="92.22"/>
        <n v="92.49"/>
        <n v="92.88"/>
        <n v="93.14"/>
        <n v="93.31"/>
        <n v="93.55"/>
        <n v="93.97"/>
        <n v="95.01"/>
        <n v="95.02"/>
        <n v="95.23"/>
        <n v="95.26"/>
        <n v="95.3"/>
        <n v="95.58"/>
        <n v="95.59"/>
        <n v="95.71"/>
        <n v="95.96"/>
        <n v="96.28"/>
        <n v="96.62"/>
        <n v="97.02"/>
        <n v="97.03"/>
        <n v="97.05"/>
        <n v="97.2"/>
        <n v="97.37"/>
        <n v="97.46"/>
        <n v="97.63"/>
        <n v="97.8"/>
        <n v="98.31"/>
        <n v="98.78"/>
        <n v="99.37"/>
        <n v="99.84"/>
        <n v="100.36"/>
        <n v="100.55"/>
        <n v="100.75"/>
        <n v="101.19"/>
        <n v="101.2"/>
        <n v="101.43"/>
        <n v="101.67"/>
        <n v="101.85"/>
        <n v="102.32"/>
        <n v="102.78"/>
        <n v="102.88"/>
        <n v="103.19"/>
        <n v="103.23"/>
        <n v="103.49"/>
        <n v="103.7"/>
        <n v="103.96"/>
        <n v="104.89"/>
        <n v="105.11"/>
        <n v="105.14"/>
        <n v="105.17"/>
        <n v="105.2"/>
        <n v="105.24"/>
        <n v="105.39"/>
        <n v="105.52"/>
        <n v="105.58"/>
        <n v="105.72"/>
        <n v="105.84"/>
        <n v="105.88"/>
        <n v="106"/>
        <n v="106.13"/>
        <n v="106.83"/>
        <n v="106.89"/>
        <n v="106.99"/>
        <n v="107.02"/>
        <n v="107.07"/>
        <n v="107.65"/>
        <n v="107.67"/>
        <n v="107.83"/>
        <n v="107.94"/>
        <n v="107.96"/>
        <n v="108.1"/>
        <n v="108.19"/>
        <n v="108.37"/>
        <n v="108.93"/>
        <n v="109.11"/>
        <n v="109.31"/>
        <n v="109.63"/>
        <n v="109.64"/>
        <n v="109.68"/>
        <n v="110.07"/>
        <n v="110.97"/>
        <n v="111.17"/>
        <n v="111.35"/>
        <n v="111.59"/>
        <n v="111.72"/>
        <n v="111.99"/>
        <n v="112.11"/>
        <n v="112.17"/>
        <n v="112.37"/>
        <n v="112.5"/>
        <n v="112.62"/>
        <n v="112.83"/>
        <n v="112.9"/>
        <n v="113.2"/>
        <n v="113.29"/>
        <n v="114.07"/>
        <n v="114.18"/>
        <n v="114.69"/>
        <n v="114.7"/>
        <n v="114.87"/>
        <n v="115.22"/>
        <n v="115.53"/>
        <n v="116.19"/>
        <n v="116.42"/>
        <n v="116.94"/>
        <n v="117.34"/>
        <n v="117.4"/>
        <n v="117.46"/>
        <n v="117.79"/>
        <n v="117.82"/>
        <n v="118.57"/>
        <n v="118.74"/>
        <n v="119.02"/>
        <n v="119.03"/>
        <n v="119.91"/>
        <n v="120.13"/>
        <n v="120.39"/>
        <n v="120.46"/>
        <n v="120.66"/>
        <n v="121.22"/>
        <n v="121.28"/>
        <n v="121.43"/>
        <n v="121.61"/>
        <n v="121.72"/>
        <n v="121.95"/>
        <n v="122.16"/>
        <n v="122.3"/>
        <n v="122.85"/>
        <n v="123.07"/>
        <n v="123.32"/>
        <n v="123.34"/>
        <n v="123.52"/>
        <n v="123.88"/>
        <n v="124.19"/>
        <n v="124.25"/>
        <n v="124.26"/>
        <n v="125"/>
        <n v="125.13"/>
        <n v="125.29"/>
        <n v="125.54"/>
        <n v="125.58"/>
        <n v="126"/>
        <n v="126.13"/>
        <n v="126.5"/>
        <n v="127.01"/>
        <n v="127.51"/>
        <n v="128.19"/>
        <n v="128.21"/>
        <n v="128.37"/>
        <n v="128.93"/>
        <n v="128.95"/>
        <n v="129.21"/>
        <n v="129.37"/>
        <n v="129.51"/>
        <n v="129.72"/>
        <n v="129.83"/>
        <n v="131.55"/>
        <n v="131.74"/>
        <n v="131.75"/>
        <n v="132.35"/>
        <n v="132.71"/>
        <n v="133.13"/>
        <n v="133.41"/>
        <n v="133.82"/>
        <n v="134.15"/>
        <n v="135.74"/>
        <n v="135.83"/>
        <n v="135.94"/>
        <n v="136.13"/>
        <n v="136.76"/>
        <n v="136.86"/>
        <n v="137.57"/>
        <n v="137.59"/>
        <n v="138.53"/>
        <n v="138.59"/>
        <n v="138.87"/>
        <n v="140.54"/>
        <n v="140.95"/>
        <n v="140.96"/>
        <n v="141.12"/>
        <n v="141.17"/>
        <n v="141.21"/>
        <n v="141.4"/>
        <n v="142.3"/>
        <n v="143.37"/>
        <n v="144.53"/>
        <n v="146.76"/>
        <n v="147.15"/>
        <n v="147.27"/>
        <n v="147.63"/>
        <n v="148.15"/>
        <n v="148.18"/>
        <n v="148.76"/>
        <n v="148.79"/>
        <n v="149.3"/>
        <n v="149.31"/>
        <n v="149.33"/>
        <n v="149.89"/>
        <n v="150.16"/>
        <n v="150.74"/>
        <n v="151.27"/>
        <n v="151.29"/>
        <n v="151.57"/>
        <n v="151.8"/>
        <n v="152.88"/>
        <n v="153.49"/>
        <n v="153.67"/>
        <n v="153.75"/>
        <n v="154.9"/>
        <n v="155.23"/>
        <n v="155.64"/>
        <n v="157.15"/>
        <n v="158.1"/>
        <n v="158.23"/>
        <n v="160.27"/>
        <n v="160.79"/>
        <n v="162.29"/>
        <n v="162.5"/>
        <n v="162.64"/>
        <n v="162.88"/>
        <n v="163.67"/>
        <n v="164.45"/>
        <n v="165.17"/>
        <n v="166.56"/>
        <n v="167.27"/>
        <n v="167.64"/>
        <n v="168.17"/>
        <n v="168.63"/>
        <n v="169.14"/>
        <n v="169.34"/>
        <n v="169.68"/>
        <n v="170.92"/>
        <n v="172.05"/>
        <n v="172.28"/>
        <n v="173.07"/>
        <n v="174.64"/>
        <n v="175.42"/>
        <n v="175.67"/>
        <n v="176.73"/>
        <n v="177.1"/>
        <n v="177.72"/>
        <n v="177.88"/>
        <n v="178.37"/>
        <n v="179.72"/>
        <n v="179.87"/>
        <n v="182.07"/>
        <n v="182.57"/>
        <n v="182.71"/>
        <n v="183.46"/>
        <n v="184.34"/>
        <n v="185.18"/>
        <n v="185.82"/>
        <n v="186.64"/>
        <n v="186.94"/>
        <n v="187.94"/>
        <n v="188.59"/>
        <n v="189.19"/>
        <n v="189.57"/>
        <n v="190.51"/>
        <n v="192.16"/>
        <n v="192.32"/>
        <n v="193.22"/>
        <n v="193.75"/>
        <n v="193.81"/>
        <n v="194.04"/>
        <n v="194.2"/>
        <n v="195.58"/>
        <n v="197.57"/>
        <n v="197.63"/>
        <n v="198.39"/>
        <n v="198.74"/>
        <n v="200.11"/>
        <n v="200.73"/>
        <n v="201.8"/>
        <n v="202.02"/>
        <n v="202.4"/>
        <n v="203.6"/>
        <n v="203.74"/>
        <n v="205.49"/>
        <n v="205.56"/>
        <n v="206.18"/>
        <n v="206.98"/>
        <n v="209.14"/>
        <n v="209.85"/>
        <n v="210.21"/>
        <n v="211.43"/>
        <n v="212.5"/>
        <n v="213.44"/>
        <n v="215.35"/>
        <n v="215.88"/>
        <n v="216.38"/>
        <n v="217.17"/>
        <n v="218.23"/>
        <n v="218.91"/>
        <n v="218.97"/>
        <n v="219.26"/>
        <n v="220.58"/>
        <n v="221.88"/>
        <n v="222.35"/>
        <n v="223.15"/>
        <n v="224.65"/>
        <n v="225.79"/>
        <n v="226.39"/>
        <n v="227.11"/>
        <n v="227.7"/>
        <n v="229.4"/>
        <n v="229.41"/>
        <n v="229.68"/>
        <n v="231.23"/>
        <n v="232.85"/>
        <n v="233.89"/>
        <n v="234.92"/>
        <n v="235.63"/>
        <n v="236.12"/>
        <n v="236.88"/>
        <n v="237.14"/>
        <n v="237.49"/>
        <n v="240.25"/>
        <n v="243.03"/>
        <n v="244.58"/>
        <n v="244.86"/>
        <n v="245.92"/>
        <n v="248.49"/>
        <n v="250.59"/>
        <n v="251.34"/>
        <n v="252.25"/>
        <n v="254.02"/>
        <n v="256.42"/>
        <n v="258.72"/>
        <n v="259.9"/>
        <n v="261.3"/>
        <n v="263.51"/>
        <n v="264.67"/>
        <n v="266.25"/>
        <n v="268.13"/>
        <n v="269.86"/>
        <n v="270.44"/>
        <n v="270.48"/>
        <n v="271.48"/>
        <n v="271.66"/>
        <n v="273.27"/>
        <n v="275.18"/>
        <n v="279.39"/>
        <n v="281.66"/>
        <n v="281.91"/>
        <n v="282.24"/>
        <n v="284.59"/>
        <n v="285.03"/>
        <n v="285.3"/>
        <n v="287.67"/>
        <n v="288.48"/>
        <n v="294.43"/>
        <n v="294.54"/>
        <n v="296.29"/>
        <n v="296.35"/>
        <n v="297.53"/>
        <n v="298.64"/>
        <n v="301.49"/>
        <n v="303.6"/>
        <n v="304.45"/>
        <n v="307.25"/>
        <n v="309.7"/>
        <n v="310.46"/>
        <n v="310.63"/>
        <n v="313.23"/>
        <n v="314.18"/>
        <n v="315.32"/>
        <n v="316.21"/>
        <n v="317.63"/>
        <n v="320.48"/>
        <n v="320.53"/>
        <n v="321.3"/>
        <n v="328.9"/>
        <n v="329.87"/>
        <n v="337.33"/>
        <n v="338.69"/>
        <n v="339.57"/>
        <n v="341.9"/>
        <n v="344.08"/>
        <n v="344.11"/>
        <n v="344.56"/>
        <n v="349.27"/>
        <n v="351.62"/>
        <n v="353.02"/>
        <n v="353.45"/>
        <n v="353.67"/>
        <n v="355.74"/>
        <n v="357.36"/>
        <n v="362.21"/>
        <n v="363.23"/>
        <n v="366.09"/>
        <n v="368.68"/>
        <n v="371.06"/>
        <n v="371.93"/>
        <n v="373.89"/>
        <n v="375.88"/>
        <n v="378.67"/>
        <n v="381.9"/>
        <n v="384.64"/>
        <n v="385.11"/>
        <n v="386.86"/>
        <n v="388.08"/>
        <n v="392.29"/>
        <n v="392.72"/>
        <n v="395.14"/>
        <n v="397.49"/>
        <n v="399.4"/>
        <n v="400.4"/>
        <n v="404.79"/>
        <n v="407.48"/>
        <n v="409.16"/>
        <n v="410.79"/>
        <n v="412.93"/>
        <n v="420.42"/>
        <n v="426.89"/>
        <n v="427.37"/>
        <n v="430.09"/>
        <n v="430.7"/>
        <n v="431.99"/>
        <n v="438.53"/>
        <n v="441.44"/>
        <n v="444.7"/>
        <n v="446.29"/>
        <n v="463.83"/>
        <n v="465.7"/>
        <n v="466.93"/>
        <n v="469.85"/>
        <n v="470.11"/>
        <n v="471.26"/>
        <n v="471.27"/>
        <n v="473.76"/>
        <n v="480.8"/>
        <n v="483.48"/>
        <n v="485.51"/>
        <n v="488.94"/>
        <n v="495.93"/>
        <n v="501.17"/>
        <n v="502.91"/>
        <n v="508.03"/>
        <n v="510.86"/>
        <n v="512.85"/>
        <n v="516.83"/>
        <n v="520.67"/>
        <n v="533.64"/>
        <n v="538.37"/>
        <n v="539.72"/>
        <n v="540.96"/>
        <n v="543.31"/>
        <n v="546.55"/>
        <n v="549.81"/>
        <n v="550.37"/>
        <n v="563.82"/>
        <n v="564.48"/>
        <n v="587.64"/>
        <n v="595.06"/>
        <n v="598.32"/>
        <n v="602.97"/>
        <n v="626.46"/>
        <n v="640.33"/>
        <n v="647.99"/>
        <n v="649.36"/>
        <n v="683.8"/>
        <n v="689.11"/>
        <n v="698.54"/>
        <n v="711.48"/>
        <n v="732.18"/>
        <n v="733.82"/>
        <n v="742.12"/>
        <n v="743.82"/>
        <n v="751.76"/>
        <n v="775.25"/>
        <n v="785.44"/>
        <n v="822.69"/>
        <n v="853.78"/>
        <n v="863.99"/>
        <n v="877.05"/>
        <n v="931.39"/>
        <n v="940.22"/>
        <n v="942.53"/>
        <n v="947.53"/>
        <n v="971.98"/>
        <n v="1011.98"/>
        <n v="1021.07"/>
        <n v="1057.75"/>
        <n v="1079.98"/>
        <n v="1190.28"/>
        <n v="1252.93"/>
        <n v="1282.12"/>
        <n v="1292.09"/>
        <n v="1292.8"/>
        <n v="1295.98"/>
        <n v="1378.22"/>
        <n v="1391.48"/>
        <n v="1527.86"/>
        <n v="1619.97"/>
        <n v="1669.77"/>
        <n v="1808.92"/>
      </sharedItems>
    </cacheField>
    <cacheField name="Margen_Bruto" numFmtId="0">
      <sharedItems containsSemiMixedTypes="0" containsString="0" containsNumber="1" minValue="74.7" maxValue="16297.06" count="1624">
        <n v="74.7"/>
        <n v="75.05"/>
        <n v="89.23"/>
        <n v="89.64"/>
        <n v="90.06"/>
        <n v="102.78"/>
        <n v="104.59"/>
        <n v="105.07"/>
        <n v="115.13"/>
        <n v="115.63"/>
        <n v="118.43"/>
        <n v="118.98"/>
        <n v="120.08"/>
        <n v="126.46"/>
        <n v="127.13"/>
        <n v="127.38"/>
        <n v="128.48"/>
        <n v="133.23"/>
        <n v="133.85"/>
        <n v="135.08"/>
        <n v="138.16"/>
        <n v="139.51"/>
        <n v="140.25"/>
        <n v="140.72"/>
        <n v="141.32"/>
        <n v="149.41"/>
        <n v="150.09"/>
        <n v="151.98"/>
        <n v="152.19"/>
        <n v="152.85"/>
        <n v="153.51"/>
        <n v="154.17"/>
        <n v="154.27"/>
        <n v="156.41"/>
        <n v="157.24"/>
        <n v="158.07"/>
        <n v="158.91"/>
        <n v="162.84"/>
        <n v="163.59"/>
        <n v="164.35"/>
        <n v="165.1"/>
        <n v="165.59"/>
        <n v="165.8"/>
        <n v="169.24"/>
        <n v="177.39"/>
        <n v="178.33"/>
        <n v="178.47"/>
        <n v="179.07"/>
        <n v="179.1"/>
        <n v="179.29"/>
        <n v="179.87"/>
        <n v="181.32"/>
        <n v="182.32"/>
        <n v="188.69"/>
        <n v="189.69"/>
        <n v="190.24"/>
        <n v="190.69"/>
        <n v="190.74"/>
        <n v="192.17"/>
        <n v="192.45"/>
        <n v="194"/>
        <n v="196.24"/>
        <n v="202.93"/>
        <n v="203.8"/>
        <n v="204.73"/>
        <n v="205.5"/>
        <n v="205.56"/>
        <n v="206.95"/>
        <n v="207.19"/>
        <n v="207.24"/>
        <n v="207.25"/>
        <n v="208.5"/>
        <n v="208.92"/>
        <n v="210.13"/>
        <n v="210.37"/>
        <n v="214.58"/>
        <n v="215.61"/>
        <n v="217.47"/>
        <n v="217.59"/>
        <n v="218.97"/>
        <n v="220.14"/>
        <n v="221.06"/>
        <n v="221.73"/>
        <n v="222.47"/>
        <n v="223.13"/>
        <n v="223.84"/>
        <n v="224.11"/>
        <n v="224.54"/>
        <n v="228.53"/>
        <n v="229.28"/>
        <n v="229.92"/>
        <n v="230.55"/>
        <n v="231.26"/>
        <n v="233.97"/>
        <n v="234.88"/>
        <n v="237.96"/>
        <n v="238.42"/>
        <n v="238.43"/>
        <n v="238.55"/>
        <n v="240.06"/>
        <n v="240.58"/>
        <n v="240.97"/>
        <n v="241.76"/>
        <n v="242.02"/>
        <n v="242.95"/>
        <n v="243.36"/>
        <n v="244.13"/>
        <n v="244.4"/>
        <n v="245.3"/>
        <n v="250.25"/>
        <n v="250.35"/>
        <n v="251.59"/>
        <n v="251.66"/>
        <n v="252.92"/>
        <n v="253.4"/>
        <n v="253.66"/>
        <n v="253.69"/>
        <n v="254.45"/>
        <n v="254.67"/>
        <n v="255.01"/>
        <n v="255.16"/>
        <n v="255.95"/>
        <n v="256.61"/>
        <n v="258.66"/>
        <n v="260.69"/>
        <n v="263.22"/>
        <n v="266.08"/>
        <n v="266.47"/>
        <n v="268.61"/>
        <n v="268.97"/>
        <n v="270.94"/>
        <n v="272.07"/>
        <n v="272.65"/>
        <n v="272.94"/>
        <n v="274.19"/>
        <n v="274.47"/>
        <n v="276"/>
        <n v="276.98"/>
        <n v="278.74"/>
        <n v="279.31"/>
        <n v="279.82"/>
        <n v="280.14"/>
        <n v="280.5"/>
        <n v="280.86"/>
        <n v="281.44"/>
        <n v="281.53"/>
        <n v="281.54"/>
        <n v="282.65"/>
        <n v="282.89"/>
        <n v="283.53"/>
        <n v="284.53"/>
        <n v="285.99"/>
        <n v="286.03"/>
        <n v="286.26"/>
        <n v="287.4"/>
        <n v="288.07"/>
        <n v="288.69"/>
        <n v="290.12"/>
        <n v="290.13"/>
        <n v="291.54"/>
        <n v="291.71"/>
        <n v="292"/>
        <n v="292.47"/>
        <n v="292.95"/>
        <n v="292.97"/>
        <n v="293.28"/>
        <n v="294.36"/>
        <n v="296.07"/>
        <n v="296.93"/>
        <n v="298.03"/>
        <n v="298.69"/>
        <n v="298.82"/>
        <n v="300.19"/>
        <n v="300.46"/>
        <n v="300.76"/>
        <n v="302.16"/>
        <n v="302.21"/>
        <n v="304.08"/>
        <n v="304.7"/>
        <n v="304.73"/>
        <n v="305.03"/>
        <n v="305.61"/>
        <n v="307.02"/>
        <n v="307.14"/>
        <n v="309.57"/>
        <n v="310.91"/>
        <n v="312.32"/>
        <n v="312.82"/>
        <n v="313.22"/>
        <n v="313.38"/>
        <n v="314.43"/>
        <n v="314.48"/>
        <n v="316.14"/>
        <n v="316.64"/>
        <n v="317.4"/>
        <n v="317.77"/>
        <n v="317.81"/>
        <n v="318.43"/>
        <n v="318.44"/>
        <n v="319.29"/>
        <n v="319.82"/>
        <n v="320.08"/>
        <n v="320.21"/>
        <n v="320.77"/>
        <n v="321.71"/>
        <n v="321.88"/>
        <n v="321.99"/>
        <n v="325.86"/>
        <n v="326.38"/>
        <n v="327.76"/>
        <n v="328.1"/>
        <n v="329.42"/>
        <n v="330.09"/>
        <n v="331.59"/>
        <n v="332.73"/>
        <n v="333.02"/>
        <n v="333.96"/>
        <n v="336.09"/>
        <n v="336.45"/>
        <n v="338.49"/>
        <n v="340.13"/>
        <n v="340.46"/>
        <n v="341.77"/>
        <n v="341.78"/>
        <n v="342"/>
        <n v="342.44"/>
        <n v="344.1"/>
        <n v="345.76"/>
        <n v="345.93"/>
        <n v="347.76"/>
        <n v="350.63"/>
        <n v="352.84"/>
        <n v="352.97"/>
        <n v="354.08"/>
        <n v="354.73"/>
        <n v="354.76"/>
        <n v="355.48"/>
        <n v="356.54"/>
        <n v="358.15"/>
        <n v="358.32"/>
        <n v="358.58"/>
        <n v="359.18"/>
        <n v="361.88"/>
        <n v="362.65"/>
        <n v="363.92"/>
        <n v="364.9"/>
        <n v="365.77"/>
        <n v="365.96"/>
        <n v="367.99"/>
        <n v="368.37"/>
        <n v="368.88"/>
        <n v="369.55"/>
        <n v="369.83"/>
        <n v="370.09"/>
        <n v="370.89"/>
        <n v="371.8"/>
        <n v="372.81"/>
        <n v="373.07"/>
        <n v="373.52"/>
        <n v="373.62"/>
        <n v="374.74"/>
        <n v="375.23"/>
        <n v="375.42"/>
        <n v="377.08"/>
        <n v="377.19"/>
        <n v="377.38"/>
        <n v="378.19"/>
        <n v="378.51"/>
        <n v="378.67"/>
        <n v="379.18"/>
        <n v="380.53"/>
        <n v="380.88"/>
        <n v="381.31"/>
        <n v="381.48"/>
        <n v="382.01"/>
        <n v="382.37"/>
        <n v="384.1"/>
        <n v="384.25"/>
        <n v="384.34"/>
        <n v="384.92"/>
        <n v="385.43"/>
        <n v="385.71"/>
        <n v="386.84"/>
        <n v="388.72"/>
        <n v="391.04"/>
        <n v="392.49"/>
        <n v="396.45"/>
        <n v="397.06"/>
        <n v="398.45"/>
        <n v="398.91"/>
        <n v="400.1"/>
        <n v="401.55"/>
        <n v="402.36"/>
        <n v="403.23"/>
        <n v="404.07"/>
        <n v="404.18"/>
        <n v="405.44"/>
        <n v="405.69"/>
        <n v="406.66"/>
        <n v="407.11"/>
        <n v="407.33"/>
        <n v="407.48"/>
        <n v="407.72"/>
        <n v="408.37"/>
        <n v="408.55"/>
        <n v="409.36"/>
        <n v="409.41"/>
        <n v="409.45"/>
        <n v="409.51"/>
        <n v="410.12"/>
        <n v="410.24"/>
        <n v="410.37"/>
        <n v="410.51"/>
        <n v="411.36"/>
        <n v="411.7"/>
        <n v="412.1"/>
        <n v="412.81"/>
        <n v="416.11"/>
        <n v="417"/>
        <n v="417.13"/>
        <n v="420.56"/>
        <n v="421.31"/>
        <n v="422.67"/>
        <n v="423.62"/>
        <n v="426.57"/>
        <n v="428.61"/>
        <n v="429.3"/>
        <n v="429.38"/>
        <n v="430.32"/>
        <n v="431.22"/>
        <n v="432.11"/>
        <n v="433.92"/>
        <n v="435.11"/>
        <n v="436.58"/>
        <n v="437.31"/>
        <n v="437.46"/>
        <n v="437.94"/>
        <n v="438.26"/>
        <n v="438.7"/>
        <n v="439.43"/>
        <n v="439.5"/>
        <n v="439.92"/>
        <n v="440.05"/>
        <n v="440.6"/>
        <n v="441.09"/>
        <n v="441.55"/>
        <n v="442.75"/>
        <n v="442.91"/>
        <n v="444.56"/>
        <n v="444.94"/>
        <n v="445.29"/>
        <n v="445.39"/>
        <n v="445.65"/>
        <n v="448.04"/>
        <n v="448.11"/>
        <n v="448.71"/>
        <n v="448.97"/>
        <n v="449.08"/>
        <n v="449.21"/>
        <n v="449.66"/>
        <n v="450.23"/>
        <n v="450.68"/>
        <n v="451.13"/>
        <n v="451.26"/>
        <n v="451.89"/>
        <n v="452.08"/>
        <n v="452.35"/>
        <n v="453.31"/>
        <n v="453.82"/>
        <n v="454.1"/>
        <n v="454.9"/>
        <n v="456.12"/>
        <n v="457.05"/>
        <n v="457.44"/>
        <n v="458.25"/>
        <n v="458.85"/>
        <n v="458.91"/>
        <n v="459.99"/>
        <n v="460.54"/>
        <n v="460.7"/>
        <n v="461.19"/>
        <n v="462.08"/>
        <n v="462.62"/>
        <n v="462.82"/>
        <n v="464.12"/>
        <n v="464.93"/>
        <n v="466.22"/>
        <n v="466.36"/>
        <n v="467.95"/>
        <n v="471.48"/>
        <n v="472.5"/>
        <n v="472.76"/>
        <n v="473.97"/>
        <n v="476.64"/>
        <n v="476.72"/>
        <n v="476.85"/>
        <n v="477.19"/>
        <n v="478.48"/>
        <n v="478.76"/>
        <n v="479.04"/>
        <n v="479.93"/>
        <n v="480.12"/>
        <n v="481.15"/>
        <n v="481.46"/>
        <n v="481.95"/>
        <n v="482.14"/>
        <n v="482.71"/>
        <n v="483.53"/>
        <n v="483.55"/>
        <n v="484.03"/>
        <n v="485.9"/>
        <n v="486.65"/>
        <n v="486.66"/>
        <n v="486.71"/>
        <n v="488.8"/>
        <n v="489.26"/>
        <n v="489.53"/>
        <n v="490.05"/>
        <n v="492.28"/>
        <n v="492.45"/>
        <n v="493.1"/>
        <n v="493.59"/>
        <n v="493.87"/>
        <n v="494.07"/>
        <n v="495.38"/>
        <n v="497.58"/>
        <n v="497.67"/>
        <n v="500.39"/>
        <n v="500.56"/>
        <n v="501.74"/>
        <n v="502.92"/>
        <n v="503.19"/>
        <n v="504.25"/>
        <n v="506.8"/>
        <n v="507.11"/>
        <n v="508.38"/>
        <n v="508.5"/>
        <n v="509.51"/>
        <n v="512.84"/>
        <n v="512.96"/>
        <n v="514.21"/>
        <n v="516.44"/>
        <n v="517.32"/>
        <n v="517.5"/>
        <n v="519.79"/>
        <n v="521.41"/>
        <n v="521.7"/>
        <n v="524.5"/>
        <n v="525.02"/>
        <n v="525.89"/>
        <n v="526.75"/>
        <n v="528.14"/>
        <n v="528.37"/>
        <n v="528.47"/>
        <n v="528.55"/>
        <n v="529.46"/>
        <n v="530.35"/>
        <n v="530.89"/>
        <n v="531.79"/>
        <n v="533.23"/>
        <n v="533.31"/>
        <n v="534.62"/>
        <n v="534.81"/>
        <n v="535.65"/>
        <n v="535.73"/>
        <n v="536.66"/>
        <n v="537.08"/>
        <n v="537.45"/>
        <n v="538.46"/>
        <n v="538.76"/>
        <n v="540.92"/>
        <n v="542.27"/>
        <n v="542.82"/>
        <n v="544.14"/>
        <n v="544.72"/>
        <n v="545.31"/>
        <n v="545.73"/>
        <n v="545.88"/>
        <n v="546.83"/>
        <n v="548.49"/>
        <n v="548.93"/>
        <n v="551.99"/>
        <n v="552.54"/>
        <n v="556.17"/>
        <n v="556.61"/>
        <n v="558.05"/>
        <n v="558.28"/>
        <n v="558.62"/>
        <n v="561.34"/>
        <n v="563.08"/>
        <n v="565.78"/>
        <n v="566.47"/>
        <n v="568.15"/>
        <n v="568.77"/>
        <n v="569.07"/>
        <n v="570.09"/>
        <n v="573.02"/>
        <n v="573.2"/>
        <n v="573.87"/>
        <n v="574.33"/>
        <n v="574.8"/>
        <n v="576.94"/>
        <n v="577.66"/>
        <n v="577.94"/>
        <n v="578.42"/>
        <n v="578.48"/>
        <n v="578.56"/>
        <n v="579.89"/>
        <n v="580.26"/>
        <n v="580.28"/>
        <n v="581.35"/>
        <n v="581.99"/>
        <n v="582.77"/>
        <n v="583.08"/>
        <n v="583.33"/>
        <n v="583.99"/>
        <n v="584.24"/>
        <n v="584.35"/>
        <n v="584.93"/>
        <n v="585.59"/>
        <n v="585.75"/>
        <n v="586.55"/>
        <n v="586.66"/>
        <n v="588.05"/>
        <n v="588.73"/>
        <n v="590.12"/>
        <n v="590.33"/>
        <n v="590.93"/>
        <n v="591.36"/>
        <n v="591.47"/>
        <n v="593.86"/>
        <n v="597.38"/>
        <n v="597.52"/>
        <n v="600.91"/>
        <n v="601.51"/>
        <n v="602.85"/>
        <n v="603.38"/>
        <n v="604.32"/>
        <n v="605.1"/>
        <n v="606.07"/>
        <n v="606.09"/>
        <n v="609.04"/>
        <n v="609.77"/>
        <n v="610.06"/>
        <n v="611.8"/>
        <n v="611.83"/>
        <n v="615.55"/>
        <n v="616.16"/>
        <n v="616.38"/>
        <n v="625.69"/>
        <n v="625.71"/>
        <n v="626.04"/>
        <n v="626.44"/>
        <n v="626.76"/>
        <n v="627.61"/>
        <n v="627.89"/>
        <n v="628.2"/>
        <n v="628.56"/>
        <n v="628.62"/>
        <n v="628.85"/>
        <n v="629.65"/>
        <n v="630.85"/>
        <n v="631.07"/>
        <n v="632.3"/>
        <n v="633.04"/>
        <n v="633.49"/>
        <n v="634.73"/>
        <n v="635.43"/>
        <n v="635.51"/>
        <n v="638.75"/>
        <n v="639.09"/>
        <n v="639.86"/>
        <n v="640.42"/>
        <n v="640.73"/>
        <n v="641.54"/>
        <n v="643.99"/>
        <n v="645.92"/>
        <n v="649.74"/>
        <n v="650.42"/>
        <n v="651.33"/>
        <n v="652.34"/>
        <n v="652.91"/>
        <n v="653"/>
        <n v="653.45"/>
        <n v="655.55"/>
        <n v="656.91"/>
        <n v="658.83"/>
        <n v="660.13"/>
        <n v="668.52"/>
        <n v="672.17"/>
        <n v="672.9"/>
        <n v="673.45"/>
        <n v="676.02"/>
        <n v="676.15"/>
        <n v="676.66"/>
        <n v="677.84"/>
        <n v="678.52"/>
        <n v="679.52"/>
        <n v="679.53"/>
        <n v="679.98"/>
        <n v="681.26"/>
        <n v="681.32"/>
        <n v="682.13"/>
        <n v="682.16"/>
        <n v="683.65"/>
        <n v="684.19"/>
        <n v="684.31"/>
        <n v="685.16"/>
        <n v="685.61"/>
        <n v="686.44"/>
        <n v="686.85"/>
        <n v="687.64"/>
        <n v="688.18"/>
        <n v="689.03"/>
        <n v="690.69"/>
        <n v="691.05"/>
        <n v="691.51"/>
        <n v="691.86"/>
        <n v="694.11"/>
        <n v="694.12"/>
        <n v="694.24"/>
        <n v="694.54"/>
        <n v="695.21"/>
        <n v="695.23"/>
        <n v="695.81"/>
        <n v="697.5"/>
        <n v="700.57"/>
        <n v="701.27"/>
        <n v="701.37"/>
        <n v="701.78"/>
        <n v="706.77"/>
        <n v="706.83"/>
        <n v="709.96"/>
        <n v="710.54"/>
        <n v="710.88"/>
        <n v="710.96"/>
        <n v="710.97"/>
        <n v="715.15"/>
        <n v="717.94"/>
        <n v="718.14"/>
        <n v="718.35"/>
        <n v="721.91"/>
        <n v="722.64"/>
        <n v="723.09"/>
        <n v="723.21"/>
        <n v="724.06"/>
        <n v="727.2"/>
        <n v="728.71"/>
        <n v="729.8"/>
        <n v="729.97"/>
        <n v="730.07"/>
        <n v="730.3"/>
        <n v="730.43"/>
        <n v="732.38"/>
        <n v="732.67"/>
        <n v="733.33"/>
        <n v="734.6"/>
        <n v="734.66"/>
        <n v="735.07"/>
        <n v="735.47"/>
        <n v="735.5"/>
        <n v="735.61"/>
        <n v="735.76"/>
        <n v="736.24"/>
        <n v="737.41"/>
        <n v="737.91"/>
        <n v="738.18"/>
        <n v="739.34"/>
        <n v="739.65"/>
        <n v="742.32"/>
        <n v="743.07"/>
        <n v="743.77"/>
        <n v="745.41"/>
        <n v="746.18"/>
        <n v="746.73"/>
        <n v="747.24"/>
        <n v="747.32"/>
        <n v="747.44"/>
        <n v="747.51"/>
        <n v="749.05"/>
        <n v="751.1"/>
        <n v="752.34"/>
        <n v="753.46"/>
        <n v="753.88"/>
        <n v="754.17"/>
        <n v="755.81"/>
        <n v="756.37"/>
        <n v="757.02"/>
        <n v="760.41"/>
        <n v="760.51"/>
        <n v="763.01"/>
        <n v="763.35"/>
        <n v="764.73"/>
        <n v="764.75"/>
        <n v="765.22"/>
        <n v="768.99"/>
        <n v="770.16"/>
        <n v="771.23"/>
        <n v="771.42"/>
        <n v="772.37"/>
        <n v="777.45"/>
        <n v="777.65"/>
        <n v="778.58"/>
        <n v="779.23"/>
        <n v="779.45"/>
        <n v="780.76"/>
        <n v="780.96"/>
        <n v="781.81"/>
        <n v="782.07"/>
        <n v="784.2"/>
        <n v="786.53"/>
        <n v="786.57"/>
        <n v="786.67"/>
        <n v="787.07"/>
        <n v="788.39"/>
        <n v="788.45"/>
        <n v="788.83"/>
        <n v="792.56"/>
        <n v="792.9"/>
        <n v="793.43"/>
        <n v="797.14"/>
        <n v="800.91"/>
        <n v="804.95"/>
        <n v="807.69"/>
        <n v="807.73"/>
        <n v="812.57"/>
        <n v="814.23"/>
        <n v="814.66"/>
        <n v="815.58"/>
        <n v="817.08"/>
        <n v="817.29"/>
        <n v="817.51"/>
        <n v="819.03"/>
        <n v="819.63"/>
        <n v="819.73"/>
        <n v="820.47"/>
        <n v="820.73"/>
        <n v="822.04"/>
        <n v="823.26"/>
        <n v="827.43"/>
        <n v="830.95"/>
        <n v="833.54"/>
        <n v="834"/>
        <n v="834.25"/>
        <n v="834.27"/>
        <n v="834.72"/>
        <n v="835.89"/>
        <n v="837.42"/>
        <n v="837.65"/>
        <n v="840.42"/>
        <n v="841.13"/>
        <n v="841.24"/>
        <n v="841.42"/>
        <n v="842.76"/>
        <n v="844.6"/>
        <n v="844.76"/>
        <n v="844.79"/>
        <n v="846.96"/>
        <n v="847.25"/>
        <n v="847.7"/>
        <n v="848.15"/>
        <n v="848.35"/>
        <n v="850.04"/>
        <n v="852.67"/>
        <n v="853.2"/>
        <n v="854.17"/>
        <n v="854.93"/>
        <n v="858.22"/>
        <n v="861.5"/>
        <n v="862.08"/>
        <n v="862.93"/>
        <n v="864.3"/>
        <n v="865.57"/>
        <n v="866.91"/>
        <n v="867.85"/>
        <n v="869.79"/>
        <n v="873.17"/>
        <n v="873.98"/>
        <n v="874.63"/>
        <n v="876.36"/>
        <n v="878.14"/>
        <n v="878.86"/>
        <n v="880"/>
        <n v="880.18"/>
        <n v="882.57"/>
        <n v="882.59"/>
        <n v="884.89"/>
        <n v="885.49"/>
        <n v="886.89"/>
        <n v="886.91"/>
        <n v="887.2"/>
        <n v="889.12"/>
        <n v="890.94"/>
        <n v="892.01"/>
        <n v="893.49"/>
        <n v="894.01"/>
        <n v="894.33"/>
        <n v="894.49"/>
        <n v="896.23"/>
        <n v="896.78"/>
        <n v="903.78"/>
        <n v="905.58"/>
        <n v="906.62"/>
        <n v="907.68"/>
        <n v="907.7"/>
        <n v="908.7"/>
        <n v="909.8"/>
        <n v="911.88"/>
        <n v="914.89"/>
        <n v="921.41"/>
        <n v="922.2"/>
        <n v="923.22"/>
        <n v="923.32"/>
        <n v="924.06"/>
        <n v="925.22"/>
        <n v="925.57"/>
        <n v="927.69"/>
        <n v="928.71"/>
        <n v="930.59"/>
        <n v="931.6"/>
        <n v="933.02"/>
        <n v="934.06"/>
        <n v="934.46"/>
        <n v="936.91"/>
        <n v="938.54"/>
        <n v="939.06"/>
        <n v="941.39"/>
        <n v="941.78"/>
        <n v="942.29"/>
        <n v="943.24"/>
        <n v="944.48"/>
        <n v="946.6"/>
        <n v="949.34"/>
        <n v="951.51"/>
        <n v="953.77"/>
        <n v="955.28"/>
        <n v="956.95"/>
        <n v="958.07"/>
        <n v="959.85"/>
        <n v="961.09"/>
        <n v="962.56"/>
        <n v="962.7"/>
        <n v="962.91"/>
        <n v="963.82"/>
        <n v="965.42"/>
        <n v="965.98"/>
        <n v="967.3"/>
        <n v="973.91"/>
        <n v="974.4"/>
        <n v="975.09"/>
        <n v="976.25"/>
        <n v="977.16"/>
        <n v="978.1"/>
        <n v="980.63"/>
        <n v="980.75"/>
        <n v="984.25"/>
        <n v="986.21"/>
        <n v="987.17"/>
        <n v="987.91"/>
        <n v="989.68"/>
        <n v="990.75"/>
        <n v="992.92"/>
        <n v="993.88"/>
        <n v="998.66"/>
        <n v="1001.89"/>
        <n v="1002.38"/>
        <n v="1003.47"/>
        <n v="1005.18"/>
        <n v="1006.38"/>
        <n v="1009.6"/>
        <n v="1009.67"/>
        <n v="1010.42"/>
        <n v="1014.23"/>
        <n v="1014.48"/>
        <n v="1015.06"/>
        <n v="1016.28"/>
        <n v="1017.71"/>
        <n v="1020.93"/>
        <n v="1022.42"/>
        <n v="1025.87"/>
        <n v="1025.91"/>
        <n v="1026.46"/>
        <n v="1026.66"/>
        <n v="1028.36"/>
        <n v="1028.41"/>
        <n v="1029.69"/>
        <n v="1032.38"/>
        <n v="1033.1"/>
        <n v="1041.02"/>
        <n v="1042.74"/>
        <n v="1043.57"/>
        <n v="1045.21"/>
        <n v="1045.42"/>
        <n v="1047.8"/>
        <n v="1048.61"/>
        <n v="1049.42"/>
        <n v="1050.07"/>
        <n v="1054.85"/>
        <n v="1056.27"/>
        <n v="1056.35"/>
        <n v="1060.15"/>
        <n v="1061.02"/>
        <n v="1061.77"/>
        <n v="1063.81"/>
        <n v="1063.86"/>
        <n v="1064.27"/>
        <n v="1066.27"/>
        <n v="1072.72"/>
        <n v="1079.72"/>
        <n v="1079.96"/>
        <n v="1086.09"/>
        <n v="1088.18"/>
        <n v="1089.44"/>
        <n v="1089.61"/>
        <n v="1093.26"/>
        <n v="1096.07"/>
        <n v="1097.58"/>
        <n v="1097.68"/>
        <n v="1100.07"/>
        <n v="1101.9"/>
        <n v="1112.17"/>
        <n v="1112.66"/>
        <n v="1114.42"/>
        <n v="1116.57"/>
        <n v="1116.86"/>
        <n v="1118.44"/>
        <n v="1121.27"/>
        <n v="1121.79"/>
        <n v="1122.42"/>
        <n v="1126.66"/>
        <n v="1127.73"/>
        <n v="1128.01"/>
        <n v="1130.87"/>
        <n v="1133.71"/>
        <n v="1134.67"/>
        <n v="1136.29"/>
        <n v="1138.23"/>
        <n v="1140.77"/>
        <n v="1141.12"/>
        <n v="1141.65"/>
        <n v="1142.96"/>
        <n v="1143.45"/>
        <n v="1144.07"/>
        <n v="1144.21"/>
        <n v="1144.79"/>
        <n v="1145.89"/>
        <n v="1147.74"/>
        <n v="1147.82"/>
        <n v="1154.37"/>
        <n v="1155.24"/>
        <n v="1156.95"/>
        <n v="1158.41"/>
        <n v="1162.98"/>
        <n v="1167.32"/>
        <n v="1167.98"/>
        <n v="1168.48"/>
        <n v="1171.49"/>
        <n v="1171.77"/>
        <n v="1173.33"/>
        <n v="1174.67"/>
        <n v="1176.76"/>
        <n v="1178.23"/>
        <n v="1178.78"/>
        <n v="1179.86"/>
        <n v="1180"/>
        <n v="1180.66"/>
        <n v="1181.33"/>
        <n v="1182.74"/>
        <n v="1182.94"/>
        <n v="1183.26"/>
        <n v="1184.8"/>
        <n v="1187.71"/>
        <n v="1188.08"/>
        <n v="1191.17"/>
        <n v="1192.65"/>
        <n v="1195.71"/>
        <n v="1196.18"/>
        <n v="1199.81"/>
        <n v="1199.91"/>
        <n v="1201.82"/>
        <n v="1205.54"/>
        <n v="1206.77"/>
        <n v="1209.54"/>
        <n v="1210.2"/>
        <n v="1211.6"/>
        <n v="1213.06"/>
        <n v="1220.11"/>
        <n v="1222.44"/>
        <n v="1225.08"/>
        <n v="1225.86"/>
        <n v="1228.22"/>
        <n v="1230.31"/>
        <n v="1231.53"/>
        <n v="1232.08"/>
        <n v="1232.76"/>
        <n v="1237.51"/>
        <n v="1240.78"/>
        <n v="1242.34"/>
        <n v="1244.04"/>
        <n v="1245.53"/>
        <n v="1251.38"/>
        <n v="1252.15"/>
        <n v="1252.44"/>
        <n v="1253.52"/>
        <n v="1255.18"/>
        <n v="1259.31"/>
        <n v="1260.09"/>
        <n v="1260.19"/>
        <n v="1261.69"/>
        <n v="1261.85"/>
        <n v="1262.08"/>
        <n v="1262.13"/>
        <n v="1262.33"/>
        <n v="1265.29"/>
        <n v="1266.08"/>
        <n v="1266.51"/>
        <n v="1268.82"/>
        <n v="1271.32"/>
        <n v="1271.56"/>
        <n v="1276.08"/>
        <n v="1277.5"/>
        <n v="1278.18"/>
        <n v="1279.72"/>
        <n v="1280.33"/>
        <n v="1281.26"/>
        <n v="1281.45"/>
        <n v="1284.69"/>
        <n v="1287.9"/>
        <n v="1291.83"/>
        <n v="1292.04"/>
        <n v="1298.21"/>
        <n v="1300.12"/>
        <n v="1301.27"/>
        <n v="1302.66"/>
        <n v="1304.14"/>
        <n v="1307.03"/>
        <n v="1307.66"/>
        <n v="1309.76"/>
        <n v="1311.09"/>
        <n v="1311.78"/>
        <n v="1312.32"/>
        <n v="1312.59"/>
        <n v="1314.54"/>
        <n v="1314.78"/>
        <n v="1317.21"/>
        <n v="1317.29"/>
        <n v="1319.99"/>
        <n v="1320.08"/>
        <n v="1320.9"/>
        <n v="1320.93"/>
        <n v="1323.85"/>
        <n v="1323.89"/>
        <n v="1327.12"/>
        <n v="1328.24"/>
        <n v="1330.81"/>
        <n v="1332.11"/>
        <n v="1336.18"/>
        <n v="1339.73"/>
        <n v="1340.24"/>
        <n v="1341.73"/>
        <n v="1344.11"/>
        <n v="1345.17"/>
        <n v="1349.65"/>
        <n v="1353.34"/>
        <n v="1355.66"/>
        <n v="1361.8"/>
        <n v="1363.05"/>
        <n v="1364.09"/>
        <n v="1367.31"/>
        <n v="1368.16"/>
        <n v="1375.28"/>
        <n v="1376.55"/>
        <n v="1380.74"/>
        <n v="1386.63"/>
        <n v="1391.61"/>
        <n v="1394.35"/>
        <n v="1395.71"/>
        <n v="1396.08"/>
        <n v="1397.07"/>
        <n v="1402.08"/>
        <n v="1402.28"/>
        <n v="1405.26"/>
        <n v="1413.53"/>
        <n v="1413.98"/>
        <n v="1416.72"/>
        <n v="1422.01"/>
        <n v="1424"/>
        <n v="1425.66"/>
        <n v="1426.77"/>
        <n v="1429.31"/>
        <n v="1429.92"/>
        <n v="1431.36"/>
        <n v="1432.54"/>
        <n v="1433.8"/>
        <n v="1435.83"/>
        <n v="1440.6"/>
        <n v="1441.64"/>
        <n v="1442.34"/>
        <n v="1445.29"/>
        <n v="1448.12"/>
        <n v="1449.02"/>
        <n v="1452.09"/>
        <n v="1452.59"/>
        <n v="1454.42"/>
        <n v="1457.42"/>
        <n v="1464.02"/>
        <n v="1467.15"/>
        <n v="1468.04"/>
        <n v="1469.19"/>
        <n v="1470.48"/>
        <n v="1470.99"/>
        <n v="1471.12"/>
        <n v="1474.06"/>
        <n v="1479.31"/>
        <n v="1481.86"/>
        <n v="1483.82"/>
        <n v="1484.39"/>
        <n v="1486.13"/>
        <n v="1487.53"/>
        <n v="1489.38"/>
        <n v="1490.81"/>
        <n v="1492.75"/>
        <n v="1492.93"/>
        <n v="1493.46"/>
        <n v="1494.62"/>
        <n v="1495.03"/>
        <n v="1496.1"/>
        <n v="1502.21"/>
        <n v="1503.09"/>
        <n v="1503.26"/>
        <n v="1508.34"/>
        <n v="1509.56"/>
        <n v="1511.62"/>
        <n v="1514.03"/>
        <n v="1514.5"/>
        <n v="1515.22"/>
        <n v="1516.33"/>
        <n v="1517.87"/>
        <n v="1519.81"/>
        <n v="1519.98"/>
        <n v="1520.82"/>
        <n v="1521.02"/>
        <n v="1521.66"/>
        <n v="1525.63"/>
        <n v="1527.41"/>
        <n v="1530.43"/>
        <n v="1540.31"/>
        <n v="1540.51"/>
        <n v="1542.84"/>
        <n v="1544.46"/>
        <n v="1550.98"/>
        <n v="1563.17"/>
        <n v="1564.19"/>
        <n v="1565.1"/>
        <n v="1567.82"/>
        <n v="1568.69"/>
        <n v="1571.62"/>
        <n v="1575.11"/>
        <n v="1584.1"/>
        <n v="1591.53"/>
        <n v="1591.63"/>
        <n v="1594.28"/>
        <n v="1607.39"/>
        <n v="1607.78"/>
        <n v="1610.28"/>
        <n v="1613.32"/>
        <n v="1615.37"/>
        <n v="1616.29"/>
        <n v="1618.09"/>
        <n v="1619.07"/>
        <n v="1628.1"/>
        <n v="1630.17"/>
        <n v="1632.38"/>
        <n v="1634.58"/>
        <n v="1640.41"/>
        <n v="1640.74"/>
        <n v="1645.46"/>
        <n v="1650.34"/>
        <n v="1654.64"/>
        <n v="1654.87"/>
        <n v="1655.01"/>
        <n v="1658.88"/>
        <n v="1667.83"/>
        <n v="1668.51"/>
        <n v="1669.54"/>
        <n v="1672.11"/>
        <n v="1678.4"/>
        <n v="1679.08"/>
        <n v="1679.74"/>
        <n v="1682.47"/>
        <n v="1682.73"/>
        <n v="1682.84"/>
        <n v="1687.48"/>
        <n v="1689.59"/>
        <n v="1691.77"/>
        <n v="1695.41"/>
        <n v="1699.74"/>
        <n v="1706.36"/>
        <n v="1708.34"/>
        <n v="1709.85"/>
        <n v="1712.48"/>
        <n v="1715.17"/>
        <n v="1716.11"/>
        <n v="1716.43"/>
        <n v="1731.14"/>
        <n v="1738.03"/>
        <n v="1739.28"/>
        <n v="1739.9"/>
        <n v="1747.03"/>
        <n v="1747.78"/>
        <n v="1748"/>
        <n v="1749.99"/>
        <n v="1750.12"/>
        <n v="1752.72"/>
        <n v="1756.28"/>
        <n v="1756.39"/>
        <n v="1770.35"/>
        <n v="1770.98"/>
        <n v="1774.41"/>
        <n v="1783.72"/>
        <n v="1789.2"/>
        <n v="1793.56"/>
        <n v="1800.3"/>
        <n v="1810.15"/>
        <n v="1819.59"/>
        <n v="1820.36"/>
        <n v="1838.67"/>
        <n v="1843.38"/>
        <n v="1846.06"/>
        <n v="1854.77"/>
        <n v="1858.54"/>
        <n v="1861.18"/>
        <n v="1862.85"/>
        <n v="1868.62"/>
        <n v="1869.96"/>
        <n v="1877.76"/>
        <n v="1878.12"/>
        <n v="1878.87"/>
        <n v="1881.38"/>
        <n v="1889.52"/>
        <n v="1893.2"/>
        <n v="1901.28"/>
        <n v="1902.38"/>
        <n v="1906.53"/>
        <n v="1918.37"/>
        <n v="1920.98"/>
        <n v="1923.39"/>
        <n v="1925.39"/>
        <n v="1930.83"/>
        <n v="1932.03"/>
        <n v="1941.43"/>
        <n v="1947.31"/>
        <n v="1953.99"/>
        <n v="1956.2"/>
        <n v="1966.43"/>
        <n v="1968.12"/>
        <n v="1972.41"/>
        <n v="1975.94"/>
        <n v="1980.13"/>
        <n v="1980.4"/>
        <n v="1982.46"/>
        <n v="1989.28"/>
        <n v="1991.91"/>
        <n v="2001.03"/>
        <n v="2008.29"/>
        <n v="2009.5"/>
        <n v="2010.36"/>
        <n v="2012.85"/>
        <n v="2030.12"/>
        <n v="2040.47"/>
        <n v="2051.58"/>
        <n v="2053.32"/>
        <n v="2059.52"/>
        <n v="2063.76"/>
        <n v="2069.82"/>
        <n v="2070.14"/>
        <n v="2073.6"/>
        <n v="2082.36"/>
        <n v="2086.02"/>
        <n v="2086.92"/>
        <n v="2087.14"/>
        <n v="2089.44"/>
        <n v="2093.31"/>
        <n v="2103.55"/>
        <n v="2106.25"/>
        <n v="2113.79"/>
        <n v="2119.22"/>
        <n v="2119.26"/>
        <n v="2120.88"/>
        <n v="2122.86"/>
        <n v="2124.95"/>
        <n v="2135.43"/>
        <n v="2142.31"/>
        <n v="2155.64"/>
        <n v="2171.37"/>
        <n v="2189.15"/>
        <n v="2205.16"/>
        <n v="2206.42"/>
        <n v="2206.49"/>
        <n v="2212.24"/>
        <n v="2222.79"/>
        <n v="2222.81"/>
        <n v="2225.73"/>
        <n v="2227.95"/>
        <n v="2235.41"/>
        <n v="2236.22"/>
        <n v="2236.5"/>
        <n v="2238.18"/>
        <n v="2242.35"/>
        <n v="2244.14"/>
        <n v="2253.31"/>
        <n v="2254.64"/>
        <n v="2256.26"/>
        <n v="2281.54"/>
        <n v="2282.24"/>
        <n v="2283.3"/>
        <n v="2288.15"/>
        <n v="2288.41"/>
        <n v="2288.69"/>
        <n v="2289.04"/>
        <n v="2295.65"/>
        <n v="2313.69"/>
        <n v="2315.84"/>
        <n v="2316.82"/>
        <n v="2327.21"/>
        <n v="2336.97"/>
        <n v="2337.99"/>
        <n v="2341.6"/>
        <n v="2342.29"/>
        <n v="2346.65"/>
        <n v="2349.33"/>
        <n v="2353.52"/>
        <n v="2357.56"/>
        <n v="2363.72"/>
        <n v="2365.17"/>
        <n v="2372.72"/>
        <n v="2377.98"/>
        <n v="2378.59"/>
        <n v="2387.45"/>
        <n v="2391.42"/>
        <n v="2396.63"/>
        <n v="2415.03"/>
        <n v="2419.08"/>
        <n v="2426.12"/>
        <n v="2429.18"/>
        <n v="2437.72"/>
        <n v="2441.24"/>
        <n v="2445.25"/>
        <n v="2446.39"/>
        <n v="2456.12"/>
        <n v="2457.1"/>
        <n v="2458.94"/>
        <n v="2460.15"/>
        <n v="2461.89"/>
        <n v="2464.16"/>
        <n v="2467.93"/>
        <n v="2471.42"/>
        <n v="2473.69"/>
        <n v="2482.3"/>
        <n v="2483.03"/>
        <n v="2484.69"/>
        <n v="2488.33"/>
        <n v="2500.27"/>
        <n v="2504.3"/>
        <n v="2507.33"/>
        <n v="2518.62"/>
        <n v="2520.18"/>
        <n v="2523.71"/>
        <n v="2532.2"/>
        <n v="2536.55"/>
        <n v="2540.87"/>
        <n v="2552.16"/>
        <n v="2561.54"/>
        <n v="2562.52"/>
        <n v="2579.54"/>
        <n v="2594.34"/>
        <n v="2596.41"/>
        <n v="2607.98"/>
        <n v="2608.27"/>
        <n v="2615.33"/>
        <n v="2616.07"/>
        <n v="2625.18"/>
        <n v="2628.86"/>
        <n v="2630.41"/>
        <n v="2634.42"/>
        <n v="2645.33"/>
        <n v="2652.55"/>
        <n v="2659.66"/>
        <n v="2661.79"/>
        <n v="2678.22"/>
        <n v="2680.48"/>
        <n v="2682.03"/>
        <n v="2695.55"/>
        <n v="2697.65"/>
        <n v="2728.53"/>
        <n v="2735.65"/>
        <n v="2771.29"/>
        <n v="2771.63"/>
        <n v="2776.59"/>
        <n v="2786.65"/>
        <n v="2789.99"/>
        <n v="2794.88"/>
        <n v="2813.28"/>
        <n v="2827.07"/>
        <n v="2835.2"/>
        <n v="2843.83"/>
        <n v="2843.87"/>
        <n v="2844.01"/>
        <n v="2853.58"/>
        <n v="2854.13"/>
        <n v="2856.66"/>
        <n v="2860.18"/>
        <n v="2860.58"/>
        <n v="2862.72"/>
        <n v="2872.21"/>
        <n v="2875.95"/>
        <n v="2883.32"/>
        <n v="2887.69"/>
        <n v="2898.04"/>
        <n v="2903.05"/>
        <n v="2916.98"/>
        <n v="2920.97"/>
        <n v="2925.22"/>
        <n v="2933.32"/>
        <n v="2934.31"/>
        <n v="2942.24"/>
        <n v="2943.1"/>
        <n v="2944.33"/>
        <n v="2949.65"/>
        <n v="2957.35"/>
        <n v="2959.31"/>
        <n v="2967.64"/>
        <n v="2978.76"/>
        <n v="2980.55"/>
        <n v="2989.79"/>
        <n v="2990.06"/>
        <n v="2990.86"/>
        <n v="3006.19"/>
        <n v="3060.86"/>
        <n v="3096.85"/>
        <n v="3097.32"/>
        <n v="3101.96"/>
        <n v="3135.64"/>
        <n v="3155.82"/>
        <n v="3157.79"/>
        <n v="3168.2"/>
        <n v="3180.4"/>
        <n v="3180.45"/>
        <n v="3198.8"/>
        <n v="3205.41"/>
        <n v="3230.1"/>
        <n v="3238.38"/>
        <n v="3245.52"/>
        <n v="3264.76"/>
        <n v="3265.29"/>
        <n v="3282.52"/>
        <n v="3295.23"/>
        <n v="3317.77"/>
        <n v="3317.85"/>
        <n v="3329.17"/>
        <n v="3329.48"/>
        <n v="3333.7"/>
        <n v="3335.92"/>
        <n v="3343.1"/>
        <n v="3355.28"/>
        <n v="3364.94"/>
        <n v="3379.18"/>
        <n v="3379.97"/>
        <n v="3381.96"/>
        <n v="3382.07"/>
        <n v="3383.28"/>
        <n v="3412.73"/>
        <n v="3416.69"/>
        <n v="3422.3"/>
        <n v="3423.36"/>
        <n v="3465.25"/>
        <n v="3475.22"/>
        <n v="3485.12"/>
        <n v="3548.82"/>
        <n v="3568.04"/>
        <n v="3584.32"/>
        <n v="3586.37"/>
        <n v="3596.08"/>
        <n v="3622.33"/>
        <n v="3623.66"/>
        <n v="3631.49"/>
        <n v="3640.71"/>
        <n v="3685.65"/>
        <n v="3692.84"/>
        <n v="3707.13"/>
        <n v="3722.35"/>
        <n v="3732.32"/>
        <n v="3732.49"/>
        <n v="3737.24"/>
        <n v="3750.41"/>
        <n v="3755.52"/>
        <n v="3756.46"/>
        <n v="3757.74"/>
        <n v="3759.53"/>
        <n v="3760.99"/>
        <n v="3779.04"/>
        <n v="3791.83"/>
        <n v="3804.77"/>
        <n v="3804.83"/>
        <n v="3814.67"/>
        <n v="3828.24"/>
        <n v="3834.6"/>
        <n v="3894.62"/>
        <n v="3922.99"/>
        <n v="3960.25"/>
        <n v="4025.2"/>
        <n v="4025.71"/>
        <n v="4032.55"/>
        <n v="4070.44"/>
        <n v="4095.29"/>
        <n v="4098.26"/>
        <n v="4103.15"/>
        <n v="4115.17"/>
        <n v="4147.56"/>
        <n v="4167.12"/>
        <n v="4178.88"/>
        <n v="4180.27"/>
        <n v="4206.18"/>
        <n v="4224.05"/>
        <n v="4238.52"/>
        <n v="4249.36"/>
        <n v="4259.24"/>
        <n v="4265.81"/>
        <n v="4268.27"/>
        <n v="4280.36"/>
        <n v="4313.93"/>
        <n v="4509.28"/>
        <n v="4513.47"/>
        <n v="4530.94"/>
        <n v="4548.98"/>
        <n v="4561.93"/>
        <n v="4583.83"/>
        <n v="4591.22"/>
        <n v="4633.63"/>
        <n v="4650.34"/>
        <n v="4671.46"/>
        <n v="4739.79"/>
        <n v="4755.96"/>
        <n v="4793.25"/>
        <n v="4822.41"/>
        <n v="4830.07"/>
        <n v="4868.28"/>
        <n v="4882.18"/>
        <n v="4928.31"/>
        <n v="4961.8"/>
        <n v="5000.54"/>
        <n v="5008.61"/>
        <n v="5014.66"/>
        <n v="5053.53"/>
        <n v="5073.1"/>
        <n v="5130.09"/>
        <n v="5213.77"/>
        <n v="5215.97"/>
        <n v="5231.56"/>
        <n v="5272.58"/>
        <n v="5379.56"/>
        <n v="5417.26"/>
        <n v="5432.54"/>
        <n v="5457.07"/>
        <n v="5488.71"/>
        <n v="5564.32"/>
        <n v="5687.75"/>
        <n v="5850.43"/>
        <n v="5918.62"/>
        <n v="5979.59"/>
        <n v="6083.29"/>
        <n v="6121.42"/>
        <n v="6161.73"/>
        <n v="6178.55"/>
        <n v="6220.81"/>
        <n v="6341.38"/>
        <n v="6635.54"/>
        <n v="6658.34"/>
        <n v="6710.55"/>
        <n v="6718.18"/>
        <n v="7078.81"/>
        <n v="7084.1"/>
        <n v="7100.76"/>
        <n v="7109.68"/>
        <n v="7139.7"/>
        <n v="7186.89"/>
        <n v="7345.71"/>
        <n v="7500.82"/>
        <n v="7515.47"/>
        <n v="7521.98"/>
        <n v="7609.65"/>
        <n v="7669.2"/>
        <n v="7826.16"/>
        <n v="7939.87"/>
        <n v="8057.64"/>
        <n v="8085.13"/>
        <n v="8148.53"/>
        <n v="8206.3"/>
        <n v="8238.07"/>
        <n v="8357.76"/>
        <n v="8455.17"/>
        <n v="8560.73"/>
        <n v="8569.09"/>
        <n v="8616.62"/>
        <n v="8709.14"/>
        <n v="8775.65"/>
        <n v="9005.6"/>
        <n v="9036.32"/>
        <n v="9107.18"/>
        <n v="9479.58"/>
        <n v="9511.92"/>
        <n v="9584.38"/>
        <n v="9847.56"/>
        <n v="9953.56"/>
        <n v="10463.11"/>
        <n v="10545.16"/>
        <n v="10834.51"/>
        <n v="10901.52"/>
        <n v="11837.23"/>
        <n v="11983.13"/>
        <n v="12323.45"/>
        <n v="13105.51"/>
        <n v="15001.63"/>
        <n v="16297.0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00">
  <r>
    <x v="0"/>
    <x v="7"/>
    <x v="0"/>
    <x v="0"/>
    <x v="0"/>
    <x v="3"/>
    <x v="0"/>
    <x v="0"/>
    <x v="0"/>
    <x v="1"/>
    <x v="3"/>
    <x v="6"/>
    <x v="1"/>
    <x v="2"/>
    <x v="19"/>
    <x v="25"/>
    <x v="16"/>
    <x v="863"/>
    <x v="766"/>
    <x v="1195"/>
    <x v="1605"/>
  </r>
  <r>
    <x v="1"/>
    <x v="14"/>
    <x v="0"/>
    <x v="0"/>
    <x v="0"/>
    <x v="3"/>
    <x v="0"/>
    <x v="0"/>
    <x v="0"/>
    <x v="0"/>
    <x v="3"/>
    <x v="6"/>
    <x v="1"/>
    <x v="2"/>
    <x v="6"/>
    <x v="25"/>
    <x v="16"/>
    <x v="789"/>
    <x v="711"/>
    <x v="1245"/>
    <x v="1438"/>
  </r>
  <r>
    <x v="2"/>
    <x v="21"/>
    <x v="0"/>
    <x v="0"/>
    <x v="0"/>
    <x v="3"/>
    <x v="0"/>
    <x v="0"/>
    <x v="0"/>
    <x v="1"/>
    <x v="3"/>
    <x v="6"/>
    <x v="2"/>
    <x v="4"/>
    <x v="16"/>
    <x v="22"/>
    <x v="14"/>
    <x v="757"/>
    <x v="690"/>
    <x v="851"/>
    <x v="1425"/>
  </r>
  <r>
    <x v="3"/>
    <x v="1"/>
    <x v="0"/>
    <x v="0"/>
    <x v="0"/>
    <x v="3"/>
    <x v="0"/>
    <x v="0"/>
    <x v="0"/>
    <x v="0"/>
    <x v="3"/>
    <x v="6"/>
    <x v="2"/>
    <x v="4"/>
    <x v="6"/>
    <x v="22"/>
    <x v="14"/>
    <x v="548"/>
    <x v="514"/>
    <x v="1032"/>
    <x v="979"/>
  </r>
  <r>
    <x v="4"/>
    <x v="8"/>
    <x v="0"/>
    <x v="0"/>
    <x v="0"/>
    <x v="3"/>
    <x v="0"/>
    <x v="0"/>
    <x v="0"/>
    <x v="1"/>
    <x v="3"/>
    <x v="6"/>
    <x v="5"/>
    <x v="10"/>
    <x v="17"/>
    <x v="28"/>
    <x v="18"/>
    <x v="874"/>
    <x v="779"/>
    <x v="1232"/>
    <x v="1607"/>
  </r>
  <r>
    <x v="5"/>
    <x v="15"/>
    <x v="0"/>
    <x v="0"/>
    <x v="0"/>
    <x v="3"/>
    <x v="0"/>
    <x v="0"/>
    <x v="0"/>
    <x v="0"/>
    <x v="3"/>
    <x v="6"/>
    <x v="5"/>
    <x v="10"/>
    <x v="6"/>
    <x v="28"/>
    <x v="18"/>
    <x v="818"/>
    <x v="738"/>
    <x v="1288"/>
    <x v="1472"/>
  </r>
  <r>
    <x v="6"/>
    <x v="22"/>
    <x v="0"/>
    <x v="0"/>
    <x v="0"/>
    <x v="3"/>
    <x v="0"/>
    <x v="0"/>
    <x v="0"/>
    <x v="1"/>
    <x v="0"/>
    <x v="0"/>
    <x v="3"/>
    <x v="6"/>
    <x v="87"/>
    <x v="0"/>
    <x v="0"/>
    <x v="421"/>
    <x v="340"/>
    <x v="325"/>
    <x v="998"/>
  </r>
  <r>
    <x v="7"/>
    <x v="2"/>
    <x v="0"/>
    <x v="0"/>
    <x v="0"/>
    <x v="3"/>
    <x v="0"/>
    <x v="0"/>
    <x v="0"/>
    <x v="0"/>
    <x v="0"/>
    <x v="0"/>
    <x v="3"/>
    <x v="6"/>
    <x v="28"/>
    <x v="0"/>
    <x v="0"/>
    <x v="99"/>
    <x v="79"/>
    <x v="391"/>
    <x v="280"/>
  </r>
  <r>
    <x v="8"/>
    <x v="9"/>
    <x v="0"/>
    <x v="0"/>
    <x v="0"/>
    <x v="3"/>
    <x v="0"/>
    <x v="0"/>
    <x v="0"/>
    <x v="1"/>
    <x v="0"/>
    <x v="0"/>
    <x v="8"/>
    <x v="16"/>
    <x v="91"/>
    <x v="12"/>
    <x v="6"/>
    <x v="781"/>
    <x v="678"/>
    <x v="900"/>
    <x v="1521"/>
  </r>
  <r>
    <x v="9"/>
    <x v="16"/>
    <x v="0"/>
    <x v="0"/>
    <x v="0"/>
    <x v="3"/>
    <x v="0"/>
    <x v="0"/>
    <x v="0"/>
    <x v="0"/>
    <x v="0"/>
    <x v="0"/>
    <x v="8"/>
    <x v="16"/>
    <x v="33"/>
    <x v="12"/>
    <x v="6"/>
    <x v="520"/>
    <x v="438"/>
    <x v="1011"/>
    <x v="1097"/>
  </r>
  <r>
    <x v="10"/>
    <x v="23"/>
    <x v="0"/>
    <x v="0"/>
    <x v="0"/>
    <x v="3"/>
    <x v="0"/>
    <x v="0"/>
    <x v="0"/>
    <x v="1"/>
    <x v="0"/>
    <x v="0"/>
    <x v="9"/>
    <x v="18"/>
    <x v="94"/>
    <x v="6"/>
    <x v="4"/>
    <x v="714"/>
    <x v="630"/>
    <x v="747"/>
    <x v="1392"/>
  </r>
  <r>
    <x v="11"/>
    <x v="3"/>
    <x v="0"/>
    <x v="0"/>
    <x v="0"/>
    <x v="3"/>
    <x v="0"/>
    <x v="0"/>
    <x v="0"/>
    <x v="0"/>
    <x v="0"/>
    <x v="0"/>
    <x v="9"/>
    <x v="18"/>
    <x v="30"/>
    <x v="6"/>
    <x v="4"/>
    <x v="358"/>
    <x v="316"/>
    <x v="812"/>
    <x v="732"/>
  </r>
  <r>
    <x v="12"/>
    <x v="10"/>
    <x v="0"/>
    <x v="0"/>
    <x v="0"/>
    <x v="3"/>
    <x v="0"/>
    <x v="0"/>
    <x v="0"/>
    <x v="1"/>
    <x v="2"/>
    <x v="4"/>
    <x v="0"/>
    <x v="0"/>
    <x v="30"/>
    <x v="15"/>
    <x v="10"/>
    <x v="570"/>
    <x v="494"/>
    <x v="525"/>
    <x v="1191"/>
  </r>
  <r>
    <x v="13"/>
    <x v="17"/>
    <x v="0"/>
    <x v="0"/>
    <x v="0"/>
    <x v="3"/>
    <x v="0"/>
    <x v="0"/>
    <x v="0"/>
    <x v="0"/>
    <x v="2"/>
    <x v="4"/>
    <x v="0"/>
    <x v="0"/>
    <x v="12"/>
    <x v="15"/>
    <x v="10"/>
    <x v="286"/>
    <x v="253"/>
    <x v="710"/>
    <x v="610"/>
  </r>
  <r>
    <x v="14"/>
    <x v="24"/>
    <x v="0"/>
    <x v="0"/>
    <x v="0"/>
    <x v="3"/>
    <x v="0"/>
    <x v="0"/>
    <x v="0"/>
    <x v="1"/>
    <x v="2"/>
    <x v="4"/>
    <x v="4"/>
    <x v="8"/>
    <x v="41"/>
    <x v="9"/>
    <x v="7"/>
    <x v="553"/>
    <x v="500"/>
    <x v="497"/>
    <x v="1112"/>
  </r>
  <r>
    <x v="15"/>
    <x v="4"/>
    <x v="0"/>
    <x v="0"/>
    <x v="0"/>
    <x v="3"/>
    <x v="0"/>
    <x v="0"/>
    <x v="0"/>
    <x v="0"/>
    <x v="2"/>
    <x v="4"/>
    <x v="4"/>
    <x v="8"/>
    <x v="14"/>
    <x v="9"/>
    <x v="7"/>
    <x v="222"/>
    <x v="213"/>
    <x v="625"/>
    <x v="436"/>
  </r>
  <r>
    <x v="16"/>
    <x v="11"/>
    <x v="0"/>
    <x v="0"/>
    <x v="0"/>
    <x v="3"/>
    <x v="0"/>
    <x v="0"/>
    <x v="0"/>
    <x v="1"/>
    <x v="1"/>
    <x v="2"/>
    <x v="7"/>
    <x v="14"/>
    <x v="47"/>
    <x v="18"/>
    <x v="12"/>
    <x v="714"/>
    <x v="646"/>
    <x v="747"/>
    <x v="1346"/>
  </r>
  <r>
    <x v="17"/>
    <x v="18"/>
    <x v="0"/>
    <x v="0"/>
    <x v="0"/>
    <x v="3"/>
    <x v="0"/>
    <x v="0"/>
    <x v="0"/>
    <x v="0"/>
    <x v="1"/>
    <x v="2"/>
    <x v="7"/>
    <x v="14"/>
    <x v="19"/>
    <x v="18"/>
    <x v="12"/>
    <x v="449"/>
    <x v="421"/>
    <x v="929"/>
    <x v="845"/>
  </r>
  <r>
    <x v="18"/>
    <x v="25"/>
    <x v="0"/>
    <x v="0"/>
    <x v="0"/>
    <x v="3"/>
    <x v="0"/>
    <x v="0"/>
    <x v="0"/>
    <x v="1"/>
    <x v="1"/>
    <x v="2"/>
    <x v="6"/>
    <x v="12"/>
    <x v="50"/>
    <x v="3"/>
    <x v="2"/>
    <x v="320"/>
    <x v="264"/>
    <x v="202"/>
    <x v="742"/>
  </r>
  <r>
    <x v="19"/>
    <x v="5"/>
    <x v="0"/>
    <x v="0"/>
    <x v="0"/>
    <x v="3"/>
    <x v="0"/>
    <x v="0"/>
    <x v="0"/>
    <x v="0"/>
    <x v="1"/>
    <x v="2"/>
    <x v="6"/>
    <x v="12"/>
    <x v="15"/>
    <x v="3"/>
    <x v="2"/>
    <x v="46"/>
    <x v="45"/>
    <x v="240"/>
    <x v="120"/>
  </r>
  <r>
    <x v="20"/>
    <x v="12"/>
    <x v="0"/>
    <x v="0"/>
    <x v="0"/>
    <x v="3"/>
    <x v="0"/>
    <x v="1"/>
    <x v="1"/>
    <x v="1"/>
    <x v="3"/>
    <x v="6"/>
    <x v="1"/>
    <x v="2"/>
    <x v="10"/>
    <x v="25"/>
    <x v="16"/>
    <x v="825"/>
    <x v="737"/>
    <x v="1070"/>
    <x v="1552"/>
  </r>
  <r>
    <x v="21"/>
    <x v="19"/>
    <x v="0"/>
    <x v="0"/>
    <x v="0"/>
    <x v="3"/>
    <x v="0"/>
    <x v="1"/>
    <x v="1"/>
    <x v="0"/>
    <x v="3"/>
    <x v="6"/>
    <x v="1"/>
    <x v="2"/>
    <x v="2"/>
    <x v="25"/>
    <x v="16"/>
    <x v="634"/>
    <x v="592"/>
    <x v="1108"/>
    <x v="1145"/>
  </r>
  <r>
    <x v="22"/>
    <x v="26"/>
    <x v="0"/>
    <x v="0"/>
    <x v="0"/>
    <x v="3"/>
    <x v="0"/>
    <x v="1"/>
    <x v="1"/>
    <x v="1"/>
    <x v="3"/>
    <x v="6"/>
    <x v="2"/>
    <x v="4"/>
    <x v="7"/>
    <x v="22"/>
    <x v="14"/>
    <x v="583"/>
    <x v="548"/>
    <x v="551"/>
    <x v="1111"/>
  </r>
  <r>
    <x v="23"/>
    <x v="6"/>
    <x v="0"/>
    <x v="0"/>
    <x v="0"/>
    <x v="3"/>
    <x v="0"/>
    <x v="1"/>
    <x v="1"/>
    <x v="0"/>
    <x v="3"/>
    <x v="6"/>
    <x v="2"/>
    <x v="4"/>
    <x v="1"/>
    <x v="22"/>
    <x v="14"/>
    <x v="220"/>
    <x v="229"/>
    <x v="621"/>
    <x v="361"/>
  </r>
  <r>
    <x v="24"/>
    <x v="13"/>
    <x v="0"/>
    <x v="0"/>
    <x v="0"/>
    <x v="3"/>
    <x v="0"/>
    <x v="1"/>
    <x v="1"/>
    <x v="1"/>
    <x v="3"/>
    <x v="6"/>
    <x v="5"/>
    <x v="10"/>
    <x v="9"/>
    <x v="28"/>
    <x v="18"/>
    <x v="842"/>
    <x v="752"/>
    <x v="1128"/>
    <x v="1558"/>
  </r>
  <r>
    <x v="25"/>
    <x v="20"/>
    <x v="0"/>
    <x v="0"/>
    <x v="0"/>
    <x v="3"/>
    <x v="0"/>
    <x v="1"/>
    <x v="1"/>
    <x v="0"/>
    <x v="3"/>
    <x v="6"/>
    <x v="5"/>
    <x v="10"/>
    <x v="1"/>
    <x v="28"/>
    <x v="18"/>
    <x v="644"/>
    <x v="623"/>
    <x v="1118"/>
    <x v="1024"/>
  </r>
  <r>
    <x v="26"/>
    <x v="0"/>
    <x v="0"/>
    <x v="0"/>
    <x v="0"/>
    <x v="3"/>
    <x v="0"/>
    <x v="1"/>
    <x v="1"/>
    <x v="1"/>
    <x v="0"/>
    <x v="0"/>
    <x v="3"/>
    <x v="6"/>
    <x v="55"/>
    <x v="0"/>
    <x v="0"/>
    <x v="269"/>
    <x v="209"/>
    <x v="170"/>
    <x v="703"/>
  </r>
  <r>
    <x v="27"/>
    <x v="7"/>
    <x v="0"/>
    <x v="0"/>
    <x v="0"/>
    <x v="3"/>
    <x v="0"/>
    <x v="1"/>
    <x v="1"/>
    <x v="0"/>
    <x v="0"/>
    <x v="0"/>
    <x v="3"/>
    <x v="6"/>
    <x v="20"/>
    <x v="0"/>
    <x v="0"/>
    <x v="53"/>
    <x v="44"/>
    <x v="255"/>
    <x v="147"/>
  </r>
  <r>
    <x v="28"/>
    <x v="14"/>
    <x v="0"/>
    <x v="0"/>
    <x v="0"/>
    <x v="3"/>
    <x v="0"/>
    <x v="1"/>
    <x v="1"/>
    <x v="1"/>
    <x v="0"/>
    <x v="0"/>
    <x v="8"/>
    <x v="16"/>
    <x v="43"/>
    <x v="12"/>
    <x v="6"/>
    <x v="602"/>
    <x v="511"/>
    <x v="582"/>
    <x v="1258"/>
  </r>
  <r>
    <x v="29"/>
    <x v="21"/>
    <x v="0"/>
    <x v="0"/>
    <x v="0"/>
    <x v="3"/>
    <x v="0"/>
    <x v="1"/>
    <x v="1"/>
    <x v="0"/>
    <x v="0"/>
    <x v="0"/>
    <x v="8"/>
    <x v="16"/>
    <x v="15"/>
    <x v="12"/>
    <x v="6"/>
    <x v="274"/>
    <x v="226"/>
    <x v="695"/>
    <x v="626"/>
  </r>
  <r>
    <x v="30"/>
    <x v="1"/>
    <x v="0"/>
    <x v="0"/>
    <x v="0"/>
    <x v="3"/>
    <x v="0"/>
    <x v="1"/>
    <x v="1"/>
    <x v="1"/>
    <x v="0"/>
    <x v="0"/>
    <x v="9"/>
    <x v="18"/>
    <x v="55"/>
    <x v="6"/>
    <x v="4"/>
    <x v="558"/>
    <x v="492"/>
    <x v="507"/>
    <x v="1154"/>
  </r>
  <r>
    <x v="31"/>
    <x v="8"/>
    <x v="0"/>
    <x v="0"/>
    <x v="0"/>
    <x v="3"/>
    <x v="0"/>
    <x v="1"/>
    <x v="1"/>
    <x v="0"/>
    <x v="0"/>
    <x v="0"/>
    <x v="9"/>
    <x v="18"/>
    <x v="16"/>
    <x v="6"/>
    <x v="4"/>
    <x v="176"/>
    <x v="168"/>
    <x v="558"/>
    <x v="379"/>
  </r>
  <r>
    <x v="32"/>
    <x v="15"/>
    <x v="0"/>
    <x v="0"/>
    <x v="0"/>
    <x v="3"/>
    <x v="0"/>
    <x v="1"/>
    <x v="1"/>
    <x v="1"/>
    <x v="2"/>
    <x v="4"/>
    <x v="0"/>
    <x v="0"/>
    <x v="21"/>
    <x v="15"/>
    <x v="10"/>
    <x v="453"/>
    <x v="399"/>
    <x v="365"/>
    <x v="982"/>
  </r>
  <r>
    <x v="33"/>
    <x v="22"/>
    <x v="0"/>
    <x v="0"/>
    <x v="0"/>
    <x v="3"/>
    <x v="0"/>
    <x v="1"/>
    <x v="1"/>
    <x v="0"/>
    <x v="2"/>
    <x v="4"/>
    <x v="0"/>
    <x v="0"/>
    <x v="7"/>
    <x v="15"/>
    <x v="10"/>
    <x v="160"/>
    <x v="142"/>
    <x v="517"/>
    <x v="345"/>
  </r>
  <r>
    <x v="34"/>
    <x v="2"/>
    <x v="0"/>
    <x v="0"/>
    <x v="0"/>
    <x v="3"/>
    <x v="0"/>
    <x v="1"/>
    <x v="1"/>
    <x v="1"/>
    <x v="2"/>
    <x v="4"/>
    <x v="4"/>
    <x v="8"/>
    <x v="18"/>
    <x v="9"/>
    <x v="7"/>
    <x v="290"/>
    <x v="275"/>
    <x v="189"/>
    <x v="608"/>
  </r>
  <r>
    <x v="35"/>
    <x v="9"/>
    <x v="0"/>
    <x v="0"/>
    <x v="0"/>
    <x v="3"/>
    <x v="0"/>
    <x v="1"/>
    <x v="1"/>
    <x v="0"/>
    <x v="2"/>
    <x v="4"/>
    <x v="4"/>
    <x v="8"/>
    <x v="8"/>
    <x v="9"/>
    <x v="7"/>
    <x v="101"/>
    <x v="107"/>
    <x v="395"/>
    <x v="196"/>
  </r>
  <r>
    <x v="36"/>
    <x v="16"/>
    <x v="0"/>
    <x v="0"/>
    <x v="0"/>
    <x v="3"/>
    <x v="0"/>
    <x v="1"/>
    <x v="1"/>
    <x v="1"/>
    <x v="1"/>
    <x v="2"/>
    <x v="7"/>
    <x v="14"/>
    <x v="25"/>
    <x v="18"/>
    <x v="12"/>
    <x v="540"/>
    <x v="497"/>
    <x v="479"/>
    <x v="1061"/>
  </r>
  <r>
    <x v="37"/>
    <x v="23"/>
    <x v="0"/>
    <x v="0"/>
    <x v="0"/>
    <x v="3"/>
    <x v="0"/>
    <x v="1"/>
    <x v="1"/>
    <x v="0"/>
    <x v="1"/>
    <x v="2"/>
    <x v="7"/>
    <x v="14"/>
    <x v="10"/>
    <x v="18"/>
    <x v="12"/>
    <x v="262"/>
    <x v="259"/>
    <x v="680"/>
    <x v="481"/>
  </r>
  <r>
    <x v="38"/>
    <x v="3"/>
    <x v="0"/>
    <x v="0"/>
    <x v="0"/>
    <x v="3"/>
    <x v="0"/>
    <x v="1"/>
    <x v="1"/>
    <x v="1"/>
    <x v="1"/>
    <x v="2"/>
    <x v="6"/>
    <x v="12"/>
    <x v="26"/>
    <x v="3"/>
    <x v="2"/>
    <x v="136"/>
    <x v="115"/>
    <x v="65"/>
    <x v="357"/>
  </r>
  <r>
    <x v="39"/>
    <x v="10"/>
    <x v="0"/>
    <x v="0"/>
    <x v="0"/>
    <x v="3"/>
    <x v="0"/>
    <x v="1"/>
    <x v="1"/>
    <x v="0"/>
    <x v="1"/>
    <x v="2"/>
    <x v="6"/>
    <x v="12"/>
    <x v="9"/>
    <x v="3"/>
    <x v="2"/>
    <x v="13"/>
    <x v="16"/>
    <x v="129"/>
    <x v="40"/>
  </r>
  <r>
    <x v="40"/>
    <x v="17"/>
    <x v="0"/>
    <x v="0"/>
    <x v="0"/>
    <x v="3"/>
    <x v="0"/>
    <x v="3"/>
    <x v="3"/>
    <x v="1"/>
    <x v="3"/>
    <x v="6"/>
    <x v="1"/>
    <x v="2"/>
    <x v="4"/>
    <x v="25"/>
    <x v="16"/>
    <x v="739"/>
    <x v="671"/>
    <x v="809"/>
    <x v="1364"/>
  </r>
  <r>
    <x v="41"/>
    <x v="24"/>
    <x v="0"/>
    <x v="0"/>
    <x v="0"/>
    <x v="3"/>
    <x v="0"/>
    <x v="3"/>
    <x v="3"/>
    <x v="0"/>
    <x v="3"/>
    <x v="6"/>
    <x v="1"/>
    <x v="2"/>
    <x v="1"/>
    <x v="25"/>
    <x v="16"/>
    <x v="548"/>
    <x v="519"/>
    <x v="1032"/>
    <x v="947"/>
  </r>
  <r>
    <x v="42"/>
    <x v="4"/>
    <x v="0"/>
    <x v="0"/>
    <x v="0"/>
    <x v="3"/>
    <x v="0"/>
    <x v="3"/>
    <x v="3"/>
    <x v="1"/>
    <x v="3"/>
    <x v="6"/>
    <x v="2"/>
    <x v="4"/>
    <x v="5"/>
    <x v="22"/>
    <x v="14"/>
    <x v="500"/>
    <x v="476"/>
    <x v="426"/>
    <x v="943"/>
  </r>
  <r>
    <x v="43"/>
    <x v="11"/>
    <x v="0"/>
    <x v="0"/>
    <x v="0"/>
    <x v="3"/>
    <x v="0"/>
    <x v="3"/>
    <x v="3"/>
    <x v="0"/>
    <x v="3"/>
    <x v="6"/>
    <x v="2"/>
    <x v="4"/>
    <x v="1"/>
    <x v="22"/>
    <x v="14"/>
    <x v="220"/>
    <x v="229"/>
    <x v="621"/>
    <x v="361"/>
  </r>
  <r>
    <x v="44"/>
    <x v="18"/>
    <x v="0"/>
    <x v="0"/>
    <x v="0"/>
    <x v="3"/>
    <x v="0"/>
    <x v="3"/>
    <x v="3"/>
    <x v="1"/>
    <x v="3"/>
    <x v="6"/>
    <x v="5"/>
    <x v="10"/>
    <x v="5"/>
    <x v="28"/>
    <x v="18"/>
    <x v="808"/>
    <x v="731"/>
    <x v="1007"/>
    <x v="1459"/>
  </r>
  <r>
    <x v="45"/>
    <x v="25"/>
    <x v="0"/>
    <x v="0"/>
    <x v="0"/>
    <x v="3"/>
    <x v="0"/>
    <x v="3"/>
    <x v="3"/>
    <x v="0"/>
    <x v="3"/>
    <x v="6"/>
    <x v="5"/>
    <x v="10"/>
    <x v="1"/>
    <x v="28"/>
    <x v="18"/>
    <x v="644"/>
    <x v="623"/>
    <x v="1118"/>
    <x v="1024"/>
  </r>
  <r>
    <x v="46"/>
    <x v="5"/>
    <x v="0"/>
    <x v="0"/>
    <x v="0"/>
    <x v="3"/>
    <x v="0"/>
    <x v="3"/>
    <x v="3"/>
    <x v="1"/>
    <x v="0"/>
    <x v="0"/>
    <x v="3"/>
    <x v="6"/>
    <x v="30"/>
    <x v="0"/>
    <x v="0"/>
    <x v="114"/>
    <x v="87"/>
    <x v="52"/>
    <x v="335"/>
  </r>
  <r>
    <x v="47"/>
    <x v="12"/>
    <x v="0"/>
    <x v="0"/>
    <x v="0"/>
    <x v="3"/>
    <x v="0"/>
    <x v="3"/>
    <x v="3"/>
    <x v="0"/>
    <x v="0"/>
    <x v="0"/>
    <x v="3"/>
    <x v="6"/>
    <x v="10"/>
    <x v="0"/>
    <x v="0"/>
    <x v="8"/>
    <x v="9"/>
    <x v="99"/>
    <x v="31"/>
  </r>
  <r>
    <x v="48"/>
    <x v="19"/>
    <x v="0"/>
    <x v="0"/>
    <x v="0"/>
    <x v="3"/>
    <x v="0"/>
    <x v="3"/>
    <x v="3"/>
    <x v="1"/>
    <x v="0"/>
    <x v="0"/>
    <x v="8"/>
    <x v="16"/>
    <x v="34"/>
    <x v="12"/>
    <x v="6"/>
    <x v="532"/>
    <x v="448"/>
    <x v="465"/>
    <x v="1158"/>
  </r>
  <r>
    <x v="49"/>
    <x v="26"/>
    <x v="0"/>
    <x v="0"/>
    <x v="0"/>
    <x v="3"/>
    <x v="0"/>
    <x v="3"/>
    <x v="3"/>
    <x v="0"/>
    <x v="0"/>
    <x v="0"/>
    <x v="8"/>
    <x v="16"/>
    <x v="11"/>
    <x v="12"/>
    <x v="6"/>
    <x v="196"/>
    <x v="161"/>
    <x v="587"/>
    <x v="464"/>
  </r>
  <r>
    <x v="50"/>
    <x v="6"/>
    <x v="0"/>
    <x v="0"/>
    <x v="0"/>
    <x v="3"/>
    <x v="0"/>
    <x v="3"/>
    <x v="3"/>
    <x v="1"/>
    <x v="0"/>
    <x v="0"/>
    <x v="9"/>
    <x v="18"/>
    <x v="31"/>
    <x v="6"/>
    <x v="4"/>
    <x v="368"/>
    <x v="327"/>
    <x v="252"/>
    <x v="803"/>
  </r>
  <r>
    <x v="51"/>
    <x v="13"/>
    <x v="0"/>
    <x v="0"/>
    <x v="0"/>
    <x v="3"/>
    <x v="0"/>
    <x v="3"/>
    <x v="3"/>
    <x v="0"/>
    <x v="0"/>
    <x v="0"/>
    <x v="9"/>
    <x v="18"/>
    <x v="11"/>
    <x v="6"/>
    <x v="4"/>
    <x v="100"/>
    <x v="101"/>
    <x v="394"/>
    <x v="214"/>
  </r>
  <r>
    <x v="52"/>
    <x v="20"/>
    <x v="0"/>
    <x v="0"/>
    <x v="0"/>
    <x v="3"/>
    <x v="0"/>
    <x v="3"/>
    <x v="3"/>
    <x v="1"/>
    <x v="2"/>
    <x v="4"/>
    <x v="0"/>
    <x v="0"/>
    <x v="15"/>
    <x v="15"/>
    <x v="10"/>
    <x v="351"/>
    <x v="300"/>
    <x v="237"/>
    <x v="795"/>
  </r>
  <r>
    <x v="53"/>
    <x v="0"/>
    <x v="0"/>
    <x v="0"/>
    <x v="0"/>
    <x v="3"/>
    <x v="0"/>
    <x v="3"/>
    <x v="3"/>
    <x v="0"/>
    <x v="2"/>
    <x v="4"/>
    <x v="0"/>
    <x v="0"/>
    <x v="4"/>
    <x v="15"/>
    <x v="10"/>
    <x v="76"/>
    <x v="70"/>
    <x v="321"/>
    <x v="166"/>
  </r>
  <r>
    <x v="54"/>
    <x v="7"/>
    <x v="0"/>
    <x v="0"/>
    <x v="0"/>
    <x v="3"/>
    <x v="0"/>
    <x v="3"/>
    <x v="3"/>
    <x v="1"/>
    <x v="2"/>
    <x v="4"/>
    <x v="4"/>
    <x v="8"/>
    <x v="14"/>
    <x v="9"/>
    <x v="7"/>
    <x v="222"/>
    <x v="213"/>
    <x v="130"/>
    <x v="479"/>
  </r>
  <r>
    <x v="55"/>
    <x v="14"/>
    <x v="0"/>
    <x v="0"/>
    <x v="0"/>
    <x v="3"/>
    <x v="0"/>
    <x v="3"/>
    <x v="3"/>
    <x v="0"/>
    <x v="2"/>
    <x v="4"/>
    <x v="4"/>
    <x v="8"/>
    <x v="3"/>
    <x v="9"/>
    <x v="7"/>
    <x v="18"/>
    <x v="28"/>
    <x v="149"/>
    <x v="36"/>
  </r>
  <r>
    <x v="56"/>
    <x v="21"/>
    <x v="0"/>
    <x v="0"/>
    <x v="0"/>
    <x v="3"/>
    <x v="0"/>
    <x v="3"/>
    <x v="3"/>
    <x v="1"/>
    <x v="1"/>
    <x v="2"/>
    <x v="7"/>
    <x v="14"/>
    <x v="21"/>
    <x v="18"/>
    <x v="12"/>
    <x v="482"/>
    <x v="451"/>
    <x v="396"/>
    <x v="945"/>
  </r>
  <r>
    <x v="57"/>
    <x v="1"/>
    <x v="0"/>
    <x v="0"/>
    <x v="0"/>
    <x v="3"/>
    <x v="0"/>
    <x v="3"/>
    <x v="3"/>
    <x v="0"/>
    <x v="1"/>
    <x v="2"/>
    <x v="7"/>
    <x v="14"/>
    <x v="5"/>
    <x v="18"/>
    <x v="12"/>
    <x v="118"/>
    <x v="126"/>
    <x v="429"/>
    <x v="206"/>
  </r>
  <r>
    <x v="58"/>
    <x v="8"/>
    <x v="0"/>
    <x v="0"/>
    <x v="0"/>
    <x v="3"/>
    <x v="0"/>
    <x v="3"/>
    <x v="3"/>
    <x v="1"/>
    <x v="1"/>
    <x v="2"/>
    <x v="6"/>
    <x v="12"/>
    <x v="16"/>
    <x v="3"/>
    <x v="2"/>
    <x v="54"/>
    <x v="51"/>
    <x v="14"/>
    <x v="156"/>
  </r>
  <r>
    <x v="59"/>
    <x v="15"/>
    <x v="0"/>
    <x v="0"/>
    <x v="0"/>
    <x v="3"/>
    <x v="0"/>
    <x v="3"/>
    <x v="3"/>
    <x v="0"/>
    <x v="1"/>
    <x v="2"/>
    <x v="6"/>
    <x v="12"/>
    <x v="6"/>
    <x v="3"/>
    <x v="2"/>
    <x v="5"/>
    <x v="6"/>
    <x v="65"/>
    <x v="12"/>
  </r>
  <r>
    <x v="60"/>
    <x v="22"/>
    <x v="0"/>
    <x v="0"/>
    <x v="0"/>
    <x v="3"/>
    <x v="0"/>
    <x v="2"/>
    <x v="2"/>
    <x v="1"/>
    <x v="3"/>
    <x v="6"/>
    <x v="1"/>
    <x v="2"/>
    <x v="3"/>
    <x v="25"/>
    <x v="16"/>
    <x v="697"/>
    <x v="645"/>
    <x v="720"/>
    <x v="1281"/>
  </r>
  <r>
    <x v="61"/>
    <x v="2"/>
    <x v="0"/>
    <x v="0"/>
    <x v="0"/>
    <x v="3"/>
    <x v="0"/>
    <x v="2"/>
    <x v="2"/>
    <x v="0"/>
    <x v="3"/>
    <x v="6"/>
    <x v="1"/>
    <x v="2"/>
    <x v="0"/>
    <x v="25"/>
    <x v="16"/>
    <x v="407"/>
    <x v="404"/>
    <x v="868"/>
    <x v="694"/>
  </r>
  <r>
    <x v="62"/>
    <x v="9"/>
    <x v="0"/>
    <x v="0"/>
    <x v="0"/>
    <x v="3"/>
    <x v="0"/>
    <x v="2"/>
    <x v="2"/>
    <x v="1"/>
    <x v="3"/>
    <x v="6"/>
    <x v="2"/>
    <x v="4"/>
    <x v="3"/>
    <x v="22"/>
    <x v="14"/>
    <x v="384"/>
    <x v="374"/>
    <x v="273"/>
    <x v="730"/>
  </r>
  <r>
    <x v="63"/>
    <x v="16"/>
    <x v="0"/>
    <x v="0"/>
    <x v="0"/>
    <x v="3"/>
    <x v="0"/>
    <x v="2"/>
    <x v="2"/>
    <x v="0"/>
    <x v="3"/>
    <x v="6"/>
    <x v="2"/>
    <x v="4"/>
    <x v="0"/>
    <x v="22"/>
    <x v="14"/>
    <x v="116"/>
    <x v="132"/>
    <x v="426"/>
    <x v="173"/>
  </r>
  <r>
    <x v="64"/>
    <x v="23"/>
    <x v="0"/>
    <x v="0"/>
    <x v="0"/>
    <x v="3"/>
    <x v="0"/>
    <x v="2"/>
    <x v="2"/>
    <x v="1"/>
    <x v="3"/>
    <x v="6"/>
    <x v="5"/>
    <x v="10"/>
    <x v="5"/>
    <x v="28"/>
    <x v="18"/>
    <x v="808"/>
    <x v="731"/>
    <x v="1007"/>
    <x v="1459"/>
  </r>
  <r>
    <x v="65"/>
    <x v="3"/>
    <x v="0"/>
    <x v="0"/>
    <x v="0"/>
    <x v="3"/>
    <x v="0"/>
    <x v="2"/>
    <x v="2"/>
    <x v="0"/>
    <x v="3"/>
    <x v="6"/>
    <x v="5"/>
    <x v="10"/>
    <x v="0"/>
    <x v="28"/>
    <x v="18"/>
    <x v="517"/>
    <x v="521"/>
    <x v="1007"/>
    <x v="765"/>
  </r>
  <r>
    <x v="66"/>
    <x v="10"/>
    <x v="0"/>
    <x v="0"/>
    <x v="0"/>
    <x v="3"/>
    <x v="0"/>
    <x v="2"/>
    <x v="2"/>
    <x v="1"/>
    <x v="0"/>
    <x v="0"/>
    <x v="3"/>
    <x v="6"/>
    <x v="27"/>
    <x v="0"/>
    <x v="0"/>
    <x v="95"/>
    <x v="75"/>
    <x v="41"/>
    <x v="286"/>
  </r>
  <r>
    <x v="67"/>
    <x v="17"/>
    <x v="0"/>
    <x v="0"/>
    <x v="0"/>
    <x v="3"/>
    <x v="0"/>
    <x v="2"/>
    <x v="2"/>
    <x v="0"/>
    <x v="0"/>
    <x v="0"/>
    <x v="3"/>
    <x v="6"/>
    <x v="9"/>
    <x v="0"/>
    <x v="0"/>
    <x v="6"/>
    <x v="7"/>
    <x v="83"/>
    <x v="24"/>
  </r>
  <r>
    <x v="68"/>
    <x v="24"/>
    <x v="0"/>
    <x v="0"/>
    <x v="0"/>
    <x v="3"/>
    <x v="0"/>
    <x v="2"/>
    <x v="2"/>
    <x v="1"/>
    <x v="0"/>
    <x v="0"/>
    <x v="8"/>
    <x v="16"/>
    <x v="28"/>
    <x v="12"/>
    <x v="6"/>
    <x v="466"/>
    <x v="393"/>
    <x v="379"/>
    <x v="1047"/>
  </r>
  <r>
    <x v="69"/>
    <x v="4"/>
    <x v="0"/>
    <x v="0"/>
    <x v="0"/>
    <x v="3"/>
    <x v="0"/>
    <x v="2"/>
    <x v="2"/>
    <x v="0"/>
    <x v="0"/>
    <x v="0"/>
    <x v="8"/>
    <x v="16"/>
    <x v="7"/>
    <x v="12"/>
    <x v="6"/>
    <x v="105"/>
    <x v="88"/>
    <x v="397"/>
    <x v="254"/>
  </r>
  <r>
    <x v="70"/>
    <x v="11"/>
    <x v="0"/>
    <x v="0"/>
    <x v="0"/>
    <x v="3"/>
    <x v="0"/>
    <x v="2"/>
    <x v="2"/>
    <x v="1"/>
    <x v="0"/>
    <x v="0"/>
    <x v="9"/>
    <x v="18"/>
    <x v="26"/>
    <x v="6"/>
    <x v="4"/>
    <x v="320"/>
    <x v="281"/>
    <x v="202"/>
    <x v="696"/>
  </r>
  <r>
    <x v="71"/>
    <x v="18"/>
    <x v="0"/>
    <x v="0"/>
    <x v="0"/>
    <x v="3"/>
    <x v="0"/>
    <x v="2"/>
    <x v="2"/>
    <x v="0"/>
    <x v="0"/>
    <x v="0"/>
    <x v="9"/>
    <x v="18"/>
    <x v="10"/>
    <x v="6"/>
    <x v="4"/>
    <x v="89"/>
    <x v="84"/>
    <x v="358"/>
    <x v="183"/>
  </r>
  <r>
    <x v="72"/>
    <x v="25"/>
    <x v="0"/>
    <x v="0"/>
    <x v="0"/>
    <x v="3"/>
    <x v="0"/>
    <x v="2"/>
    <x v="2"/>
    <x v="1"/>
    <x v="2"/>
    <x v="4"/>
    <x v="0"/>
    <x v="0"/>
    <x v="9"/>
    <x v="15"/>
    <x v="10"/>
    <x v="212"/>
    <x v="190"/>
    <x v="125"/>
    <x v="505"/>
  </r>
  <r>
    <x v="73"/>
    <x v="5"/>
    <x v="0"/>
    <x v="0"/>
    <x v="0"/>
    <x v="3"/>
    <x v="0"/>
    <x v="2"/>
    <x v="2"/>
    <x v="0"/>
    <x v="2"/>
    <x v="4"/>
    <x v="0"/>
    <x v="0"/>
    <x v="2"/>
    <x v="15"/>
    <x v="10"/>
    <x v="28"/>
    <x v="32"/>
    <x v="185"/>
    <x v="61"/>
  </r>
  <r>
    <x v="74"/>
    <x v="12"/>
    <x v="0"/>
    <x v="0"/>
    <x v="0"/>
    <x v="3"/>
    <x v="0"/>
    <x v="2"/>
    <x v="2"/>
    <x v="1"/>
    <x v="2"/>
    <x v="4"/>
    <x v="4"/>
    <x v="8"/>
    <x v="9"/>
    <x v="9"/>
    <x v="7"/>
    <x v="121"/>
    <x v="124"/>
    <x v="60"/>
    <x v="263"/>
  </r>
  <r>
    <x v="75"/>
    <x v="19"/>
    <x v="0"/>
    <x v="0"/>
    <x v="0"/>
    <x v="3"/>
    <x v="0"/>
    <x v="2"/>
    <x v="2"/>
    <x v="0"/>
    <x v="2"/>
    <x v="4"/>
    <x v="4"/>
    <x v="8"/>
    <x v="3"/>
    <x v="9"/>
    <x v="7"/>
    <x v="18"/>
    <x v="28"/>
    <x v="149"/>
    <x v="36"/>
  </r>
  <r>
    <x v="76"/>
    <x v="26"/>
    <x v="0"/>
    <x v="0"/>
    <x v="0"/>
    <x v="3"/>
    <x v="0"/>
    <x v="2"/>
    <x v="2"/>
    <x v="1"/>
    <x v="1"/>
    <x v="2"/>
    <x v="7"/>
    <x v="14"/>
    <x v="13"/>
    <x v="18"/>
    <x v="12"/>
    <x v="342"/>
    <x v="319"/>
    <x v="223"/>
    <x v="676"/>
  </r>
  <r>
    <x v="77"/>
    <x v="6"/>
    <x v="0"/>
    <x v="0"/>
    <x v="0"/>
    <x v="3"/>
    <x v="0"/>
    <x v="2"/>
    <x v="2"/>
    <x v="0"/>
    <x v="1"/>
    <x v="2"/>
    <x v="7"/>
    <x v="14"/>
    <x v="4"/>
    <x v="18"/>
    <x v="12"/>
    <x v="89"/>
    <x v="96"/>
    <x v="358"/>
    <x v="136"/>
  </r>
  <r>
    <x v="78"/>
    <x v="13"/>
    <x v="0"/>
    <x v="0"/>
    <x v="0"/>
    <x v="3"/>
    <x v="0"/>
    <x v="2"/>
    <x v="2"/>
    <x v="1"/>
    <x v="1"/>
    <x v="2"/>
    <x v="6"/>
    <x v="12"/>
    <x v="16"/>
    <x v="3"/>
    <x v="2"/>
    <x v="54"/>
    <x v="51"/>
    <x v="14"/>
    <x v="156"/>
  </r>
  <r>
    <x v="79"/>
    <x v="20"/>
    <x v="0"/>
    <x v="0"/>
    <x v="0"/>
    <x v="3"/>
    <x v="0"/>
    <x v="2"/>
    <x v="2"/>
    <x v="0"/>
    <x v="1"/>
    <x v="2"/>
    <x v="6"/>
    <x v="12"/>
    <x v="4"/>
    <x v="3"/>
    <x v="2"/>
    <x v="1"/>
    <x v="1"/>
    <x v="28"/>
    <x v="4"/>
  </r>
  <r>
    <x v="80"/>
    <x v="0"/>
    <x v="0"/>
    <x v="0"/>
    <x v="0"/>
    <x v="3"/>
    <x v="0"/>
    <x v="4"/>
    <x v="4"/>
    <x v="1"/>
    <x v="3"/>
    <x v="6"/>
    <x v="1"/>
    <x v="2"/>
    <x v="4"/>
    <x v="25"/>
    <x v="16"/>
    <x v="739"/>
    <x v="671"/>
    <x v="809"/>
    <x v="1364"/>
  </r>
  <r>
    <x v="81"/>
    <x v="7"/>
    <x v="0"/>
    <x v="0"/>
    <x v="0"/>
    <x v="3"/>
    <x v="0"/>
    <x v="4"/>
    <x v="4"/>
    <x v="0"/>
    <x v="3"/>
    <x v="6"/>
    <x v="1"/>
    <x v="2"/>
    <x v="0"/>
    <x v="25"/>
    <x v="16"/>
    <x v="407"/>
    <x v="404"/>
    <x v="868"/>
    <x v="694"/>
  </r>
  <r>
    <x v="82"/>
    <x v="14"/>
    <x v="0"/>
    <x v="0"/>
    <x v="0"/>
    <x v="3"/>
    <x v="0"/>
    <x v="4"/>
    <x v="4"/>
    <x v="1"/>
    <x v="3"/>
    <x v="6"/>
    <x v="2"/>
    <x v="4"/>
    <x v="3"/>
    <x v="22"/>
    <x v="14"/>
    <x v="384"/>
    <x v="374"/>
    <x v="273"/>
    <x v="730"/>
  </r>
  <r>
    <x v="83"/>
    <x v="21"/>
    <x v="0"/>
    <x v="0"/>
    <x v="0"/>
    <x v="3"/>
    <x v="0"/>
    <x v="4"/>
    <x v="4"/>
    <x v="0"/>
    <x v="3"/>
    <x v="6"/>
    <x v="2"/>
    <x v="4"/>
    <x v="0"/>
    <x v="22"/>
    <x v="14"/>
    <x v="116"/>
    <x v="132"/>
    <x v="426"/>
    <x v="173"/>
  </r>
  <r>
    <x v="84"/>
    <x v="1"/>
    <x v="0"/>
    <x v="0"/>
    <x v="0"/>
    <x v="3"/>
    <x v="0"/>
    <x v="4"/>
    <x v="4"/>
    <x v="1"/>
    <x v="3"/>
    <x v="6"/>
    <x v="5"/>
    <x v="10"/>
    <x v="5"/>
    <x v="28"/>
    <x v="18"/>
    <x v="808"/>
    <x v="731"/>
    <x v="1007"/>
    <x v="1459"/>
  </r>
  <r>
    <x v="85"/>
    <x v="8"/>
    <x v="0"/>
    <x v="0"/>
    <x v="0"/>
    <x v="3"/>
    <x v="0"/>
    <x v="4"/>
    <x v="4"/>
    <x v="0"/>
    <x v="3"/>
    <x v="6"/>
    <x v="5"/>
    <x v="10"/>
    <x v="0"/>
    <x v="28"/>
    <x v="18"/>
    <x v="517"/>
    <x v="521"/>
    <x v="1007"/>
    <x v="765"/>
  </r>
  <r>
    <x v="86"/>
    <x v="15"/>
    <x v="0"/>
    <x v="0"/>
    <x v="0"/>
    <x v="3"/>
    <x v="0"/>
    <x v="4"/>
    <x v="4"/>
    <x v="1"/>
    <x v="0"/>
    <x v="0"/>
    <x v="3"/>
    <x v="6"/>
    <x v="21"/>
    <x v="0"/>
    <x v="0"/>
    <x v="57"/>
    <x v="47"/>
    <x v="16"/>
    <x v="190"/>
  </r>
  <r>
    <x v="87"/>
    <x v="22"/>
    <x v="0"/>
    <x v="0"/>
    <x v="0"/>
    <x v="3"/>
    <x v="0"/>
    <x v="4"/>
    <x v="4"/>
    <x v="0"/>
    <x v="0"/>
    <x v="0"/>
    <x v="3"/>
    <x v="6"/>
    <x v="8"/>
    <x v="0"/>
    <x v="0"/>
    <x v="5"/>
    <x v="5"/>
    <x v="65"/>
    <x v="16"/>
  </r>
  <r>
    <x v="88"/>
    <x v="2"/>
    <x v="0"/>
    <x v="0"/>
    <x v="0"/>
    <x v="3"/>
    <x v="0"/>
    <x v="4"/>
    <x v="4"/>
    <x v="1"/>
    <x v="0"/>
    <x v="0"/>
    <x v="8"/>
    <x v="16"/>
    <x v="27"/>
    <x v="12"/>
    <x v="6"/>
    <x v="452"/>
    <x v="383"/>
    <x v="364"/>
    <x v="1019"/>
  </r>
  <r>
    <x v="89"/>
    <x v="9"/>
    <x v="0"/>
    <x v="0"/>
    <x v="0"/>
    <x v="3"/>
    <x v="0"/>
    <x v="4"/>
    <x v="4"/>
    <x v="0"/>
    <x v="0"/>
    <x v="0"/>
    <x v="8"/>
    <x v="16"/>
    <x v="8"/>
    <x v="12"/>
    <x v="6"/>
    <x v="126"/>
    <x v="106"/>
    <x v="446"/>
    <x v="315"/>
  </r>
  <r>
    <x v="90"/>
    <x v="16"/>
    <x v="0"/>
    <x v="0"/>
    <x v="0"/>
    <x v="3"/>
    <x v="0"/>
    <x v="4"/>
    <x v="4"/>
    <x v="1"/>
    <x v="0"/>
    <x v="0"/>
    <x v="9"/>
    <x v="18"/>
    <x v="23"/>
    <x v="6"/>
    <x v="4"/>
    <x v="277"/>
    <x v="250"/>
    <x v="178"/>
    <x v="611"/>
  </r>
  <r>
    <x v="91"/>
    <x v="23"/>
    <x v="0"/>
    <x v="0"/>
    <x v="0"/>
    <x v="3"/>
    <x v="0"/>
    <x v="4"/>
    <x v="4"/>
    <x v="0"/>
    <x v="0"/>
    <x v="0"/>
    <x v="9"/>
    <x v="18"/>
    <x v="9"/>
    <x v="6"/>
    <x v="4"/>
    <x v="73"/>
    <x v="74"/>
    <x v="318"/>
    <x v="146"/>
  </r>
  <r>
    <x v="92"/>
    <x v="3"/>
    <x v="0"/>
    <x v="0"/>
    <x v="0"/>
    <x v="3"/>
    <x v="0"/>
    <x v="4"/>
    <x v="4"/>
    <x v="1"/>
    <x v="2"/>
    <x v="4"/>
    <x v="0"/>
    <x v="0"/>
    <x v="10"/>
    <x v="15"/>
    <x v="10"/>
    <x v="237"/>
    <x v="208"/>
    <x v="142"/>
    <x v="562"/>
  </r>
  <r>
    <x v="93"/>
    <x v="10"/>
    <x v="0"/>
    <x v="0"/>
    <x v="0"/>
    <x v="3"/>
    <x v="0"/>
    <x v="4"/>
    <x v="4"/>
    <x v="0"/>
    <x v="2"/>
    <x v="4"/>
    <x v="0"/>
    <x v="0"/>
    <x v="3"/>
    <x v="15"/>
    <x v="10"/>
    <x v="48"/>
    <x v="49"/>
    <x v="242"/>
    <x v="108"/>
  </r>
  <r>
    <x v="94"/>
    <x v="17"/>
    <x v="0"/>
    <x v="0"/>
    <x v="0"/>
    <x v="3"/>
    <x v="0"/>
    <x v="4"/>
    <x v="4"/>
    <x v="1"/>
    <x v="2"/>
    <x v="4"/>
    <x v="4"/>
    <x v="8"/>
    <x v="9"/>
    <x v="9"/>
    <x v="7"/>
    <x v="121"/>
    <x v="124"/>
    <x v="60"/>
    <x v="263"/>
  </r>
  <r>
    <x v="95"/>
    <x v="24"/>
    <x v="0"/>
    <x v="0"/>
    <x v="0"/>
    <x v="3"/>
    <x v="0"/>
    <x v="4"/>
    <x v="4"/>
    <x v="0"/>
    <x v="2"/>
    <x v="4"/>
    <x v="4"/>
    <x v="8"/>
    <x v="2"/>
    <x v="9"/>
    <x v="7"/>
    <x v="9"/>
    <x v="14"/>
    <x v="101"/>
    <x v="14"/>
  </r>
  <r>
    <x v="96"/>
    <x v="4"/>
    <x v="0"/>
    <x v="0"/>
    <x v="0"/>
    <x v="3"/>
    <x v="0"/>
    <x v="4"/>
    <x v="4"/>
    <x v="1"/>
    <x v="1"/>
    <x v="2"/>
    <x v="7"/>
    <x v="14"/>
    <x v="12"/>
    <x v="18"/>
    <x v="12"/>
    <x v="320"/>
    <x v="298"/>
    <x v="202"/>
    <x v="625"/>
  </r>
  <r>
    <x v="97"/>
    <x v="11"/>
    <x v="0"/>
    <x v="0"/>
    <x v="0"/>
    <x v="3"/>
    <x v="0"/>
    <x v="4"/>
    <x v="4"/>
    <x v="0"/>
    <x v="1"/>
    <x v="2"/>
    <x v="7"/>
    <x v="14"/>
    <x v="4"/>
    <x v="18"/>
    <x v="12"/>
    <x v="89"/>
    <x v="96"/>
    <x v="358"/>
    <x v="136"/>
  </r>
  <r>
    <x v="98"/>
    <x v="18"/>
    <x v="0"/>
    <x v="0"/>
    <x v="0"/>
    <x v="3"/>
    <x v="0"/>
    <x v="4"/>
    <x v="4"/>
    <x v="1"/>
    <x v="1"/>
    <x v="2"/>
    <x v="6"/>
    <x v="12"/>
    <x v="12"/>
    <x v="3"/>
    <x v="2"/>
    <x v="30"/>
    <x v="31"/>
    <x v="1"/>
    <x v="87"/>
  </r>
  <r>
    <x v="99"/>
    <x v="25"/>
    <x v="0"/>
    <x v="0"/>
    <x v="0"/>
    <x v="3"/>
    <x v="0"/>
    <x v="4"/>
    <x v="4"/>
    <x v="0"/>
    <x v="1"/>
    <x v="2"/>
    <x v="6"/>
    <x v="12"/>
    <x v="4"/>
    <x v="3"/>
    <x v="2"/>
    <x v="1"/>
    <x v="1"/>
    <x v="28"/>
    <x v="4"/>
  </r>
  <r>
    <x v="100"/>
    <x v="32"/>
    <x v="0"/>
    <x v="0"/>
    <x v="1"/>
    <x v="4"/>
    <x v="1"/>
    <x v="0"/>
    <x v="0"/>
    <x v="1"/>
    <x v="3"/>
    <x v="6"/>
    <x v="1"/>
    <x v="2"/>
    <x v="16"/>
    <x v="25"/>
    <x v="16"/>
    <x v="852"/>
    <x v="756"/>
    <x v="1167"/>
    <x v="1589"/>
  </r>
  <r>
    <x v="101"/>
    <x v="39"/>
    <x v="0"/>
    <x v="0"/>
    <x v="1"/>
    <x v="4"/>
    <x v="1"/>
    <x v="0"/>
    <x v="0"/>
    <x v="0"/>
    <x v="3"/>
    <x v="6"/>
    <x v="1"/>
    <x v="2"/>
    <x v="4"/>
    <x v="25"/>
    <x v="16"/>
    <x v="739"/>
    <x v="671"/>
    <x v="1195"/>
    <x v="1320"/>
  </r>
  <r>
    <x v="102"/>
    <x v="46"/>
    <x v="0"/>
    <x v="0"/>
    <x v="1"/>
    <x v="4"/>
    <x v="1"/>
    <x v="0"/>
    <x v="0"/>
    <x v="1"/>
    <x v="3"/>
    <x v="6"/>
    <x v="2"/>
    <x v="4"/>
    <x v="14"/>
    <x v="22"/>
    <x v="14"/>
    <x v="739"/>
    <x v="668"/>
    <x v="809"/>
    <x v="1379"/>
  </r>
  <r>
    <x v="103"/>
    <x v="53"/>
    <x v="0"/>
    <x v="0"/>
    <x v="1"/>
    <x v="4"/>
    <x v="1"/>
    <x v="0"/>
    <x v="0"/>
    <x v="0"/>
    <x v="3"/>
    <x v="6"/>
    <x v="2"/>
    <x v="4"/>
    <x v="6"/>
    <x v="22"/>
    <x v="14"/>
    <x v="548"/>
    <x v="514"/>
    <x v="1032"/>
    <x v="979"/>
  </r>
  <r>
    <x v="104"/>
    <x v="33"/>
    <x v="0"/>
    <x v="0"/>
    <x v="1"/>
    <x v="4"/>
    <x v="1"/>
    <x v="0"/>
    <x v="0"/>
    <x v="1"/>
    <x v="3"/>
    <x v="6"/>
    <x v="5"/>
    <x v="10"/>
    <x v="12"/>
    <x v="28"/>
    <x v="18"/>
    <x v="856"/>
    <x v="767"/>
    <x v="1180"/>
    <x v="1577"/>
  </r>
  <r>
    <x v="105"/>
    <x v="40"/>
    <x v="0"/>
    <x v="0"/>
    <x v="1"/>
    <x v="4"/>
    <x v="1"/>
    <x v="0"/>
    <x v="0"/>
    <x v="0"/>
    <x v="3"/>
    <x v="6"/>
    <x v="5"/>
    <x v="10"/>
    <x v="4"/>
    <x v="28"/>
    <x v="18"/>
    <x v="793"/>
    <x v="724"/>
    <x v="1250"/>
    <x v="1373"/>
  </r>
  <r>
    <x v="106"/>
    <x v="47"/>
    <x v="0"/>
    <x v="0"/>
    <x v="1"/>
    <x v="4"/>
    <x v="1"/>
    <x v="0"/>
    <x v="0"/>
    <x v="1"/>
    <x v="0"/>
    <x v="0"/>
    <x v="3"/>
    <x v="6"/>
    <x v="79"/>
    <x v="0"/>
    <x v="0"/>
    <x v="395"/>
    <x v="311"/>
    <x v="290"/>
    <x v="934"/>
  </r>
  <r>
    <x v="107"/>
    <x v="27"/>
    <x v="0"/>
    <x v="0"/>
    <x v="1"/>
    <x v="4"/>
    <x v="1"/>
    <x v="0"/>
    <x v="0"/>
    <x v="0"/>
    <x v="0"/>
    <x v="0"/>
    <x v="3"/>
    <x v="6"/>
    <x v="33"/>
    <x v="0"/>
    <x v="0"/>
    <x v="136"/>
    <x v="103"/>
    <x v="468"/>
    <x v="359"/>
  </r>
  <r>
    <x v="108"/>
    <x v="34"/>
    <x v="0"/>
    <x v="0"/>
    <x v="1"/>
    <x v="4"/>
    <x v="1"/>
    <x v="0"/>
    <x v="0"/>
    <x v="1"/>
    <x v="0"/>
    <x v="0"/>
    <x v="8"/>
    <x v="16"/>
    <x v="70"/>
    <x v="12"/>
    <x v="6"/>
    <x v="729"/>
    <x v="627"/>
    <x v="784"/>
    <x v="1445"/>
  </r>
  <r>
    <x v="109"/>
    <x v="41"/>
    <x v="0"/>
    <x v="0"/>
    <x v="1"/>
    <x v="4"/>
    <x v="1"/>
    <x v="0"/>
    <x v="0"/>
    <x v="0"/>
    <x v="0"/>
    <x v="0"/>
    <x v="8"/>
    <x v="16"/>
    <x v="25"/>
    <x v="12"/>
    <x v="6"/>
    <x v="424"/>
    <x v="357"/>
    <x v="895"/>
    <x v="921"/>
  </r>
  <r>
    <x v="110"/>
    <x v="48"/>
    <x v="0"/>
    <x v="0"/>
    <x v="1"/>
    <x v="4"/>
    <x v="1"/>
    <x v="0"/>
    <x v="0"/>
    <x v="1"/>
    <x v="0"/>
    <x v="0"/>
    <x v="9"/>
    <x v="18"/>
    <x v="70"/>
    <x v="6"/>
    <x v="4"/>
    <x v="627"/>
    <x v="559"/>
    <x v="618"/>
    <x v="1259"/>
  </r>
  <r>
    <x v="111"/>
    <x v="28"/>
    <x v="0"/>
    <x v="0"/>
    <x v="1"/>
    <x v="4"/>
    <x v="1"/>
    <x v="0"/>
    <x v="0"/>
    <x v="0"/>
    <x v="0"/>
    <x v="0"/>
    <x v="9"/>
    <x v="18"/>
    <x v="25"/>
    <x v="6"/>
    <x v="4"/>
    <x v="308"/>
    <x v="273"/>
    <x v="733"/>
    <x v="615"/>
  </r>
  <r>
    <x v="112"/>
    <x v="35"/>
    <x v="0"/>
    <x v="0"/>
    <x v="1"/>
    <x v="4"/>
    <x v="1"/>
    <x v="0"/>
    <x v="0"/>
    <x v="1"/>
    <x v="2"/>
    <x v="4"/>
    <x v="0"/>
    <x v="0"/>
    <x v="38"/>
    <x v="15"/>
    <x v="10"/>
    <x v="634"/>
    <x v="558"/>
    <x v="631"/>
    <x v="1283"/>
  </r>
  <r>
    <x v="113"/>
    <x v="42"/>
    <x v="0"/>
    <x v="0"/>
    <x v="1"/>
    <x v="4"/>
    <x v="1"/>
    <x v="0"/>
    <x v="0"/>
    <x v="0"/>
    <x v="2"/>
    <x v="4"/>
    <x v="0"/>
    <x v="0"/>
    <x v="10"/>
    <x v="15"/>
    <x v="10"/>
    <x v="237"/>
    <x v="208"/>
    <x v="654"/>
    <x v="524"/>
  </r>
  <r>
    <x v="114"/>
    <x v="49"/>
    <x v="0"/>
    <x v="0"/>
    <x v="1"/>
    <x v="4"/>
    <x v="1"/>
    <x v="0"/>
    <x v="0"/>
    <x v="1"/>
    <x v="2"/>
    <x v="4"/>
    <x v="4"/>
    <x v="8"/>
    <x v="36"/>
    <x v="9"/>
    <x v="7"/>
    <x v="510"/>
    <x v="464"/>
    <x v="435"/>
    <x v="1033"/>
  </r>
  <r>
    <x v="115"/>
    <x v="29"/>
    <x v="0"/>
    <x v="0"/>
    <x v="1"/>
    <x v="4"/>
    <x v="1"/>
    <x v="0"/>
    <x v="0"/>
    <x v="0"/>
    <x v="2"/>
    <x v="4"/>
    <x v="4"/>
    <x v="8"/>
    <x v="13"/>
    <x v="9"/>
    <x v="7"/>
    <x v="202"/>
    <x v="198"/>
    <x v="599"/>
    <x v="394"/>
  </r>
  <r>
    <x v="116"/>
    <x v="36"/>
    <x v="0"/>
    <x v="0"/>
    <x v="1"/>
    <x v="4"/>
    <x v="1"/>
    <x v="0"/>
    <x v="0"/>
    <x v="1"/>
    <x v="1"/>
    <x v="2"/>
    <x v="7"/>
    <x v="14"/>
    <x v="45"/>
    <x v="18"/>
    <x v="12"/>
    <x v="699"/>
    <x v="637"/>
    <x v="729"/>
    <x v="1327"/>
  </r>
  <r>
    <x v="117"/>
    <x v="43"/>
    <x v="0"/>
    <x v="0"/>
    <x v="1"/>
    <x v="4"/>
    <x v="1"/>
    <x v="0"/>
    <x v="0"/>
    <x v="0"/>
    <x v="1"/>
    <x v="2"/>
    <x v="7"/>
    <x v="14"/>
    <x v="17"/>
    <x v="18"/>
    <x v="12"/>
    <x v="414"/>
    <x v="396"/>
    <x v="877"/>
    <x v="777"/>
  </r>
  <r>
    <x v="118"/>
    <x v="50"/>
    <x v="0"/>
    <x v="0"/>
    <x v="1"/>
    <x v="4"/>
    <x v="1"/>
    <x v="0"/>
    <x v="0"/>
    <x v="1"/>
    <x v="1"/>
    <x v="2"/>
    <x v="6"/>
    <x v="12"/>
    <x v="50"/>
    <x v="3"/>
    <x v="2"/>
    <x v="320"/>
    <x v="264"/>
    <x v="202"/>
    <x v="742"/>
  </r>
  <r>
    <x v="119"/>
    <x v="30"/>
    <x v="0"/>
    <x v="0"/>
    <x v="1"/>
    <x v="4"/>
    <x v="1"/>
    <x v="0"/>
    <x v="0"/>
    <x v="0"/>
    <x v="1"/>
    <x v="2"/>
    <x v="6"/>
    <x v="12"/>
    <x v="18"/>
    <x v="3"/>
    <x v="2"/>
    <x v="70"/>
    <x v="63"/>
    <x v="308"/>
    <x v="172"/>
  </r>
  <r>
    <x v="120"/>
    <x v="37"/>
    <x v="0"/>
    <x v="0"/>
    <x v="1"/>
    <x v="4"/>
    <x v="1"/>
    <x v="1"/>
    <x v="1"/>
    <x v="1"/>
    <x v="3"/>
    <x v="6"/>
    <x v="1"/>
    <x v="2"/>
    <x v="8"/>
    <x v="25"/>
    <x v="16"/>
    <x v="813"/>
    <x v="728"/>
    <x v="1020"/>
    <x v="1520"/>
  </r>
  <r>
    <x v="121"/>
    <x v="44"/>
    <x v="0"/>
    <x v="0"/>
    <x v="1"/>
    <x v="4"/>
    <x v="1"/>
    <x v="1"/>
    <x v="1"/>
    <x v="0"/>
    <x v="3"/>
    <x v="6"/>
    <x v="1"/>
    <x v="2"/>
    <x v="1"/>
    <x v="25"/>
    <x v="16"/>
    <x v="548"/>
    <x v="519"/>
    <x v="1032"/>
    <x v="947"/>
  </r>
  <r>
    <x v="122"/>
    <x v="51"/>
    <x v="0"/>
    <x v="0"/>
    <x v="1"/>
    <x v="4"/>
    <x v="1"/>
    <x v="1"/>
    <x v="1"/>
    <x v="1"/>
    <x v="3"/>
    <x v="6"/>
    <x v="2"/>
    <x v="4"/>
    <x v="7"/>
    <x v="22"/>
    <x v="14"/>
    <x v="583"/>
    <x v="548"/>
    <x v="551"/>
    <x v="1111"/>
  </r>
  <r>
    <x v="123"/>
    <x v="31"/>
    <x v="0"/>
    <x v="0"/>
    <x v="1"/>
    <x v="4"/>
    <x v="1"/>
    <x v="1"/>
    <x v="1"/>
    <x v="0"/>
    <x v="3"/>
    <x v="6"/>
    <x v="2"/>
    <x v="4"/>
    <x v="1"/>
    <x v="22"/>
    <x v="14"/>
    <x v="220"/>
    <x v="229"/>
    <x v="621"/>
    <x v="361"/>
  </r>
  <r>
    <x v="124"/>
    <x v="38"/>
    <x v="0"/>
    <x v="0"/>
    <x v="1"/>
    <x v="4"/>
    <x v="1"/>
    <x v="1"/>
    <x v="1"/>
    <x v="1"/>
    <x v="3"/>
    <x v="6"/>
    <x v="5"/>
    <x v="10"/>
    <x v="8"/>
    <x v="28"/>
    <x v="18"/>
    <x v="835"/>
    <x v="748"/>
    <x v="1105"/>
    <x v="1542"/>
  </r>
  <r>
    <x v="125"/>
    <x v="45"/>
    <x v="0"/>
    <x v="0"/>
    <x v="1"/>
    <x v="4"/>
    <x v="1"/>
    <x v="1"/>
    <x v="1"/>
    <x v="0"/>
    <x v="3"/>
    <x v="6"/>
    <x v="5"/>
    <x v="10"/>
    <x v="2"/>
    <x v="28"/>
    <x v="18"/>
    <x v="721"/>
    <x v="673"/>
    <x v="1180"/>
    <x v="1198"/>
  </r>
  <r>
    <x v="126"/>
    <x v="52"/>
    <x v="0"/>
    <x v="0"/>
    <x v="1"/>
    <x v="4"/>
    <x v="1"/>
    <x v="1"/>
    <x v="1"/>
    <x v="1"/>
    <x v="0"/>
    <x v="0"/>
    <x v="3"/>
    <x v="6"/>
    <x v="42"/>
    <x v="0"/>
    <x v="0"/>
    <x v="195"/>
    <x v="150"/>
    <x v="111"/>
    <x v="534"/>
  </r>
  <r>
    <x v="127"/>
    <x v="32"/>
    <x v="0"/>
    <x v="0"/>
    <x v="1"/>
    <x v="4"/>
    <x v="1"/>
    <x v="1"/>
    <x v="1"/>
    <x v="0"/>
    <x v="0"/>
    <x v="0"/>
    <x v="3"/>
    <x v="6"/>
    <x v="14"/>
    <x v="0"/>
    <x v="0"/>
    <x v="22"/>
    <x v="21"/>
    <x v="164"/>
    <x v="66"/>
  </r>
  <r>
    <x v="128"/>
    <x v="39"/>
    <x v="0"/>
    <x v="0"/>
    <x v="1"/>
    <x v="4"/>
    <x v="1"/>
    <x v="1"/>
    <x v="1"/>
    <x v="1"/>
    <x v="0"/>
    <x v="0"/>
    <x v="8"/>
    <x v="16"/>
    <x v="43"/>
    <x v="12"/>
    <x v="6"/>
    <x v="602"/>
    <x v="511"/>
    <x v="582"/>
    <x v="1258"/>
  </r>
  <r>
    <x v="129"/>
    <x v="46"/>
    <x v="0"/>
    <x v="0"/>
    <x v="1"/>
    <x v="4"/>
    <x v="1"/>
    <x v="1"/>
    <x v="1"/>
    <x v="0"/>
    <x v="0"/>
    <x v="0"/>
    <x v="8"/>
    <x v="16"/>
    <x v="15"/>
    <x v="12"/>
    <x v="6"/>
    <x v="274"/>
    <x v="226"/>
    <x v="695"/>
    <x v="626"/>
  </r>
  <r>
    <x v="130"/>
    <x v="53"/>
    <x v="0"/>
    <x v="0"/>
    <x v="1"/>
    <x v="4"/>
    <x v="1"/>
    <x v="1"/>
    <x v="1"/>
    <x v="1"/>
    <x v="0"/>
    <x v="0"/>
    <x v="9"/>
    <x v="18"/>
    <x v="37"/>
    <x v="6"/>
    <x v="4"/>
    <x v="420"/>
    <x v="379"/>
    <x v="323"/>
    <x v="907"/>
  </r>
  <r>
    <x v="131"/>
    <x v="33"/>
    <x v="0"/>
    <x v="0"/>
    <x v="1"/>
    <x v="4"/>
    <x v="1"/>
    <x v="1"/>
    <x v="1"/>
    <x v="0"/>
    <x v="0"/>
    <x v="0"/>
    <x v="9"/>
    <x v="18"/>
    <x v="14"/>
    <x v="6"/>
    <x v="4"/>
    <x v="150"/>
    <x v="139"/>
    <x v="495"/>
    <x v="308"/>
  </r>
  <r>
    <x v="132"/>
    <x v="40"/>
    <x v="0"/>
    <x v="0"/>
    <x v="1"/>
    <x v="4"/>
    <x v="1"/>
    <x v="1"/>
    <x v="1"/>
    <x v="1"/>
    <x v="2"/>
    <x v="4"/>
    <x v="0"/>
    <x v="0"/>
    <x v="22"/>
    <x v="15"/>
    <x v="10"/>
    <x v="470"/>
    <x v="411"/>
    <x v="382"/>
    <x v="1011"/>
  </r>
  <r>
    <x v="133"/>
    <x v="47"/>
    <x v="0"/>
    <x v="0"/>
    <x v="1"/>
    <x v="4"/>
    <x v="1"/>
    <x v="1"/>
    <x v="1"/>
    <x v="0"/>
    <x v="2"/>
    <x v="4"/>
    <x v="0"/>
    <x v="0"/>
    <x v="6"/>
    <x v="15"/>
    <x v="10"/>
    <x v="130"/>
    <x v="116"/>
    <x v="451"/>
    <x v="285"/>
  </r>
  <r>
    <x v="134"/>
    <x v="27"/>
    <x v="0"/>
    <x v="0"/>
    <x v="1"/>
    <x v="4"/>
    <x v="1"/>
    <x v="1"/>
    <x v="1"/>
    <x v="1"/>
    <x v="2"/>
    <x v="4"/>
    <x v="4"/>
    <x v="8"/>
    <x v="15"/>
    <x v="9"/>
    <x v="7"/>
    <x v="239"/>
    <x v="227"/>
    <x v="143"/>
    <x v="512"/>
  </r>
  <r>
    <x v="135"/>
    <x v="34"/>
    <x v="0"/>
    <x v="0"/>
    <x v="1"/>
    <x v="4"/>
    <x v="1"/>
    <x v="1"/>
    <x v="1"/>
    <x v="0"/>
    <x v="2"/>
    <x v="4"/>
    <x v="4"/>
    <x v="8"/>
    <x v="7"/>
    <x v="9"/>
    <x v="7"/>
    <x v="84"/>
    <x v="89"/>
    <x v="349"/>
    <x v="152"/>
  </r>
  <r>
    <x v="136"/>
    <x v="41"/>
    <x v="0"/>
    <x v="0"/>
    <x v="1"/>
    <x v="4"/>
    <x v="1"/>
    <x v="1"/>
    <x v="1"/>
    <x v="1"/>
    <x v="1"/>
    <x v="2"/>
    <x v="7"/>
    <x v="14"/>
    <x v="22"/>
    <x v="18"/>
    <x v="12"/>
    <x v="495"/>
    <x v="465"/>
    <x v="421"/>
    <x v="975"/>
  </r>
  <r>
    <x v="137"/>
    <x v="48"/>
    <x v="0"/>
    <x v="0"/>
    <x v="1"/>
    <x v="4"/>
    <x v="1"/>
    <x v="1"/>
    <x v="1"/>
    <x v="0"/>
    <x v="1"/>
    <x v="2"/>
    <x v="7"/>
    <x v="14"/>
    <x v="8"/>
    <x v="18"/>
    <x v="12"/>
    <x v="207"/>
    <x v="206"/>
    <x v="609"/>
    <x v="377"/>
  </r>
  <r>
    <x v="138"/>
    <x v="28"/>
    <x v="0"/>
    <x v="0"/>
    <x v="1"/>
    <x v="4"/>
    <x v="1"/>
    <x v="1"/>
    <x v="1"/>
    <x v="1"/>
    <x v="1"/>
    <x v="2"/>
    <x v="6"/>
    <x v="12"/>
    <x v="21"/>
    <x v="3"/>
    <x v="2"/>
    <x v="94"/>
    <x v="81"/>
    <x v="40"/>
    <x v="250"/>
  </r>
  <r>
    <x v="139"/>
    <x v="35"/>
    <x v="0"/>
    <x v="0"/>
    <x v="1"/>
    <x v="4"/>
    <x v="1"/>
    <x v="1"/>
    <x v="1"/>
    <x v="0"/>
    <x v="1"/>
    <x v="2"/>
    <x v="6"/>
    <x v="12"/>
    <x v="7"/>
    <x v="3"/>
    <x v="2"/>
    <x v="7"/>
    <x v="8"/>
    <x v="86"/>
    <x v="19"/>
  </r>
  <r>
    <x v="140"/>
    <x v="42"/>
    <x v="0"/>
    <x v="0"/>
    <x v="1"/>
    <x v="4"/>
    <x v="1"/>
    <x v="3"/>
    <x v="3"/>
    <x v="1"/>
    <x v="3"/>
    <x v="6"/>
    <x v="1"/>
    <x v="2"/>
    <x v="5"/>
    <x v="25"/>
    <x v="16"/>
    <x v="768"/>
    <x v="698"/>
    <x v="868"/>
    <x v="1422"/>
  </r>
  <r>
    <x v="141"/>
    <x v="49"/>
    <x v="0"/>
    <x v="0"/>
    <x v="1"/>
    <x v="4"/>
    <x v="1"/>
    <x v="3"/>
    <x v="3"/>
    <x v="0"/>
    <x v="3"/>
    <x v="6"/>
    <x v="1"/>
    <x v="2"/>
    <x v="1"/>
    <x v="25"/>
    <x v="16"/>
    <x v="548"/>
    <x v="519"/>
    <x v="1032"/>
    <x v="947"/>
  </r>
  <r>
    <x v="142"/>
    <x v="29"/>
    <x v="0"/>
    <x v="0"/>
    <x v="1"/>
    <x v="4"/>
    <x v="1"/>
    <x v="3"/>
    <x v="3"/>
    <x v="1"/>
    <x v="3"/>
    <x v="6"/>
    <x v="2"/>
    <x v="4"/>
    <x v="6"/>
    <x v="22"/>
    <x v="14"/>
    <x v="548"/>
    <x v="514"/>
    <x v="491"/>
    <x v="1036"/>
  </r>
  <r>
    <x v="143"/>
    <x v="36"/>
    <x v="0"/>
    <x v="0"/>
    <x v="1"/>
    <x v="4"/>
    <x v="1"/>
    <x v="3"/>
    <x v="3"/>
    <x v="0"/>
    <x v="3"/>
    <x v="6"/>
    <x v="2"/>
    <x v="4"/>
    <x v="0"/>
    <x v="22"/>
    <x v="14"/>
    <x v="116"/>
    <x v="132"/>
    <x v="426"/>
    <x v="173"/>
  </r>
  <r>
    <x v="144"/>
    <x v="43"/>
    <x v="0"/>
    <x v="0"/>
    <x v="1"/>
    <x v="4"/>
    <x v="1"/>
    <x v="3"/>
    <x v="3"/>
    <x v="1"/>
    <x v="3"/>
    <x v="6"/>
    <x v="5"/>
    <x v="10"/>
    <x v="5"/>
    <x v="28"/>
    <x v="18"/>
    <x v="808"/>
    <x v="731"/>
    <x v="1007"/>
    <x v="1459"/>
  </r>
  <r>
    <x v="145"/>
    <x v="50"/>
    <x v="0"/>
    <x v="0"/>
    <x v="1"/>
    <x v="4"/>
    <x v="1"/>
    <x v="3"/>
    <x v="3"/>
    <x v="0"/>
    <x v="3"/>
    <x v="6"/>
    <x v="5"/>
    <x v="10"/>
    <x v="1"/>
    <x v="28"/>
    <x v="18"/>
    <x v="644"/>
    <x v="623"/>
    <x v="1118"/>
    <x v="1024"/>
  </r>
  <r>
    <x v="146"/>
    <x v="30"/>
    <x v="0"/>
    <x v="0"/>
    <x v="1"/>
    <x v="4"/>
    <x v="1"/>
    <x v="3"/>
    <x v="3"/>
    <x v="1"/>
    <x v="0"/>
    <x v="0"/>
    <x v="3"/>
    <x v="6"/>
    <x v="28"/>
    <x v="0"/>
    <x v="0"/>
    <x v="99"/>
    <x v="79"/>
    <x v="44"/>
    <x v="309"/>
  </r>
  <r>
    <x v="147"/>
    <x v="37"/>
    <x v="0"/>
    <x v="0"/>
    <x v="1"/>
    <x v="4"/>
    <x v="1"/>
    <x v="3"/>
    <x v="3"/>
    <x v="0"/>
    <x v="0"/>
    <x v="0"/>
    <x v="3"/>
    <x v="6"/>
    <x v="12"/>
    <x v="0"/>
    <x v="0"/>
    <x v="15"/>
    <x v="13"/>
    <x v="132"/>
    <x v="50"/>
  </r>
  <r>
    <x v="148"/>
    <x v="44"/>
    <x v="0"/>
    <x v="0"/>
    <x v="1"/>
    <x v="4"/>
    <x v="1"/>
    <x v="3"/>
    <x v="3"/>
    <x v="1"/>
    <x v="0"/>
    <x v="0"/>
    <x v="8"/>
    <x v="16"/>
    <x v="32"/>
    <x v="12"/>
    <x v="6"/>
    <x v="510"/>
    <x v="426"/>
    <x v="435"/>
    <x v="1126"/>
  </r>
  <r>
    <x v="149"/>
    <x v="51"/>
    <x v="0"/>
    <x v="0"/>
    <x v="1"/>
    <x v="4"/>
    <x v="1"/>
    <x v="3"/>
    <x v="3"/>
    <x v="0"/>
    <x v="0"/>
    <x v="0"/>
    <x v="8"/>
    <x v="16"/>
    <x v="12"/>
    <x v="12"/>
    <x v="6"/>
    <x v="215"/>
    <x v="177"/>
    <x v="617"/>
    <x v="501"/>
  </r>
  <r>
    <x v="150"/>
    <x v="31"/>
    <x v="0"/>
    <x v="0"/>
    <x v="1"/>
    <x v="4"/>
    <x v="1"/>
    <x v="3"/>
    <x v="3"/>
    <x v="1"/>
    <x v="0"/>
    <x v="0"/>
    <x v="9"/>
    <x v="18"/>
    <x v="35"/>
    <x v="6"/>
    <x v="4"/>
    <x v="408"/>
    <x v="361"/>
    <x v="304"/>
    <x v="876"/>
  </r>
  <r>
    <x v="151"/>
    <x v="38"/>
    <x v="0"/>
    <x v="0"/>
    <x v="1"/>
    <x v="4"/>
    <x v="1"/>
    <x v="3"/>
    <x v="3"/>
    <x v="0"/>
    <x v="0"/>
    <x v="0"/>
    <x v="9"/>
    <x v="18"/>
    <x v="12"/>
    <x v="6"/>
    <x v="4"/>
    <x v="118"/>
    <x v="112"/>
    <x v="429"/>
    <x v="239"/>
  </r>
  <r>
    <x v="152"/>
    <x v="45"/>
    <x v="0"/>
    <x v="0"/>
    <x v="1"/>
    <x v="4"/>
    <x v="1"/>
    <x v="3"/>
    <x v="3"/>
    <x v="1"/>
    <x v="2"/>
    <x v="4"/>
    <x v="0"/>
    <x v="0"/>
    <x v="14"/>
    <x v="15"/>
    <x v="10"/>
    <x v="337"/>
    <x v="287"/>
    <x v="213"/>
    <x v="752"/>
  </r>
  <r>
    <x v="153"/>
    <x v="52"/>
    <x v="0"/>
    <x v="0"/>
    <x v="1"/>
    <x v="4"/>
    <x v="1"/>
    <x v="3"/>
    <x v="3"/>
    <x v="0"/>
    <x v="2"/>
    <x v="4"/>
    <x v="0"/>
    <x v="0"/>
    <x v="4"/>
    <x v="15"/>
    <x v="10"/>
    <x v="76"/>
    <x v="70"/>
    <x v="321"/>
    <x v="166"/>
  </r>
  <r>
    <x v="154"/>
    <x v="32"/>
    <x v="0"/>
    <x v="0"/>
    <x v="1"/>
    <x v="4"/>
    <x v="1"/>
    <x v="3"/>
    <x v="3"/>
    <x v="1"/>
    <x v="2"/>
    <x v="4"/>
    <x v="4"/>
    <x v="8"/>
    <x v="11"/>
    <x v="9"/>
    <x v="7"/>
    <x v="165"/>
    <x v="162"/>
    <x v="87"/>
    <x v="352"/>
  </r>
  <r>
    <x v="155"/>
    <x v="39"/>
    <x v="0"/>
    <x v="0"/>
    <x v="1"/>
    <x v="4"/>
    <x v="1"/>
    <x v="3"/>
    <x v="3"/>
    <x v="0"/>
    <x v="2"/>
    <x v="4"/>
    <x v="4"/>
    <x v="8"/>
    <x v="3"/>
    <x v="9"/>
    <x v="7"/>
    <x v="18"/>
    <x v="28"/>
    <x v="149"/>
    <x v="36"/>
  </r>
  <r>
    <x v="156"/>
    <x v="46"/>
    <x v="0"/>
    <x v="0"/>
    <x v="1"/>
    <x v="4"/>
    <x v="1"/>
    <x v="3"/>
    <x v="3"/>
    <x v="1"/>
    <x v="1"/>
    <x v="2"/>
    <x v="7"/>
    <x v="14"/>
    <x v="16"/>
    <x v="18"/>
    <x v="12"/>
    <x v="399"/>
    <x v="375"/>
    <x v="292"/>
    <x v="799"/>
  </r>
  <r>
    <x v="157"/>
    <x v="53"/>
    <x v="0"/>
    <x v="0"/>
    <x v="1"/>
    <x v="4"/>
    <x v="1"/>
    <x v="3"/>
    <x v="3"/>
    <x v="0"/>
    <x v="1"/>
    <x v="2"/>
    <x v="7"/>
    <x v="14"/>
    <x v="5"/>
    <x v="18"/>
    <x v="12"/>
    <x v="118"/>
    <x v="126"/>
    <x v="429"/>
    <x v="206"/>
  </r>
  <r>
    <x v="158"/>
    <x v="33"/>
    <x v="0"/>
    <x v="0"/>
    <x v="1"/>
    <x v="4"/>
    <x v="1"/>
    <x v="3"/>
    <x v="3"/>
    <x v="1"/>
    <x v="1"/>
    <x v="2"/>
    <x v="6"/>
    <x v="12"/>
    <x v="16"/>
    <x v="3"/>
    <x v="2"/>
    <x v="54"/>
    <x v="51"/>
    <x v="14"/>
    <x v="156"/>
  </r>
  <r>
    <x v="159"/>
    <x v="40"/>
    <x v="0"/>
    <x v="0"/>
    <x v="1"/>
    <x v="4"/>
    <x v="1"/>
    <x v="3"/>
    <x v="3"/>
    <x v="0"/>
    <x v="1"/>
    <x v="2"/>
    <x v="6"/>
    <x v="12"/>
    <x v="5"/>
    <x v="3"/>
    <x v="2"/>
    <x v="3"/>
    <x v="4"/>
    <x v="47"/>
    <x v="7"/>
  </r>
  <r>
    <x v="160"/>
    <x v="47"/>
    <x v="0"/>
    <x v="0"/>
    <x v="1"/>
    <x v="4"/>
    <x v="1"/>
    <x v="2"/>
    <x v="2"/>
    <x v="1"/>
    <x v="3"/>
    <x v="6"/>
    <x v="1"/>
    <x v="2"/>
    <x v="3"/>
    <x v="25"/>
    <x v="16"/>
    <x v="697"/>
    <x v="645"/>
    <x v="720"/>
    <x v="1281"/>
  </r>
  <r>
    <x v="161"/>
    <x v="27"/>
    <x v="0"/>
    <x v="0"/>
    <x v="1"/>
    <x v="4"/>
    <x v="1"/>
    <x v="2"/>
    <x v="2"/>
    <x v="0"/>
    <x v="3"/>
    <x v="6"/>
    <x v="1"/>
    <x v="2"/>
    <x v="0"/>
    <x v="25"/>
    <x v="16"/>
    <x v="407"/>
    <x v="404"/>
    <x v="868"/>
    <x v="694"/>
  </r>
  <r>
    <x v="162"/>
    <x v="34"/>
    <x v="0"/>
    <x v="0"/>
    <x v="1"/>
    <x v="4"/>
    <x v="1"/>
    <x v="2"/>
    <x v="2"/>
    <x v="1"/>
    <x v="3"/>
    <x v="6"/>
    <x v="2"/>
    <x v="4"/>
    <x v="4"/>
    <x v="22"/>
    <x v="14"/>
    <x v="445"/>
    <x v="429"/>
    <x v="354"/>
    <x v="854"/>
  </r>
  <r>
    <x v="163"/>
    <x v="41"/>
    <x v="0"/>
    <x v="0"/>
    <x v="1"/>
    <x v="4"/>
    <x v="1"/>
    <x v="2"/>
    <x v="2"/>
    <x v="0"/>
    <x v="3"/>
    <x v="6"/>
    <x v="2"/>
    <x v="4"/>
    <x v="0"/>
    <x v="22"/>
    <x v="14"/>
    <x v="116"/>
    <x v="132"/>
    <x v="426"/>
    <x v="173"/>
  </r>
  <r>
    <x v="164"/>
    <x v="48"/>
    <x v="0"/>
    <x v="0"/>
    <x v="1"/>
    <x v="4"/>
    <x v="1"/>
    <x v="2"/>
    <x v="2"/>
    <x v="1"/>
    <x v="3"/>
    <x v="6"/>
    <x v="5"/>
    <x v="10"/>
    <x v="4"/>
    <x v="28"/>
    <x v="18"/>
    <x v="793"/>
    <x v="724"/>
    <x v="944"/>
    <x v="1408"/>
  </r>
  <r>
    <x v="165"/>
    <x v="28"/>
    <x v="0"/>
    <x v="0"/>
    <x v="1"/>
    <x v="4"/>
    <x v="1"/>
    <x v="2"/>
    <x v="2"/>
    <x v="0"/>
    <x v="3"/>
    <x v="6"/>
    <x v="5"/>
    <x v="10"/>
    <x v="0"/>
    <x v="28"/>
    <x v="18"/>
    <x v="517"/>
    <x v="521"/>
    <x v="1007"/>
    <x v="765"/>
  </r>
  <r>
    <x v="166"/>
    <x v="35"/>
    <x v="0"/>
    <x v="0"/>
    <x v="1"/>
    <x v="4"/>
    <x v="1"/>
    <x v="2"/>
    <x v="2"/>
    <x v="1"/>
    <x v="0"/>
    <x v="0"/>
    <x v="3"/>
    <x v="6"/>
    <x v="22"/>
    <x v="0"/>
    <x v="0"/>
    <x v="63"/>
    <x v="52"/>
    <x v="23"/>
    <x v="210"/>
  </r>
  <r>
    <x v="167"/>
    <x v="42"/>
    <x v="0"/>
    <x v="0"/>
    <x v="1"/>
    <x v="4"/>
    <x v="1"/>
    <x v="2"/>
    <x v="2"/>
    <x v="0"/>
    <x v="0"/>
    <x v="0"/>
    <x v="3"/>
    <x v="6"/>
    <x v="6"/>
    <x v="0"/>
    <x v="0"/>
    <x v="2"/>
    <x v="2"/>
    <x v="35"/>
    <x v="5"/>
  </r>
  <r>
    <x v="168"/>
    <x v="49"/>
    <x v="0"/>
    <x v="0"/>
    <x v="1"/>
    <x v="4"/>
    <x v="1"/>
    <x v="2"/>
    <x v="2"/>
    <x v="1"/>
    <x v="0"/>
    <x v="0"/>
    <x v="8"/>
    <x v="16"/>
    <x v="23"/>
    <x v="12"/>
    <x v="6"/>
    <x v="403"/>
    <x v="333"/>
    <x v="297"/>
    <x v="918"/>
  </r>
  <r>
    <x v="169"/>
    <x v="29"/>
    <x v="0"/>
    <x v="0"/>
    <x v="1"/>
    <x v="4"/>
    <x v="1"/>
    <x v="2"/>
    <x v="2"/>
    <x v="0"/>
    <x v="0"/>
    <x v="0"/>
    <x v="8"/>
    <x v="16"/>
    <x v="8"/>
    <x v="12"/>
    <x v="6"/>
    <x v="126"/>
    <x v="106"/>
    <x v="446"/>
    <x v="315"/>
  </r>
  <r>
    <x v="170"/>
    <x v="36"/>
    <x v="0"/>
    <x v="0"/>
    <x v="1"/>
    <x v="4"/>
    <x v="1"/>
    <x v="2"/>
    <x v="2"/>
    <x v="1"/>
    <x v="0"/>
    <x v="0"/>
    <x v="9"/>
    <x v="18"/>
    <x v="26"/>
    <x v="6"/>
    <x v="4"/>
    <x v="320"/>
    <x v="281"/>
    <x v="202"/>
    <x v="696"/>
  </r>
  <r>
    <x v="171"/>
    <x v="43"/>
    <x v="0"/>
    <x v="0"/>
    <x v="1"/>
    <x v="4"/>
    <x v="1"/>
    <x v="2"/>
    <x v="2"/>
    <x v="0"/>
    <x v="0"/>
    <x v="0"/>
    <x v="9"/>
    <x v="18"/>
    <x v="8"/>
    <x v="6"/>
    <x v="4"/>
    <x v="59"/>
    <x v="62"/>
    <x v="279"/>
    <x v="121"/>
  </r>
  <r>
    <x v="172"/>
    <x v="50"/>
    <x v="0"/>
    <x v="0"/>
    <x v="1"/>
    <x v="4"/>
    <x v="1"/>
    <x v="2"/>
    <x v="2"/>
    <x v="1"/>
    <x v="2"/>
    <x v="4"/>
    <x v="0"/>
    <x v="0"/>
    <x v="10"/>
    <x v="15"/>
    <x v="10"/>
    <x v="237"/>
    <x v="208"/>
    <x v="142"/>
    <x v="562"/>
  </r>
  <r>
    <x v="173"/>
    <x v="30"/>
    <x v="0"/>
    <x v="0"/>
    <x v="1"/>
    <x v="4"/>
    <x v="1"/>
    <x v="2"/>
    <x v="2"/>
    <x v="0"/>
    <x v="2"/>
    <x v="4"/>
    <x v="0"/>
    <x v="0"/>
    <x v="2"/>
    <x v="15"/>
    <x v="10"/>
    <x v="28"/>
    <x v="32"/>
    <x v="185"/>
    <x v="61"/>
  </r>
  <r>
    <x v="174"/>
    <x v="37"/>
    <x v="0"/>
    <x v="0"/>
    <x v="1"/>
    <x v="4"/>
    <x v="1"/>
    <x v="2"/>
    <x v="2"/>
    <x v="1"/>
    <x v="2"/>
    <x v="4"/>
    <x v="4"/>
    <x v="8"/>
    <x v="10"/>
    <x v="9"/>
    <x v="7"/>
    <x v="144"/>
    <x v="144"/>
    <x v="70"/>
    <x v="313"/>
  </r>
  <r>
    <x v="175"/>
    <x v="44"/>
    <x v="0"/>
    <x v="0"/>
    <x v="1"/>
    <x v="4"/>
    <x v="1"/>
    <x v="2"/>
    <x v="2"/>
    <x v="0"/>
    <x v="2"/>
    <x v="4"/>
    <x v="4"/>
    <x v="8"/>
    <x v="2"/>
    <x v="9"/>
    <x v="7"/>
    <x v="9"/>
    <x v="14"/>
    <x v="101"/>
    <x v="14"/>
  </r>
  <r>
    <x v="176"/>
    <x v="51"/>
    <x v="0"/>
    <x v="0"/>
    <x v="1"/>
    <x v="4"/>
    <x v="1"/>
    <x v="2"/>
    <x v="2"/>
    <x v="1"/>
    <x v="1"/>
    <x v="2"/>
    <x v="7"/>
    <x v="14"/>
    <x v="12"/>
    <x v="18"/>
    <x v="12"/>
    <x v="320"/>
    <x v="298"/>
    <x v="202"/>
    <x v="625"/>
  </r>
  <r>
    <x v="177"/>
    <x v="31"/>
    <x v="0"/>
    <x v="0"/>
    <x v="1"/>
    <x v="4"/>
    <x v="1"/>
    <x v="2"/>
    <x v="2"/>
    <x v="0"/>
    <x v="1"/>
    <x v="2"/>
    <x v="7"/>
    <x v="14"/>
    <x v="4"/>
    <x v="18"/>
    <x v="12"/>
    <x v="89"/>
    <x v="96"/>
    <x v="358"/>
    <x v="136"/>
  </r>
  <r>
    <x v="178"/>
    <x v="38"/>
    <x v="0"/>
    <x v="0"/>
    <x v="1"/>
    <x v="4"/>
    <x v="1"/>
    <x v="2"/>
    <x v="2"/>
    <x v="1"/>
    <x v="1"/>
    <x v="2"/>
    <x v="6"/>
    <x v="12"/>
    <x v="11"/>
    <x v="3"/>
    <x v="2"/>
    <x v="24"/>
    <x v="25"/>
    <x v="0"/>
    <x v="71"/>
  </r>
  <r>
    <x v="179"/>
    <x v="45"/>
    <x v="0"/>
    <x v="0"/>
    <x v="1"/>
    <x v="4"/>
    <x v="1"/>
    <x v="2"/>
    <x v="2"/>
    <x v="0"/>
    <x v="1"/>
    <x v="2"/>
    <x v="6"/>
    <x v="12"/>
    <x v="3"/>
    <x v="3"/>
    <x v="2"/>
    <x v="0"/>
    <x v="0"/>
    <x v="9"/>
    <x v="1"/>
  </r>
  <r>
    <x v="180"/>
    <x v="52"/>
    <x v="0"/>
    <x v="0"/>
    <x v="1"/>
    <x v="4"/>
    <x v="1"/>
    <x v="4"/>
    <x v="4"/>
    <x v="1"/>
    <x v="3"/>
    <x v="6"/>
    <x v="1"/>
    <x v="2"/>
    <x v="3"/>
    <x v="25"/>
    <x v="16"/>
    <x v="697"/>
    <x v="645"/>
    <x v="720"/>
    <x v="1281"/>
  </r>
  <r>
    <x v="181"/>
    <x v="32"/>
    <x v="0"/>
    <x v="0"/>
    <x v="1"/>
    <x v="4"/>
    <x v="1"/>
    <x v="4"/>
    <x v="4"/>
    <x v="0"/>
    <x v="3"/>
    <x v="6"/>
    <x v="1"/>
    <x v="2"/>
    <x v="0"/>
    <x v="25"/>
    <x v="16"/>
    <x v="407"/>
    <x v="404"/>
    <x v="868"/>
    <x v="694"/>
  </r>
  <r>
    <x v="182"/>
    <x v="39"/>
    <x v="0"/>
    <x v="0"/>
    <x v="1"/>
    <x v="4"/>
    <x v="1"/>
    <x v="4"/>
    <x v="4"/>
    <x v="1"/>
    <x v="3"/>
    <x v="6"/>
    <x v="2"/>
    <x v="4"/>
    <x v="3"/>
    <x v="22"/>
    <x v="14"/>
    <x v="384"/>
    <x v="374"/>
    <x v="273"/>
    <x v="730"/>
  </r>
  <r>
    <x v="183"/>
    <x v="46"/>
    <x v="0"/>
    <x v="0"/>
    <x v="1"/>
    <x v="4"/>
    <x v="1"/>
    <x v="4"/>
    <x v="4"/>
    <x v="0"/>
    <x v="3"/>
    <x v="6"/>
    <x v="2"/>
    <x v="4"/>
    <x v="0"/>
    <x v="22"/>
    <x v="14"/>
    <x v="116"/>
    <x v="132"/>
    <x v="426"/>
    <x v="173"/>
  </r>
  <r>
    <x v="184"/>
    <x v="53"/>
    <x v="0"/>
    <x v="0"/>
    <x v="1"/>
    <x v="4"/>
    <x v="1"/>
    <x v="4"/>
    <x v="4"/>
    <x v="1"/>
    <x v="3"/>
    <x v="6"/>
    <x v="5"/>
    <x v="10"/>
    <x v="2"/>
    <x v="28"/>
    <x v="18"/>
    <x v="721"/>
    <x v="673"/>
    <x v="762"/>
    <x v="1242"/>
  </r>
  <r>
    <x v="185"/>
    <x v="33"/>
    <x v="0"/>
    <x v="0"/>
    <x v="1"/>
    <x v="4"/>
    <x v="1"/>
    <x v="4"/>
    <x v="4"/>
    <x v="0"/>
    <x v="3"/>
    <x v="6"/>
    <x v="5"/>
    <x v="10"/>
    <x v="0"/>
    <x v="28"/>
    <x v="18"/>
    <x v="517"/>
    <x v="521"/>
    <x v="1007"/>
    <x v="765"/>
  </r>
  <r>
    <x v="186"/>
    <x v="40"/>
    <x v="0"/>
    <x v="0"/>
    <x v="1"/>
    <x v="4"/>
    <x v="1"/>
    <x v="4"/>
    <x v="4"/>
    <x v="1"/>
    <x v="0"/>
    <x v="0"/>
    <x v="3"/>
    <x v="6"/>
    <x v="20"/>
    <x v="0"/>
    <x v="0"/>
    <x v="53"/>
    <x v="44"/>
    <x v="11"/>
    <x v="174"/>
  </r>
  <r>
    <x v="187"/>
    <x v="47"/>
    <x v="0"/>
    <x v="0"/>
    <x v="1"/>
    <x v="4"/>
    <x v="1"/>
    <x v="4"/>
    <x v="4"/>
    <x v="0"/>
    <x v="0"/>
    <x v="0"/>
    <x v="3"/>
    <x v="6"/>
    <x v="7"/>
    <x v="0"/>
    <x v="0"/>
    <x v="4"/>
    <x v="3"/>
    <x v="50"/>
    <x v="9"/>
  </r>
  <r>
    <x v="188"/>
    <x v="27"/>
    <x v="0"/>
    <x v="0"/>
    <x v="1"/>
    <x v="4"/>
    <x v="1"/>
    <x v="4"/>
    <x v="4"/>
    <x v="1"/>
    <x v="0"/>
    <x v="0"/>
    <x v="8"/>
    <x v="16"/>
    <x v="19"/>
    <x v="12"/>
    <x v="6"/>
    <x v="348"/>
    <x v="285"/>
    <x v="228"/>
    <x v="813"/>
  </r>
  <r>
    <x v="189"/>
    <x v="34"/>
    <x v="0"/>
    <x v="0"/>
    <x v="1"/>
    <x v="4"/>
    <x v="1"/>
    <x v="4"/>
    <x v="4"/>
    <x v="0"/>
    <x v="0"/>
    <x v="0"/>
    <x v="8"/>
    <x v="16"/>
    <x v="7"/>
    <x v="12"/>
    <x v="6"/>
    <x v="105"/>
    <x v="88"/>
    <x v="397"/>
    <x v="254"/>
  </r>
  <r>
    <x v="190"/>
    <x v="41"/>
    <x v="0"/>
    <x v="0"/>
    <x v="1"/>
    <x v="4"/>
    <x v="1"/>
    <x v="4"/>
    <x v="4"/>
    <x v="1"/>
    <x v="0"/>
    <x v="0"/>
    <x v="9"/>
    <x v="18"/>
    <x v="22"/>
    <x v="6"/>
    <x v="4"/>
    <x v="262"/>
    <x v="239"/>
    <x v="162"/>
    <x v="587"/>
  </r>
  <r>
    <x v="191"/>
    <x v="48"/>
    <x v="0"/>
    <x v="0"/>
    <x v="1"/>
    <x v="4"/>
    <x v="1"/>
    <x v="4"/>
    <x v="4"/>
    <x v="0"/>
    <x v="0"/>
    <x v="0"/>
    <x v="9"/>
    <x v="18"/>
    <x v="8"/>
    <x v="6"/>
    <x v="4"/>
    <x v="59"/>
    <x v="62"/>
    <x v="279"/>
    <x v="121"/>
  </r>
  <r>
    <x v="192"/>
    <x v="28"/>
    <x v="0"/>
    <x v="0"/>
    <x v="1"/>
    <x v="4"/>
    <x v="1"/>
    <x v="4"/>
    <x v="4"/>
    <x v="1"/>
    <x v="2"/>
    <x v="4"/>
    <x v="0"/>
    <x v="0"/>
    <x v="8"/>
    <x v="15"/>
    <x v="10"/>
    <x v="185"/>
    <x v="166"/>
    <x v="104"/>
    <x v="449"/>
  </r>
  <r>
    <x v="193"/>
    <x v="35"/>
    <x v="0"/>
    <x v="0"/>
    <x v="1"/>
    <x v="4"/>
    <x v="1"/>
    <x v="4"/>
    <x v="4"/>
    <x v="0"/>
    <x v="2"/>
    <x v="4"/>
    <x v="0"/>
    <x v="0"/>
    <x v="3"/>
    <x v="15"/>
    <x v="10"/>
    <x v="48"/>
    <x v="49"/>
    <x v="242"/>
    <x v="108"/>
  </r>
  <r>
    <x v="194"/>
    <x v="42"/>
    <x v="0"/>
    <x v="0"/>
    <x v="1"/>
    <x v="4"/>
    <x v="1"/>
    <x v="4"/>
    <x v="4"/>
    <x v="1"/>
    <x v="2"/>
    <x v="4"/>
    <x v="4"/>
    <x v="8"/>
    <x v="10"/>
    <x v="9"/>
    <x v="7"/>
    <x v="144"/>
    <x v="144"/>
    <x v="70"/>
    <x v="313"/>
  </r>
  <r>
    <x v="195"/>
    <x v="49"/>
    <x v="0"/>
    <x v="0"/>
    <x v="1"/>
    <x v="4"/>
    <x v="1"/>
    <x v="4"/>
    <x v="4"/>
    <x v="0"/>
    <x v="2"/>
    <x v="4"/>
    <x v="4"/>
    <x v="8"/>
    <x v="2"/>
    <x v="9"/>
    <x v="7"/>
    <x v="9"/>
    <x v="14"/>
    <x v="101"/>
    <x v="14"/>
  </r>
  <r>
    <x v="196"/>
    <x v="29"/>
    <x v="0"/>
    <x v="0"/>
    <x v="1"/>
    <x v="4"/>
    <x v="1"/>
    <x v="4"/>
    <x v="4"/>
    <x v="1"/>
    <x v="1"/>
    <x v="2"/>
    <x v="7"/>
    <x v="14"/>
    <x v="14"/>
    <x v="18"/>
    <x v="12"/>
    <x v="358"/>
    <x v="339"/>
    <x v="239"/>
    <x v="720"/>
  </r>
  <r>
    <x v="197"/>
    <x v="36"/>
    <x v="0"/>
    <x v="0"/>
    <x v="1"/>
    <x v="4"/>
    <x v="1"/>
    <x v="4"/>
    <x v="4"/>
    <x v="0"/>
    <x v="1"/>
    <x v="2"/>
    <x v="7"/>
    <x v="14"/>
    <x v="5"/>
    <x v="18"/>
    <x v="12"/>
    <x v="118"/>
    <x v="126"/>
    <x v="429"/>
    <x v="206"/>
  </r>
  <r>
    <x v="198"/>
    <x v="43"/>
    <x v="0"/>
    <x v="0"/>
    <x v="1"/>
    <x v="4"/>
    <x v="1"/>
    <x v="4"/>
    <x v="4"/>
    <x v="1"/>
    <x v="1"/>
    <x v="2"/>
    <x v="6"/>
    <x v="12"/>
    <x v="12"/>
    <x v="3"/>
    <x v="2"/>
    <x v="30"/>
    <x v="31"/>
    <x v="1"/>
    <x v="87"/>
  </r>
  <r>
    <x v="199"/>
    <x v="50"/>
    <x v="0"/>
    <x v="0"/>
    <x v="1"/>
    <x v="4"/>
    <x v="1"/>
    <x v="4"/>
    <x v="4"/>
    <x v="0"/>
    <x v="1"/>
    <x v="2"/>
    <x v="6"/>
    <x v="12"/>
    <x v="4"/>
    <x v="3"/>
    <x v="2"/>
    <x v="1"/>
    <x v="1"/>
    <x v="28"/>
    <x v="4"/>
  </r>
  <r>
    <x v="200"/>
    <x v="57"/>
    <x v="0"/>
    <x v="0"/>
    <x v="2"/>
    <x v="7"/>
    <x v="2"/>
    <x v="0"/>
    <x v="0"/>
    <x v="1"/>
    <x v="3"/>
    <x v="6"/>
    <x v="1"/>
    <x v="2"/>
    <x v="16"/>
    <x v="25"/>
    <x v="16"/>
    <x v="852"/>
    <x v="756"/>
    <x v="1167"/>
    <x v="1589"/>
  </r>
  <r>
    <x v="201"/>
    <x v="64"/>
    <x v="0"/>
    <x v="0"/>
    <x v="2"/>
    <x v="7"/>
    <x v="2"/>
    <x v="0"/>
    <x v="0"/>
    <x v="0"/>
    <x v="3"/>
    <x v="6"/>
    <x v="1"/>
    <x v="2"/>
    <x v="6"/>
    <x v="25"/>
    <x v="16"/>
    <x v="789"/>
    <x v="711"/>
    <x v="1245"/>
    <x v="1438"/>
  </r>
  <r>
    <x v="202"/>
    <x v="71"/>
    <x v="0"/>
    <x v="0"/>
    <x v="2"/>
    <x v="7"/>
    <x v="2"/>
    <x v="0"/>
    <x v="0"/>
    <x v="1"/>
    <x v="3"/>
    <x v="6"/>
    <x v="2"/>
    <x v="4"/>
    <x v="21"/>
    <x v="22"/>
    <x v="14"/>
    <x v="799"/>
    <x v="718"/>
    <x v="964"/>
    <x v="1498"/>
  </r>
  <r>
    <x v="203"/>
    <x v="78"/>
    <x v="0"/>
    <x v="0"/>
    <x v="2"/>
    <x v="7"/>
    <x v="2"/>
    <x v="0"/>
    <x v="0"/>
    <x v="0"/>
    <x v="3"/>
    <x v="6"/>
    <x v="2"/>
    <x v="4"/>
    <x v="6"/>
    <x v="22"/>
    <x v="14"/>
    <x v="548"/>
    <x v="514"/>
    <x v="1032"/>
    <x v="979"/>
  </r>
  <r>
    <x v="204"/>
    <x v="58"/>
    <x v="0"/>
    <x v="0"/>
    <x v="2"/>
    <x v="7"/>
    <x v="2"/>
    <x v="0"/>
    <x v="0"/>
    <x v="1"/>
    <x v="3"/>
    <x v="6"/>
    <x v="5"/>
    <x v="10"/>
    <x v="18"/>
    <x v="28"/>
    <x v="18"/>
    <x v="877"/>
    <x v="782"/>
    <x v="1242"/>
    <x v="1610"/>
  </r>
  <r>
    <x v="205"/>
    <x v="65"/>
    <x v="0"/>
    <x v="0"/>
    <x v="2"/>
    <x v="7"/>
    <x v="2"/>
    <x v="0"/>
    <x v="0"/>
    <x v="0"/>
    <x v="3"/>
    <x v="6"/>
    <x v="5"/>
    <x v="10"/>
    <x v="6"/>
    <x v="28"/>
    <x v="18"/>
    <x v="818"/>
    <x v="738"/>
    <x v="1288"/>
    <x v="1472"/>
  </r>
  <r>
    <x v="206"/>
    <x v="72"/>
    <x v="0"/>
    <x v="0"/>
    <x v="2"/>
    <x v="7"/>
    <x v="2"/>
    <x v="0"/>
    <x v="0"/>
    <x v="1"/>
    <x v="0"/>
    <x v="0"/>
    <x v="3"/>
    <x v="6"/>
    <x v="94"/>
    <x v="0"/>
    <x v="0"/>
    <x v="451"/>
    <x v="364"/>
    <x v="362"/>
    <x v="1057"/>
  </r>
  <r>
    <x v="207"/>
    <x v="79"/>
    <x v="0"/>
    <x v="0"/>
    <x v="2"/>
    <x v="7"/>
    <x v="2"/>
    <x v="0"/>
    <x v="0"/>
    <x v="0"/>
    <x v="0"/>
    <x v="0"/>
    <x v="3"/>
    <x v="6"/>
    <x v="39"/>
    <x v="0"/>
    <x v="0"/>
    <x v="174"/>
    <x v="134"/>
    <x v="545"/>
    <x v="450"/>
  </r>
  <r>
    <x v="208"/>
    <x v="59"/>
    <x v="0"/>
    <x v="0"/>
    <x v="2"/>
    <x v="7"/>
    <x v="2"/>
    <x v="0"/>
    <x v="0"/>
    <x v="1"/>
    <x v="0"/>
    <x v="0"/>
    <x v="8"/>
    <x v="16"/>
    <x v="86"/>
    <x v="12"/>
    <x v="6"/>
    <x v="771"/>
    <x v="666"/>
    <x v="872"/>
    <x v="1509"/>
  </r>
  <r>
    <x v="209"/>
    <x v="66"/>
    <x v="0"/>
    <x v="0"/>
    <x v="2"/>
    <x v="7"/>
    <x v="2"/>
    <x v="0"/>
    <x v="0"/>
    <x v="0"/>
    <x v="0"/>
    <x v="0"/>
    <x v="8"/>
    <x v="16"/>
    <x v="29"/>
    <x v="12"/>
    <x v="6"/>
    <x v="479"/>
    <x v="403"/>
    <x v="960"/>
    <x v="1020"/>
  </r>
  <r>
    <x v="210"/>
    <x v="73"/>
    <x v="0"/>
    <x v="0"/>
    <x v="2"/>
    <x v="7"/>
    <x v="2"/>
    <x v="0"/>
    <x v="0"/>
    <x v="1"/>
    <x v="0"/>
    <x v="0"/>
    <x v="9"/>
    <x v="18"/>
    <x v="102"/>
    <x v="6"/>
    <x v="4"/>
    <x v="734"/>
    <x v="648"/>
    <x v="797"/>
    <x v="1426"/>
  </r>
  <r>
    <x v="211"/>
    <x v="80"/>
    <x v="0"/>
    <x v="0"/>
    <x v="2"/>
    <x v="7"/>
    <x v="2"/>
    <x v="0"/>
    <x v="0"/>
    <x v="0"/>
    <x v="0"/>
    <x v="0"/>
    <x v="9"/>
    <x v="18"/>
    <x v="29"/>
    <x v="6"/>
    <x v="4"/>
    <x v="350"/>
    <x v="308"/>
    <x v="801"/>
    <x v="719"/>
  </r>
  <r>
    <x v="212"/>
    <x v="60"/>
    <x v="0"/>
    <x v="0"/>
    <x v="2"/>
    <x v="7"/>
    <x v="2"/>
    <x v="0"/>
    <x v="0"/>
    <x v="1"/>
    <x v="2"/>
    <x v="4"/>
    <x v="0"/>
    <x v="0"/>
    <x v="34"/>
    <x v="15"/>
    <x v="10"/>
    <x v="607"/>
    <x v="528"/>
    <x v="586"/>
    <x v="1240"/>
  </r>
  <r>
    <x v="213"/>
    <x v="67"/>
    <x v="0"/>
    <x v="0"/>
    <x v="2"/>
    <x v="7"/>
    <x v="2"/>
    <x v="0"/>
    <x v="0"/>
    <x v="0"/>
    <x v="2"/>
    <x v="4"/>
    <x v="0"/>
    <x v="0"/>
    <x v="12"/>
    <x v="15"/>
    <x v="10"/>
    <x v="286"/>
    <x v="253"/>
    <x v="710"/>
    <x v="610"/>
  </r>
  <r>
    <x v="214"/>
    <x v="74"/>
    <x v="0"/>
    <x v="0"/>
    <x v="2"/>
    <x v="7"/>
    <x v="2"/>
    <x v="0"/>
    <x v="0"/>
    <x v="1"/>
    <x v="2"/>
    <x v="4"/>
    <x v="4"/>
    <x v="8"/>
    <x v="47"/>
    <x v="9"/>
    <x v="7"/>
    <x v="592"/>
    <x v="536"/>
    <x v="571"/>
    <x v="1188"/>
  </r>
  <r>
    <x v="215"/>
    <x v="54"/>
    <x v="0"/>
    <x v="0"/>
    <x v="2"/>
    <x v="7"/>
    <x v="2"/>
    <x v="0"/>
    <x v="0"/>
    <x v="0"/>
    <x v="2"/>
    <x v="4"/>
    <x v="4"/>
    <x v="8"/>
    <x v="12"/>
    <x v="9"/>
    <x v="7"/>
    <x v="183"/>
    <x v="179"/>
    <x v="571"/>
    <x v="349"/>
  </r>
  <r>
    <x v="216"/>
    <x v="61"/>
    <x v="0"/>
    <x v="0"/>
    <x v="2"/>
    <x v="7"/>
    <x v="2"/>
    <x v="0"/>
    <x v="0"/>
    <x v="1"/>
    <x v="1"/>
    <x v="2"/>
    <x v="7"/>
    <x v="14"/>
    <x v="54"/>
    <x v="18"/>
    <x v="12"/>
    <x v="740"/>
    <x v="664"/>
    <x v="812"/>
    <x v="1400"/>
  </r>
  <r>
    <x v="217"/>
    <x v="68"/>
    <x v="0"/>
    <x v="0"/>
    <x v="2"/>
    <x v="7"/>
    <x v="2"/>
    <x v="0"/>
    <x v="0"/>
    <x v="0"/>
    <x v="1"/>
    <x v="2"/>
    <x v="7"/>
    <x v="14"/>
    <x v="17"/>
    <x v="18"/>
    <x v="12"/>
    <x v="414"/>
    <x v="396"/>
    <x v="877"/>
    <x v="777"/>
  </r>
  <r>
    <x v="218"/>
    <x v="75"/>
    <x v="0"/>
    <x v="0"/>
    <x v="2"/>
    <x v="7"/>
    <x v="2"/>
    <x v="0"/>
    <x v="0"/>
    <x v="1"/>
    <x v="1"/>
    <x v="2"/>
    <x v="6"/>
    <x v="12"/>
    <x v="51"/>
    <x v="3"/>
    <x v="2"/>
    <x v="329"/>
    <x v="269"/>
    <x v="204"/>
    <x v="762"/>
  </r>
  <r>
    <x v="219"/>
    <x v="55"/>
    <x v="0"/>
    <x v="0"/>
    <x v="2"/>
    <x v="7"/>
    <x v="2"/>
    <x v="0"/>
    <x v="0"/>
    <x v="0"/>
    <x v="1"/>
    <x v="2"/>
    <x v="6"/>
    <x v="12"/>
    <x v="23"/>
    <x v="3"/>
    <x v="2"/>
    <x v="110"/>
    <x v="95"/>
    <x v="410"/>
    <x v="261"/>
  </r>
  <r>
    <x v="220"/>
    <x v="62"/>
    <x v="0"/>
    <x v="0"/>
    <x v="2"/>
    <x v="7"/>
    <x v="2"/>
    <x v="1"/>
    <x v="1"/>
    <x v="1"/>
    <x v="3"/>
    <x v="6"/>
    <x v="1"/>
    <x v="2"/>
    <x v="11"/>
    <x v="25"/>
    <x v="16"/>
    <x v="832"/>
    <x v="742"/>
    <x v="1089"/>
    <x v="1562"/>
  </r>
  <r>
    <x v="221"/>
    <x v="69"/>
    <x v="0"/>
    <x v="0"/>
    <x v="2"/>
    <x v="7"/>
    <x v="2"/>
    <x v="1"/>
    <x v="1"/>
    <x v="0"/>
    <x v="3"/>
    <x v="6"/>
    <x v="1"/>
    <x v="2"/>
    <x v="2"/>
    <x v="25"/>
    <x v="16"/>
    <x v="634"/>
    <x v="592"/>
    <x v="1108"/>
    <x v="1145"/>
  </r>
  <r>
    <x v="222"/>
    <x v="76"/>
    <x v="0"/>
    <x v="0"/>
    <x v="2"/>
    <x v="7"/>
    <x v="2"/>
    <x v="1"/>
    <x v="1"/>
    <x v="1"/>
    <x v="3"/>
    <x v="6"/>
    <x v="2"/>
    <x v="4"/>
    <x v="11"/>
    <x v="22"/>
    <x v="14"/>
    <x v="691"/>
    <x v="635"/>
    <x v="708"/>
    <x v="1290"/>
  </r>
  <r>
    <x v="223"/>
    <x v="56"/>
    <x v="0"/>
    <x v="0"/>
    <x v="2"/>
    <x v="7"/>
    <x v="2"/>
    <x v="1"/>
    <x v="1"/>
    <x v="0"/>
    <x v="3"/>
    <x v="6"/>
    <x v="2"/>
    <x v="4"/>
    <x v="2"/>
    <x v="22"/>
    <x v="14"/>
    <x v="316"/>
    <x v="304"/>
    <x v="743"/>
    <x v="533"/>
  </r>
  <r>
    <x v="224"/>
    <x v="63"/>
    <x v="0"/>
    <x v="0"/>
    <x v="2"/>
    <x v="7"/>
    <x v="2"/>
    <x v="1"/>
    <x v="1"/>
    <x v="1"/>
    <x v="3"/>
    <x v="6"/>
    <x v="5"/>
    <x v="10"/>
    <x v="9"/>
    <x v="28"/>
    <x v="18"/>
    <x v="842"/>
    <x v="752"/>
    <x v="1128"/>
    <x v="1558"/>
  </r>
  <r>
    <x v="225"/>
    <x v="70"/>
    <x v="0"/>
    <x v="0"/>
    <x v="2"/>
    <x v="7"/>
    <x v="2"/>
    <x v="1"/>
    <x v="1"/>
    <x v="0"/>
    <x v="3"/>
    <x v="6"/>
    <x v="5"/>
    <x v="10"/>
    <x v="3"/>
    <x v="28"/>
    <x v="18"/>
    <x v="760"/>
    <x v="707"/>
    <x v="1217"/>
    <x v="1291"/>
  </r>
  <r>
    <x v="226"/>
    <x v="77"/>
    <x v="0"/>
    <x v="0"/>
    <x v="2"/>
    <x v="7"/>
    <x v="2"/>
    <x v="1"/>
    <x v="1"/>
    <x v="1"/>
    <x v="0"/>
    <x v="0"/>
    <x v="3"/>
    <x v="6"/>
    <x v="56"/>
    <x v="0"/>
    <x v="0"/>
    <x v="276"/>
    <x v="217"/>
    <x v="177"/>
    <x v="718"/>
  </r>
  <r>
    <x v="227"/>
    <x v="57"/>
    <x v="0"/>
    <x v="0"/>
    <x v="2"/>
    <x v="7"/>
    <x v="2"/>
    <x v="1"/>
    <x v="1"/>
    <x v="0"/>
    <x v="0"/>
    <x v="0"/>
    <x v="3"/>
    <x v="6"/>
    <x v="16"/>
    <x v="0"/>
    <x v="0"/>
    <x v="33"/>
    <x v="29"/>
    <x v="196"/>
    <x v="92"/>
  </r>
  <r>
    <x v="228"/>
    <x v="64"/>
    <x v="0"/>
    <x v="0"/>
    <x v="2"/>
    <x v="7"/>
    <x v="2"/>
    <x v="1"/>
    <x v="1"/>
    <x v="1"/>
    <x v="0"/>
    <x v="0"/>
    <x v="8"/>
    <x v="16"/>
    <x v="50"/>
    <x v="12"/>
    <x v="6"/>
    <x v="643"/>
    <x v="553"/>
    <x v="646"/>
    <x v="1316"/>
  </r>
  <r>
    <x v="229"/>
    <x v="71"/>
    <x v="0"/>
    <x v="0"/>
    <x v="2"/>
    <x v="7"/>
    <x v="2"/>
    <x v="1"/>
    <x v="1"/>
    <x v="0"/>
    <x v="0"/>
    <x v="0"/>
    <x v="8"/>
    <x v="16"/>
    <x v="20"/>
    <x v="12"/>
    <x v="6"/>
    <x v="361"/>
    <x v="294"/>
    <x v="815"/>
    <x v="802"/>
  </r>
  <r>
    <x v="230"/>
    <x v="78"/>
    <x v="0"/>
    <x v="0"/>
    <x v="2"/>
    <x v="7"/>
    <x v="2"/>
    <x v="1"/>
    <x v="1"/>
    <x v="1"/>
    <x v="0"/>
    <x v="0"/>
    <x v="9"/>
    <x v="18"/>
    <x v="54"/>
    <x v="6"/>
    <x v="4"/>
    <x v="551"/>
    <x v="489"/>
    <x v="495"/>
    <x v="1146"/>
  </r>
  <r>
    <x v="231"/>
    <x v="58"/>
    <x v="0"/>
    <x v="0"/>
    <x v="2"/>
    <x v="7"/>
    <x v="2"/>
    <x v="1"/>
    <x v="1"/>
    <x v="0"/>
    <x v="0"/>
    <x v="0"/>
    <x v="9"/>
    <x v="18"/>
    <x v="20"/>
    <x v="6"/>
    <x v="4"/>
    <x v="235"/>
    <x v="216"/>
    <x v="651"/>
    <x v="489"/>
  </r>
  <r>
    <x v="232"/>
    <x v="65"/>
    <x v="0"/>
    <x v="0"/>
    <x v="2"/>
    <x v="7"/>
    <x v="2"/>
    <x v="1"/>
    <x v="1"/>
    <x v="1"/>
    <x v="2"/>
    <x v="4"/>
    <x v="0"/>
    <x v="0"/>
    <x v="21"/>
    <x v="15"/>
    <x v="10"/>
    <x v="453"/>
    <x v="399"/>
    <x v="365"/>
    <x v="982"/>
  </r>
  <r>
    <x v="233"/>
    <x v="72"/>
    <x v="0"/>
    <x v="0"/>
    <x v="2"/>
    <x v="7"/>
    <x v="2"/>
    <x v="1"/>
    <x v="1"/>
    <x v="0"/>
    <x v="2"/>
    <x v="4"/>
    <x v="0"/>
    <x v="0"/>
    <x v="7"/>
    <x v="15"/>
    <x v="10"/>
    <x v="160"/>
    <x v="142"/>
    <x v="517"/>
    <x v="345"/>
  </r>
  <r>
    <x v="234"/>
    <x v="79"/>
    <x v="0"/>
    <x v="0"/>
    <x v="2"/>
    <x v="7"/>
    <x v="2"/>
    <x v="1"/>
    <x v="1"/>
    <x v="1"/>
    <x v="2"/>
    <x v="4"/>
    <x v="4"/>
    <x v="8"/>
    <x v="26"/>
    <x v="9"/>
    <x v="7"/>
    <x v="404"/>
    <x v="370"/>
    <x v="298"/>
    <x v="838"/>
  </r>
  <r>
    <x v="235"/>
    <x v="59"/>
    <x v="0"/>
    <x v="0"/>
    <x v="2"/>
    <x v="7"/>
    <x v="2"/>
    <x v="1"/>
    <x v="1"/>
    <x v="0"/>
    <x v="2"/>
    <x v="4"/>
    <x v="4"/>
    <x v="8"/>
    <x v="7"/>
    <x v="9"/>
    <x v="7"/>
    <x v="84"/>
    <x v="89"/>
    <x v="349"/>
    <x v="152"/>
  </r>
  <r>
    <x v="236"/>
    <x v="66"/>
    <x v="0"/>
    <x v="0"/>
    <x v="2"/>
    <x v="7"/>
    <x v="2"/>
    <x v="1"/>
    <x v="1"/>
    <x v="1"/>
    <x v="1"/>
    <x v="2"/>
    <x v="7"/>
    <x v="14"/>
    <x v="35"/>
    <x v="18"/>
    <x v="12"/>
    <x v="635"/>
    <x v="579"/>
    <x v="632"/>
    <x v="1227"/>
  </r>
  <r>
    <x v="237"/>
    <x v="73"/>
    <x v="0"/>
    <x v="0"/>
    <x v="2"/>
    <x v="7"/>
    <x v="2"/>
    <x v="1"/>
    <x v="1"/>
    <x v="0"/>
    <x v="1"/>
    <x v="2"/>
    <x v="7"/>
    <x v="14"/>
    <x v="12"/>
    <x v="18"/>
    <x v="12"/>
    <x v="320"/>
    <x v="298"/>
    <x v="747"/>
    <x v="575"/>
  </r>
  <r>
    <x v="238"/>
    <x v="80"/>
    <x v="0"/>
    <x v="0"/>
    <x v="2"/>
    <x v="7"/>
    <x v="2"/>
    <x v="1"/>
    <x v="1"/>
    <x v="1"/>
    <x v="1"/>
    <x v="2"/>
    <x v="6"/>
    <x v="12"/>
    <x v="33"/>
    <x v="3"/>
    <x v="2"/>
    <x v="193"/>
    <x v="163"/>
    <x v="109"/>
    <x v="488"/>
  </r>
  <r>
    <x v="239"/>
    <x v="60"/>
    <x v="0"/>
    <x v="0"/>
    <x v="2"/>
    <x v="7"/>
    <x v="2"/>
    <x v="1"/>
    <x v="1"/>
    <x v="0"/>
    <x v="1"/>
    <x v="2"/>
    <x v="6"/>
    <x v="12"/>
    <x v="12"/>
    <x v="3"/>
    <x v="2"/>
    <x v="30"/>
    <x v="31"/>
    <x v="191"/>
    <x v="73"/>
  </r>
  <r>
    <x v="240"/>
    <x v="67"/>
    <x v="0"/>
    <x v="0"/>
    <x v="2"/>
    <x v="7"/>
    <x v="2"/>
    <x v="3"/>
    <x v="3"/>
    <x v="1"/>
    <x v="3"/>
    <x v="6"/>
    <x v="1"/>
    <x v="2"/>
    <x v="8"/>
    <x v="25"/>
    <x v="16"/>
    <x v="813"/>
    <x v="728"/>
    <x v="1020"/>
    <x v="1520"/>
  </r>
  <r>
    <x v="241"/>
    <x v="74"/>
    <x v="0"/>
    <x v="0"/>
    <x v="2"/>
    <x v="7"/>
    <x v="2"/>
    <x v="3"/>
    <x v="3"/>
    <x v="0"/>
    <x v="3"/>
    <x v="6"/>
    <x v="1"/>
    <x v="2"/>
    <x v="2"/>
    <x v="25"/>
    <x v="16"/>
    <x v="634"/>
    <x v="592"/>
    <x v="1108"/>
    <x v="1145"/>
  </r>
  <r>
    <x v="242"/>
    <x v="54"/>
    <x v="0"/>
    <x v="0"/>
    <x v="2"/>
    <x v="7"/>
    <x v="2"/>
    <x v="3"/>
    <x v="3"/>
    <x v="1"/>
    <x v="3"/>
    <x v="6"/>
    <x v="2"/>
    <x v="4"/>
    <x v="7"/>
    <x v="22"/>
    <x v="14"/>
    <x v="583"/>
    <x v="548"/>
    <x v="551"/>
    <x v="1111"/>
  </r>
  <r>
    <x v="243"/>
    <x v="61"/>
    <x v="0"/>
    <x v="0"/>
    <x v="2"/>
    <x v="7"/>
    <x v="2"/>
    <x v="3"/>
    <x v="3"/>
    <x v="0"/>
    <x v="3"/>
    <x v="6"/>
    <x v="2"/>
    <x v="4"/>
    <x v="1"/>
    <x v="22"/>
    <x v="14"/>
    <x v="220"/>
    <x v="229"/>
    <x v="621"/>
    <x v="361"/>
  </r>
  <r>
    <x v="244"/>
    <x v="68"/>
    <x v="0"/>
    <x v="0"/>
    <x v="2"/>
    <x v="7"/>
    <x v="2"/>
    <x v="3"/>
    <x v="3"/>
    <x v="1"/>
    <x v="3"/>
    <x v="6"/>
    <x v="5"/>
    <x v="10"/>
    <x v="7"/>
    <x v="28"/>
    <x v="18"/>
    <x v="829"/>
    <x v="744"/>
    <x v="1076"/>
    <x v="1529"/>
  </r>
  <r>
    <x v="245"/>
    <x v="75"/>
    <x v="0"/>
    <x v="0"/>
    <x v="2"/>
    <x v="7"/>
    <x v="2"/>
    <x v="3"/>
    <x v="3"/>
    <x v="0"/>
    <x v="3"/>
    <x v="6"/>
    <x v="5"/>
    <x v="10"/>
    <x v="1"/>
    <x v="28"/>
    <x v="18"/>
    <x v="644"/>
    <x v="623"/>
    <x v="1118"/>
    <x v="1024"/>
  </r>
  <r>
    <x v="246"/>
    <x v="55"/>
    <x v="0"/>
    <x v="0"/>
    <x v="2"/>
    <x v="7"/>
    <x v="2"/>
    <x v="3"/>
    <x v="3"/>
    <x v="1"/>
    <x v="0"/>
    <x v="0"/>
    <x v="3"/>
    <x v="6"/>
    <x v="38"/>
    <x v="0"/>
    <x v="0"/>
    <x v="169"/>
    <x v="129"/>
    <x v="90"/>
    <x v="478"/>
  </r>
  <r>
    <x v="247"/>
    <x v="62"/>
    <x v="0"/>
    <x v="0"/>
    <x v="2"/>
    <x v="7"/>
    <x v="2"/>
    <x v="3"/>
    <x v="3"/>
    <x v="0"/>
    <x v="0"/>
    <x v="0"/>
    <x v="3"/>
    <x v="6"/>
    <x v="12"/>
    <x v="0"/>
    <x v="0"/>
    <x v="15"/>
    <x v="13"/>
    <x v="132"/>
    <x v="50"/>
  </r>
  <r>
    <x v="248"/>
    <x v="69"/>
    <x v="0"/>
    <x v="0"/>
    <x v="2"/>
    <x v="7"/>
    <x v="2"/>
    <x v="3"/>
    <x v="3"/>
    <x v="1"/>
    <x v="0"/>
    <x v="0"/>
    <x v="8"/>
    <x v="16"/>
    <x v="31"/>
    <x v="12"/>
    <x v="6"/>
    <x v="498"/>
    <x v="419"/>
    <x v="424"/>
    <x v="1101"/>
  </r>
  <r>
    <x v="249"/>
    <x v="76"/>
    <x v="0"/>
    <x v="0"/>
    <x v="2"/>
    <x v="7"/>
    <x v="2"/>
    <x v="3"/>
    <x v="3"/>
    <x v="0"/>
    <x v="0"/>
    <x v="0"/>
    <x v="8"/>
    <x v="16"/>
    <x v="15"/>
    <x v="12"/>
    <x v="6"/>
    <x v="274"/>
    <x v="226"/>
    <x v="695"/>
    <x v="626"/>
  </r>
  <r>
    <x v="250"/>
    <x v="56"/>
    <x v="0"/>
    <x v="0"/>
    <x v="2"/>
    <x v="7"/>
    <x v="2"/>
    <x v="3"/>
    <x v="3"/>
    <x v="1"/>
    <x v="0"/>
    <x v="0"/>
    <x v="9"/>
    <x v="18"/>
    <x v="40"/>
    <x v="6"/>
    <x v="4"/>
    <x v="449"/>
    <x v="405"/>
    <x v="358"/>
    <x v="949"/>
  </r>
  <r>
    <x v="251"/>
    <x v="63"/>
    <x v="0"/>
    <x v="0"/>
    <x v="2"/>
    <x v="7"/>
    <x v="2"/>
    <x v="3"/>
    <x v="3"/>
    <x v="0"/>
    <x v="0"/>
    <x v="0"/>
    <x v="9"/>
    <x v="18"/>
    <x v="15"/>
    <x v="6"/>
    <x v="4"/>
    <x v="165"/>
    <x v="153"/>
    <x v="528"/>
    <x v="332"/>
  </r>
  <r>
    <x v="252"/>
    <x v="70"/>
    <x v="0"/>
    <x v="0"/>
    <x v="2"/>
    <x v="7"/>
    <x v="2"/>
    <x v="3"/>
    <x v="3"/>
    <x v="1"/>
    <x v="2"/>
    <x v="4"/>
    <x v="0"/>
    <x v="0"/>
    <x v="13"/>
    <x v="15"/>
    <x v="10"/>
    <x v="316"/>
    <x v="271"/>
    <x v="201"/>
    <x v="716"/>
  </r>
  <r>
    <x v="253"/>
    <x v="77"/>
    <x v="0"/>
    <x v="0"/>
    <x v="2"/>
    <x v="7"/>
    <x v="2"/>
    <x v="3"/>
    <x v="3"/>
    <x v="0"/>
    <x v="2"/>
    <x v="4"/>
    <x v="0"/>
    <x v="0"/>
    <x v="4"/>
    <x v="15"/>
    <x v="10"/>
    <x v="76"/>
    <x v="70"/>
    <x v="321"/>
    <x v="166"/>
  </r>
  <r>
    <x v="254"/>
    <x v="57"/>
    <x v="0"/>
    <x v="0"/>
    <x v="2"/>
    <x v="7"/>
    <x v="2"/>
    <x v="3"/>
    <x v="3"/>
    <x v="1"/>
    <x v="2"/>
    <x v="4"/>
    <x v="4"/>
    <x v="8"/>
    <x v="17"/>
    <x v="9"/>
    <x v="7"/>
    <x v="274"/>
    <x v="258"/>
    <x v="176"/>
    <x v="579"/>
  </r>
  <r>
    <x v="255"/>
    <x v="64"/>
    <x v="0"/>
    <x v="0"/>
    <x v="2"/>
    <x v="7"/>
    <x v="2"/>
    <x v="3"/>
    <x v="3"/>
    <x v="0"/>
    <x v="2"/>
    <x v="4"/>
    <x v="4"/>
    <x v="8"/>
    <x v="5"/>
    <x v="9"/>
    <x v="7"/>
    <x v="46"/>
    <x v="56"/>
    <x v="240"/>
    <x v="83"/>
  </r>
  <r>
    <x v="256"/>
    <x v="71"/>
    <x v="0"/>
    <x v="0"/>
    <x v="2"/>
    <x v="7"/>
    <x v="2"/>
    <x v="3"/>
    <x v="3"/>
    <x v="1"/>
    <x v="1"/>
    <x v="2"/>
    <x v="7"/>
    <x v="14"/>
    <x v="25"/>
    <x v="18"/>
    <x v="12"/>
    <x v="540"/>
    <x v="497"/>
    <x v="479"/>
    <x v="1061"/>
  </r>
  <r>
    <x v="257"/>
    <x v="78"/>
    <x v="0"/>
    <x v="0"/>
    <x v="2"/>
    <x v="7"/>
    <x v="2"/>
    <x v="3"/>
    <x v="3"/>
    <x v="0"/>
    <x v="1"/>
    <x v="2"/>
    <x v="7"/>
    <x v="14"/>
    <x v="8"/>
    <x v="18"/>
    <x v="12"/>
    <x v="207"/>
    <x v="206"/>
    <x v="609"/>
    <x v="377"/>
  </r>
  <r>
    <x v="258"/>
    <x v="58"/>
    <x v="0"/>
    <x v="0"/>
    <x v="2"/>
    <x v="7"/>
    <x v="2"/>
    <x v="3"/>
    <x v="3"/>
    <x v="1"/>
    <x v="1"/>
    <x v="2"/>
    <x v="6"/>
    <x v="12"/>
    <x v="24"/>
    <x v="3"/>
    <x v="2"/>
    <x v="118"/>
    <x v="102"/>
    <x v="55"/>
    <x v="318"/>
  </r>
  <r>
    <x v="259"/>
    <x v="65"/>
    <x v="0"/>
    <x v="0"/>
    <x v="2"/>
    <x v="7"/>
    <x v="2"/>
    <x v="3"/>
    <x v="3"/>
    <x v="0"/>
    <x v="1"/>
    <x v="2"/>
    <x v="6"/>
    <x v="12"/>
    <x v="8"/>
    <x v="3"/>
    <x v="2"/>
    <x v="10"/>
    <x v="11"/>
    <x v="109"/>
    <x v="26"/>
  </r>
  <r>
    <x v="260"/>
    <x v="72"/>
    <x v="0"/>
    <x v="0"/>
    <x v="2"/>
    <x v="7"/>
    <x v="2"/>
    <x v="2"/>
    <x v="2"/>
    <x v="1"/>
    <x v="3"/>
    <x v="6"/>
    <x v="1"/>
    <x v="2"/>
    <x v="3"/>
    <x v="25"/>
    <x v="16"/>
    <x v="697"/>
    <x v="645"/>
    <x v="720"/>
    <x v="1281"/>
  </r>
  <r>
    <x v="261"/>
    <x v="79"/>
    <x v="0"/>
    <x v="0"/>
    <x v="2"/>
    <x v="7"/>
    <x v="2"/>
    <x v="2"/>
    <x v="2"/>
    <x v="0"/>
    <x v="3"/>
    <x v="6"/>
    <x v="1"/>
    <x v="2"/>
    <x v="0"/>
    <x v="25"/>
    <x v="16"/>
    <x v="407"/>
    <x v="404"/>
    <x v="868"/>
    <x v="694"/>
  </r>
  <r>
    <x v="262"/>
    <x v="59"/>
    <x v="0"/>
    <x v="0"/>
    <x v="2"/>
    <x v="7"/>
    <x v="2"/>
    <x v="2"/>
    <x v="2"/>
    <x v="1"/>
    <x v="3"/>
    <x v="6"/>
    <x v="2"/>
    <x v="4"/>
    <x v="3"/>
    <x v="22"/>
    <x v="14"/>
    <x v="384"/>
    <x v="374"/>
    <x v="273"/>
    <x v="730"/>
  </r>
  <r>
    <x v="263"/>
    <x v="66"/>
    <x v="0"/>
    <x v="0"/>
    <x v="2"/>
    <x v="7"/>
    <x v="2"/>
    <x v="2"/>
    <x v="2"/>
    <x v="0"/>
    <x v="3"/>
    <x v="6"/>
    <x v="2"/>
    <x v="4"/>
    <x v="0"/>
    <x v="22"/>
    <x v="14"/>
    <x v="116"/>
    <x v="132"/>
    <x v="426"/>
    <x v="173"/>
  </r>
  <r>
    <x v="264"/>
    <x v="73"/>
    <x v="0"/>
    <x v="0"/>
    <x v="2"/>
    <x v="7"/>
    <x v="2"/>
    <x v="2"/>
    <x v="2"/>
    <x v="1"/>
    <x v="3"/>
    <x v="6"/>
    <x v="5"/>
    <x v="10"/>
    <x v="4"/>
    <x v="28"/>
    <x v="18"/>
    <x v="793"/>
    <x v="724"/>
    <x v="944"/>
    <x v="1408"/>
  </r>
  <r>
    <x v="265"/>
    <x v="80"/>
    <x v="0"/>
    <x v="0"/>
    <x v="2"/>
    <x v="7"/>
    <x v="2"/>
    <x v="2"/>
    <x v="2"/>
    <x v="0"/>
    <x v="3"/>
    <x v="6"/>
    <x v="5"/>
    <x v="10"/>
    <x v="1"/>
    <x v="28"/>
    <x v="18"/>
    <x v="644"/>
    <x v="623"/>
    <x v="1118"/>
    <x v="1024"/>
  </r>
  <r>
    <x v="266"/>
    <x v="60"/>
    <x v="0"/>
    <x v="0"/>
    <x v="2"/>
    <x v="7"/>
    <x v="2"/>
    <x v="2"/>
    <x v="2"/>
    <x v="1"/>
    <x v="0"/>
    <x v="0"/>
    <x v="3"/>
    <x v="6"/>
    <x v="28"/>
    <x v="0"/>
    <x v="0"/>
    <x v="99"/>
    <x v="79"/>
    <x v="44"/>
    <x v="309"/>
  </r>
  <r>
    <x v="267"/>
    <x v="67"/>
    <x v="0"/>
    <x v="0"/>
    <x v="2"/>
    <x v="7"/>
    <x v="2"/>
    <x v="2"/>
    <x v="2"/>
    <x v="0"/>
    <x v="0"/>
    <x v="0"/>
    <x v="3"/>
    <x v="6"/>
    <x v="10"/>
    <x v="0"/>
    <x v="0"/>
    <x v="8"/>
    <x v="9"/>
    <x v="99"/>
    <x v="31"/>
  </r>
  <r>
    <x v="268"/>
    <x v="74"/>
    <x v="0"/>
    <x v="0"/>
    <x v="2"/>
    <x v="7"/>
    <x v="2"/>
    <x v="2"/>
    <x v="2"/>
    <x v="1"/>
    <x v="0"/>
    <x v="0"/>
    <x v="8"/>
    <x v="16"/>
    <x v="31"/>
    <x v="12"/>
    <x v="6"/>
    <x v="498"/>
    <x v="419"/>
    <x v="424"/>
    <x v="1101"/>
  </r>
  <r>
    <x v="269"/>
    <x v="54"/>
    <x v="0"/>
    <x v="0"/>
    <x v="2"/>
    <x v="7"/>
    <x v="2"/>
    <x v="2"/>
    <x v="2"/>
    <x v="0"/>
    <x v="0"/>
    <x v="0"/>
    <x v="8"/>
    <x v="16"/>
    <x v="11"/>
    <x v="12"/>
    <x v="6"/>
    <x v="196"/>
    <x v="161"/>
    <x v="587"/>
    <x v="464"/>
  </r>
  <r>
    <x v="270"/>
    <x v="61"/>
    <x v="0"/>
    <x v="0"/>
    <x v="2"/>
    <x v="7"/>
    <x v="2"/>
    <x v="2"/>
    <x v="2"/>
    <x v="1"/>
    <x v="0"/>
    <x v="0"/>
    <x v="9"/>
    <x v="18"/>
    <x v="30"/>
    <x v="6"/>
    <x v="4"/>
    <x v="358"/>
    <x v="316"/>
    <x v="239"/>
    <x v="783"/>
  </r>
  <r>
    <x v="271"/>
    <x v="68"/>
    <x v="0"/>
    <x v="0"/>
    <x v="2"/>
    <x v="7"/>
    <x v="2"/>
    <x v="2"/>
    <x v="2"/>
    <x v="0"/>
    <x v="0"/>
    <x v="0"/>
    <x v="9"/>
    <x v="18"/>
    <x v="9"/>
    <x v="6"/>
    <x v="4"/>
    <x v="73"/>
    <x v="74"/>
    <x v="318"/>
    <x v="146"/>
  </r>
  <r>
    <x v="272"/>
    <x v="75"/>
    <x v="0"/>
    <x v="0"/>
    <x v="2"/>
    <x v="7"/>
    <x v="2"/>
    <x v="2"/>
    <x v="2"/>
    <x v="1"/>
    <x v="2"/>
    <x v="4"/>
    <x v="0"/>
    <x v="0"/>
    <x v="10"/>
    <x v="15"/>
    <x v="10"/>
    <x v="237"/>
    <x v="208"/>
    <x v="142"/>
    <x v="562"/>
  </r>
  <r>
    <x v="273"/>
    <x v="55"/>
    <x v="0"/>
    <x v="0"/>
    <x v="2"/>
    <x v="7"/>
    <x v="2"/>
    <x v="2"/>
    <x v="2"/>
    <x v="0"/>
    <x v="2"/>
    <x v="4"/>
    <x v="0"/>
    <x v="0"/>
    <x v="3"/>
    <x v="15"/>
    <x v="10"/>
    <x v="48"/>
    <x v="49"/>
    <x v="242"/>
    <x v="108"/>
  </r>
  <r>
    <x v="274"/>
    <x v="62"/>
    <x v="0"/>
    <x v="0"/>
    <x v="2"/>
    <x v="7"/>
    <x v="2"/>
    <x v="2"/>
    <x v="2"/>
    <x v="1"/>
    <x v="2"/>
    <x v="4"/>
    <x v="4"/>
    <x v="8"/>
    <x v="11"/>
    <x v="9"/>
    <x v="7"/>
    <x v="165"/>
    <x v="162"/>
    <x v="87"/>
    <x v="352"/>
  </r>
  <r>
    <x v="275"/>
    <x v="69"/>
    <x v="0"/>
    <x v="0"/>
    <x v="2"/>
    <x v="7"/>
    <x v="2"/>
    <x v="2"/>
    <x v="2"/>
    <x v="0"/>
    <x v="2"/>
    <x v="4"/>
    <x v="4"/>
    <x v="8"/>
    <x v="4"/>
    <x v="9"/>
    <x v="7"/>
    <x v="34"/>
    <x v="41"/>
    <x v="198"/>
    <x v="56"/>
  </r>
  <r>
    <x v="276"/>
    <x v="76"/>
    <x v="0"/>
    <x v="0"/>
    <x v="2"/>
    <x v="7"/>
    <x v="2"/>
    <x v="2"/>
    <x v="2"/>
    <x v="1"/>
    <x v="1"/>
    <x v="2"/>
    <x v="7"/>
    <x v="14"/>
    <x v="13"/>
    <x v="18"/>
    <x v="12"/>
    <x v="342"/>
    <x v="319"/>
    <x v="223"/>
    <x v="676"/>
  </r>
  <r>
    <x v="277"/>
    <x v="56"/>
    <x v="0"/>
    <x v="0"/>
    <x v="2"/>
    <x v="7"/>
    <x v="2"/>
    <x v="2"/>
    <x v="2"/>
    <x v="0"/>
    <x v="1"/>
    <x v="2"/>
    <x v="7"/>
    <x v="14"/>
    <x v="6"/>
    <x v="18"/>
    <x v="12"/>
    <x v="150"/>
    <x v="157"/>
    <x v="495"/>
    <x v="248"/>
  </r>
  <r>
    <x v="278"/>
    <x v="63"/>
    <x v="0"/>
    <x v="0"/>
    <x v="2"/>
    <x v="7"/>
    <x v="2"/>
    <x v="2"/>
    <x v="2"/>
    <x v="1"/>
    <x v="1"/>
    <x v="2"/>
    <x v="6"/>
    <x v="12"/>
    <x v="18"/>
    <x v="3"/>
    <x v="2"/>
    <x v="70"/>
    <x v="63"/>
    <x v="26"/>
    <x v="203"/>
  </r>
  <r>
    <x v="279"/>
    <x v="70"/>
    <x v="0"/>
    <x v="0"/>
    <x v="2"/>
    <x v="7"/>
    <x v="2"/>
    <x v="2"/>
    <x v="2"/>
    <x v="0"/>
    <x v="1"/>
    <x v="2"/>
    <x v="6"/>
    <x v="12"/>
    <x v="4"/>
    <x v="3"/>
    <x v="2"/>
    <x v="1"/>
    <x v="1"/>
    <x v="28"/>
    <x v="4"/>
  </r>
  <r>
    <x v="280"/>
    <x v="77"/>
    <x v="0"/>
    <x v="0"/>
    <x v="2"/>
    <x v="7"/>
    <x v="2"/>
    <x v="4"/>
    <x v="4"/>
    <x v="1"/>
    <x v="3"/>
    <x v="6"/>
    <x v="1"/>
    <x v="2"/>
    <x v="4"/>
    <x v="25"/>
    <x v="16"/>
    <x v="739"/>
    <x v="671"/>
    <x v="809"/>
    <x v="1364"/>
  </r>
  <r>
    <x v="281"/>
    <x v="57"/>
    <x v="0"/>
    <x v="0"/>
    <x v="2"/>
    <x v="7"/>
    <x v="2"/>
    <x v="4"/>
    <x v="4"/>
    <x v="0"/>
    <x v="3"/>
    <x v="6"/>
    <x v="1"/>
    <x v="2"/>
    <x v="1"/>
    <x v="25"/>
    <x v="16"/>
    <x v="548"/>
    <x v="519"/>
    <x v="1032"/>
    <x v="947"/>
  </r>
  <r>
    <x v="282"/>
    <x v="64"/>
    <x v="0"/>
    <x v="0"/>
    <x v="2"/>
    <x v="7"/>
    <x v="2"/>
    <x v="4"/>
    <x v="4"/>
    <x v="1"/>
    <x v="3"/>
    <x v="6"/>
    <x v="2"/>
    <x v="4"/>
    <x v="4"/>
    <x v="22"/>
    <x v="14"/>
    <x v="445"/>
    <x v="429"/>
    <x v="354"/>
    <x v="854"/>
  </r>
  <r>
    <x v="283"/>
    <x v="71"/>
    <x v="0"/>
    <x v="0"/>
    <x v="2"/>
    <x v="7"/>
    <x v="2"/>
    <x v="4"/>
    <x v="4"/>
    <x v="0"/>
    <x v="3"/>
    <x v="6"/>
    <x v="2"/>
    <x v="4"/>
    <x v="0"/>
    <x v="22"/>
    <x v="14"/>
    <x v="116"/>
    <x v="132"/>
    <x v="426"/>
    <x v="173"/>
  </r>
  <r>
    <x v="284"/>
    <x v="78"/>
    <x v="0"/>
    <x v="0"/>
    <x v="2"/>
    <x v="7"/>
    <x v="2"/>
    <x v="4"/>
    <x v="4"/>
    <x v="1"/>
    <x v="3"/>
    <x v="6"/>
    <x v="5"/>
    <x v="10"/>
    <x v="3"/>
    <x v="28"/>
    <x v="18"/>
    <x v="760"/>
    <x v="707"/>
    <x v="859"/>
    <x v="1336"/>
  </r>
  <r>
    <x v="285"/>
    <x v="58"/>
    <x v="0"/>
    <x v="0"/>
    <x v="2"/>
    <x v="7"/>
    <x v="2"/>
    <x v="4"/>
    <x v="4"/>
    <x v="0"/>
    <x v="3"/>
    <x v="6"/>
    <x v="5"/>
    <x v="10"/>
    <x v="0"/>
    <x v="28"/>
    <x v="18"/>
    <x v="517"/>
    <x v="521"/>
    <x v="1007"/>
    <x v="765"/>
  </r>
  <r>
    <x v="286"/>
    <x v="65"/>
    <x v="0"/>
    <x v="0"/>
    <x v="2"/>
    <x v="7"/>
    <x v="2"/>
    <x v="4"/>
    <x v="4"/>
    <x v="1"/>
    <x v="0"/>
    <x v="0"/>
    <x v="3"/>
    <x v="6"/>
    <x v="23"/>
    <x v="0"/>
    <x v="0"/>
    <x v="70"/>
    <x v="55"/>
    <x v="26"/>
    <x v="222"/>
  </r>
  <r>
    <x v="287"/>
    <x v="72"/>
    <x v="0"/>
    <x v="0"/>
    <x v="2"/>
    <x v="7"/>
    <x v="2"/>
    <x v="4"/>
    <x v="4"/>
    <x v="0"/>
    <x v="0"/>
    <x v="0"/>
    <x v="3"/>
    <x v="6"/>
    <x v="10"/>
    <x v="0"/>
    <x v="0"/>
    <x v="8"/>
    <x v="9"/>
    <x v="99"/>
    <x v="31"/>
  </r>
  <r>
    <x v="288"/>
    <x v="79"/>
    <x v="0"/>
    <x v="0"/>
    <x v="2"/>
    <x v="7"/>
    <x v="2"/>
    <x v="4"/>
    <x v="4"/>
    <x v="1"/>
    <x v="0"/>
    <x v="0"/>
    <x v="8"/>
    <x v="16"/>
    <x v="23"/>
    <x v="12"/>
    <x v="6"/>
    <x v="403"/>
    <x v="333"/>
    <x v="297"/>
    <x v="918"/>
  </r>
  <r>
    <x v="289"/>
    <x v="59"/>
    <x v="0"/>
    <x v="0"/>
    <x v="2"/>
    <x v="7"/>
    <x v="2"/>
    <x v="4"/>
    <x v="4"/>
    <x v="0"/>
    <x v="0"/>
    <x v="0"/>
    <x v="8"/>
    <x v="16"/>
    <x v="9"/>
    <x v="12"/>
    <x v="6"/>
    <x v="152"/>
    <x v="123"/>
    <x v="498"/>
    <x v="367"/>
  </r>
  <r>
    <x v="290"/>
    <x v="66"/>
    <x v="0"/>
    <x v="0"/>
    <x v="2"/>
    <x v="7"/>
    <x v="2"/>
    <x v="4"/>
    <x v="4"/>
    <x v="1"/>
    <x v="0"/>
    <x v="0"/>
    <x v="9"/>
    <x v="18"/>
    <x v="29"/>
    <x v="6"/>
    <x v="4"/>
    <x v="350"/>
    <x v="308"/>
    <x v="233"/>
    <x v="763"/>
  </r>
  <r>
    <x v="291"/>
    <x v="73"/>
    <x v="0"/>
    <x v="0"/>
    <x v="2"/>
    <x v="7"/>
    <x v="2"/>
    <x v="4"/>
    <x v="4"/>
    <x v="0"/>
    <x v="0"/>
    <x v="0"/>
    <x v="9"/>
    <x v="18"/>
    <x v="10"/>
    <x v="6"/>
    <x v="4"/>
    <x v="89"/>
    <x v="84"/>
    <x v="358"/>
    <x v="183"/>
  </r>
  <r>
    <x v="292"/>
    <x v="80"/>
    <x v="0"/>
    <x v="0"/>
    <x v="2"/>
    <x v="7"/>
    <x v="2"/>
    <x v="4"/>
    <x v="4"/>
    <x v="1"/>
    <x v="2"/>
    <x v="4"/>
    <x v="0"/>
    <x v="0"/>
    <x v="11"/>
    <x v="15"/>
    <x v="10"/>
    <x v="262"/>
    <x v="230"/>
    <x v="162"/>
    <x v="604"/>
  </r>
  <r>
    <x v="293"/>
    <x v="60"/>
    <x v="0"/>
    <x v="0"/>
    <x v="2"/>
    <x v="7"/>
    <x v="2"/>
    <x v="4"/>
    <x v="4"/>
    <x v="0"/>
    <x v="2"/>
    <x v="4"/>
    <x v="0"/>
    <x v="0"/>
    <x v="3"/>
    <x v="15"/>
    <x v="10"/>
    <x v="48"/>
    <x v="49"/>
    <x v="242"/>
    <x v="108"/>
  </r>
  <r>
    <x v="294"/>
    <x v="67"/>
    <x v="0"/>
    <x v="0"/>
    <x v="2"/>
    <x v="7"/>
    <x v="2"/>
    <x v="4"/>
    <x v="4"/>
    <x v="1"/>
    <x v="2"/>
    <x v="4"/>
    <x v="4"/>
    <x v="8"/>
    <x v="10"/>
    <x v="9"/>
    <x v="7"/>
    <x v="144"/>
    <x v="144"/>
    <x v="70"/>
    <x v="313"/>
  </r>
  <r>
    <x v="295"/>
    <x v="74"/>
    <x v="0"/>
    <x v="0"/>
    <x v="2"/>
    <x v="7"/>
    <x v="2"/>
    <x v="4"/>
    <x v="4"/>
    <x v="0"/>
    <x v="2"/>
    <x v="4"/>
    <x v="4"/>
    <x v="8"/>
    <x v="3"/>
    <x v="9"/>
    <x v="7"/>
    <x v="18"/>
    <x v="28"/>
    <x v="149"/>
    <x v="36"/>
  </r>
  <r>
    <x v="296"/>
    <x v="54"/>
    <x v="0"/>
    <x v="0"/>
    <x v="2"/>
    <x v="7"/>
    <x v="2"/>
    <x v="4"/>
    <x v="4"/>
    <x v="1"/>
    <x v="1"/>
    <x v="2"/>
    <x v="7"/>
    <x v="14"/>
    <x v="17"/>
    <x v="18"/>
    <x v="12"/>
    <x v="414"/>
    <x v="396"/>
    <x v="312"/>
    <x v="831"/>
  </r>
  <r>
    <x v="297"/>
    <x v="61"/>
    <x v="0"/>
    <x v="0"/>
    <x v="2"/>
    <x v="7"/>
    <x v="2"/>
    <x v="4"/>
    <x v="4"/>
    <x v="0"/>
    <x v="1"/>
    <x v="2"/>
    <x v="7"/>
    <x v="14"/>
    <x v="5"/>
    <x v="18"/>
    <x v="12"/>
    <x v="118"/>
    <x v="126"/>
    <x v="429"/>
    <x v="206"/>
  </r>
  <r>
    <x v="298"/>
    <x v="68"/>
    <x v="0"/>
    <x v="0"/>
    <x v="2"/>
    <x v="7"/>
    <x v="2"/>
    <x v="4"/>
    <x v="4"/>
    <x v="1"/>
    <x v="1"/>
    <x v="2"/>
    <x v="6"/>
    <x v="12"/>
    <x v="15"/>
    <x v="3"/>
    <x v="2"/>
    <x v="46"/>
    <x v="45"/>
    <x v="8"/>
    <x v="132"/>
  </r>
  <r>
    <x v="299"/>
    <x v="75"/>
    <x v="0"/>
    <x v="0"/>
    <x v="2"/>
    <x v="7"/>
    <x v="2"/>
    <x v="4"/>
    <x v="4"/>
    <x v="0"/>
    <x v="1"/>
    <x v="2"/>
    <x v="6"/>
    <x v="12"/>
    <x v="4"/>
    <x v="3"/>
    <x v="2"/>
    <x v="1"/>
    <x v="1"/>
    <x v="28"/>
    <x v="4"/>
  </r>
  <r>
    <x v="300"/>
    <x v="82"/>
    <x v="0"/>
    <x v="1"/>
    <x v="3"/>
    <x v="0"/>
    <x v="3"/>
    <x v="0"/>
    <x v="0"/>
    <x v="1"/>
    <x v="3"/>
    <x v="6"/>
    <x v="1"/>
    <x v="2"/>
    <x v="18"/>
    <x v="25"/>
    <x v="16"/>
    <x v="859"/>
    <x v="763"/>
    <x v="1186"/>
    <x v="1599"/>
  </r>
  <r>
    <x v="301"/>
    <x v="89"/>
    <x v="0"/>
    <x v="1"/>
    <x v="3"/>
    <x v="0"/>
    <x v="3"/>
    <x v="0"/>
    <x v="0"/>
    <x v="0"/>
    <x v="3"/>
    <x v="6"/>
    <x v="1"/>
    <x v="2"/>
    <x v="7"/>
    <x v="25"/>
    <x v="16"/>
    <x v="804"/>
    <x v="721"/>
    <x v="1265"/>
    <x v="1473"/>
  </r>
  <r>
    <x v="302"/>
    <x v="96"/>
    <x v="0"/>
    <x v="1"/>
    <x v="3"/>
    <x v="0"/>
    <x v="3"/>
    <x v="0"/>
    <x v="0"/>
    <x v="1"/>
    <x v="3"/>
    <x v="6"/>
    <x v="2"/>
    <x v="4"/>
    <x v="20"/>
    <x v="22"/>
    <x v="14"/>
    <x v="793"/>
    <x v="712"/>
    <x v="944"/>
    <x v="1482"/>
  </r>
  <r>
    <x v="303"/>
    <x v="103"/>
    <x v="0"/>
    <x v="1"/>
    <x v="3"/>
    <x v="0"/>
    <x v="3"/>
    <x v="0"/>
    <x v="0"/>
    <x v="0"/>
    <x v="3"/>
    <x v="6"/>
    <x v="2"/>
    <x v="4"/>
    <x v="5"/>
    <x v="22"/>
    <x v="14"/>
    <x v="500"/>
    <x v="476"/>
    <x v="1007"/>
    <x v="892"/>
  </r>
  <r>
    <x v="304"/>
    <x v="83"/>
    <x v="0"/>
    <x v="1"/>
    <x v="3"/>
    <x v="0"/>
    <x v="3"/>
    <x v="0"/>
    <x v="0"/>
    <x v="1"/>
    <x v="3"/>
    <x v="6"/>
    <x v="5"/>
    <x v="10"/>
    <x v="15"/>
    <x v="28"/>
    <x v="18"/>
    <x v="868"/>
    <x v="774"/>
    <x v="1214"/>
    <x v="1595"/>
  </r>
  <r>
    <x v="305"/>
    <x v="90"/>
    <x v="0"/>
    <x v="1"/>
    <x v="3"/>
    <x v="0"/>
    <x v="3"/>
    <x v="0"/>
    <x v="0"/>
    <x v="0"/>
    <x v="3"/>
    <x v="6"/>
    <x v="5"/>
    <x v="10"/>
    <x v="7"/>
    <x v="28"/>
    <x v="18"/>
    <x v="829"/>
    <x v="744"/>
    <x v="1299"/>
    <x v="1504"/>
  </r>
  <r>
    <x v="306"/>
    <x v="97"/>
    <x v="0"/>
    <x v="1"/>
    <x v="3"/>
    <x v="0"/>
    <x v="3"/>
    <x v="0"/>
    <x v="0"/>
    <x v="1"/>
    <x v="0"/>
    <x v="0"/>
    <x v="3"/>
    <x v="6"/>
    <x v="96"/>
    <x v="0"/>
    <x v="0"/>
    <x v="462"/>
    <x v="373"/>
    <x v="377"/>
    <x v="1072"/>
  </r>
  <r>
    <x v="307"/>
    <x v="104"/>
    <x v="0"/>
    <x v="1"/>
    <x v="3"/>
    <x v="0"/>
    <x v="3"/>
    <x v="0"/>
    <x v="0"/>
    <x v="0"/>
    <x v="0"/>
    <x v="0"/>
    <x v="3"/>
    <x v="6"/>
    <x v="30"/>
    <x v="0"/>
    <x v="0"/>
    <x v="114"/>
    <x v="87"/>
    <x v="444"/>
    <x v="305"/>
  </r>
  <r>
    <x v="308"/>
    <x v="84"/>
    <x v="0"/>
    <x v="1"/>
    <x v="3"/>
    <x v="0"/>
    <x v="3"/>
    <x v="0"/>
    <x v="0"/>
    <x v="1"/>
    <x v="0"/>
    <x v="0"/>
    <x v="8"/>
    <x v="16"/>
    <x v="93"/>
    <x v="12"/>
    <x v="6"/>
    <x v="783"/>
    <x v="683"/>
    <x v="913"/>
    <x v="1528"/>
  </r>
  <r>
    <x v="309"/>
    <x v="91"/>
    <x v="0"/>
    <x v="1"/>
    <x v="3"/>
    <x v="0"/>
    <x v="3"/>
    <x v="0"/>
    <x v="0"/>
    <x v="0"/>
    <x v="0"/>
    <x v="0"/>
    <x v="8"/>
    <x v="16"/>
    <x v="33"/>
    <x v="12"/>
    <x v="6"/>
    <x v="520"/>
    <x v="438"/>
    <x v="1025"/>
    <x v="1094"/>
  </r>
  <r>
    <x v="310"/>
    <x v="98"/>
    <x v="0"/>
    <x v="1"/>
    <x v="3"/>
    <x v="0"/>
    <x v="3"/>
    <x v="0"/>
    <x v="0"/>
    <x v="1"/>
    <x v="0"/>
    <x v="0"/>
    <x v="9"/>
    <x v="18"/>
    <x v="99"/>
    <x v="6"/>
    <x v="4"/>
    <x v="725"/>
    <x v="644"/>
    <x v="776"/>
    <x v="1412"/>
  </r>
  <r>
    <x v="311"/>
    <x v="105"/>
    <x v="0"/>
    <x v="1"/>
    <x v="3"/>
    <x v="0"/>
    <x v="3"/>
    <x v="0"/>
    <x v="0"/>
    <x v="0"/>
    <x v="0"/>
    <x v="0"/>
    <x v="9"/>
    <x v="18"/>
    <x v="35"/>
    <x v="6"/>
    <x v="4"/>
    <x v="408"/>
    <x v="361"/>
    <x v="885"/>
    <x v="828"/>
  </r>
  <r>
    <x v="312"/>
    <x v="85"/>
    <x v="0"/>
    <x v="1"/>
    <x v="3"/>
    <x v="0"/>
    <x v="3"/>
    <x v="0"/>
    <x v="0"/>
    <x v="1"/>
    <x v="2"/>
    <x v="4"/>
    <x v="0"/>
    <x v="0"/>
    <x v="44"/>
    <x v="15"/>
    <x v="10"/>
    <x v="671"/>
    <x v="588"/>
    <x v="686"/>
    <x v="1342"/>
  </r>
  <r>
    <x v="313"/>
    <x v="92"/>
    <x v="0"/>
    <x v="1"/>
    <x v="3"/>
    <x v="0"/>
    <x v="3"/>
    <x v="0"/>
    <x v="0"/>
    <x v="0"/>
    <x v="2"/>
    <x v="4"/>
    <x v="0"/>
    <x v="0"/>
    <x v="16"/>
    <x v="15"/>
    <x v="10"/>
    <x v="369"/>
    <x v="321"/>
    <x v="844"/>
    <x v="781"/>
  </r>
  <r>
    <x v="314"/>
    <x v="99"/>
    <x v="0"/>
    <x v="1"/>
    <x v="3"/>
    <x v="0"/>
    <x v="3"/>
    <x v="0"/>
    <x v="0"/>
    <x v="1"/>
    <x v="2"/>
    <x v="4"/>
    <x v="4"/>
    <x v="8"/>
    <x v="33"/>
    <x v="9"/>
    <x v="7"/>
    <x v="481"/>
    <x v="440"/>
    <x v="395"/>
    <x v="977"/>
  </r>
  <r>
    <x v="315"/>
    <x v="106"/>
    <x v="0"/>
    <x v="1"/>
    <x v="3"/>
    <x v="0"/>
    <x v="3"/>
    <x v="0"/>
    <x v="0"/>
    <x v="0"/>
    <x v="2"/>
    <x v="4"/>
    <x v="4"/>
    <x v="8"/>
    <x v="16"/>
    <x v="9"/>
    <x v="7"/>
    <x v="259"/>
    <x v="246"/>
    <x v="692"/>
    <x v="494"/>
  </r>
  <r>
    <x v="316"/>
    <x v="86"/>
    <x v="0"/>
    <x v="1"/>
    <x v="3"/>
    <x v="0"/>
    <x v="3"/>
    <x v="0"/>
    <x v="0"/>
    <x v="1"/>
    <x v="1"/>
    <x v="2"/>
    <x v="7"/>
    <x v="14"/>
    <x v="41"/>
    <x v="18"/>
    <x v="12"/>
    <x v="678"/>
    <x v="617"/>
    <x v="688"/>
    <x v="1292"/>
  </r>
  <r>
    <x v="317"/>
    <x v="93"/>
    <x v="0"/>
    <x v="1"/>
    <x v="3"/>
    <x v="0"/>
    <x v="3"/>
    <x v="0"/>
    <x v="0"/>
    <x v="0"/>
    <x v="1"/>
    <x v="2"/>
    <x v="7"/>
    <x v="14"/>
    <x v="15"/>
    <x v="18"/>
    <x v="12"/>
    <x v="375"/>
    <x v="356"/>
    <x v="852"/>
    <x v="701"/>
  </r>
  <r>
    <x v="318"/>
    <x v="100"/>
    <x v="0"/>
    <x v="1"/>
    <x v="3"/>
    <x v="0"/>
    <x v="3"/>
    <x v="0"/>
    <x v="0"/>
    <x v="1"/>
    <x v="1"/>
    <x v="2"/>
    <x v="6"/>
    <x v="12"/>
    <x v="51"/>
    <x v="3"/>
    <x v="2"/>
    <x v="329"/>
    <x v="269"/>
    <x v="204"/>
    <x v="762"/>
  </r>
  <r>
    <x v="319"/>
    <x v="107"/>
    <x v="0"/>
    <x v="1"/>
    <x v="3"/>
    <x v="0"/>
    <x v="3"/>
    <x v="0"/>
    <x v="0"/>
    <x v="0"/>
    <x v="1"/>
    <x v="2"/>
    <x v="6"/>
    <x v="12"/>
    <x v="18"/>
    <x v="3"/>
    <x v="2"/>
    <x v="70"/>
    <x v="63"/>
    <x v="329"/>
    <x v="171"/>
  </r>
  <r>
    <x v="320"/>
    <x v="87"/>
    <x v="0"/>
    <x v="1"/>
    <x v="3"/>
    <x v="0"/>
    <x v="3"/>
    <x v="1"/>
    <x v="1"/>
    <x v="1"/>
    <x v="3"/>
    <x v="6"/>
    <x v="1"/>
    <x v="2"/>
    <x v="11"/>
    <x v="25"/>
    <x v="16"/>
    <x v="832"/>
    <x v="742"/>
    <x v="1089"/>
    <x v="1562"/>
  </r>
  <r>
    <x v="321"/>
    <x v="94"/>
    <x v="0"/>
    <x v="1"/>
    <x v="3"/>
    <x v="0"/>
    <x v="3"/>
    <x v="1"/>
    <x v="1"/>
    <x v="0"/>
    <x v="3"/>
    <x v="6"/>
    <x v="1"/>
    <x v="2"/>
    <x v="3"/>
    <x v="25"/>
    <x v="16"/>
    <x v="697"/>
    <x v="645"/>
    <x v="1169"/>
    <x v="1241"/>
  </r>
  <r>
    <x v="322"/>
    <x v="101"/>
    <x v="0"/>
    <x v="1"/>
    <x v="3"/>
    <x v="0"/>
    <x v="3"/>
    <x v="1"/>
    <x v="1"/>
    <x v="1"/>
    <x v="3"/>
    <x v="6"/>
    <x v="2"/>
    <x v="4"/>
    <x v="11"/>
    <x v="22"/>
    <x v="14"/>
    <x v="691"/>
    <x v="635"/>
    <x v="708"/>
    <x v="1290"/>
  </r>
  <r>
    <x v="323"/>
    <x v="81"/>
    <x v="0"/>
    <x v="1"/>
    <x v="3"/>
    <x v="0"/>
    <x v="3"/>
    <x v="1"/>
    <x v="1"/>
    <x v="0"/>
    <x v="3"/>
    <x v="6"/>
    <x v="2"/>
    <x v="4"/>
    <x v="2"/>
    <x v="22"/>
    <x v="14"/>
    <x v="316"/>
    <x v="304"/>
    <x v="762"/>
    <x v="531"/>
  </r>
  <r>
    <x v="324"/>
    <x v="88"/>
    <x v="0"/>
    <x v="1"/>
    <x v="3"/>
    <x v="0"/>
    <x v="3"/>
    <x v="1"/>
    <x v="1"/>
    <x v="1"/>
    <x v="3"/>
    <x v="6"/>
    <x v="5"/>
    <x v="10"/>
    <x v="8"/>
    <x v="28"/>
    <x v="18"/>
    <x v="835"/>
    <x v="748"/>
    <x v="1105"/>
    <x v="1542"/>
  </r>
  <r>
    <x v="325"/>
    <x v="95"/>
    <x v="0"/>
    <x v="1"/>
    <x v="3"/>
    <x v="0"/>
    <x v="3"/>
    <x v="1"/>
    <x v="1"/>
    <x v="0"/>
    <x v="3"/>
    <x v="6"/>
    <x v="5"/>
    <x v="10"/>
    <x v="2"/>
    <x v="28"/>
    <x v="18"/>
    <x v="721"/>
    <x v="673"/>
    <x v="1187"/>
    <x v="1195"/>
  </r>
  <r>
    <x v="326"/>
    <x v="102"/>
    <x v="0"/>
    <x v="1"/>
    <x v="3"/>
    <x v="0"/>
    <x v="3"/>
    <x v="1"/>
    <x v="1"/>
    <x v="1"/>
    <x v="0"/>
    <x v="0"/>
    <x v="3"/>
    <x v="6"/>
    <x v="50"/>
    <x v="0"/>
    <x v="0"/>
    <x v="244"/>
    <x v="189"/>
    <x v="146"/>
    <x v="634"/>
  </r>
  <r>
    <x v="327"/>
    <x v="82"/>
    <x v="0"/>
    <x v="1"/>
    <x v="3"/>
    <x v="0"/>
    <x v="3"/>
    <x v="1"/>
    <x v="1"/>
    <x v="0"/>
    <x v="0"/>
    <x v="0"/>
    <x v="3"/>
    <x v="6"/>
    <x v="20"/>
    <x v="0"/>
    <x v="0"/>
    <x v="53"/>
    <x v="44"/>
    <x v="276"/>
    <x v="144"/>
  </r>
  <r>
    <x v="328"/>
    <x v="89"/>
    <x v="0"/>
    <x v="1"/>
    <x v="3"/>
    <x v="0"/>
    <x v="3"/>
    <x v="1"/>
    <x v="1"/>
    <x v="1"/>
    <x v="0"/>
    <x v="0"/>
    <x v="8"/>
    <x v="16"/>
    <x v="54"/>
    <x v="12"/>
    <x v="6"/>
    <x v="662"/>
    <x v="569"/>
    <x v="673"/>
    <x v="1354"/>
  </r>
  <r>
    <x v="329"/>
    <x v="96"/>
    <x v="0"/>
    <x v="1"/>
    <x v="3"/>
    <x v="0"/>
    <x v="3"/>
    <x v="1"/>
    <x v="1"/>
    <x v="0"/>
    <x v="0"/>
    <x v="0"/>
    <x v="8"/>
    <x v="16"/>
    <x v="17"/>
    <x v="12"/>
    <x v="6"/>
    <x v="317"/>
    <x v="256"/>
    <x v="764"/>
    <x v="704"/>
  </r>
  <r>
    <x v="330"/>
    <x v="103"/>
    <x v="0"/>
    <x v="1"/>
    <x v="3"/>
    <x v="0"/>
    <x v="3"/>
    <x v="1"/>
    <x v="1"/>
    <x v="1"/>
    <x v="0"/>
    <x v="0"/>
    <x v="9"/>
    <x v="18"/>
    <x v="48"/>
    <x v="6"/>
    <x v="4"/>
    <x v="512"/>
    <x v="454"/>
    <x v="438"/>
    <x v="1070"/>
  </r>
  <r>
    <x v="331"/>
    <x v="83"/>
    <x v="0"/>
    <x v="1"/>
    <x v="3"/>
    <x v="0"/>
    <x v="3"/>
    <x v="1"/>
    <x v="1"/>
    <x v="0"/>
    <x v="0"/>
    <x v="0"/>
    <x v="9"/>
    <x v="18"/>
    <x v="19"/>
    <x v="6"/>
    <x v="4"/>
    <x v="224"/>
    <x v="203"/>
    <x v="651"/>
    <x v="462"/>
  </r>
  <r>
    <x v="332"/>
    <x v="90"/>
    <x v="0"/>
    <x v="1"/>
    <x v="3"/>
    <x v="0"/>
    <x v="3"/>
    <x v="1"/>
    <x v="1"/>
    <x v="1"/>
    <x v="2"/>
    <x v="4"/>
    <x v="0"/>
    <x v="0"/>
    <x v="22"/>
    <x v="15"/>
    <x v="10"/>
    <x v="470"/>
    <x v="411"/>
    <x v="382"/>
    <x v="1011"/>
  </r>
  <r>
    <x v="333"/>
    <x v="97"/>
    <x v="0"/>
    <x v="1"/>
    <x v="3"/>
    <x v="0"/>
    <x v="3"/>
    <x v="1"/>
    <x v="1"/>
    <x v="0"/>
    <x v="2"/>
    <x v="4"/>
    <x v="0"/>
    <x v="0"/>
    <x v="7"/>
    <x v="15"/>
    <x v="10"/>
    <x v="160"/>
    <x v="142"/>
    <x v="537"/>
    <x v="339"/>
  </r>
  <r>
    <x v="334"/>
    <x v="104"/>
    <x v="0"/>
    <x v="1"/>
    <x v="3"/>
    <x v="0"/>
    <x v="3"/>
    <x v="1"/>
    <x v="1"/>
    <x v="1"/>
    <x v="2"/>
    <x v="4"/>
    <x v="4"/>
    <x v="8"/>
    <x v="20"/>
    <x v="9"/>
    <x v="7"/>
    <x v="332"/>
    <x v="295"/>
    <x v="209"/>
    <x v="684"/>
  </r>
  <r>
    <x v="335"/>
    <x v="84"/>
    <x v="0"/>
    <x v="1"/>
    <x v="3"/>
    <x v="0"/>
    <x v="3"/>
    <x v="1"/>
    <x v="1"/>
    <x v="0"/>
    <x v="2"/>
    <x v="4"/>
    <x v="4"/>
    <x v="8"/>
    <x v="9"/>
    <x v="9"/>
    <x v="7"/>
    <x v="121"/>
    <x v="124"/>
    <x v="467"/>
    <x v="229"/>
  </r>
  <r>
    <x v="336"/>
    <x v="91"/>
    <x v="0"/>
    <x v="1"/>
    <x v="3"/>
    <x v="0"/>
    <x v="3"/>
    <x v="1"/>
    <x v="1"/>
    <x v="1"/>
    <x v="1"/>
    <x v="2"/>
    <x v="7"/>
    <x v="14"/>
    <x v="29"/>
    <x v="18"/>
    <x v="12"/>
    <x v="582"/>
    <x v="538"/>
    <x v="549"/>
    <x v="1149"/>
  </r>
  <r>
    <x v="337"/>
    <x v="98"/>
    <x v="0"/>
    <x v="1"/>
    <x v="3"/>
    <x v="0"/>
    <x v="3"/>
    <x v="1"/>
    <x v="1"/>
    <x v="0"/>
    <x v="1"/>
    <x v="2"/>
    <x v="7"/>
    <x v="14"/>
    <x v="10"/>
    <x v="18"/>
    <x v="12"/>
    <x v="262"/>
    <x v="259"/>
    <x v="701"/>
    <x v="480"/>
  </r>
  <r>
    <x v="338"/>
    <x v="105"/>
    <x v="0"/>
    <x v="1"/>
    <x v="3"/>
    <x v="0"/>
    <x v="3"/>
    <x v="1"/>
    <x v="1"/>
    <x v="1"/>
    <x v="1"/>
    <x v="2"/>
    <x v="6"/>
    <x v="12"/>
    <x v="32"/>
    <x v="3"/>
    <x v="2"/>
    <x v="183"/>
    <x v="156"/>
    <x v="101"/>
    <x v="475"/>
  </r>
  <r>
    <x v="339"/>
    <x v="85"/>
    <x v="0"/>
    <x v="1"/>
    <x v="3"/>
    <x v="0"/>
    <x v="3"/>
    <x v="1"/>
    <x v="1"/>
    <x v="0"/>
    <x v="1"/>
    <x v="2"/>
    <x v="6"/>
    <x v="12"/>
    <x v="9"/>
    <x v="3"/>
    <x v="2"/>
    <x v="13"/>
    <x v="16"/>
    <x v="139"/>
    <x v="39"/>
  </r>
  <r>
    <x v="340"/>
    <x v="92"/>
    <x v="0"/>
    <x v="1"/>
    <x v="3"/>
    <x v="0"/>
    <x v="3"/>
    <x v="3"/>
    <x v="3"/>
    <x v="1"/>
    <x v="3"/>
    <x v="6"/>
    <x v="1"/>
    <x v="2"/>
    <x v="7"/>
    <x v="25"/>
    <x v="16"/>
    <x v="804"/>
    <x v="721"/>
    <x v="985"/>
    <x v="1499"/>
  </r>
  <r>
    <x v="341"/>
    <x v="99"/>
    <x v="0"/>
    <x v="1"/>
    <x v="3"/>
    <x v="0"/>
    <x v="3"/>
    <x v="3"/>
    <x v="3"/>
    <x v="0"/>
    <x v="3"/>
    <x v="6"/>
    <x v="1"/>
    <x v="2"/>
    <x v="2"/>
    <x v="25"/>
    <x v="16"/>
    <x v="634"/>
    <x v="592"/>
    <x v="1122"/>
    <x v="1141"/>
  </r>
  <r>
    <x v="342"/>
    <x v="106"/>
    <x v="0"/>
    <x v="1"/>
    <x v="3"/>
    <x v="0"/>
    <x v="3"/>
    <x v="3"/>
    <x v="3"/>
    <x v="1"/>
    <x v="3"/>
    <x v="6"/>
    <x v="2"/>
    <x v="4"/>
    <x v="5"/>
    <x v="22"/>
    <x v="14"/>
    <x v="500"/>
    <x v="476"/>
    <x v="426"/>
    <x v="943"/>
  </r>
  <r>
    <x v="343"/>
    <x v="86"/>
    <x v="0"/>
    <x v="1"/>
    <x v="3"/>
    <x v="0"/>
    <x v="3"/>
    <x v="3"/>
    <x v="3"/>
    <x v="0"/>
    <x v="3"/>
    <x v="6"/>
    <x v="2"/>
    <x v="4"/>
    <x v="2"/>
    <x v="22"/>
    <x v="14"/>
    <x v="316"/>
    <x v="304"/>
    <x v="762"/>
    <x v="531"/>
  </r>
  <r>
    <x v="344"/>
    <x v="93"/>
    <x v="0"/>
    <x v="1"/>
    <x v="3"/>
    <x v="0"/>
    <x v="3"/>
    <x v="3"/>
    <x v="3"/>
    <x v="1"/>
    <x v="3"/>
    <x v="6"/>
    <x v="5"/>
    <x v="10"/>
    <x v="6"/>
    <x v="28"/>
    <x v="18"/>
    <x v="818"/>
    <x v="738"/>
    <x v="1050"/>
    <x v="1502"/>
  </r>
  <r>
    <x v="345"/>
    <x v="100"/>
    <x v="0"/>
    <x v="1"/>
    <x v="3"/>
    <x v="0"/>
    <x v="3"/>
    <x v="3"/>
    <x v="3"/>
    <x v="0"/>
    <x v="3"/>
    <x v="6"/>
    <x v="5"/>
    <x v="10"/>
    <x v="1"/>
    <x v="28"/>
    <x v="18"/>
    <x v="644"/>
    <x v="623"/>
    <x v="1128"/>
    <x v="1018"/>
  </r>
  <r>
    <x v="346"/>
    <x v="107"/>
    <x v="0"/>
    <x v="1"/>
    <x v="3"/>
    <x v="0"/>
    <x v="3"/>
    <x v="3"/>
    <x v="3"/>
    <x v="1"/>
    <x v="0"/>
    <x v="0"/>
    <x v="3"/>
    <x v="6"/>
    <x v="33"/>
    <x v="0"/>
    <x v="0"/>
    <x v="136"/>
    <x v="103"/>
    <x v="65"/>
    <x v="397"/>
  </r>
  <r>
    <x v="347"/>
    <x v="87"/>
    <x v="0"/>
    <x v="1"/>
    <x v="3"/>
    <x v="0"/>
    <x v="3"/>
    <x v="3"/>
    <x v="3"/>
    <x v="0"/>
    <x v="0"/>
    <x v="0"/>
    <x v="3"/>
    <x v="6"/>
    <x v="12"/>
    <x v="0"/>
    <x v="0"/>
    <x v="15"/>
    <x v="13"/>
    <x v="141"/>
    <x v="48"/>
  </r>
  <r>
    <x v="348"/>
    <x v="94"/>
    <x v="0"/>
    <x v="1"/>
    <x v="3"/>
    <x v="0"/>
    <x v="3"/>
    <x v="3"/>
    <x v="3"/>
    <x v="1"/>
    <x v="0"/>
    <x v="0"/>
    <x v="8"/>
    <x v="16"/>
    <x v="35"/>
    <x v="12"/>
    <x v="6"/>
    <x v="541"/>
    <x v="455"/>
    <x v="480"/>
    <x v="1170"/>
  </r>
  <r>
    <x v="349"/>
    <x v="101"/>
    <x v="0"/>
    <x v="1"/>
    <x v="3"/>
    <x v="0"/>
    <x v="3"/>
    <x v="3"/>
    <x v="3"/>
    <x v="0"/>
    <x v="0"/>
    <x v="0"/>
    <x v="8"/>
    <x v="16"/>
    <x v="11"/>
    <x v="12"/>
    <x v="6"/>
    <x v="196"/>
    <x v="161"/>
    <x v="607"/>
    <x v="460"/>
  </r>
  <r>
    <x v="350"/>
    <x v="81"/>
    <x v="0"/>
    <x v="1"/>
    <x v="3"/>
    <x v="0"/>
    <x v="3"/>
    <x v="3"/>
    <x v="3"/>
    <x v="1"/>
    <x v="0"/>
    <x v="0"/>
    <x v="9"/>
    <x v="18"/>
    <x v="36"/>
    <x v="6"/>
    <x v="4"/>
    <x v="414"/>
    <x v="371"/>
    <x v="312"/>
    <x v="891"/>
  </r>
  <r>
    <x v="351"/>
    <x v="88"/>
    <x v="0"/>
    <x v="1"/>
    <x v="3"/>
    <x v="0"/>
    <x v="3"/>
    <x v="3"/>
    <x v="3"/>
    <x v="0"/>
    <x v="0"/>
    <x v="0"/>
    <x v="9"/>
    <x v="18"/>
    <x v="13"/>
    <x v="6"/>
    <x v="4"/>
    <x v="134"/>
    <x v="125"/>
    <x v="486"/>
    <x v="274"/>
  </r>
  <r>
    <x v="352"/>
    <x v="95"/>
    <x v="0"/>
    <x v="1"/>
    <x v="3"/>
    <x v="0"/>
    <x v="3"/>
    <x v="3"/>
    <x v="3"/>
    <x v="1"/>
    <x v="2"/>
    <x v="4"/>
    <x v="0"/>
    <x v="0"/>
    <x v="16"/>
    <x v="15"/>
    <x v="10"/>
    <x v="369"/>
    <x v="321"/>
    <x v="256"/>
    <x v="831"/>
  </r>
  <r>
    <x v="353"/>
    <x v="102"/>
    <x v="0"/>
    <x v="1"/>
    <x v="3"/>
    <x v="0"/>
    <x v="3"/>
    <x v="3"/>
    <x v="3"/>
    <x v="0"/>
    <x v="2"/>
    <x v="4"/>
    <x v="0"/>
    <x v="0"/>
    <x v="4"/>
    <x v="15"/>
    <x v="10"/>
    <x v="76"/>
    <x v="70"/>
    <x v="342"/>
    <x v="163"/>
  </r>
  <r>
    <x v="354"/>
    <x v="82"/>
    <x v="0"/>
    <x v="1"/>
    <x v="3"/>
    <x v="0"/>
    <x v="3"/>
    <x v="3"/>
    <x v="3"/>
    <x v="1"/>
    <x v="2"/>
    <x v="4"/>
    <x v="4"/>
    <x v="8"/>
    <x v="13"/>
    <x v="9"/>
    <x v="7"/>
    <x v="202"/>
    <x v="198"/>
    <x v="117"/>
    <x v="440"/>
  </r>
  <r>
    <x v="355"/>
    <x v="89"/>
    <x v="0"/>
    <x v="1"/>
    <x v="3"/>
    <x v="0"/>
    <x v="3"/>
    <x v="3"/>
    <x v="3"/>
    <x v="0"/>
    <x v="2"/>
    <x v="4"/>
    <x v="4"/>
    <x v="8"/>
    <x v="4"/>
    <x v="9"/>
    <x v="7"/>
    <x v="34"/>
    <x v="41"/>
    <x v="209"/>
    <x v="54"/>
  </r>
  <r>
    <x v="356"/>
    <x v="96"/>
    <x v="0"/>
    <x v="1"/>
    <x v="3"/>
    <x v="0"/>
    <x v="3"/>
    <x v="3"/>
    <x v="3"/>
    <x v="1"/>
    <x v="1"/>
    <x v="2"/>
    <x v="7"/>
    <x v="14"/>
    <x v="22"/>
    <x v="18"/>
    <x v="12"/>
    <x v="495"/>
    <x v="465"/>
    <x v="421"/>
    <x v="975"/>
  </r>
  <r>
    <x v="357"/>
    <x v="103"/>
    <x v="0"/>
    <x v="1"/>
    <x v="3"/>
    <x v="0"/>
    <x v="3"/>
    <x v="3"/>
    <x v="3"/>
    <x v="0"/>
    <x v="1"/>
    <x v="2"/>
    <x v="7"/>
    <x v="14"/>
    <x v="5"/>
    <x v="18"/>
    <x v="12"/>
    <x v="118"/>
    <x v="126"/>
    <x v="447"/>
    <x v="202"/>
  </r>
  <r>
    <x v="358"/>
    <x v="83"/>
    <x v="0"/>
    <x v="1"/>
    <x v="3"/>
    <x v="0"/>
    <x v="3"/>
    <x v="3"/>
    <x v="3"/>
    <x v="1"/>
    <x v="1"/>
    <x v="2"/>
    <x v="6"/>
    <x v="12"/>
    <x v="21"/>
    <x v="3"/>
    <x v="2"/>
    <x v="94"/>
    <x v="81"/>
    <x v="40"/>
    <x v="250"/>
  </r>
  <r>
    <x v="359"/>
    <x v="90"/>
    <x v="0"/>
    <x v="1"/>
    <x v="3"/>
    <x v="0"/>
    <x v="3"/>
    <x v="3"/>
    <x v="3"/>
    <x v="0"/>
    <x v="1"/>
    <x v="2"/>
    <x v="6"/>
    <x v="12"/>
    <x v="8"/>
    <x v="3"/>
    <x v="2"/>
    <x v="10"/>
    <x v="11"/>
    <x v="118"/>
    <x v="25"/>
  </r>
  <r>
    <x v="360"/>
    <x v="97"/>
    <x v="0"/>
    <x v="1"/>
    <x v="3"/>
    <x v="0"/>
    <x v="3"/>
    <x v="2"/>
    <x v="2"/>
    <x v="1"/>
    <x v="3"/>
    <x v="6"/>
    <x v="1"/>
    <x v="2"/>
    <x v="4"/>
    <x v="25"/>
    <x v="16"/>
    <x v="739"/>
    <x v="671"/>
    <x v="809"/>
    <x v="1364"/>
  </r>
  <r>
    <x v="361"/>
    <x v="104"/>
    <x v="0"/>
    <x v="1"/>
    <x v="3"/>
    <x v="0"/>
    <x v="3"/>
    <x v="2"/>
    <x v="2"/>
    <x v="0"/>
    <x v="3"/>
    <x v="6"/>
    <x v="1"/>
    <x v="2"/>
    <x v="0"/>
    <x v="25"/>
    <x v="16"/>
    <x v="407"/>
    <x v="404"/>
    <x v="884"/>
    <x v="689"/>
  </r>
  <r>
    <x v="362"/>
    <x v="84"/>
    <x v="0"/>
    <x v="1"/>
    <x v="3"/>
    <x v="0"/>
    <x v="3"/>
    <x v="2"/>
    <x v="2"/>
    <x v="1"/>
    <x v="3"/>
    <x v="6"/>
    <x v="2"/>
    <x v="4"/>
    <x v="4"/>
    <x v="22"/>
    <x v="14"/>
    <x v="445"/>
    <x v="429"/>
    <x v="354"/>
    <x v="854"/>
  </r>
  <r>
    <x v="363"/>
    <x v="91"/>
    <x v="0"/>
    <x v="1"/>
    <x v="3"/>
    <x v="0"/>
    <x v="3"/>
    <x v="2"/>
    <x v="2"/>
    <x v="0"/>
    <x v="3"/>
    <x v="6"/>
    <x v="2"/>
    <x v="4"/>
    <x v="0"/>
    <x v="22"/>
    <x v="14"/>
    <x v="116"/>
    <x v="132"/>
    <x v="445"/>
    <x v="170"/>
  </r>
  <r>
    <x v="364"/>
    <x v="98"/>
    <x v="0"/>
    <x v="1"/>
    <x v="3"/>
    <x v="0"/>
    <x v="3"/>
    <x v="2"/>
    <x v="2"/>
    <x v="1"/>
    <x v="3"/>
    <x v="6"/>
    <x v="5"/>
    <x v="10"/>
    <x v="4"/>
    <x v="28"/>
    <x v="18"/>
    <x v="793"/>
    <x v="724"/>
    <x v="944"/>
    <x v="1408"/>
  </r>
  <r>
    <x v="365"/>
    <x v="105"/>
    <x v="0"/>
    <x v="1"/>
    <x v="3"/>
    <x v="0"/>
    <x v="3"/>
    <x v="2"/>
    <x v="2"/>
    <x v="0"/>
    <x v="3"/>
    <x v="6"/>
    <x v="5"/>
    <x v="10"/>
    <x v="0"/>
    <x v="28"/>
    <x v="18"/>
    <x v="517"/>
    <x v="521"/>
    <x v="1024"/>
    <x v="759"/>
  </r>
  <r>
    <x v="366"/>
    <x v="85"/>
    <x v="0"/>
    <x v="1"/>
    <x v="3"/>
    <x v="0"/>
    <x v="3"/>
    <x v="2"/>
    <x v="2"/>
    <x v="1"/>
    <x v="0"/>
    <x v="0"/>
    <x v="3"/>
    <x v="6"/>
    <x v="22"/>
    <x v="0"/>
    <x v="0"/>
    <x v="63"/>
    <x v="52"/>
    <x v="23"/>
    <x v="210"/>
  </r>
  <r>
    <x v="367"/>
    <x v="92"/>
    <x v="0"/>
    <x v="1"/>
    <x v="3"/>
    <x v="0"/>
    <x v="3"/>
    <x v="2"/>
    <x v="2"/>
    <x v="0"/>
    <x v="0"/>
    <x v="0"/>
    <x v="3"/>
    <x v="6"/>
    <x v="9"/>
    <x v="0"/>
    <x v="0"/>
    <x v="6"/>
    <x v="7"/>
    <x v="93"/>
    <x v="23"/>
  </r>
  <r>
    <x v="368"/>
    <x v="99"/>
    <x v="0"/>
    <x v="1"/>
    <x v="3"/>
    <x v="0"/>
    <x v="3"/>
    <x v="2"/>
    <x v="2"/>
    <x v="1"/>
    <x v="0"/>
    <x v="0"/>
    <x v="8"/>
    <x v="16"/>
    <x v="26"/>
    <x v="12"/>
    <x v="6"/>
    <x v="435"/>
    <x v="369"/>
    <x v="344"/>
    <x v="993"/>
  </r>
  <r>
    <x v="369"/>
    <x v="106"/>
    <x v="0"/>
    <x v="1"/>
    <x v="3"/>
    <x v="0"/>
    <x v="3"/>
    <x v="2"/>
    <x v="2"/>
    <x v="0"/>
    <x v="0"/>
    <x v="0"/>
    <x v="8"/>
    <x v="16"/>
    <x v="8"/>
    <x v="12"/>
    <x v="6"/>
    <x v="126"/>
    <x v="106"/>
    <x v="472"/>
    <x v="310"/>
  </r>
  <r>
    <x v="370"/>
    <x v="86"/>
    <x v="0"/>
    <x v="1"/>
    <x v="3"/>
    <x v="0"/>
    <x v="3"/>
    <x v="2"/>
    <x v="2"/>
    <x v="1"/>
    <x v="0"/>
    <x v="0"/>
    <x v="9"/>
    <x v="18"/>
    <x v="24"/>
    <x v="6"/>
    <x v="4"/>
    <x v="288"/>
    <x v="262"/>
    <x v="186"/>
    <x v="637"/>
  </r>
  <r>
    <x v="371"/>
    <x v="93"/>
    <x v="0"/>
    <x v="1"/>
    <x v="3"/>
    <x v="0"/>
    <x v="3"/>
    <x v="2"/>
    <x v="2"/>
    <x v="0"/>
    <x v="0"/>
    <x v="0"/>
    <x v="9"/>
    <x v="18"/>
    <x v="10"/>
    <x v="6"/>
    <x v="4"/>
    <x v="89"/>
    <x v="84"/>
    <x v="380"/>
    <x v="181"/>
  </r>
  <r>
    <x v="372"/>
    <x v="100"/>
    <x v="0"/>
    <x v="1"/>
    <x v="3"/>
    <x v="0"/>
    <x v="3"/>
    <x v="2"/>
    <x v="2"/>
    <x v="1"/>
    <x v="2"/>
    <x v="4"/>
    <x v="0"/>
    <x v="0"/>
    <x v="9"/>
    <x v="15"/>
    <x v="10"/>
    <x v="212"/>
    <x v="190"/>
    <x v="125"/>
    <x v="505"/>
  </r>
  <r>
    <x v="373"/>
    <x v="107"/>
    <x v="0"/>
    <x v="1"/>
    <x v="3"/>
    <x v="0"/>
    <x v="3"/>
    <x v="2"/>
    <x v="2"/>
    <x v="0"/>
    <x v="2"/>
    <x v="4"/>
    <x v="0"/>
    <x v="0"/>
    <x v="3"/>
    <x v="15"/>
    <x v="10"/>
    <x v="48"/>
    <x v="49"/>
    <x v="260"/>
    <x v="106"/>
  </r>
  <r>
    <x v="374"/>
    <x v="87"/>
    <x v="0"/>
    <x v="1"/>
    <x v="3"/>
    <x v="0"/>
    <x v="3"/>
    <x v="2"/>
    <x v="2"/>
    <x v="1"/>
    <x v="2"/>
    <x v="4"/>
    <x v="4"/>
    <x v="8"/>
    <x v="13"/>
    <x v="9"/>
    <x v="7"/>
    <x v="202"/>
    <x v="198"/>
    <x v="117"/>
    <x v="440"/>
  </r>
  <r>
    <x v="375"/>
    <x v="94"/>
    <x v="0"/>
    <x v="1"/>
    <x v="3"/>
    <x v="0"/>
    <x v="3"/>
    <x v="2"/>
    <x v="2"/>
    <x v="0"/>
    <x v="2"/>
    <x v="4"/>
    <x v="4"/>
    <x v="8"/>
    <x v="2"/>
    <x v="9"/>
    <x v="7"/>
    <x v="9"/>
    <x v="14"/>
    <x v="112"/>
    <x v="13"/>
  </r>
  <r>
    <x v="376"/>
    <x v="101"/>
    <x v="0"/>
    <x v="1"/>
    <x v="3"/>
    <x v="0"/>
    <x v="3"/>
    <x v="2"/>
    <x v="2"/>
    <x v="1"/>
    <x v="1"/>
    <x v="2"/>
    <x v="7"/>
    <x v="14"/>
    <x v="15"/>
    <x v="18"/>
    <x v="12"/>
    <x v="375"/>
    <x v="356"/>
    <x v="262"/>
    <x v="757"/>
  </r>
  <r>
    <x v="377"/>
    <x v="81"/>
    <x v="0"/>
    <x v="1"/>
    <x v="3"/>
    <x v="0"/>
    <x v="3"/>
    <x v="2"/>
    <x v="2"/>
    <x v="0"/>
    <x v="1"/>
    <x v="2"/>
    <x v="7"/>
    <x v="14"/>
    <x v="4"/>
    <x v="18"/>
    <x v="12"/>
    <x v="89"/>
    <x v="96"/>
    <x v="380"/>
    <x v="135"/>
  </r>
  <r>
    <x v="378"/>
    <x v="88"/>
    <x v="0"/>
    <x v="1"/>
    <x v="3"/>
    <x v="0"/>
    <x v="3"/>
    <x v="2"/>
    <x v="2"/>
    <x v="1"/>
    <x v="1"/>
    <x v="2"/>
    <x v="6"/>
    <x v="12"/>
    <x v="17"/>
    <x v="3"/>
    <x v="2"/>
    <x v="62"/>
    <x v="57"/>
    <x v="22"/>
    <x v="179"/>
  </r>
  <r>
    <x v="379"/>
    <x v="95"/>
    <x v="0"/>
    <x v="1"/>
    <x v="3"/>
    <x v="0"/>
    <x v="3"/>
    <x v="2"/>
    <x v="2"/>
    <x v="0"/>
    <x v="1"/>
    <x v="2"/>
    <x v="6"/>
    <x v="12"/>
    <x v="5"/>
    <x v="3"/>
    <x v="2"/>
    <x v="3"/>
    <x v="4"/>
    <x v="53"/>
    <x v="6"/>
  </r>
  <r>
    <x v="380"/>
    <x v="102"/>
    <x v="0"/>
    <x v="1"/>
    <x v="3"/>
    <x v="0"/>
    <x v="3"/>
    <x v="4"/>
    <x v="4"/>
    <x v="1"/>
    <x v="3"/>
    <x v="6"/>
    <x v="1"/>
    <x v="2"/>
    <x v="3"/>
    <x v="25"/>
    <x v="16"/>
    <x v="697"/>
    <x v="645"/>
    <x v="720"/>
    <x v="1281"/>
  </r>
  <r>
    <x v="381"/>
    <x v="82"/>
    <x v="0"/>
    <x v="1"/>
    <x v="3"/>
    <x v="0"/>
    <x v="3"/>
    <x v="4"/>
    <x v="4"/>
    <x v="0"/>
    <x v="3"/>
    <x v="6"/>
    <x v="1"/>
    <x v="2"/>
    <x v="0"/>
    <x v="25"/>
    <x v="16"/>
    <x v="407"/>
    <x v="404"/>
    <x v="884"/>
    <x v="689"/>
  </r>
  <r>
    <x v="382"/>
    <x v="89"/>
    <x v="0"/>
    <x v="1"/>
    <x v="3"/>
    <x v="0"/>
    <x v="3"/>
    <x v="4"/>
    <x v="4"/>
    <x v="1"/>
    <x v="3"/>
    <x v="6"/>
    <x v="2"/>
    <x v="4"/>
    <x v="4"/>
    <x v="22"/>
    <x v="14"/>
    <x v="445"/>
    <x v="429"/>
    <x v="354"/>
    <x v="854"/>
  </r>
  <r>
    <x v="383"/>
    <x v="96"/>
    <x v="0"/>
    <x v="1"/>
    <x v="3"/>
    <x v="0"/>
    <x v="3"/>
    <x v="4"/>
    <x v="4"/>
    <x v="0"/>
    <x v="3"/>
    <x v="6"/>
    <x v="2"/>
    <x v="4"/>
    <x v="1"/>
    <x v="22"/>
    <x v="14"/>
    <x v="220"/>
    <x v="229"/>
    <x v="648"/>
    <x v="353"/>
  </r>
  <r>
    <x v="384"/>
    <x v="103"/>
    <x v="0"/>
    <x v="1"/>
    <x v="3"/>
    <x v="0"/>
    <x v="3"/>
    <x v="4"/>
    <x v="4"/>
    <x v="1"/>
    <x v="3"/>
    <x v="6"/>
    <x v="5"/>
    <x v="10"/>
    <x v="4"/>
    <x v="28"/>
    <x v="18"/>
    <x v="793"/>
    <x v="724"/>
    <x v="944"/>
    <x v="1408"/>
  </r>
  <r>
    <x v="385"/>
    <x v="83"/>
    <x v="0"/>
    <x v="1"/>
    <x v="3"/>
    <x v="0"/>
    <x v="3"/>
    <x v="4"/>
    <x v="4"/>
    <x v="0"/>
    <x v="3"/>
    <x v="6"/>
    <x v="5"/>
    <x v="10"/>
    <x v="0"/>
    <x v="28"/>
    <x v="18"/>
    <x v="517"/>
    <x v="521"/>
    <x v="1024"/>
    <x v="759"/>
  </r>
  <r>
    <x v="386"/>
    <x v="90"/>
    <x v="0"/>
    <x v="1"/>
    <x v="3"/>
    <x v="0"/>
    <x v="3"/>
    <x v="4"/>
    <x v="4"/>
    <x v="1"/>
    <x v="0"/>
    <x v="0"/>
    <x v="3"/>
    <x v="6"/>
    <x v="31"/>
    <x v="0"/>
    <x v="0"/>
    <x v="119"/>
    <x v="92"/>
    <x v="57"/>
    <x v="362"/>
  </r>
  <r>
    <x v="387"/>
    <x v="97"/>
    <x v="0"/>
    <x v="1"/>
    <x v="3"/>
    <x v="0"/>
    <x v="3"/>
    <x v="4"/>
    <x v="4"/>
    <x v="0"/>
    <x v="0"/>
    <x v="0"/>
    <x v="3"/>
    <x v="6"/>
    <x v="7"/>
    <x v="0"/>
    <x v="0"/>
    <x v="4"/>
    <x v="3"/>
    <x v="57"/>
    <x v="8"/>
  </r>
  <r>
    <x v="388"/>
    <x v="104"/>
    <x v="0"/>
    <x v="1"/>
    <x v="3"/>
    <x v="0"/>
    <x v="3"/>
    <x v="4"/>
    <x v="4"/>
    <x v="1"/>
    <x v="0"/>
    <x v="0"/>
    <x v="8"/>
    <x v="16"/>
    <x v="25"/>
    <x v="12"/>
    <x v="6"/>
    <x v="424"/>
    <x v="357"/>
    <x v="328"/>
    <x v="972"/>
  </r>
  <r>
    <x v="389"/>
    <x v="84"/>
    <x v="0"/>
    <x v="1"/>
    <x v="3"/>
    <x v="0"/>
    <x v="3"/>
    <x v="4"/>
    <x v="4"/>
    <x v="0"/>
    <x v="0"/>
    <x v="0"/>
    <x v="8"/>
    <x v="16"/>
    <x v="10"/>
    <x v="12"/>
    <x v="6"/>
    <x v="173"/>
    <x v="143"/>
    <x v="573"/>
    <x v="418"/>
  </r>
  <r>
    <x v="390"/>
    <x v="91"/>
    <x v="0"/>
    <x v="1"/>
    <x v="3"/>
    <x v="0"/>
    <x v="3"/>
    <x v="4"/>
    <x v="4"/>
    <x v="1"/>
    <x v="0"/>
    <x v="0"/>
    <x v="9"/>
    <x v="18"/>
    <x v="30"/>
    <x v="6"/>
    <x v="4"/>
    <x v="358"/>
    <x v="316"/>
    <x v="239"/>
    <x v="783"/>
  </r>
  <r>
    <x v="391"/>
    <x v="98"/>
    <x v="0"/>
    <x v="1"/>
    <x v="3"/>
    <x v="0"/>
    <x v="3"/>
    <x v="4"/>
    <x v="4"/>
    <x v="0"/>
    <x v="0"/>
    <x v="0"/>
    <x v="9"/>
    <x v="18"/>
    <x v="8"/>
    <x v="6"/>
    <x v="4"/>
    <x v="59"/>
    <x v="62"/>
    <x v="300"/>
    <x v="118"/>
  </r>
  <r>
    <x v="392"/>
    <x v="105"/>
    <x v="0"/>
    <x v="1"/>
    <x v="3"/>
    <x v="0"/>
    <x v="3"/>
    <x v="4"/>
    <x v="4"/>
    <x v="1"/>
    <x v="2"/>
    <x v="4"/>
    <x v="0"/>
    <x v="0"/>
    <x v="13"/>
    <x v="15"/>
    <x v="10"/>
    <x v="316"/>
    <x v="271"/>
    <x v="201"/>
    <x v="716"/>
  </r>
  <r>
    <x v="393"/>
    <x v="85"/>
    <x v="0"/>
    <x v="1"/>
    <x v="3"/>
    <x v="0"/>
    <x v="3"/>
    <x v="4"/>
    <x v="4"/>
    <x v="0"/>
    <x v="2"/>
    <x v="4"/>
    <x v="0"/>
    <x v="0"/>
    <x v="3"/>
    <x v="15"/>
    <x v="10"/>
    <x v="48"/>
    <x v="49"/>
    <x v="260"/>
    <x v="106"/>
  </r>
  <r>
    <x v="394"/>
    <x v="92"/>
    <x v="0"/>
    <x v="1"/>
    <x v="3"/>
    <x v="0"/>
    <x v="3"/>
    <x v="4"/>
    <x v="4"/>
    <x v="1"/>
    <x v="2"/>
    <x v="4"/>
    <x v="4"/>
    <x v="8"/>
    <x v="9"/>
    <x v="9"/>
    <x v="7"/>
    <x v="121"/>
    <x v="124"/>
    <x v="60"/>
    <x v="263"/>
  </r>
  <r>
    <x v="395"/>
    <x v="99"/>
    <x v="0"/>
    <x v="1"/>
    <x v="3"/>
    <x v="0"/>
    <x v="3"/>
    <x v="4"/>
    <x v="4"/>
    <x v="0"/>
    <x v="2"/>
    <x v="4"/>
    <x v="4"/>
    <x v="8"/>
    <x v="3"/>
    <x v="9"/>
    <x v="7"/>
    <x v="18"/>
    <x v="28"/>
    <x v="161"/>
    <x v="35"/>
  </r>
  <r>
    <x v="396"/>
    <x v="106"/>
    <x v="0"/>
    <x v="1"/>
    <x v="3"/>
    <x v="0"/>
    <x v="3"/>
    <x v="4"/>
    <x v="4"/>
    <x v="1"/>
    <x v="1"/>
    <x v="2"/>
    <x v="7"/>
    <x v="14"/>
    <x v="17"/>
    <x v="18"/>
    <x v="12"/>
    <x v="414"/>
    <x v="396"/>
    <x v="312"/>
    <x v="831"/>
  </r>
  <r>
    <x v="397"/>
    <x v="86"/>
    <x v="0"/>
    <x v="1"/>
    <x v="3"/>
    <x v="0"/>
    <x v="3"/>
    <x v="4"/>
    <x v="4"/>
    <x v="0"/>
    <x v="1"/>
    <x v="2"/>
    <x v="7"/>
    <x v="14"/>
    <x v="5"/>
    <x v="18"/>
    <x v="12"/>
    <x v="118"/>
    <x v="126"/>
    <x v="447"/>
    <x v="202"/>
  </r>
  <r>
    <x v="398"/>
    <x v="93"/>
    <x v="0"/>
    <x v="1"/>
    <x v="3"/>
    <x v="0"/>
    <x v="3"/>
    <x v="4"/>
    <x v="4"/>
    <x v="1"/>
    <x v="1"/>
    <x v="2"/>
    <x v="6"/>
    <x v="12"/>
    <x v="17"/>
    <x v="3"/>
    <x v="2"/>
    <x v="62"/>
    <x v="57"/>
    <x v="22"/>
    <x v="179"/>
  </r>
  <r>
    <x v="399"/>
    <x v="100"/>
    <x v="0"/>
    <x v="1"/>
    <x v="3"/>
    <x v="0"/>
    <x v="3"/>
    <x v="4"/>
    <x v="4"/>
    <x v="0"/>
    <x v="1"/>
    <x v="2"/>
    <x v="6"/>
    <x v="12"/>
    <x v="3"/>
    <x v="3"/>
    <x v="2"/>
    <x v="0"/>
    <x v="0"/>
    <x v="15"/>
    <x v="0"/>
  </r>
  <r>
    <x v="400"/>
    <x v="134"/>
    <x v="0"/>
    <x v="1"/>
    <x v="4"/>
    <x v="8"/>
    <x v="4"/>
    <x v="0"/>
    <x v="0"/>
    <x v="1"/>
    <x v="3"/>
    <x v="6"/>
    <x v="1"/>
    <x v="2"/>
    <x v="19"/>
    <x v="25"/>
    <x v="16"/>
    <x v="863"/>
    <x v="766"/>
    <x v="1195"/>
    <x v="1605"/>
  </r>
  <r>
    <x v="401"/>
    <x v="114"/>
    <x v="0"/>
    <x v="1"/>
    <x v="4"/>
    <x v="8"/>
    <x v="4"/>
    <x v="0"/>
    <x v="0"/>
    <x v="0"/>
    <x v="3"/>
    <x v="6"/>
    <x v="1"/>
    <x v="2"/>
    <x v="5"/>
    <x v="25"/>
    <x v="16"/>
    <x v="768"/>
    <x v="698"/>
    <x v="1229"/>
    <x v="1388"/>
  </r>
  <r>
    <x v="402"/>
    <x v="121"/>
    <x v="0"/>
    <x v="1"/>
    <x v="4"/>
    <x v="8"/>
    <x v="4"/>
    <x v="0"/>
    <x v="0"/>
    <x v="1"/>
    <x v="3"/>
    <x v="6"/>
    <x v="2"/>
    <x v="4"/>
    <x v="20"/>
    <x v="22"/>
    <x v="14"/>
    <x v="793"/>
    <x v="712"/>
    <x v="944"/>
    <x v="1482"/>
  </r>
  <r>
    <x v="403"/>
    <x v="128"/>
    <x v="0"/>
    <x v="1"/>
    <x v="4"/>
    <x v="8"/>
    <x v="4"/>
    <x v="0"/>
    <x v="0"/>
    <x v="0"/>
    <x v="3"/>
    <x v="6"/>
    <x v="2"/>
    <x v="4"/>
    <x v="7"/>
    <x v="22"/>
    <x v="14"/>
    <x v="583"/>
    <x v="548"/>
    <x v="1076"/>
    <x v="1060"/>
  </r>
  <r>
    <x v="404"/>
    <x v="108"/>
    <x v="0"/>
    <x v="1"/>
    <x v="4"/>
    <x v="8"/>
    <x v="4"/>
    <x v="0"/>
    <x v="0"/>
    <x v="1"/>
    <x v="3"/>
    <x v="6"/>
    <x v="5"/>
    <x v="10"/>
    <x v="16"/>
    <x v="28"/>
    <x v="18"/>
    <x v="870"/>
    <x v="777"/>
    <x v="1222"/>
    <x v="1601"/>
  </r>
  <r>
    <x v="405"/>
    <x v="115"/>
    <x v="0"/>
    <x v="1"/>
    <x v="4"/>
    <x v="8"/>
    <x v="4"/>
    <x v="0"/>
    <x v="0"/>
    <x v="0"/>
    <x v="3"/>
    <x v="6"/>
    <x v="5"/>
    <x v="10"/>
    <x v="8"/>
    <x v="28"/>
    <x v="18"/>
    <x v="835"/>
    <x v="748"/>
    <x v="1305"/>
    <x v="1524"/>
  </r>
  <r>
    <x v="406"/>
    <x v="122"/>
    <x v="0"/>
    <x v="1"/>
    <x v="4"/>
    <x v="8"/>
    <x v="4"/>
    <x v="0"/>
    <x v="0"/>
    <x v="1"/>
    <x v="0"/>
    <x v="0"/>
    <x v="3"/>
    <x v="6"/>
    <x v="94"/>
    <x v="0"/>
    <x v="0"/>
    <x v="451"/>
    <x v="364"/>
    <x v="362"/>
    <x v="1057"/>
  </r>
  <r>
    <x v="407"/>
    <x v="129"/>
    <x v="0"/>
    <x v="1"/>
    <x v="4"/>
    <x v="8"/>
    <x v="4"/>
    <x v="0"/>
    <x v="0"/>
    <x v="0"/>
    <x v="0"/>
    <x v="0"/>
    <x v="3"/>
    <x v="6"/>
    <x v="39"/>
    <x v="0"/>
    <x v="0"/>
    <x v="174"/>
    <x v="134"/>
    <x v="575"/>
    <x v="447"/>
  </r>
  <r>
    <x v="408"/>
    <x v="109"/>
    <x v="0"/>
    <x v="1"/>
    <x v="4"/>
    <x v="8"/>
    <x v="4"/>
    <x v="0"/>
    <x v="0"/>
    <x v="1"/>
    <x v="0"/>
    <x v="0"/>
    <x v="8"/>
    <x v="16"/>
    <x v="83"/>
    <x v="12"/>
    <x v="6"/>
    <x v="763"/>
    <x v="662"/>
    <x v="862"/>
    <x v="1505"/>
  </r>
  <r>
    <x v="409"/>
    <x v="116"/>
    <x v="0"/>
    <x v="1"/>
    <x v="4"/>
    <x v="8"/>
    <x v="4"/>
    <x v="0"/>
    <x v="0"/>
    <x v="0"/>
    <x v="0"/>
    <x v="0"/>
    <x v="8"/>
    <x v="16"/>
    <x v="35"/>
    <x v="12"/>
    <x v="6"/>
    <x v="541"/>
    <x v="455"/>
    <x v="1043"/>
    <x v="1137"/>
  </r>
  <r>
    <x v="410"/>
    <x v="123"/>
    <x v="0"/>
    <x v="1"/>
    <x v="4"/>
    <x v="8"/>
    <x v="4"/>
    <x v="0"/>
    <x v="0"/>
    <x v="1"/>
    <x v="0"/>
    <x v="0"/>
    <x v="9"/>
    <x v="18"/>
    <x v="77"/>
    <x v="6"/>
    <x v="4"/>
    <x v="658"/>
    <x v="584"/>
    <x v="666"/>
    <x v="1303"/>
  </r>
  <r>
    <x v="411"/>
    <x v="130"/>
    <x v="0"/>
    <x v="1"/>
    <x v="4"/>
    <x v="8"/>
    <x v="4"/>
    <x v="0"/>
    <x v="0"/>
    <x v="0"/>
    <x v="0"/>
    <x v="0"/>
    <x v="9"/>
    <x v="18"/>
    <x v="31"/>
    <x v="6"/>
    <x v="4"/>
    <x v="368"/>
    <x v="327"/>
    <x v="842"/>
    <x v="749"/>
  </r>
  <r>
    <x v="412"/>
    <x v="110"/>
    <x v="0"/>
    <x v="1"/>
    <x v="4"/>
    <x v="8"/>
    <x v="4"/>
    <x v="0"/>
    <x v="0"/>
    <x v="1"/>
    <x v="2"/>
    <x v="4"/>
    <x v="0"/>
    <x v="0"/>
    <x v="49"/>
    <x v="15"/>
    <x v="10"/>
    <x v="700"/>
    <x v="614"/>
    <x v="731"/>
    <x v="1391"/>
  </r>
  <r>
    <x v="413"/>
    <x v="117"/>
    <x v="0"/>
    <x v="1"/>
    <x v="4"/>
    <x v="8"/>
    <x v="4"/>
    <x v="0"/>
    <x v="0"/>
    <x v="0"/>
    <x v="2"/>
    <x v="4"/>
    <x v="0"/>
    <x v="0"/>
    <x v="13"/>
    <x v="15"/>
    <x v="10"/>
    <x v="316"/>
    <x v="271"/>
    <x v="762"/>
    <x v="653"/>
  </r>
  <r>
    <x v="414"/>
    <x v="124"/>
    <x v="0"/>
    <x v="1"/>
    <x v="4"/>
    <x v="8"/>
    <x v="4"/>
    <x v="0"/>
    <x v="0"/>
    <x v="1"/>
    <x v="2"/>
    <x v="4"/>
    <x v="4"/>
    <x v="8"/>
    <x v="42"/>
    <x v="9"/>
    <x v="7"/>
    <x v="560"/>
    <x v="505"/>
    <x v="512"/>
    <x v="1130"/>
  </r>
  <r>
    <x v="415"/>
    <x v="131"/>
    <x v="0"/>
    <x v="1"/>
    <x v="4"/>
    <x v="8"/>
    <x v="4"/>
    <x v="0"/>
    <x v="0"/>
    <x v="0"/>
    <x v="2"/>
    <x v="4"/>
    <x v="4"/>
    <x v="8"/>
    <x v="18"/>
    <x v="9"/>
    <x v="7"/>
    <x v="290"/>
    <x v="275"/>
    <x v="739"/>
    <x v="563"/>
  </r>
  <r>
    <x v="416"/>
    <x v="111"/>
    <x v="0"/>
    <x v="1"/>
    <x v="4"/>
    <x v="8"/>
    <x v="4"/>
    <x v="0"/>
    <x v="0"/>
    <x v="1"/>
    <x v="1"/>
    <x v="2"/>
    <x v="7"/>
    <x v="14"/>
    <x v="46"/>
    <x v="18"/>
    <x v="12"/>
    <x v="707"/>
    <x v="641"/>
    <x v="740"/>
    <x v="1339"/>
  </r>
  <r>
    <x v="417"/>
    <x v="118"/>
    <x v="0"/>
    <x v="1"/>
    <x v="4"/>
    <x v="8"/>
    <x v="4"/>
    <x v="0"/>
    <x v="0"/>
    <x v="0"/>
    <x v="1"/>
    <x v="2"/>
    <x v="7"/>
    <x v="14"/>
    <x v="18"/>
    <x v="18"/>
    <x v="12"/>
    <x v="429"/>
    <x v="409"/>
    <x v="927"/>
    <x v="808"/>
  </r>
  <r>
    <x v="418"/>
    <x v="125"/>
    <x v="0"/>
    <x v="1"/>
    <x v="4"/>
    <x v="8"/>
    <x v="4"/>
    <x v="0"/>
    <x v="0"/>
    <x v="1"/>
    <x v="1"/>
    <x v="2"/>
    <x v="6"/>
    <x v="12"/>
    <x v="62"/>
    <x v="3"/>
    <x v="2"/>
    <x v="380"/>
    <x v="320"/>
    <x v="270"/>
    <x v="881"/>
  </r>
  <r>
    <x v="419"/>
    <x v="132"/>
    <x v="0"/>
    <x v="1"/>
    <x v="4"/>
    <x v="8"/>
    <x v="4"/>
    <x v="0"/>
    <x v="0"/>
    <x v="0"/>
    <x v="1"/>
    <x v="2"/>
    <x v="6"/>
    <x v="12"/>
    <x v="23"/>
    <x v="3"/>
    <x v="2"/>
    <x v="110"/>
    <x v="95"/>
    <x v="431"/>
    <x v="258"/>
  </r>
  <r>
    <x v="420"/>
    <x v="112"/>
    <x v="0"/>
    <x v="1"/>
    <x v="4"/>
    <x v="8"/>
    <x v="4"/>
    <x v="1"/>
    <x v="1"/>
    <x v="1"/>
    <x v="3"/>
    <x v="6"/>
    <x v="1"/>
    <x v="2"/>
    <x v="12"/>
    <x v="25"/>
    <x v="16"/>
    <x v="837"/>
    <x v="746"/>
    <x v="1108"/>
    <x v="1567"/>
  </r>
  <r>
    <x v="421"/>
    <x v="119"/>
    <x v="0"/>
    <x v="1"/>
    <x v="4"/>
    <x v="8"/>
    <x v="4"/>
    <x v="1"/>
    <x v="1"/>
    <x v="0"/>
    <x v="3"/>
    <x v="6"/>
    <x v="1"/>
    <x v="2"/>
    <x v="4"/>
    <x v="25"/>
    <x v="16"/>
    <x v="739"/>
    <x v="671"/>
    <x v="1203"/>
    <x v="1313"/>
  </r>
  <r>
    <x v="422"/>
    <x v="126"/>
    <x v="0"/>
    <x v="1"/>
    <x v="4"/>
    <x v="8"/>
    <x v="4"/>
    <x v="1"/>
    <x v="1"/>
    <x v="1"/>
    <x v="3"/>
    <x v="6"/>
    <x v="2"/>
    <x v="4"/>
    <x v="11"/>
    <x v="22"/>
    <x v="14"/>
    <x v="691"/>
    <x v="635"/>
    <x v="708"/>
    <x v="1290"/>
  </r>
  <r>
    <x v="423"/>
    <x v="133"/>
    <x v="0"/>
    <x v="1"/>
    <x v="4"/>
    <x v="8"/>
    <x v="4"/>
    <x v="1"/>
    <x v="1"/>
    <x v="0"/>
    <x v="3"/>
    <x v="6"/>
    <x v="2"/>
    <x v="4"/>
    <x v="2"/>
    <x v="22"/>
    <x v="14"/>
    <x v="316"/>
    <x v="304"/>
    <x v="762"/>
    <x v="531"/>
  </r>
  <r>
    <x v="424"/>
    <x v="113"/>
    <x v="0"/>
    <x v="1"/>
    <x v="4"/>
    <x v="8"/>
    <x v="4"/>
    <x v="1"/>
    <x v="1"/>
    <x v="1"/>
    <x v="3"/>
    <x v="6"/>
    <x v="5"/>
    <x v="10"/>
    <x v="9"/>
    <x v="28"/>
    <x v="18"/>
    <x v="842"/>
    <x v="752"/>
    <x v="1128"/>
    <x v="1558"/>
  </r>
  <r>
    <x v="425"/>
    <x v="120"/>
    <x v="0"/>
    <x v="1"/>
    <x v="4"/>
    <x v="8"/>
    <x v="4"/>
    <x v="1"/>
    <x v="1"/>
    <x v="0"/>
    <x v="3"/>
    <x v="6"/>
    <x v="5"/>
    <x v="10"/>
    <x v="2"/>
    <x v="28"/>
    <x v="18"/>
    <x v="721"/>
    <x v="673"/>
    <x v="1187"/>
    <x v="1195"/>
  </r>
  <r>
    <x v="426"/>
    <x v="127"/>
    <x v="0"/>
    <x v="1"/>
    <x v="4"/>
    <x v="8"/>
    <x v="4"/>
    <x v="1"/>
    <x v="1"/>
    <x v="1"/>
    <x v="0"/>
    <x v="0"/>
    <x v="3"/>
    <x v="6"/>
    <x v="50"/>
    <x v="0"/>
    <x v="0"/>
    <x v="244"/>
    <x v="189"/>
    <x v="146"/>
    <x v="634"/>
  </r>
  <r>
    <x v="427"/>
    <x v="134"/>
    <x v="0"/>
    <x v="1"/>
    <x v="4"/>
    <x v="8"/>
    <x v="4"/>
    <x v="1"/>
    <x v="1"/>
    <x v="0"/>
    <x v="0"/>
    <x v="0"/>
    <x v="3"/>
    <x v="6"/>
    <x v="23"/>
    <x v="0"/>
    <x v="0"/>
    <x v="70"/>
    <x v="55"/>
    <x v="329"/>
    <x v="200"/>
  </r>
  <r>
    <x v="428"/>
    <x v="114"/>
    <x v="0"/>
    <x v="1"/>
    <x v="4"/>
    <x v="8"/>
    <x v="4"/>
    <x v="1"/>
    <x v="1"/>
    <x v="1"/>
    <x v="0"/>
    <x v="0"/>
    <x v="8"/>
    <x v="16"/>
    <x v="63"/>
    <x v="12"/>
    <x v="6"/>
    <x v="703"/>
    <x v="604"/>
    <x v="734"/>
    <x v="1411"/>
  </r>
  <r>
    <x v="429"/>
    <x v="121"/>
    <x v="0"/>
    <x v="1"/>
    <x v="4"/>
    <x v="8"/>
    <x v="4"/>
    <x v="1"/>
    <x v="1"/>
    <x v="0"/>
    <x v="0"/>
    <x v="0"/>
    <x v="8"/>
    <x v="16"/>
    <x v="19"/>
    <x v="12"/>
    <x v="6"/>
    <x v="348"/>
    <x v="285"/>
    <x v="815"/>
    <x v="768"/>
  </r>
  <r>
    <x v="430"/>
    <x v="128"/>
    <x v="0"/>
    <x v="1"/>
    <x v="4"/>
    <x v="8"/>
    <x v="4"/>
    <x v="1"/>
    <x v="1"/>
    <x v="1"/>
    <x v="0"/>
    <x v="0"/>
    <x v="9"/>
    <x v="18"/>
    <x v="58"/>
    <x v="6"/>
    <x v="4"/>
    <x v="576"/>
    <x v="509"/>
    <x v="531"/>
    <x v="1177"/>
  </r>
  <r>
    <x v="431"/>
    <x v="108"/>
    <x v="0"/>
    <x v="1"/>
    <x v="4"/>
    <x v="8"/>
    <x v="4"/>
    <x v="1"/>
    <x v="1"/>
    <x v="0"/>
    <x v="0"/>
    <x v="0"/>
    <x v="9"/>
    <x v="18"/>
    <x v="19"/>
    <x v="6"/>
    <x v="4"/>
    <x v="224"/>
    <x v="203"/>
    <x v="651"/>
    <x v="462"/>
  </r>
  <r>
    <x v="432"/>
    <x v="115"/>
    <x v="0"/>
    <x v="1"/>
    <x v="4"/>
    <x v="8"/>
    <x v="4"/>
    <x v="1"/>
    <x v="1"/>
    <x v="1"/>
    <x v="2"/>
    <x v="4"/>
    <x v="0"/>
    <x v="0"/>
    <x v="24"/>
    <x v="15"/>
    <x v="10"/>
    <x v="495"/>
    <x v="434"/>
    <x v="421"/>
    <x v="1068"/>
  </r>
  <r>
    <x v="433"/>
    <x v="122"/>
    <x v="0"/>
    <x v="1"/>
    <x v="4"/>
    <x v="8"/>
    <x v="4"/>
    <x v="1"/>
    <x v="1"/>
    <x v="0"/>
    <x v="2"/>
    <x v="4"/>
    <x v="0"/>
    <x v="0"/>
    <x v="9"/>
    <x v="15"/>
    <x v="10"/>
    <x v="212"/>
    <x v="190"/>
    <x v="637"/>
    <x v="466"/>
  </r>
  <r>
    <x v="434"/>
    <x v="129"/>
    <x v="0"/>
    <x v="1"/>
    <x v="4"/>
    <x v="8"/>
    <x v="4"/>
    <x v="1"/>
    <x v="1"/>
    <x v="1"/>
    <x v="2"/>
    <x v="4"/>
    <x v="4"/>
    <x v="8"/>
    <x v="28"/>
    <x v="9"/>
    <x v="7"/>
    <x v="422"/>
    <x v="394"/>
    <x v="326"/>
    <x v="884"/>
  </r>
  <r>
    <x v="435"/>
    <x v="109"/>
    <x v="0"/>
    <x v="1"/>
    <x v="4"/>
    <x v="8"/>
    <x v="4"/>
    <x v="1"/>
    <x v="1"/>
    <x v="0"/>
    <x v="2"/>
    <x v="4"/>
    <x v="4"/>
    <x v="8"/>
    <x v="7"/>
    <x v="9"/>
    <x v="7"/>
    <x v="84"/>
    <x v="89"/>
    <x v="374"/>
    <x v="150"/>
  </r>
  <r>
    <x v="436"/>
    <x v="116"/>
    <x v="0"/>
    <x v="1"/>
    <x v="4"/>
    <x v="8"/>
    <x v="4"/>
    <x v="1"/>
    <x v="1"/>
    <x v="1"/>
    <x v="1"/>
    <x v="2"/>
    <x v="7"/>
    <x v="14"/>
    <x v="30"/>
    <x v="18"/>
    <x v="12"/>
    <x v="591"/>
    <x v="545"/>
    <x v="570"/>
    <x v="1161"/>
  </r>
  <r>
    <x v="437"/>
    <x v="123"/>
    <x v="0"/>
    <x v="1"/>
    <x v="4"/>
    <x v="8"/>
    <x v="4"/>
    <x v="1"/>
    <x v="1"/>
    <x v="0"/>
    <x v="1"/>
    <x v="2"/>
    <x v="7"/>
    <x v="14"/>
    <x v="9"/>
    <x v="18"/>
    <x v="12"/>
    <x v="235"/>
    <x v="232"/>
    <x v="664"/>
    <x v="431"/>
  </r>
  <r>
    <x v="438"/>
    <x v="130"/>
    <x v="0"/>
    <x v="1"/>
    <x v="4"/>
    <x v="8"/>
    <x v="4"/>
    <x v="1"/>
    <x v="1"/>
    <x v="1"/>
    <x v="1"/>
    <x v="2"/>
    <x v="6"/>
    <x v="12"/>
    <x v="28"/>
    <x v="3"/>
    <x v="2"/>
    <x v="153"/>
    <x v="128"/>
    <x v="78"/>
    <x v="402"/>
  </r>
  <r>
    <x v="439"/>
    <x v="110"/>
    <x v="0"/>
    <x v="1"/>
    <x v="4"/>
    <x v="8"/>
    <x v="4"/>
    <x v="1"/>
    <x v="1"/>
    <x v="0"/>
    <x v="1"/>
    <x v="2"/>
    <x v="6"/>
    <x v="12"/>
    <x v="10"/>
    <x v="3"/>
    <x v="2"/>
    <x v="17"/>
    <x v="20"/>
    <x v="157"/>
    <x v="49"/>
  </r>
  <r>
    <x v="440"/>
    <x v="117"/>
    <x v="0"/>
    <x v="1"/>
    <x v="4"/>
    <x v="8"/>
    <x v="4"/>
    <x v="3"/>
    <x v="3"/>
    <x v="1"/>
    <x v="3"/>
    <x v="6"/>
    <x v="1"/>
    <x v="2"/>
    <x v="7"/>
    <x v="25"/>
    <x v="16"/>
    <x v="804"/>
    <x v="721"/>
    <x v="985"/>
    <x v="1499"/>
  </r>
  <r>
    <x v="441"/>
    <x v="124"/>
    <x v="0"/>
    <x v="1"/>
    <x v="4"/>
    <x v="8"/>
    <x v="4"/>
    <x v="3"/>
    <x v="3"/>
    <x v="0"/>
    <x v="3"/>
    <x v="6"/>
    <x v="1"/>
    <x v="2"/>
    <x v="2"/>
    <x v="25"/>
    <x v="16"/>
    <x v="634"/>
    <x v="592"/>
    <x v="1122"/>
    <x v="1141"/>
  </r>
  <r>
    <x v="442"/>
    <x v="131"/>
    <x v="0"/>
    <x v="1"/>
    <x v="4"/>
    <x v="8"/>
    <x v="4"/>
    <x v="3"/>
    <x v="3"/>
    <x v="1"/>
    <x v="3"/>
    <x v="6"/>
    <x v="2"/>
    <x v="4"/>
    <x v="7"/>
    <x v="22"/>
    <x v="14"/>
    <x v="583"/>
    <x v="548"/>
    <x v="551"/>
    <x v="1111"/>
  </r>
  <r>
    <x v="443"/>
    <x v="111"/>
    <x v="0"/>
    <x v="1"/>
    <x v="4"/>
    <x v="8"/>
    <x v="4"/>
    <x v="3"/>
    <x v="3"/>
    <x v="0"/>
    <x v="3"/>
    <x v="6"/>
    <x v="2"/>
    <x v="4"/>
    <x v="1"/>
    <x v="22"/>
    <x v="14"/>
    <x v="220"/>
    <x v="229"/>
    <x v="648"/>
    <x v="353"/>
  </r>
  <r>
    <x v="444"/>
    <x v="118"/>
    <x v="0"/>
    <x v="1"/>
    <x v="4"/>
    <x v="8"/>
    <x v="4"/>
    <x v="3"/>
    <x v="3"/>
    <x v="1"/>
    <x v="3"/>
    <x v="6"/>
    <x v="5"/>
    <x v="10"/>
    <x v="8"/>
    <x v="28"/>
    <x v="18"/>
    <x v="835"/>
    <x v="748"/>
    <x v="1105"/>
    <x v="1542"/>
  </r>
  <r>
    <x v="445"/>
    <x v="125"/>
    <x v="0"/>
    <x v="1"/>
    <x v="4"/>
    <x v="8"/>
    <x v="4"/>
    <x v="3"/>
    <x v="3"/>
    <x v="0"/>
    <x v="3"/>
    <x v="6"/>
    <x v="5"/>
    <x v="10"/>
    <x v="1"/>
    <x v="28"/>
    <x v="18"/>
    <x v="644"/>
    <x v="623"/>
    <x v="1128"/>
    <x v="1018"/>
  </r>
  <r>
    <x v="446"/>
    <x v="132"/>
    <x v="0"/>
    <x v="1"/>
    <x v="4"/>
    <x v="8"/>
    <x v="4"/>
    <x v="3"/>
    <x v="3"/>
    <x v="1"/>
    <x v="0"/>
    <x v="0"/>
    <x v="3"/>
    <x v="6"/>
    <x v="44"/>
    <x v="0"/>
    <x v="0"/>
    <x v="203"/>
    <x v="159"/>
    <x v="119"/>
    <x v="559"/>
  </r>
  <r>
    <x v="447"/>
    <x v="112"/>
    <x v="0"/>
    <x v="1"/>
    <x v="4"/>
    <x v="8"/>
    <x v="4"/>
    <x v="3"/>
    <x v="3"/>
    <x v="0"/>
    <x v="0"/>
    <x v="0"/>
    <x v="3"/>
    <x v="6"/>
    <x v="12"/>
    <x v="0"/>
    <x v="0"/>
    <x v="15"/>
    <x v="13"/>
    <x v="141"/>
    <x v="48"/>
  </r>
  <r>
    <x v="448"/>
    <x v="119"/>
    <x v="0"/>
    <x v="1"/>
    <x v="4"/>
    <x v="8"/>
    <x v="4"/>
    <x v="3"/>
    <x v="3"/>
    <x v="1"/>
    <x v="0"/>
    <x v="0"/>
    <x v="8"/>
    <x v="16"/>
    <x v="36"/>
    <x v="12"/>
    <x v="6"/>
    <x v="550"/>
    <x v="462"/>
    <x v="493"/>
    <x v="1185"/>
  </r>
  <r>
    <x v="449"/>
    <x v="126"/>
    <x v="0"/>
    <x v="1"/>
    <x v="4"/>
    <x v="8"/>
    <x v="4"/>
    <x v="3"/>
    <x v="3"/>
    <x v="0"/>
    <x v="0"/>
    <x v="0"/>
    <x v="8"/>
    <x v="16"/>
    <x v="12"/>
    <x v="12"/>
    <x v="6"/>
    <x v="215"/>
    <x v="177"/>
    <x v="640"/>
    <x v="499"/>
  </r>
  <r>
    <x v="450"/>
    <x v="133"/>
    <x v="0"/>
    <x v="1"/>
    <x v="4"/>
    <x v="8"/>
    <x v="4"/>
    <x v="3"/>
    <x v="3"/>
    <x v="1"/>
    <x v="0"/>
    <x v="0"/>
    <x v="9"/>
    <x v="18"/>
    <x v="41"/>
    <x v="6"/>
    <x v="4"/>
    <x v="456"/>
    <x v="410"/>
    <x v="370"/>
    <x v="967"/>
  </r>
  <r>
    <x v="451"/>
    <x v="113"/>
    <x v="0"/>
    <x v="1"/>
    <x v="4"/>
    <x v="8"/>
    <x v="4"/>
    <x v="3"/>
    <x v="3"/>
    <x v="0"/>
    <x v="0"/>
    <x v="0"/>
    <x v="9"/>
    <x v="18"/>
    <x v="12"/>
    <x v="6"/>
    <x v="4"/>
    <x v="118"/>
    <x v="112"/>
    <x v="447"/>
    <x v="237"/>
  </r>
  <r>
    <x v="452"/>
    <x v="120"/>
    <x v="0"/>
    <x v="1"/>
    <x v="4"/>
    <x v="8"/>
    <x v="4"/>
    <x v="3"/>
    <x v="3"/>
    <x v="1"/>
    <x v="2"/>
    <x v="4"/>
    <x v="0"/>
    <x v="0"/>
    <x v="16"/>
    <x v="15"/>
    <x v="10"/>
    <x v="369"/>
    <x v="321"/>
    <x v="256"/>
    <x v="831"/>
  </r>
  <r>
    <x v="453"/>
    <x v="127"/>
    <x v="0"/>
    <x v="1"/>
    <x v="4"/>
    <x v="8"/>
    <x v="4"/>
    <x v="3"/>
    <x v="3"/>
    <x v="0"/>
    <x v="2"/>
    <x v="4"/>
    <x v="0"/>
    <x v="0"/>
    <x v="5"/>
    <x v="15"/>
    <x v="10"/>
    <x v="99"/>
    <x v="93"/>
    <x v="415"/>
    <x v="223"/>
  </r>
  <r>
    <x v="454"/>
    <x v="134"/>
    <x v="0"/>
    <x v="1"/>
    <x v="4"/>
    <x v="8"/>
    <x v="4"/>
    <x v="3"/>
    <x v="3"/>
    <x v="1"/>
    <x v="2"/>
    <x v="4"/>
    <x v="4"/>
    <x v="8"/>
    <x v="15"/>
    <x v="9"/>
    <x v="7"/>
    <x v="239"/>
    <x v="227"/>
    <x v="143"/>
    <x v="512"/>
  </r>
  <r>
    <x v="455"/>
    <x v="114"/>
    <x v="0"/>
    <x v="1"/>
    <x v="4"/>
    <x v="8"/>
    <x v="4"/>
    <x v="3"/>
    <x v="3"/>
    <x v="0"/>
    <x v="2"/>
    <x v="4"/>
    <x v="4"/>
    <x v="8"/>
    <x v="7"/>
    <x v="9"/>
    <x v="7"/>
    <x v="84"/>
    <x v="89"/>
    <x v="374"/>
    <x v="150"/>
  </r>
  <r>
    <x v="456"/>
    <x v="121"/>
    <x v="0"/>
    <x v="1"/>
    <x v="4"/>
    <x v="8"/>
    <x v="4"/>
    <x v="3"/>
    <x v="3"/>
    <x v="1"/>
    <x v="1"/>
    <x v="2"/>
    <x v="7"/>
    <x v="14"/>
    <x v="23"/>
    <x v="18"/>
    <x v="12"/>
    <x v="512"/>
    <x v="475"/>
    <x v="438"/>
    <x v="999"/>
  </r>
  <r>
    <x v="457"/>
    <x v="128"/>
    <x v="0"/>
    <x v="1"/>
    <x v="4"/>
    <x v="8"/>
    <x v="4"/>
    <x v="3"/>
    <x v="3"/>
    <x v="0"/>
    <x v="1"/>
    <x v="2"/>
    <x v="7"/>
    <x v="14"/>
    <x v="6"/>
    <x v="18"/>
    <x v="12"/>
    <x v="150"/>
    <x v="157"/>
    <x v="521"/>
    <x v="247"/>
  </r>
  <r>
    <x v="458"/>
    <x v="108"/>
    <x v="0"/>
    <x v="1"/>
    <x v="4"/>
    <x v="8"/>
    <x v="4"/>
    <x v="3"/>
    <x v="3"/>
    <x v="1"/>
    <x v="1"/>
    <x v="2"/>
    <x v="6"/>
    <x v="12"/>
    <x v="22"/>
    <x v="3"/>
    <x v="2"/>
    <x v="99"/>
    <x v="85"/>
    <x v="44"/>
    <x v="279"/>
  </r>
  <r>
    <x v="459"/>
    <x v="115"/>
    <x v="0"/>
    <x v="1"/>
    <x v="4"/>
    <x v="8"/>
    <x v="4"/>
    <x v="3"/>
    <x v="3"/>
    <x v="0"/>
    <x v="1"/>
    <x v="2"/>
    <x v="6"/>
    <x v="12"/>
    <x v="8"/>
    <x v="3"/>
    <x v="2"/>
    <x v="10"/>
    <x v="11"/>
    <x v="118"/>
    <x v="25"/>
  </r>
  <r>
    <x v="460"/>
    <x v="122"/>
    <x v="0"/>
    <x v="1"/>
    <x v="4"/>
    <x v="8"/>
    <x v="4"/>
    <x v="2"/>
    <x v="2"/>
    <x v="1"/>
    <x v="3"/>
    <x v="6"/>
    <x v="1"/>
    <x v="2"/>
    <x v="6"/>
    <x v="25"/>
    <x v="16"/>
    <x v="789"/>
    <x v="711"/>
    <x v="933"/>
    <x v="1463"/>
  </r>
  <r>
    <x v="461"/>
    <x v="129"/>
    <x v="0"/>
    <x v="1"/>
    <x v="4"/>
    <x v="8"/>
    <x v="4"/>
    <x v="2"/>
    <x v="2"/>
    <x v="0"/>
    <x v="3"/>
    <x v="6"/>
    <x v="1"/>
    <x v="2"/>
    <x v="1"/>
    <x v="25"/>
    <x v="16"/>
    <x v="548"/>
    <x v="519"/>
    <x v="1050"/>
    <x v="937"/>
  </r>
  <r>
    <x v="462"/>
    <x v="109"/>
    <x v="0"/>
    <x v="1"/>
    <x v="4"/>
    <x v="8"/>
    <x v="4"/>
    <x v="2"/>
    <x v="2"/>
    <x v="1"/>
    <x v="3"/>
    <x v="6"/>
    <x v="2"/>
    <x v="4"/>
    <x v="5"/>
    <x v="22"/>
    <x v="14"/>
    <x v="500"/>
    <x v="476"/>
    <x v="426"/>
    <x v="943"/>
  </r>
  <r>
    <x v="463"/>
    <x v="116"/>
    <x v="0"/>
    <x v="1"/>
    <x v="4"/>
    <x v="8"/>
    <x v="4"/>
    <x v="2"/>
    <x v="2"/>
    <x v="0"/>
    <x v="3"/>
    <x v="6"/>
    <x v="2"/>
    <x v="4"/>
    <x v="0"/>
    <x v="22"/>
    <x v="14"/>
    <x v="116"/>
    <x v="132"/>
    <x v="445"/>
    <x v="170"/>
  </r>
  <r>
    <x v="464"/>
    <x v="123"/>
    <x v="0"/>
    <x v="1"/>
    <x v="4"/>
    <x v="8"/>
    <x v="4"/>
    <x v="2"/>
    <x v="2"/>
    <x v="1"/>
    <x v="3"/>
    <x v="6"/>
    <x v="5"/>
    <x v="10"/>
    <x v="5"/>
    <x v="28"/>
    <x v="18"/>
    <x v="808"/>
    <x v="731"/>
    <x v="1007"/>
    <x v="1459"/>
  </r>
  <r>
    <x v="465"/>
    <x v="130"/>
    <x v="0"/>
    <x v="1"/>
    <x v="4"/>
    <x v="8"/>
    <x v="4"/>
    <x v="2"/>
    <x v="2"/>
    <x v="0"/>
    <x v="3"/>
    <x v="6"/>
    <x v="5"/>
    <x v="10"/>
    <x v="1"/>
    <x v="28"/>
    <x v="18"/>
    <x v="644"/>
    <x v="623"/>
    <x v="1128"/>
    <x v="1018"/>
  </r>
  <r>
    <x v="466"/>
    <x v="110"/>
    <x v="0"/>
    <x v="1"/>
    <x v="4"/>
    <x v="8"/>
    <x v="4"/>
    <x v="2"/>
    <x v="2"/>
    <x v="1"/>
    <x v="0"/>
    <x v="0"/>
    <x v="3"/>
    <x v="6"/>
    <x v="27"/>
    <x v="0"/>
    <x v="0"/>
    <x v="95"/>
    <x v="75"/>
    <x v="41"/>
    <x v="286"/>
  </r>
  <r>
    <x v="467"/>
    <x v="117"/>
    <x v="0"/>
    <x v="1"/>
    <x v="4"/>
    <x v="8"/>
    <x v="4"/>
    <x v="2"/>
    <x v="2"/>
    <x v="0"/>
    <x v="0"/>
    <x v="0"/>
    <x v="3"/>
    <x v="6"/>
    <x v="10"/>
    <x v="0"/>
    <x v="0"/>
    <x v="8"/>
    <x v="9"/>
    <x v="111"/>
    <x v="30"/>
  </r>
  <r>
    <x v="468"/>
    <x v="124"/>
    <x v="0"/>
    <x v="1"/>
    <x v="4"/>
    <x v="8"/>
    <x v="4"/>
    <x v="2"/>
    <x v="2"/>
    <x v="1"/>
    <x v="0"/>
    <x v="0"/>
    <x v="8"/>
    <x v="16"/>
    <x v="24"/>
    <x v="12"/>
    <x v="6"/>
    <x v="414"/>
    <x v="346"/>
    <x v="312"/>
    <x v="942"/>
  </r>
  <r>
    <x v="469"/>
    <x v="131"/>
    <x v="0"/>
    <x v="1"/>
    <x v="4"/>
    <x v="8"/>
    <x v="4"/>
    <x v="2"/>
    <x v="2"/>
    <x v="0"/>
    <x v="0"/>
    <x v="0"/>
    <x v="8"/>
    <x v="16"/>
    <x v="9"/>
    <x v="12"/>
    <x v="6"/>
    <x v="152"/>
    <x v="123"/>
    <x v="524"/>
    <x v="363"/>
  </r>
  <r>
    <x v="470"/>
    <x v="111"/>
    <x v="0"/>
    <x v="1"/>
    <x v="4"/>
    <x v="8"/>
    <x v="4"/>
    <x v="2"/>
    <x v="2"/>
    <x v="1"/>
    <x v="0"/>
    <x v="0"/>
    <x v="9"/>
    <x v="18"/>
    <x v="24"/>
    <x v="6"/>
    <x v="4"/>
    <x v="288"/>
    <x v="262"/>
    <x v="186"/>
    <x v="637"/>
  </r>
  <r>
    <x v="471"/>
    <x v="118"/>
    <x v="0"/>
    <x v="1"/>
    <x v="4"/>
    <x v="8"/>
    <x v="4"/>
    <x v="2"/>
    <x v="2"/>
    <x v="0"/>
    <x v="0"/>
    <x v="0"/>
    <x v="9"/>
    <x v="18"/>
    <x v="9"/>
    <x v="6"/>
    <x v="4"/>
    <x v="73"/>
    <x v="74"/>
    <x v="340"/>
    <x v="141"/>
  </r>
  <r>
    <x v="472"/>
    <x v="125"/>
    <x v="0"/>
    <x v="1"/>
    <x v="4"/>
    <x v="8"/>
    <x v="4"/>
    <x v="2"/>
    <x v="2"/>
    <x v="1"/>
    <x v="2"/>
    <x v="4"/>
    <x v="0"/>
    <x v="0"/>
    <x v="12"/>
    <x v="15"/>
    <x v="10"/>
    <x v="286"/>
    <x v="253"/>
    <x v="185"/>
    <x v="663"/>
  </r>
  <r>
    <x v="473"/>
    <x v="132"/>
    <x v="0"/>
    <x v="1"/>
    <x v="4"/>
    <x v="8"/>
    <x v="4"/>
    <x v="2"/>
    <x v="2"/>
    <x v="0"/>
    <x v="2"/>
    <x v="4"/>
    <x v="0"/>
    <x v="0"/>
    <x v="3"/>
    <x v="15"/>
    <x v="10"/>
    <x v="48"/>
    <x v="49"/>
    <x v="260"/>
    <x v="106"/>
  </r>
  <r>
    <x v="474"/>
    <x v="112"/>
    <x v="0"/>
    <x v="1"/>
    <x v="4"/>
    <x v="8"/>
    <x v="4"/>
    <x v="2"/>
    <x v="2"/>
    <x v="1"/>
    <x v="2"/>
    <x v="4"/>
    <x v="4"/>
    <x v="8"/>
    <x v="13"/>
    <x v="9"/>
    <x v="7"/>
    <x v="202"/>
    <x v="198"/>
    <x v="117"/>
    <x v="440"/>
  </r>
  <r>
    <x v="475"/>
    <x v="119"/>
    <x v="0"/>
    <x v="1"/>
    <x v="4"/>
    <x v="8"/>
    <x v="4"/>
    <x v="2"/>
    <x v="2"/>
    <x v="0"/>
    <x v="2"/>
    <x v="4"/>
    <x v="4"/>
    <x v="8"/>
    <x v="3"/>
    <x v="9"/>
    <x v="7"/>
    <x v="18"/>
    <x v="28"/>
    <x v="161"/>
    <x v="35"/>
  </r>
  <r>
    <x v="476"/>
    <x v="126"/>
    <x v="0"/>
    <x v="1"/>
    <x v="4"/>
    <x v="8"/>
    <x v="4"/>
    <x v="2"/>
    <x v="2"/>
    <x v="1"/>
    <x v="1"/>
    <x v="2"/>
    <x v="7"/>
    <x v="14"/>
    <x v="13"/>
    <x v="18"/>
    <x v="12"/>
    <x v="342"/>
    <x v="319"/>
    <x v="223"/>
    <x v="676"/>
  </r>
  <r>
    <x v="477"/>
    <x v="133"/>
    <x v="0"/>
    <x v="1"/>
    <x v="4"/>
    <x v="8"/>
    <x v="4"/>
    <x v="2"/>
    <x v="2"/>
    <x v="0"/>
    <x v="1"/>
    <x v="2"/>
    <x v="7"/>
    <x v="14"/>
    <x v="4"/>
    <x v="18"/>
    <x v="12"/>
    <x v="89"/>
    <x v="96"/>
    <x v="380"/>
    <x v="135"/>
  </r>
  <r>
    <x v="478"/>
    <x v="113"/>
    <x v="0"/>
    <x v="1"/>
    <x v="4"/>
    <x v="8"/>
    <x v="4"/>
    <x v="2"/>
    <x v="2"/>
    <x v="1"/>
    <x v="1"/>
    <x v="2"/>
    <x v="6"/>
    <x v="12"/>
    <x v="13"/>
    <x v="3"/>
    <x v="2"/>
    <x v="37"/>
    <x v="36"/>
    <x v="3"/>
    <x v="100"/>
  </r>
  <r>
    <x v="479"/>
    <x v="120"/>
    <x v="0"/>
    <x v="1"/>
    <x v="4"/>
    <x v="8"/>
    <x v="4"/>
    <x v="2"/>
    <x v="2"/>
    <x v="0"/>
    <x v="1"/>
    <x v="2"/>
    <x v="6"/>
    <x v="12"/>
    <x v="5"/>
    <x v="3"/>
    <x v="2"/>
    <x v="3"/>
    <x v="4"/>
    <x v="53"/>
    <x v="6"/>
  </r>
  <r>
    <x v="480"/>
    <x v="127"/>
    <x v="0"/>
    <x v="1"/>
    <x v="4"/>
    <x v="8"/>
    <x v="4"/>
    <x v="4"/>
    <x v="4"/>
    <x v="1"/>
    <x v="3"/>
    <x v="6"/>
    <x v="1"/>
    <x v="2"/>
    <x v="6"/>
    <x v="25"/>
    <x v="16"/>
    <x v="789"/>
    <x v="711"/>
    <x v="933"/>
    <x v="1463"/>
  </r>
  <r>
    <x v="481"/>
    <x v="134"/>
    <x v="0"/>
    <x v="1"/>
    <x v="4"/>
    <x v="8"/>
    <x v="4"/>
    <x v="4"/>
    <x v="4"/>
    <x v="0"/>
    <x v="3"/>
    <x v="6"/>
    <x v="1"/>
    <x v="2"/>
    <x v="0"/>
    <x v="25"/>
    <x v="16"/>
    <x v="407"/>
    <x v="404"/>
    <x v="884"/>
    <x v="689"/>
  </r>
  <r>
    <x v="482"/>
    <x v="114"/>
    <x v="0"/>
    <x v="1"/>
    <x v="4"/>
    <x v="8"/>
    <x v="4"/>
    <x v="4"/>
    <x v="4"/>
    <x v="1"/>
    <x v="3"/>
    <x v="6"/>
    <x v="2"/>
    <x v="4"/>
    <x v="4"/>
    <x v="22"/>
    <x v="14"/>
    <x v="445"/>
    <x v="429"/>
    <x v="354"/>
    <x v="854"/>
  </r>
  <r>
    <x v="483"/>
    <x v="121"/>
    <x v="0"/>
    <x v="1"/>
    <x v="4"/>
    <x v="8"/>
    <x v="4"/>
    <x v="4"/>
    <x v="4"/>
    <x v="0"/>
    <x v="3"/>
    <x v="6"/>
    <x v="2"/>
    <x v="4"/>
    <x v="0"/>
    <x v="22"/>
    <x v="14"/>
    <x v="116"/>
    <x v="132"/>
    <x v="445"/>
    <x v="170"/>
  </r>
  <r>
    <x v="484"/>
    <x v="128"/>
    <x v="0"/>
    <x v="1"/>
    <x v="4"/>
    <x v="8"/>
    <x v="4"/>
    <x v="4"/>
    <x v="4"/>
    <x v="1"/>
    <x v="3"/>
    <x v="6"/>
    <x v="5"/>
    <x v="10"/>
    <x v="4"/>
    <x v="28"/>
    <x v="18"/>
    <x v="793"/>
    <x v="724"/>
    <x v="944"/>
    <x v="1408"/>
  </r>
  <r>
    <x v="485"/>
    <x v="108"/>
    <x v="0"/>
    <x v="1"/>
    <x v="4"/>
    <x v="8"/>
    <x v="4"/>
    <x v="4"/>
    <x v="4"/>
    <x v="0"/>
    <x v="3"/>
    <x v="6"/>
    <x v="5"/>
    <x v="10"/>
    <x v="1"/>
    <x v="28"/>
    <x v="18"/>
    <x v="644"/>
    <x v="623"/>
    <x v="1128"/>
    <x v="1018"/>
  </r>
  <r>
    <x v="486"/>
    <x v="115"/>
    <x v="0"/>
    <x v="1"/>
    <x v="4"/>
    <x v="8"/>
    <x v="4"/>
    <x v="4"/>
    <x v="4"/>
    <x v="1"/>
    <x v="0"/>
    <x v="0"/>
    <x v="3"/>
    <x v="6"/>
    <x v="31"/>
    <x v="0"/>
    <x v="0"/>
    <x v="119"/>
    <x v="92"/>
    <x v="57"/>
    <x v="362"/>
  </r>
  <r>
    <x v="487"/>
    <x v="122"/>
    <x v="0"/>
    <x v="1"/>
    <x v="4"/>
    <x v="8"/>
    <x v="4"/>
    <x v="4"/>
    <x v="4"/>
    <x v="0"/>
    <x v="0"/>
    <x v="0"/>
    <x v="3"/>
    <x v="6"/>
    <x v="9"/>
    <x v="0"/>
    <x v="0"/>
    <x v="6"/>
    <x v="7"/>
    <x v="93"/>
    <x v="23"/>
  </r>
  <r>
    <x v="488"/>
    <x v="129"/>
    <x v="0"/>
    <x v="1"/>
    <x v="4"/>
    <x v="8"/>
    <x v="4"/>
    <x v="4"/>
    <x v="4"/>
    <x v="1"/>
    <x v="0"/>
    <x v="0"/>
    <x v="8"/>
    <x v="16"/>
    <x v="27"/>
    <x v="12"/>
    <x v="6"/>
    <x v="452"/>
    <x v="383"/>
    <x v="364"/>
    <x v="1019"/>
  </r>
  <r>
    <x v="489"/>
    <x v="109"/>
    <x v="0"/>
    <x v="1"/>
    <x v="4"/>
    <x v="8"/>
    <x v="4"/>
    <x v="4"/>
    <x v="4"/>
    <x v="0"/>
    <x v="0"/>
    <x v="0"/>
    <x v="8"/>
    <x v="16"/>
    <x v="10"/>
    <x v="12"/>
    <x v="6"/>
    <x v="173"/>
    <x v="143"/>
    <x v="573"/>
    <x v="418"/>
  </r>
  <r>
    <x v="490"/>
    <x v="116"/>
    <x v="0"/>
    <x v="1"/>
    <x v="4"/>
    <x v="8"/>
    <x v="4"/>
    <x v="4"/>
    <x v="4"/>
    <x v="1"/>
    <x v="0"/>
    <x v="0"/>
    <x v="9"/>
    <x v="18"/>
    <x v="33"/>
    <x v="6"/>
    <x v="4"/>
    <x v="387"/>
    <x v="343"/>
    <x v="279"/>
    <x v="841"/>
  </r>
  <r>
    <x v="491"/>
    <x v="123"/>
    <x v="0"/>
    <x v="1"/>
    <x v="4"/>
    <x v="8"/>
    <x v="4"/>
    <x v="4"/>
    <x v="4"/>
    <x v="0"/>
    <x v="0"/>
    <x v="0"/>
    <x v="9"/>
    <x v="18"/>
    <x v="10"/>
    <x v="6"/>
    <x v="4"/>
    <x v="89"/>
    <x v="84"/>
    <x v="380"/>
    <x v="181"/>
  </r>
  <r>
    <x v="492"/>
    <x v="130"/>
    <x v="0"/>
    <x v="1"/>
    <x v="4"/>
    <x v="8"/>
    <x v="4"/>
    <x v="4"/>
    <x v="4"/>
    <x v="1"/>
    <x v="2"/>
    <x v="4"/>
    <x v="0"/>
    <x v="0"/>
    <x v="14"/>
    <x v="15"/>
    <x v="10"/>
    <x v="337"/>
    <x v="287"/>
    <x v="213"/>
    <x v="752"/>
  </r>
  <r>
    <x v="493"/>
    <x v="110"/>
    <x v="0"/>
    <x v="1"/>
    <x v="4"/>
    <x v="8"/>
    <x v="4"/>
    <x v="4"/>
    <x v="4"/>
    <x v="0"/>
    <x v="2"/>
    <x v="4"/>
    <x v="0"/>
    <x v="0"/>
    <x v="4"/>
    <x v="15"/>
    <x v="10"/>
    <x v="76"/>
    <x v="70"/>
    <x v="342"/>
    <x v="163"/>
  </r>
  <r>
    <x v="494"/>
    <x v="117"/>
    <x v="0"/>
    <x v="1"/>
    <x v="4"/>
    <x v="8"/>
    <x v="4"/>
    <x v="4"/>
    <x v="4"/>
    <x v="1"/>
    <x v="2"/>
    <x v="4"/>
    <x v="4"/>
    <x v="8"/>
    <x v="10"/>
    <x v="9"/>
    <x v="7"/>
    <x v="144"/>
    <x v="144"/>
    <x v="70"/>
    <x v="313"/>
  </r>
  <r>
    <x v="495"/>
    <x v="124"/>
    <x v="0"/>
    <x v="1"/>
    <x v="4"/>
    <x v="8"/>
    <x v="4"/>
    <x v="4"/>
    <x v="4"/>
    <x v="0"/>
    <x v="2"/>
    <x v="4"/>
    <x v="4"/>
    <x v="8"/>
    <x v="4"/>
    <x v="9"/>
    <x v="7"/>
    <x v="34"/>
    <x v="41"/>
    <x v="209"/>
    <x v="54"/>
  </r>
  <r>
    <x v="496"/>
    <x v="131"/>
    <x v="0"/>
    <x v="1"/>
    <x v="4"/>
    <x v="8"/>
    <x v="4"/>
    <x v="4"/>
    <x v="4"/>
    <x v="1"/>
    <x v="1"/>
    <x v="2"/>
    <x v="7"/>
    <x v="14"/>
    <x v="16"/>
    <x v="18"/>
    <x v="12"/>
    <x v="399"/>
    <x v="375"/>
    <x v="292"/>
    <x v="799"/>
  </r>
  <r>
    <x v="497"/>
    <x v="111"/>
    <x v="0"/>
    <x v="1"/>
    <x v="4"/>
    <x v="8"/>
    <x v="4"/>
    <x v="4"/>
    <x v="4"/>
    <x v="0"/>
    <x v="1"/>
    <x v="2"/>
    <x v="7"/>
    <x v="14"/>
    <x v="5"/>
    <x v="18"/>
    <x v="12"/>
    <x v="118"/>
    <x v="126"/>
    <x v="447"/>
    <x v="202"/>
  </r>
  <r>
    <x v="498"/>
    <x v="118"/>
    <x v="0"/>
    <x v="1"/>
    <x v="4"/>
    <x v="8"/>
    <x v="4"/>
    <x v="4"/>
    <x v="4"/>
    <x v="1"/>
    <x v="1"/>
    <x v="2"/>
    <x v="6"/>
    <x v="12"/>
    <x v="14"/>
    <x v="3"/>
    <x v="2"/>
    <x v="42"/>
    <x v="40"/>
    <x v="5"/>
    <x v="122"/>
  </r>
  <r>
    <x v="499"/>
    <x v="125"/>
    <x v="0"/>
    <x v="1"/>
    <x v="4"/>
    <x v="8"/>
    <x v="4"/>
    <x v="4"/>
    <x v="4"/>
    <x v="0"/>
    <x v="1"/>
    <x v="2"/>
    <x v="6"/>
    <x v="12"/>
    <x v="4"/>
    <x v="3"/>
    <x v="2"/>
    <x v="1"/>
    <x v="1"/>
    <x v="33"/>
    <x v="3"/>
  </r>
  <r>
    <x v="500"/>
    <x v="159"/>
    <x v="0"/>
    <x v="1"/>
    <x v="5"/>
    <x v="6"/>
    <x v="5"/>
    <x v="0"/>
    <x v="0"/>
    <x v="1"/>
    <x v="3"/>
    <x v="6"/>
    <x v="1"/>
    <x v="2"/>
    <x v="17"/>
    <x v="25"/>
    <x v="16"/>
    <x v="855"/>
    <x v="760"/>
    <x v="1175"/>
    <x v="1593"/>
  </r>
  <r>
    <x v="501"/>
    <x v="139"/>
    <x v="0"/>
    <x v="1"/>
    <x v="5"/>
    <x v="6"/>
    <x v="5"/>
    <x v="0"/>
    <x v="0"/>
    <x v="0"/>
    <x v="3"/>
    <x v="6"/>
    <x v="1"/>
    <x v="2"/>
    <x v="5"/>
    <x v="25"/>
    <x v="16"/>
    <x v="768"/>
    <x v="698"/>
    <x v="1229"/>
    <x v="1388"/>
  </r>
  <r>
    <x v="502"/>
    <x v="146"/>
    <x v="0"/>
    <x v="1"/>
    <x v="5"/>
    <x v="6"/>
    <x v="5"/>
    <x v="0"/>
    <x v="0"/>
    <x v="1"/>
    <x v="3"/>
    <x v="6"/>
    <x v="2"/>
    <x v="4"/>
    <x v="22"/>
    <x v="22"/>
    <x v="14"/>
    <x v="804"/>
    <x v="720"/>
    <x v="985"/>
    <x v="1508"/>
  </r>
  <r>
    <x v="503"/>
    <x v="153"/>
    <x v="0"/>
    <x v="1"/>
    <x v="5"/>
    <x v="6"/>
    <x v="5"/>
    <x v="0"/>
    <x v="0"/>
    <x v="0"/>
    <x v="3"/>
    <x v="6"/>
    <x v="2"/>
    <x v="4"/>
    <x v="8"/>
    <x v="22"/>
    <x v="14"/>
    <x v="620"/>
    <x v="572"/>
    <x v="1105"/>
    <x v="1123"/>
  </r>
  <r>
    <x v="504"/>
    <x v="160"/>
    <x v="0"/>
    <x v="1"/>
    <x v="5"/>
    <x v="6"/>
    <x v="5"/>
    <x v="0"/>
    <x v="0"/>
    <x v="1"/>
    <x v="3"/>
    <x v="6"/>
    <x v="5"/>
    <x v="10"/>
    <x v="20"/>
    <x v="28"/>
    <x v="18"/>
    <x v="882"/>
    <x v="787"/>
    <x v="1255"/>
    <x v="1614"/>
  </r>
  <r>
    <x v="505"/>
    <x v="140"/>
    <x v="0"/>
    <x v="1"/>
    <x v="5"/>
    <x v="6"/>
    <x v="5"/>
    <x v="0"/>
    <x v="0"/>
    <x v="0"/>
    <x v="3"/>
    <x v="6"/>
    <x v="5"/>
    <x v="10"/>
    <x v="7"/>
    <x v="28"/>
    <x v="18"/>
    <x v="829"/>
    <x v="744"/>
    <x v="1299"/>
    <x v="1504"/>
  </r>
  <r>
    <x v="506"/>
    <x v="147"/>
    <x v="0"/>
    <x v="1"/>
    <x v="5"/>
    <x v="6"/>
    <x v="5"/>
    <x v="0"/>
    <x v="0"/>
    <x v="1"/>
    <x v="0"/>
    <x v="0"/>
    <x v="3"/>
    <x v="6"/>
    <x v="110"/>
    <x v="0"/>
    <x v="0"/>
    <x v="531"/>
    <x v="431"/>
    <x v="462"/>
    <x v="1182"/>
  </r>
  <r>
    <x v="507"/>
    <x v="154"/>
    <x v="0"/>
    <x v="1"/>
    <x v="5"/>
    <x v="6"/>
    <x v="5"/>
    <x v="0"/>
    <x v="0"/>
    <x v="0"/>
    <x v="0"/>
    <x v="0"/>
    <x v="3"/>
    <x v="6"/>
    <x v="34"/>
    <x v="0"/>
    <x v="0"/>
    <x v="142"/>
    <x v="109"/>
    <x v="505"/>
    <x v="378"/>
  </r>
  <r>
    <x v="508"/>
    <x v="161"/>
    <x v="0"/>
    <x v="1"/>
    <x v="5"/>
    <x v="6"/>
    <x v="5"/>
    <x v="0"/>
    <x v="0"/>
    <x v="1"/>
    <x v="0"/>
    <x v="0"/>
    <x v="8"/>
    <x v="16"/>
    <x v="104"/>
    <x v="12"/>
    <x v="6"/>
    <x v="802"/>
    <x v="703"/>
    <x v="978"/>
    <x v="1548"/>
  </r>
  <r>
    <x v="509"/>
    <x v="141"/>
    <x v="0"/>
    <x v="1"/>
    <x v="5"/>
    <x v="6"/>
    <x v="5"/>
    <x v="0"/>
    <x v="0"/>
    <x v="0"/>
    <x v="0"/>
    <x v="0"/>
    <x v="8"/>
    <x v="16"/>
    <x v="43"/>
    <x v="12"/>
    <x v="6"/>
    <x v="602"/>
    <x v="511"/>
    <x v="1090"/>
    <x v="1228"/>
  </r>
  <r>
    <x v="510"/>
    <x v="148"/>
    <x v="0"/>
    <x v="1"/>
    <x v="5"/>
    <x v="6"/>
    <x v="5"/>
    <x v="0"/>
    <x v="0"/>
    <x v="1"/>
    <x v="0"/>
    <x v="0"/>
    <x v="9"/>
    <x v="18"/>
    <x v="106"/>
    <x v="6"/>
    <x v="4"/>
    <x v="744"/>
    <x v="657"/>
    <x v="819"/>
    <x v="1442"/>
  </r>
  <r>
    <x v="511"/>
    <x v="155"/>
    <x v="0"/>
    <x v="1"/>
    <x v="5"/>
    <x v="6"/>
    <x v="5"/>
    <x v="0"/>
    <x v="0"/>
    <x v="0"/>
    <x v="0"/>
    <x v="0"/>
    <x v="9"/>
    <x v="18"/>
    <x v="44"/>
    <x v="6"/>
    <x v="4"/>
    <x v="482"/>
    <x v="424"/>
    <x v="990"/>
    <x v="956"/>
  </r>
  <r>
    <x v="512"/>
    <x v="135"/>
    <x v="0"/>
    <x v="1"/>
    <x v="5"/>
    <x v="6"/>
    <x v="5"/>
    <x v="0"/>
    <x v="0"/>
    <x v="1"/>
    <x v="2"/>
    <x v="4"/>
    <x v="0"/>
    <x v="0"/>
    <x v="38"/>
    <x v="15"/>
    <x v="10"/>
    <x v="634"/>
    <x v="558"/>
    <x v="631"/>
    <x v="1283"/>
  </r>
  <r>
    <x v="513"/>
    <x v="142"/>
    <x v="0"/>
    <x v="1"/>
    <x v="5"/>
    <x v="6"/>
    <x v="5"/>
    <x v="0"/>
    <x v="0"/>
    <x v="0"/>
    <x v="2"/>
    <x v="4"/>
    <x v="0"/>
    <x v="0"/>
    <x v="17"/>
    <x v="15"/>
    <x v="10"/>
    <x v="388"/>
    <x v="338"/>
    <x v="867"/>
    <x v="816"/>
  </r>
  <r>
    <x v="514"/>
    <x v="149"/>
    <x v="0"/>
    <x v="1"/>
    <x v="5"/>
    <x v="6"/>
    <x v="5"/>
    <x v="0"/>
    <x v="0"/>
    <x v="1"/>
    <x v="2"/>
    <x v="4"/>
    <x v="4"/>
    <x v="8"/>
    <x v="46"/>
    <x v="9"/>
    <x v="7"/>
    <x v="584"/>
    <x v="532"/>
    <x v="556"/>
    <x v="1176"/>
  </r>
  <r>
    <x v="515"/>
    <x v="156"/>
    <x v="0"/>
    <x v="1"/>
    <x v="5"/>
    <x v="6"/>
    <x v="5"/>
    <x v="0"/>
    <x v="0"/>
    <x v="0"/>
    <x v="2"/>
    <x v="4"/>
    <x v="4"/>
    <x v="8"/>
    <x v="15"/>
    <x v="9"/>
    <x v="7"/>
    <x v="239"/>
    <x v="227"/>
    <x v="670"/>
    <x v="467"/>
  </r>
  <r>
    <x v="516"/>
    <x v="136"/>
    <x v="0"/>
    <x v="1"/>
    <x v="5"/>
    <x v="6"/>
    <x v="5"/>
    <x v="0"/>
    <x v="0"/>
    <x v="1"/>
    <x v="1"/>
    <x v="2"/>
    <x v="7"/>
    <x v="14"/>
    <x v="63"/>
    <x v="18"/>
    <x v="12"/>
    <x v="769"/>
    <x v="692"/>
    <x v="869"/>
    <x v="1451"/>
  </r>
  <r>
    <x v="517"/>
    <x v="143"/>
    <x v="0"/>
    <x v="1"/>
    <x v="5"/>
    <x v="6"/>
    <x v="5"/>
    <x v="0"/>
    <x v="0"/>
    <x v="0"/>
    <x v="1"/>
    <x v="2"/>
    <x v="7"/>
    <x v="14"/>
    <x v="20"/>
    <x v="18"/>
    <x v="12"/>
    <x v="468"/>
    <x v="436"/>
    <x v="970"/>
    <x v="868"/>
  </r>
  <r>
    <x v="518"/>
    <x v="150"/>
    <x v="0"/>
    <x v="1"/>
    <x v="5"/>
    <x v="6"/>
    <x v="5"/>
    <x v="0"/>
    <x v="0"/>
    <x v="1"/>
    <x v="1"/>
    <x v="2"/>
    <x v="6"/>
    <x v="12"/>
    <x v="61"/>
    <x v="3"/>
    <x v="2"/>
    <x v="373"/>
    <x v="314"/>
    <x v="261"/>
    <x v="871"/>
  </r>
  <r>
    <x v="519"/>
    <x v="157"/>
    <x v="0"/>
    <x v="1"/>
    <x v="5"/>
    <x v="6"/>
    <x v="5"/>
    <x v="0"/>
    <x v="0"/>
    <x v="0"/>
    <x v="1"/>
    <x v="2"/>
    <x v="6"/>
    <x v="12"/>
    <x v="22"/>
    <x v="3"/>
    <x v="2"/>
    <x v="99"/>
    <x v="85"/>
    <x v="415"/>
    <x v="240"/>
  </r>
  <r>
    <x v="520"/>
    <x v="137"/>
    <x v="0"/>
    <x v="1"/>
    <x v="5"/>
    <x v="6"/>
    <x v="5"/>
    <x v="1"/>
    <x v="1"/>
    <x v="1"/>
    <x v="3"/>
    <x v="6"/>
    <x v="1"/>
    <x v="2"/>
    <x v="12"/>
    <x v="25"/>
    <x v="16"/>
    <x v="837"/>
    <x v="746"/>
    <x v="1108"/>
    <x v="1567"/>
  </r>
  <r>
    <x v="521"/>
    <x v="144"/>
    <x v="0"/>
    <x v="1"/>
    <x v="5"/>
    <x v="6"/>
    <x v="5"/>
    <x v="1"/>
    <x v="1"/>
    <x v="0"/>
    <x v="3"/>
    <x v="6"/>
    <x v="1"/>
    <x v="2"/>
    <x v="3"/>
    <x v="25"/>
    <x v="16"/>
    <x v="697"/>
    <x v="645"/>
    <x v="1169"/>
    <x v="1241"/>
  </r>
  <r>
    <x v="522"/>
    <x v="151"/>
    <x v="0"/>
    <x v="1"/>
    <x v="5"/>
    <x v="6"/>
    <x v="5"/>
    <x v="1"/>
    <x v="1"/>
    <x v="1"/>
    <x v="3"/>
    <x v="6"/>
    <x v="2"/>
    <x v="4"/>
    <x v="12"/>
    <x v="22"/>
    <x v="14"/>
    <x v="710"/>
    <x v="652"/>
    <x v="743"/>
    <x v="1317"/>
  </r>
  <r>
    <x v="523"/>
    <x v="158"/>
    <x v="0"/>
    <x v="1"/>
    <x v="5"/>
    <x v="6"/>
    <x v="5"/>
    <x v="1"/>
    <x v="1"/>
    <x v="0"/>
    <x v="3"/>
    <x v="6"/>
    <x v="2"/>
    <x v="4"/>
    <x v="3"/>
    <x v="22"/>
    <x v="14"/>
    <x v="384"/>
    <x v="374"/>
    <x v="859"/>
    <x v="674"/>
  </r>
  <r>
    <x v="524"/>
    <x v="138"/>
    <x v="0"/>
    <x v="1"/>
    <x v="5"/>
    <x v="6"/>
    <x v="5"/>
    <x v="1"/>
    <x v="1"/>
    <x v="1"/>
    <x v="3"/>
    <x v="6"/>
    <x v="5"/>
    <x v="10"/>
    <x v="9"/>
    <x v="28"/>
    <x v="18"/>
    <x v="842"/>
    <x v="752"/>
    <x v="1128"/>
    <x v="1558"/>
  </r>
  <r>
    <x v="525"/>
    <x v="145"/>
    <x v="0"/>
    <x v="1"/>
    <x v="5"/>
    <x v="6"/>
    <x v="5"/>
    <x v="1"/>
    <x v="1"/>
    <x v="0"/>
    <x v="3"/>
    <x v="6"/>
    <x v="5"/>
    <x v="10"/>
    <x v="3"/>
    <x v="28"/>
    <x v="18"/>
    <x v="760"/>
    <x v="707"/>
    <x v="1227"/>
    <x v="1287"/>
  </r>
  <r>
    <x v="526"/>
    <x v="152"/>
    <x v="0"/>
    <x v="1"/>
    <x v="5"/>
    <x v="6"/>
    <x v="5"/>
    <x v="1"/>
    <x v="1"/>
    <x v="1"/>
    <x v="0"/>
    <x v="0"/>
    <x v="3"/>
    <x v="6"/>
    <x v="68"/>
    <x v="0"/>
    <x v="0"/>
    <x v="344"/>
    <x v="268"/>
    <x v="225"/>
    <x v="836"/>
  </r>
  <r>
    <x v="527"/>
    <x v="159"/>
    <x v="0"/>
    <x v="1"/>
    <x v="5"/>
    <x v="6"/>
    <x v="5"/>
    <x v="1"/>
    <x v="1"/>
    <x v="0"/>
    <x v="0"/>
    <x v="0"/>
    <x v="3"/>
    <x v="6"/>
    <x v="22"/>
    <x v="0"/>
    <x v="0"/>
    <x v="63"/>
    <x v="52"/>
    <x v="310"/>
    <x v="182"/>
  </r>
  <r>
    <x v="528"/>
    <x v="139"/>
    <x v="0"/>
    <x v="1"/>
    <x v="5"/>
    <x v="6"/>
    <x v="5"/>
    <x v="1"/>
    <x v="1"/>
    <x v="1"/>
    <x v="0"/>
    <x v="0"/>
    <x v="8"/>
    <x v="16"/>
    <x v="56"/>
    <x v="12"/>
    <x v="6"/>
    <x v="670"/>
    <x v="576"/>
    <x v="684"/>
    <x v="1371"/>
  </r>
  <r>
    <x v="529"/>
    <x v="146"/>
    <x v="0"/>
    <x v="1"/>
    <x v="5"/>
    <x v="6"/>
    <x v="5"/>
    <x v="1"/>
    <x v="1"/>
    <x v="0"/>
    <x v="0"/>
    <x v="0"/>
    <x v="8"/>
    <x v="16"/>
    <x v="18"/>
    <x v="12"/>
    <x v="6"/>
    <x v="334"/>
    <x v="274"/>
    <x v="798"/>
    <x v="735"/>
  </r>
  <r>
    <x v="530"/>
    <x v="153"/>
    <x v="0"/>
    <x v="1"/>
    <x v="5"/>
    <x v="6"/>
    <x v="5"/>
    <x v="1"/>
    <x v="1"/>
    <x v="1"/>
    <x v="0"/>
    <x v="0"/>
    <x v="9"/>
    <x v="18"/>
    <x v="68"/>
    <x v="6"/>
    <x v="4"/>
    <x v="622"/>
    <x v="551"/>
    <x v="609"/>
    <x v="1247"/>
  </r>
  <r>
    <x v="531"/>
    <x v="160"/>
    <x v="0"/>
    <x v="1"/>
    <x v="5"/>
    <x v="6"/>
    <x v="5"/>
    <x v="1"/>
    <x v="1"/>
    <x v="0"/>
    <x v="0"/>
    <x v="0"/>
    <x v="9"/>
    <x v="18"/>
    <x v="21"/>
    <x v="6"/>
    <x v="4"/>
    <x v="254"/>
    <x v="225"/>
    <x v="681"/>
    <x v="520"/>
  </r>
  <r>
    <x v="532"/>
    <x v="140"/>
    <x v="0"/>
    <x v="1"/>
    <x v="5"/>
    <x v="6"/>
    <x v="5"/>
    <x v="1"/>
    <x v="1"/>
    <x v="1"/>
    <x v="2"/>
    <x v="4"/>
    <x v="0"/>
    <x v="0"/>
    <x v="21"/>
    <x v="15"/>
    <x v="10"/>
    <x v="453"/>
    <x v="399"/>
    <x v="365"/>
    <x v="982"/>
  </r>
  <r>
    <x v="533"/>
    <x v="147"/>
    <x v="0"/>
    <x v="1"/>
    <x v="5"/>
    <x v="6"/>
    <x v="5"/>
    <x v="1"/>
    <x v="1"/>
    <x v="0"/>
    <x v="2"/>
    <x v="4"/>
    <x v="0"/>
    <x v="0"/>
    <x v="11"/>
    <x v="15"/>
    <x v="10"/>
    <x v="262"/>
    <x v="230"/>
    <x v="701"/>
    <x v="566"/>
  </r>
  <r>
    <x v="534"/>
    <x v="154"/>
    <x v="0"/>
    <x v="1"/>
    <x v="5"/>
    <x v="6"/>
    <x v="5"/>
    <x v="1"/>
    <x v="1"/>
    <x v="1"/>
    <x v="2"/>
    <x v="4"/>
    <x v="4"/>
    <x v="8"/>
    <x v="25"/>
    <x v="9"/>
    <x v="7"/>
    <x v="389"/>
    <x v="358"/>
    <x v="282"/>
    <x v="815"/>
  </r>
  <r>
    <x v="535"/>
    <x v="161"/>
    <x v="0"/>
    <x v="1"/>
    <x v="5"/>
    <x v="6"/>
    <x v="5"/>
    <x v="1"/>
    <x v="1"/>
    <x v="0"/>
    <x v="2"/>
    <x v="4"/>
    <x v="4"/>
    <x v="8"/>
    <x v="9"/>
    <x v="9"/>
    <x v="7"/>
    <x v="121"/>
    <x v="124"/>
    <x v="467"/>
    <x v="229"/>
  </r>
  <r>
    <x v="536"/>
    <x v="141"/>
    <x v="0"/>
    <x v="1"/>
    <x v="5"/>
    <x v="6"/>
    <x v="5"/>
    <x v="1"/>
    <x v="1"/>
    <x v="1"/>
    <x v="1"/>
    <x v="2"/>
    <x v="7"/>
    <x v="14"/>
    <x v="34"/>
    <x v="18"/>
    <x v="12"/>
    <x v="627"/>
    <x v="574"/>
    <x v="618"/>
    <x v="1221"/>
  </r>
  <r>
    <x v="537"/>
    <x v="148"/>
    <x v="0"/>
    <x v="1"/>
    <x v="5"/>
    <x v="6"/>
    <x v="5"/>
    <x v="1"/>
    <x v="1"/>
    <x v="0"/>
    <x v="1"/>
    <x v="2"/>
    <x v="7"/>
    <x v="14"/>
    <x v="12"/>
    <x v="18"/>
    <x v="12"/>
    <x v="320"/>
    <x v="298"/>
    <x v="769"/>
    <x v="572"/>
  </r>
  <r>
    <x v="538"/>
    <x v="155"/>
    <x v="0"/>
    <x v="1"/>
    <x v="5"/>
    <x v="6"/>
    <x v="5"/>
    <x v="1"/>
    <x v="1"/>
    <x v="1"/>
    <x v="1"/>
    <x v="2"/>
    <x v="6"/>
    <x v="12"/>
    <x v="38"/>
    <x v="3"/>
    <x v="2"/>
    <x v="230"/>
    <x v="195"/>
    <x v="137"/>
    <x v="574"/>
  </r>
  <r>
    <x v="539"/>
    <x v="135"/>
    <x v="0"/>
    <x v="1"/>
    <x v="5"/>
    <x v="6"/>
    <x v="5"/>
    <x v="1"/>
    <x v="1"/>
    <x v="0"/>
    <x v="1"/>
    <x v="2"/>
    <x v="6"/>
    <x v="12"/>
    <x v="13"/>
    <x v="3"/>
    <x v="2"/>
    <x v="37"/>
    <x v="36"/>
    <x v="214"/>
    <x v="86"/>
  </r>
  <r>
    <x v="540"/>
    <x v="142"/>
    <x v="0"/>
    <x v="1"/>
    <x v="5"/>
    <x v="6"/>
    <x v="5"/>
    <x v="3"/>
    <x v="3"/>
    <x v="1"/>
    <x v="3"/>
    <x v="6"/>
    <x v="1"/>
    <x v="2"/>
    <x v="6"/>
    <x v="25"/>
    <x v="16"/>
    <x v="789"/>
    <x v="711"/>
    <x v="933"/>
    <x v="1463"/>
  </r>
  <r>
    <x v="541"/>
    <x v="149"/>
    <x v="0"/>
    <x v="1"/>
    <x v="5"/>
    <x v="6"/>
    <x v="5"/>
    <x v="3"/>
    <x v="3"/>
    <x v="0"/>
    <x v="3"/>
    <x v="6"/>
    <x v="1"/>
    <x v="2"/>
    <x v="1"/>
    <x v="25"/>
    <x v="16"/>
    <x v="548"/>
    <x v="519"/>
    <x v="1050"/>
    <x v="937"/>
  </r>
  <r>
    <x v="542"/>
    <x v="156"/>
    <x v="0"/>
    <x v="1"/>
    <x v="5"/>
    <x v="6"/>
    <x v="5"/>
    <x v="3"/>
    <x v="3"/>
    <x v="1"/>
    <x v="3"/>
    <x v="6"/>
    <x v="2"/>
    <x v="4"/>
    <x v="8"/>
    <x v="22"/>
    <x v="14"/>
    <x v="620"/>
    <x v="572"/>
    <x v="605"/>
    <x v="1173"/>
  </r>
  <r>
    <x v="543"/>
    <x v="136"/>
    <x v="0"/>
    <x v="1"/>
    <x v="5"/>
    <x v="6"/>
    <x v="5"/>
    <x v="3"/>
    <x v="3"/>
    <x v="0"/>
    <x v="3"/>
    <x v="6"/>
    <x v="2"/>
    <x v="4"/>
    <x v="2"/>
    <x v="22"/>
    <x v="14"/>
    <x v="316"/>
    <x v="304"/>
    <x v="762"/>
    <x v="531"/>
  </r>
  <r>
    <x v="544"/>
    <x v="143"/>
    <x v="0"/>
    <x v="1"/>
    <x v="5"/>
    <x v="6"/>
    <x v="5"/>
    <x v="3"/>
    <x v="3"/>
    <x v="1"/>
    <x v="3"/>
    <x v="6"/>
    <x v="5"/>
    <x v="10"/>
    <x v="8"/>
    <x v="28"/>
    <x v="18"/>
    <x v="835"/>
    <x v="748"/>
    <x v="1105"/>
    <x v="1542"/>
  </r>
  <r>
    <x v="545"/>
    <x v="150"/>
    <x v="0"/>
    <x v="1"/>
    <x v="5"/>
    <x v="6"/>
    <x v="5"/>
    <x v="3"/>
    <x v="3"/>
    <x v="0"/>
    <x v="3"/>
    <x v="6"/>
    <x v="5"/>
    <x v="10"/>
    <x v="2"/>
    <x v="28"/>
    <x v="18"/>
    <x v="721"/>
    <x v="673"/>
    <x v="1187"/>
    <x v="1195"/>
  </r>
  <r>
    <x v="546"/>
    <x v="157"/>
    <x v="0"/>
    <x v="1"/>
    <x v="5"/>
    <x v="6"/>
    <x v="5"/>
    <x v="3"/>
    <x v="3"/>
    <x v="1"/>
    <x v="0"/>
    <x v="0"/>
    <x v="3"/>
    <x v="6"/>
    <x v="42"/>
    <x v="0"/>
    <x v="0"/>
    <x v="195"/>
    <x v="150"/>
    <x v="111"/>
    <x v="534"/>
  </r>
  <r>
    <x v="547"/>
    <x v="137"/>
    <x v="0"/>
    <x v="1"/>
    <x v="5"/>
    <x v="6"/>
    <x v="5"/>
    <x v="3"/>
    <x v="3"/>
    <x v="0"/>
    <x v="0"/>
    <x v="0"/>
    <x v="3"/>
    <x v="6"/>
    <x v="15"/>
    <x v="0"/>
    <x v="0"/>
    <x v="27"/>
    <x v="24"/>
    <x v="194"/>
    <x v="77"/>
  </r>
  <r>
    <x v="548"/>
    <x v="144"/>
    <x v="0"/>
    <x v="1"/>
    <x v="5"/>
    <x v="6"/>
    <x v="5"/>
    <x v="3"/>
    <x v="3"/>
    <x v="1"/>
    <x v="0"/>
    <x v="0"/>
    <x v="8"/>
    <x v="16"/>
    <x v="49"/>
    <x v="12"/>
    <x v="6"/>
    <x v="637"/>
    <x v="547"/>
    <x v="638"/>
    <x v="1309"/>
  </r>
  <r>
    <x v="549"/>
    <x v="151"/>
    <x v="0"/>
    <x v="1"/>
    <x v="5"/>
    <x v="6"/>
    <x v="5"/>
    <x v="3"/>
    <x v="3"/>
    <x v="0"/>
    <x v="0"/>
    <x v="0"/>
    <x v="8"/>
    <x v="16"/>
    <x v="17"/>
    <x v="12"/>
    <x v="6"/>
    <x v="317"/>
    <x v="256"/>
    <x v="764"/>
    <x v="704"/>
  </r>
  <r>
    <x v="550"/>
    <x v="158"/>
    <x v="0"/>
    <x v="1"/>
    <x v="5"/>
    <x v="6"/>
    <x v="5"/>
    <x v="3"/>
    <x v="3"/>
    <x v="1"/>
    <x v="0"/>
    <x v="0"/>
    <x v="9"/>
    <x v="18"/>
    <x v="39"/>
    <x v="6"/>
    <x v="4"/>
    <x v="438"/>
    <x v="397"/>
    <x v="345"/>
    <x v="930"/>
  </r>
  <r>
    <x v="551"/>
    <x v="138"/>
    <x v="0"/>
    <x v="1"/>
    <x v="5"/>
    <x v="6"/>
    <x v="5"/>
    <x v="3"/>
    <x v="3"/>
    <x v="0"/>
    <x v="0"/>
    <x v="0"/>
    <x v="9"/>
    <x v="18"/>
    <x v="14"/>
    <x v="6"/>
    <x v="4"/>
    <x v="150"/>
    <x v="139"/>
    <x v="521"/>
    <x v="301"/>
  </r>
  <r>
    <x v="552"/>
    <x v="145"/>
    <x v="0"/>
    <x v="1"/>
    <x v="5"/>
    <x v="6"/>
    <x v="5"/>
    <x v="3"/>
    <x v="3"/>
    <x v="1"/>
    <x v="2"/>
    <x v="4"/>
    <x v="0"/>
    <x v="0"/>
    <x v="20"/>
    <x v="15"/>
    <x v="10"/>
    <x v="432"/>
    <x v="384"/>
    <x v="342"/>
    <x v="950"/>
  </r>
  <r>
    <x v="553"/>
    <x v="152"/>
    <x v="0"/>
    <x v="1"/>
    <x v="5"/>
    <x v="6"/>
    <x v="5"/>
    <x v="3"/>
    <x v="3"/>
    <x v="0"/>
    <x v="2"/>
    <x v="4"/>
    <x v="0"/>
    <x v="0"/>
    <x v="4"/>
    <x v="15"/>
    <x v="10"/>
    <x v="76"/>
    <x v="70"/>
    <x v="342"/>
    <x v="163"/>
  </r>
  <r>
    <x v="554"/>
    <x v="159"/>
    <x v="0"/>
    <x v="1"/>
    <x v="5"/>
    <x v="6"/>
    <x v="5"/>
    <x v="3"/>
    <x v="3"/>
    <x v="1"/>
    <x v="2"/>
    <x v="4"/>
    <x v="4"/>
    <x v="8"/>
    <x v="21"/>
    <x v="9"/>
    <x v="7"/>
    <x v="343"/>
    <x v="309"/>
    <x v="224"/>
    <x v="715"/>
  </r>
  <r>
    <x v="555"/>
    <x v="139"/>
    <x v="0"/>
    <x v="1"/>
    <x v="5"/>
    <x v="6"/>
    <x v="5"/>
    <x v="3"/>
    <x v="3"/>
    <x v="0"/>
    <x v="2"/>
    <x v="4"/>
    <x v="4"/>
    <x v="8"/>
    <x v="6"/>
    <x v="9"/>
    <x v="7"/>
    <x v="65"/>
    <x v="71"/>
    <x v="315"/>
    <x v="113"/>
  </r>
  <r>
    <x v="556"/>
    <x v="146"/>
    <x v="0"/>
    <x v="1"/>
    <x v="5"/>
    <x v="6"/>
    <x v="5"/>
    <x v="3"/>
    <x v="3"/>
    <x v="1"/>
    <x v="1"/>
    <x v="2"/>
    <x v="7"/>
    <x v="14"/>
    <x v="21"/>
    <x v="18"/>
    <x v="12"/>
    <x v="482"/>
    <x v="451"/>
    <x v="396"/>
    <x v="945"/>
  </r>
  <r>
    <x v="557"/>
    <x v="153"/>
    <x v="0"/>
    <x v="1"/>
    <x v="5"/>
    <x v="6"/>
    <x v="5"/>
    <x v="3"/>
    <x v="3"/>
    <x v="0"/>
    <x v="1"/>
    <x v="2"/>
    <x v="7"/>
    <x v="14"/>
    <x v="8"/>
    <x v="18"/>
    <x v="12"/>
    <x v="207"/>
    <x v="206"/>
    <x v="626"/>
    <x v="373"/>
  </r>
  <r>
    <x v="558"/>
    <x v="160"/>
    <x v="0"/>
    <x v="1"/>
    <x v="5"/>
    <x v="6"/>
    <x v="5"/>
    <x v="3"/>
    <x v="3"/>
    <x v="1"/>
    <x v="1"/>
    <x v="2"/>
    <x v="6"/>
    <x v="12"/>
    <x v="24"/>
    <x v="3"/>
    <x v="2"/>
    <x v="118"/>
    <x v="102"/>
    <x v="55"/>
    <x v="318"/>
  </r>
  <r>
    <x v="559"/>
    <x v="140"/>
    <x v="0"/>
    <x v="1"/>
    <x v="5"/>
    <x v="6"/>
    <x v="5"/>
    <x v="3"/>
    <x v="3"/>
    <x v="0"/>
    <x v="1"/>
    <x v="2"/>
    <x v="6"/>
    <x v="12"/>
    <x v="8"/>
    <x v="3"/>
    <x v="2"/>
    <x v="10"/>
    <x v="11"/>
    <x v="118"/>
    <x v="25"/>
  </r>
  <r>
    <x v="560"/>
    <x v="147"/>
    <x v="0"/>
    <x v="1"/>
    <x v="5"/>
    <x v="6"/>
    <x v="5"/>
    <x v="2"/>
    <x v="2"/>
    <x v="1"/>
    <x v="3"/>
    <x v="6"/>
    <x v="1"/>
    <x v="2"/>
    <x v="4"/>
    <x v="25"/>
    <x v="16"/>
    <x v="739"/>
    <x v="671"/>
    <x v="809"/>
    <x v="1364"/>
  </r>
  <r>
    <x v="561"/>
    <x v="154"/>
    <x v="0"/>
    <x v="1"/>
    <x v="5"/>
    <x v="6"/>
    <x v="5"/>
    <x v="2"/>
    <x v="2"/>
    <x v="0"/>
    <x v="3"/>
    <x v="6"/>
    <x v="1"/>
    <x v="2"/>
    <x v="1"/>
    <x v="25"/>
    <x v="16"/>
    <x v="548"/>
    <x v="519"/>
    <x v="1050"/>
    <x v="937"/>
  </r>
  <r>
    <x v="562"/>
    <x v="161"/>
    <x v="0"/>
    <x v="1"/>
    <x v="5"/>
    <x v="6"/>
    <x v="5"/>
    <x v="2"/>
    <x v="2"/>
    <x v="1"/>
    <x v="3"/>
    <x v="6"/>
    <x v="2"/>
    <x v="4"/>
    <x v="5"/>
    <x v="22"/>
    <x v="14"/>
    <x v="500"/>
    <x v="476"/>
    <x v="426"/>
    <x v="943"/>
  </r>
  <r>
    <x v="563"/>
    <x v="141"/>
    <x v="0"/>
    <x v="1"/>
    <x v="5"/>
    <x v="6"/>
    <x v="5"/>
    <x v="2"/>
    <x v="2"/>
    <x v="0"/>
    <x v="3"/>
    <x v="6"/>
    <x v="2"/>
    <x v="4"/>
    <x v="1"/>
    <x v="22"/>
    <x v="14"/>
    <x v="220"/>
    <x v="229"/>
    <x v="648"/>
    <x v="353"/>
  </r>
  <r>
    <x v="564"/>
    <x v="148"/>
    <x v="0"/>
    <x v="1"/>
    <x v="5"/>
    <x v="6"/>
    <x v="5"/>
    <x v="2"/>
    <x v="2"/>
    <x v="1"/>
    <x v="3"/>
    <x v="6"/>
    <x v="5"/>
    <x v="10"/>
    <x v="6"/>
    <x v="28"/>
    <x v="18"/>
    <x v="818"/>
    <x v="738"/>
    <x v="1050"/>
    <x v="1502"/>
  </r>
  <r>
    <x v="565"/>
    <x v="155"/>
    <x v="0"/>
    <x v="1"/>
    <x v="5"/>
    <x v="6"/>
    <x v="5"/>
    <x v="2"/>
    <x v="2"/>
    <x v="0"/>
    <x v="3"/>
    <x v="6"/>
    <x v="5"/>
    <x v="10"/>
    <x v="1"/>
    <x v="28"/>
    <x v="18"/>
    <x v="644"/>
    <x v="623"/>
    <x v="1128"/>
    <x v="1018"/>
  </r>
  <r>
    <x v="566"/>
    <x v="135"/>
    <x v="0"/>
    <x v="1"/>
    <x v="5"/>
    <x v="6"/>
    <x v="5"/>
    <x v="2"/>
    <x v="2"/>
    <x v="1"/>
    <x v="0"/>
    <x v="0"/>
    <x v="3"/>
    <x v="6"/>
    <x v="30"/>
    <x v="0"/>
    <x v="0"/>
    <x v="114"/>
    <x v="87"/>
    <x v="52"/>
    <x v="335"/>
  </r>
  <r>
    <x v="567"/>
    <x v="142"/>
    <x v="0"/>
    <x v="1"/>
    <x v="5"/>
    <x v="6"/>
    <x v="5"/>
    <x v="2"/>
    <x v="2"/>
    <x v="0"/>
    <x v="0"/>
    <x v="0"/>
    <x v="3"/>
    <x v="6"/>
    <x v="9"/>
    <x v="0"/>
    <x v="0"/>
    <x v="6"/>
    <x v="7"/>
    <x v="93"/>
    <x v="23"/>
  </r>
  <r>
    <x v="568"/>
    <x v="149"/>
    <x v="0"/>
    <x v="1"/>
    <x v="5"/>
    <x v="6"/>
    <x v="5"/>
    <x v="2"/>
    <x v="2"/>
    <x v="1"/>
    <x v="0"/>
    <x v="0"/>
    <x v="8"/>
    <x v="16"/>
    <x v="32"/>
    <x v="12"/>
    <x v="6"/>
    <x v="510"/>
    <x v="426"/>
    <x v="435"/>
    <x v="1126"/>
  </r>
  <r>
    <x v="569"/>
    <x v="156"/>
    <x v="0"/>
    <x v="1"/>
    <x v="5"/>
    <x v="6"/>
    <x v="5"/>
    <x v="2"/>
    <x v="2"/>
    <x v="0"/>
    <x v="0"/>
    <x v="0"/>
    <x v="8"/>
    <x v="16"/>
    <x v="9"/>
    <x v="12"/>
    <x v="6"/>
    <x v="152"/>
    <x v="123"/>
    <x v="524"/>
    <x v="363"/>
  </r>
  <r>
    <x v="570"/>
    <x v="136"/>
    <x v="0"/>
    <x v="1"/>
    <x v="5"/>
    <x v="6"/>
    <x v="5"/>
    <x v="2"/>
    <x v="2"/>
    <x v="1"/>
    <x v="0"/>
    <x v="0"/>
    <x v="9"/>
    <x v="18"/>
    <x v="29"/>
    <x v="6"/>
    <x v="4"/>
    <x v="350"/>
    <x v="308"/>
    <x v="233"/>
    <x v="763"/>
  </r>
  <r>
    <x v="571"/>
    <x v="143"/>
    <x v="0"/>
    <x v="1"/>
    <x v="5"/>
    <x v="6"/>
    <x v="5"/>
    <x v="2"/>
    <x v="2"/>
    <x v="0"/>
    <x v="0"/>
    <x v="0"/>
    <x v="9"/>
    <x v="18"/>
    <x v="9"/>
    <x v="6"/>
    <x v="4"/>
    <x v="73"/>
    <x v="74"/>
    <x v="340"/>
    <x v="141"/>
  </r>
  <r>
    <x v="572"/>
    <x v="150"/>
    <x v="0"/>
    <x v="1"/>
    <x v="5"/>
    <x v="6"/>
    <x v="5"/>
    <x v="2"/>
    <x v="2"/>
    <x v="1"/>
    <x v="2"/>
    <x v="4"/>
    <x v="0"/>
    <x v="0"/>
    <x v="14"/>
    <x v="15"/>
    <x v="10"/>
    <x v="337"/>
    <x v="287"/>
    <x v="213"/>
    <x v="752"/>
  </r>
  <r>
    <x v="573"/>
    <x v="157"/>
    <x v="0"/>
    <x v="1"/>
    <x v="5"/>
    <x v="6"/>
    <x v="5"/>
    <x v="2"/>
    <x v="2"/>
    <x v="0"/>
    <x v="2"/>
    <x v="4"/>
    <x v="0"/>
    <x v="0"/>
    <x v="4"/>
    <x v="15"/>
    <x v="10"/>
    <x v="76"/>
    <x v="70"/>
    <x v="342"/>
    <x v="163"/>
  </r>
  <r>
    <x v="574"/>
    <x v="137"/>
    <x v="0"/>
    <x v="1"/>
    <x v="5"/>
    <x v="6"/>
    <x v="5"/>
    <x v="2"/>
    <x v="2"/>
    <x v="1"/>
    <x v="2"/>
    <x v="4"/>
    <x v="4"/>
    <x v="8"/>
    <x v="15"/>
    <x v="9"/>
    <x v="7"/>
    <x v="239"/>
    <x v="227"/>
    <x v="143"/>
    <x v="512"/>
  </r>
  <r>
    <x v="575"/>
    <x v="144"/>
    <x v="0"/>
    <x v="1"/>
    <x v="5"/>
    <x v="6"/>
    <x v="5"/>
    <x v="2"/>
    <x v="2"/>
    <x v="0"/>
    <x v="2"/>
    <x v="4"/>
    <x v="4"/>
    <x v="8"/>
    <x v="4"/>
    <x v="9"/>
    <x v="7"/>
    <x v="34"/>
    <x v="41"/>
    <x v="209"/>
    <x v="54"/>
  </r>
  <r>
    <x v="576"/>
    <x v="151"/>
    <x v="0"/>
    <x v="1"/>
    <x v="5"/>
    <x v="6"/>
    <x v="5"/>
    <x v="2"/>
    <x v="2"/>
    <x v="1"/>
    <x v="1"/>
    <x v="2"/>
    <x v="7"/>
    <x v="14"/>
    <x v="20"/>
    <x v="18"/>
    <x v="12"/>
    <x v="468"/>
    <x v="436"/>
    <x v="380"/>
    <x v="915"/>
  </r>
  <r>
    <x v="577"/>
    <x v="158"/>
    <x v="0"/>
    <x v="1"/>
    <x v="5"/>
    <x v="6"/>
    <x v="5"/>
    <x v="2"/>
    <x v="2"/>
    <x v="0"/>
    <x v="1"/>
    <x v="2"/>
    <x v="7"/>
    <x v="14"/>
    <x v="6"/>
    <x v="18"/>
    <x v="12"/>
    <x v="150"/>
    <x v="157"/>
    <x v="521"/>
    <x v="247"/>
  </r>
  <r>
    <x v="578"/>
    <x v="138"/>
    <x v="0"/>
    <x v="1"/>
    <x v="5"/>
    <x v="6"/>
    <x v="5"/>
    <x v="2"/>
    <x v="2"/>
    <x v="1"/>
    <x v="1"/>
    <x v="2"/>
    <x v="6"/>
    <x v="12"/>
    <x v="16"/>
    <x v="3"/>
    <x v="2"/>
    <x v="54"/>
    <x v="51"/>
    <x v="14"/>
    <x v="156"/>
  </r>
  <r>
    <x v="579"/>
    <x v="145"/>
    <x v="0"/>
    <x v="1"/>
    <x v="5"/>
    <x v="6"/>
    <x v="5"/>
    <x v="2"/>
    <x v="2"/>
    <x v="0"/>
    <x v="1"/>
    <x v="2"/>
    <x v="6"/>
    <x v="12"/>
    <x v="5"/>
    <x v="3"/>
    <x v="2"/>
    <x v="3"/>
    <x v="4"/>
    <x v="53"/>
    <x v="6"/>
  </r>
  <r>
    <x v="580"/>
    <x v="152"/>
    <x v="0"/>
    <x v="1"/>
    <x v="5"/>
    <x v="6"/>
    <x v="5"/>
    <x v="4"/>
    <x v="4"/>
    <x v="1"/>
    <x v="3"/>
    <x v="6"/>
    <x v="1"/>
    <x v="2"/>
    <x v="5"/>
    <x v="25"/>
    <x v="16"/>
    <x v="768"/>
    <x v="698"/>
    <x v="868"/>
    <x v="1422"/>
  </r>
  <r>
    <x v="581"/>
    <x v="159"/>
    <x v="0"/>
    <x v="1"/>
    <x v="5"/>
    <x v="6"/>
    <x v="5"/>
    <x v="4"/>
    <x v="4"/>
    <x v="0"/>
    <x v="3"/>
    <x v="6"/>
    <x v="1"/>
    <x v="2"/>
    <x v="1"/>
    <x v="25"/>
    <x v="16"/>
    <x v="548"/>
    <x v="519"/>
    <x v="1050"/>
    <x v="937"/>
  </r>
  <r>
    <x v="582"/>
    <x v="139"/>
    <x v="0"/>
    <x v="1"/>
    <x v="5"/>
    <x v="6"/>
    <x v="5"/>
    <x v="4"/>
    <x v="4"/>
    <x v="1"/>
    <x v="3"/>
    <x v="6"/>
    <x v="2"/>
    <x v="4"/>
    <x v="4"/>
    <x v="22"/>
    <x v="14"/>
    <x v="445"/>
    <x v="429"/>
    <x v="354"/>
    <x v="854"/>
  </r>
  <r>
    <x v="583"/>
    <x v="146"/>
    <x v="0"/>
    <x v="1"/>
    <x v="5"/>
    <x v="6"/>
    <x v="5"/>
    <x v="4"/>
    <x v="4"/>
    <x v="0"/>
    <x v="3"/>
    <x v="6"/>
    <x v="2"/>
    <x v="4"/>
    <x v="1"/>
    <x v="22"/>
    <x v="14"/>
    <x v="220"/>
    <x v="229"/>
    <x v="648"/>
    <x v="353"/>
  </r>
  <r>
    <x v="584"/>
    <x v="153"/>
    <x v="0"/>
    <x v="1"/>
    <x v="5"/>
    <x v="6"/>
    <x v="5"/>
    <x v="4"/>
    <x v="4"/>
    <x v="1"/>
    <x v="3"/>
    <x v="6"/>
    <x v="5"/>
    <x v="10"/>
    <x v="6"/>
    <x v="28"/>
    <x v="18"/>
    <x v="818"/>
    <x v="738"/>
    <x v="1050"/>
    <x v="1502"/>
  </r>
  <r>
    <x v="585"/>
    <x v="160"/>
    <x v="0"/>
    <x v="1"/>
    <x v="5"/>
    <x v="6"/>
    <x v="5"/>
    <x v="4"/>
    <x v="4"/>
    <x v="0"/>
    <x v="3"/>
    <x v="6"/>
    <x v="5"/>
    <x v="10"/>
    <x v="0"/>
    <x v="28"/>
    <x v="18"/>
    <x v="517"/>
    <x v="521"/>
    <x v="1024"/>
    <x v="759"/>
  </r>
  <r>
    <x v="586"/>
    <x v="140"/>
    <x v="0"/>
    <x v="1"/>
    <x v="5"/>
    <x v="6"/>
    <x v="5"/>
    <x v="4"/>
    <x v="4"/>
    <x v="1"/>
    <x v="0"/>
    <x v="0"/>
    <x v="3"/>
    <x v="6"/>
    <x v="33"/>
    <x v="0"/>
    <x v="0"/>
    <x v="136"/>
    <x v="103"/>
    <x v="65"/>
    <x v="397"/>
  </r>
  <r>
    <x v="587"/>
    <x v="147"/>
    <x v="0"/>
    <x v="1"/>
    <x v="5"/>
    <x v="6"/>
    <x v="5"/>
    <x v="4"/>
    <x v="4"/>
    <x v="0"/>
    <x v="0"/>
    <x v="0"/>
    <x v="3"/>
    <x v="6"/>
    <x v="9"/>
    <x v="0"/>
    <x v="0"/>
    <x v="6"/>
    <x v="7"/>
    <x v="93"/>
    <x v="23"/>
  </r>
  <r>
    <x v="588"/>
    <x v="154"/>
    <x v="0"/>
    <x v="1"/>
    <x v="5"/>
    <x v="6"/>
    <x v="5"/>
    <x v="4"/>
    <x v="4"/>
    <x v="1"/>
    <x v="0"/>
    <x v="0"/>
    <x v="8"/>
    <x v="16"/>
    <x v="29"/>
    <x v="12"/>
    <x v="6"/>
    <x v="479"/>
    <x v="403"/>
    <x v="392"/>
    <x v="1067"/>
  </r>
  <r>
    <x v="589"/>
    <x v="161"/>
    <x v="0"/>
    <x v="1"/>
    <x v="5"/>
    <x v="6"/>
    <x v="5"/>
    <x v="4"/>
    <x v="4"/>
    <x v="0"/>
    <x v="0"/>
    <x v="0"/>
    <x v="8"/>
    <x v="16"/>
    <x v="12"/>
    <x v="12"/>
    <x v="6"/>
    <x v="215"/>
    <x v="177"/>
    <x v="640"/>
    <x v="499"/>
  </r>
  <r>
    <x v="590"/>
    <x v="141"/>
    <x v="0"/>
    <x v="1"/>
    <x v="5"/>
    <x v="6"/>
    <x v="5"/>
    <x v="4"/>
    <x v="4"/>
    <x v="1"/>
    <x v="0"/>
    <x v="0"/>
    <x v="9"/>
    <x v="18"/>
    <x v="30"/>
    <x v="6"/>
    <x v="4"/>
    <x v="358"/>
    <x v="316"/>
    <x v="239"/>
    <x v="783"/>
  </r>
  <r>
    <x v="591"/>
    <x v="148"/>
    <x v="0"/>
    <x v="1"/>
    <x v="5"/>
    <x v="6"/>
    <x v="5"/>
    <x v="4"/>
    <x v="4"/>
    <x v="0"/>
    <x v="0"/>
    <x v="0"/>
    <x v="9"/>
    <x v="18"/>
    <x v="9"/>
    <x v="6"/>
    <x v="4"/>
    <x v="73"/>
    <x v="74"/>
    <x v="340"/>
    <x v="141"/>
  </r>
  <r>
    <x v="592"/>
    <x v="155"/>
    <x v="0"/>
    <x v="1"/>
    <x v="5"/>
    <x v="6"/>
    <x v="5"/>
    <x v="4"/>
    <x v="4"/>
    <x v="1"/>
    <x v="2"/>
    <x v="4"/>
    <x v="0"/>
    <x v="0"/>
    <x v="13"/>
    <x v="15"/>
    <x v="10"/>
    <x v="316"/>
    <x v="271"/>
    <x v="201"/>
    <x v="716"/>
  </r>
  <r>
    <x v="593"/>
    <x v="135"/>
    <x v="0"/>
    <x v="1"/>
    <x v="5"/>
    <x v="6"/>
    <x v="5"/>
    <x v="4"/>
    <x v="4"/>
    <x v="0"/>
    <x v="2"/>
    <x v="4"/>
    <x v="0"/>
    <x v="0"/>
    <x v="4"/>
    <x v="15"/>
    <x v="10"/>
    <x v="76"/>
    <x v="70"/>
    <x v="342"/>
    <x v="163"/>
  </r>
  <r>
    <x v="594"/>
    <x v="142"/>
    <x v="0"/>
    <x v="1"/>
    <x v="5"/>
    <x v="6"/>
    <x v="5"/>
    <x v="4"/>
    <x v="4"/>
    <x v="1"/>
    <x v="2"/>
    <x v="4"/>
    <x v="4"/>
    <x v="8"/>
    <x v="12"/>
    <x v="9"/>
    <x v="7"/>
    <x v="183"/>
    <x v="179"/>
    <x v="101"/>
    <x v="400"/>
  </r>
  <r>
    <x v="595"/>
    <x v="149"/>
    <x v="0"/>
    <x v="1"/>
    <x v="5"/>
    <x v="6"/>
    <x v="5"/>
    <x v="4"/>
    <x v="4"/>
    <x v="0"/>
    <x v="2"/>
    <x v="4"/>
    <x v="4"/>
    <x v="8"/>
    <x v="4"/>
    <x v="9"/>
    <x v="7"/>
    <x v="34"/>
    <x v="41"/>
    <x v="209"/>
    <x v="54"/>
  </r>
  <r>
    <x v="596"/>
    <x v="156"/>
    <x v="0"/>
    <x v="1"/>
    <x v="5"/>
    <x v="6"/>
    <x v="5"/>
    <x v="4"/>
    <x v="4"/>
    <x v="1"/>
    <x v="1"/>
    <x v="2"/>
    <x v="7"/>
    <x v="14"/>
    <x v="14"/>
    <x v="18"/>
    <x v="12"/>
    <x v="358"/>
    <x v="339"/>
    <x v="239"/>
    <x v="720"/>
  </r>
  <r>
    <x v="597"/>
    <x v="136"/>
    <x v="0"/>
    <x v="1"/>
    <x v="5"/>
    <x v="6"/>
    <x v="5"/>
    <x v="4"/>
    <x v="4"/>
    <x v="0"/>
    <x v="1"/>
    <x v="2"/>
    <x v="7"/>
    <x v="14"/>
    <x v="7"/>
    <x v="18"/>
    <x v="12"/>
    <x v="176"/>
    <x v="183"/>
    <x v="583"/>
    <x v="314"/>
  </r>
  <r>
    <x v="598"/>
    <x v="143"/>
    <x v="0"/>
    <x v="1"/>
    <x v="5"/>
    <x v="6"/>
    <x v="5"/>
    <x v="4"/>
    <x v="4"/>
    <x v="1"/>
    <x v="1"/>
    <x v="2"/>
    <x v="6"/>
    <x v="12"/>
    <x v="20"/>
    <x v="3"/>
    <x v="2"/>
    <x v="86"/>
    <x v="76"/>
    <x v="33"/>
    <x v="231"/>
  </r>
  <r>
    <x v="599"/>
    <x v="150"/>
    <x v="0"/>
    <x v="1"/>
    <x v="5"/>
    <x v="6"/>
    <x v="5"/>
    <x v="4"/>
    <x v="4"/>
    <x v="0"/>
    <x v="1"/>
    <x v="2"/>
    <x v="6"/>
    <x v="12"/>
    <x v="5"/>
    <x v="3"/>
    <x v="2"/>
    <x v="3"/>
    <x v="4"/>
    <x v="53"/>
    <x v="6"/>
  </r>
  <r>
    <x v="600"/>
    <x v="184"/>
    <x v="0"/>
    <x v="2"/>
    <x v="6"/>
    <x v="5"/>
    <x v="6"/>
    <x v="0"/>
    <x v="0"/>
    <x v="1"/>
    <x v="3"/>
    <x v="6"/>
    <x v="1"/>
    <x v="2"/>
    <x v="21"/>
    <x v="25"/>
    <x v="16"/>
    <x v="867"/>
    <x v="770"/>
    <x v="1223"/>
    <x v="1611"/>
  </r>
  <r>
    <x v="601"/>
    <x v="164"/>
    <x v="0"/>
    <x v="2"/>
    <x v="6"/>
    <x v="5"/>
    <x v="6"/>
    <x v="0"/>
    <x v="0"/>
    <x v="0"/>
    <x v="3"/>
    <x v="6"/>
    <x v="1"/>
    <x v="2"/>
    <x v="8"/>
    <x v="25"/>
    <x v="16"/>
    <x v="813"/>
    <x v="728"/>
    <x v="1287"/>
    <x v="1500"/>
  </r>
  <r>
    <x v="602"/>
    <x v="171"/>
    <x v="0"/>
    <x v="2"/>
    <x v="6"/>
    <x v="5"/>
    <x v="6"/>
    <x v="0"/>
    <x v="0"/>
    <x v="1"/>
    <x v="3"/>
    <x v="6"/>
    <x v="2"/>
    <x v="4"/>
    <x v="20"/>
    <x v="22"/>
    <x v="14"/>
    <x v="793"/>
    <x v="712"/>
    <x v="983"/>
    <x v="1481"/>
  </r>
  <r>
    <x v="603"/>
    <x v="178"/>
    <x v="0"/>
    <x v="2"/>
    <x v="6"/>
    <x v="5"/>
    <x v="6"/>
    <x v="0"/>
    <x v="0"/>
    <x v="0"/>
    <x v="3"/>
    <x v="6"/>
    <x v="2"/>
    <x v="4"/>
    <x v="7"/>
    <x v="22"/>
    <x v="14"/>
    <x v="583"/>
    <x v="548"/>
    <x v="1087"/>
    <x v="1056"/>
  </r>
  <r>
    <x v="604"/>
    <x v="185"/>
    <x v="0"/>
    <x v="2"/>
    <x v="6"/>
    <x v="5"/>
    <x v="6"/>
    <x v="0"/>
    <x v="0"/>
    <x v="1"/>
    <x v="3"/>
    <x v="6"/>
    <x v="5"/>
    <x v="10"/>
    <x v="17"/>
    <x v="28"/>
    <x v="18"/>
    <x v="874"/>
    <x v="779"/>
    <x v="1247"/>
    <x v="1606"/>
  </r>
  <r>
    <x v="605"/>
    <x v="165"/>
    <x v="0"/>
    <x v="2"/>
    <x v="6"/>
    <x v="5"/>
    <x v="6"/>
    <x v="0"/>
    <x v="0"/>
    <x v="0"/>
    <x v="3"/>
    <x v="6"/>
    <x v="5"/>
    <x v="10"/>
    <x v="8"/>
    <x v="28"/>
    <x v="18"/>
    <x v="835"/>
    <x v="748"/>
    <x v="1309"/>
    <x v="1522"/>
  </r>
  <r>
    <x v="606"/>
    <x v="172"/>
    <x v="0"/>
    <x v="2"/>
    <x v="6"/>
    <x v="5"/>
    <x v="6"/>
    <x v="0"/>
    <x v="0"/>
    <x v="1"/>
    <x v="0"/>
    <x v="0"/>
    <x v="3"/>
    <x v="6"/>
    <x v="111"/>
    <x v="0"/>
    <x v="0"/>
    <x v="536"/>
    <x v="435"/>
    <x v="513"/>
    <x v="1194"/>
  </r>
  <r>
    <x v="607"/>
    <x v="179"/>
    <x v="0"/>
    <x v="2"/>
    <x v="6"/>
    <x v="5"/>
    <x v="6"/>
    <x v="0"/>
    <x v="0"/>
    <x v="0"/>
    <x v="0"/>
    <x v="0"/>
    <x v="3"/>
    <x v="6"/>
    <x v="38"/>
    <x v="0"/>
    <x v="0"/>
    <x v="169"/>
    <x v="129"/>
    <x v="584"/>
    <x v="437"/>
  </r>
  <r>
    <x v="608"/>
    <x v="186"/>
    <x v="0"/>
    <x v="2"/>
    <x v="6"/>
    <x v="5"/>
    <x v="6"/>
    <x v="0"/>
    <x v="0"/>
    <x v="1"/>
    <x v="0"/>
    <x v="0"/>
    <x v="8"/>
    <x v="16"/>
    <x v="112"/>
    <x v="12"/>
    <x v="6"/>
    <x v="812"/>
    <x v="713"/>
    <x v="1042"/>
    <x v="1564"/>
  </r>
  <r>
    <x v="609"/>
    <x v="166"/>
    <x v="0"/>
    <x v="2"/>
    <x v="6"/>
    <x v="5"/>
    <x v="6"/>
    <x v="0"/>
    <x v="0"/>
    <x v="0"/>
    <x v="0"/>
    <x v="0"/>
    <x v="8"/>
    <x v="16"/>
    <x v="47"/>
    <x v="12"/>
    <x v="6"/>
    <x v="626"/>
    <x v="535"/>
    <x v="1124"/>
    <x v="1263"/>
  </r>
  <r>
    <x v="610"/>
    <x v="173"/>
    <x v="0"/>
    <x v="2"/>
    <x v="6"/>
    <x v="5"/>
    <x v="6"/>
    <x v="0"/>
    <x v="0"/>
    <x v="1"/>
    <x v="0"/>
    <x v="0"/>
    <x v="9"/>
    <x v="18"/>
    <x v="96"/>
    <x v="6"/>
    <x v="4"/>
    <x v="720"/>
    <x v="638"/>
    <x v="804"/>
    <x v="1397"/>
  </r>
  <r>
    <x v="611"/>
    <x v="180"/>
    <x v="0"/>
    <x v="2"/>
    <x v="6"/>
    <x v="5"/>
    <x v="6"/>
    <x v="0"/>
    <x v="0"/>
    <x v="0"/>
    <x v="0"/>
    <x v="0"/>
    <x v="9"/>
    <x v="18"/>
    <x v="36"/>
    <x v="6"/>
    <x v="4"/>
    <x v="414"/>
    <x v="371"/>
    <x v="923"/>
    <x v="842"/>
  </r>
  <r>
    <x v="612"/>
    <x v="187"/>
    <x v="0"/>
    <x v="2"/>
    <x v="6"/>
    <x v="5"/>
    <x v="6"/>
    <x v="0"/>
    <x v="0"/>
    <x v="1"/>
    <x v="2"/>
    <x v="4"/>
    <x v="0"/>
    <x v="0"/>
    <x v="46"/>
    <x v="15"/>
    <x v="10"/>
    <x v="686"/>
    <x v="597"/>
    <x v="740"/>
    <x v="1365"/>
  </r>
  <r>
    <x v="613"/>
    <x v="167"/>
    <x v="0"/>
    <x v="2"/>
    <x v="6"/>
    <x v="5"/>
    <x v="6"/>
    <x v="0"/>
    <x v="0"/>
    <x v="0"/>
    <x v="2"/>
    <x v="4"/>
    <x v="0"/>
    <x v="0"/>
    <x v="16"/>
    <x v="15"/>
    <x v="10"/>
    <x v="369"/>
    <x v="321"/>
    <x v="863"/>
    <x v="778"/>
  </r>
  <r>
    <x v="614"/>
    <x v="174"/>
    <x v="0"/>
    <x v="2"/>
    <x v="6"/>
    <x v="5"/>
    <x v="6"/>
    <x v="0"/>
    <x v="0"/>
    <x v="1"/>
    <x v="2"/>
    <x v="4"/>
    <x v="4"/>
    <x v="8"/>
    <x v="41"/>
    <x v="9"/>
    <x v="7"/>
    <x v="553"/>
    <x v="500"/>
    <x v="536"/>
    <x v="1109"/>
  </r>
  <r>
    <x v="615"/>
    <x v="181"/>
    <x v="0"/>
    <x v="2"/>
    <x v="6"/>
    <x v="5"/>
    <x v="6"/>
    <x v="0"/>
    <x v="0"/>
    <x v="0"/>
    <x v="2"/>
    <x v="4"/>
    <x v="4"/>
    <x v="8"/>
    <x v="20"/>
    <x v="9"/>
    <x v="7"/>
    <x v="332"/>
    <x v="295"/>
    <x v="807"/>
    <x v="617"/>
  </r>
  <r>
    <x v="616"/>
    <x v="188"/>
    <x v="0"/>
    <x v="2"/>
    <x v="6"/>
    <x v="5"/>
    <x v="6"/>
    <x v="0"/>
    <x v="0"/>
    <x v="1"/>
    <x v="1"/>
    <x v="2"/>
    <x v="7"/>
    <x v="14"/>
    <x v="62"/>
    <x v="18"/>
    <x v="12"/>
    <x v="765"/>
    <x v="689"/>
    <x v="899"/>
    <x v="1446"/>
  </r>
  <r>
    <x v="617"/>
    <x v="168"/>
    <x v="0"/>
    <x v="2"/>
    <x v="6"/>
    <x v="5"/>
    <x v="6"/>
    <x v="0"/>
    <x v="0"/>
    <x v="0"/>
    <x v="1"/>
    <x v="2"/>
    <x v="7"/>
    <x v="14"/>
    <x v="25"/>
    <x v="18"/>
    <x v="12"/>
    <x v="540"/>
    <x v="497"/>
    <x v="1054"/>
    <x v="990"/>
  </r>
  <r>
    <x v="618"/>
    <x v="175"/>
    <x v="0"/>
    <x v="2"/>
    <x v="6"/>
    <x v="5"/>
    <x v="6"/>
    <x v="0"/>
    <x v="0"/>
    <x v="1"/>
    <x v="1"/>
    <x v="2"/>
    <x v="6"/>
    <x v="12"/>
    <x v="54"/>
    <x v="3"/>
    <x v="2"/>
    <x v="344"/>
    <x v="284"/>
    <x v="248"/>
    <x v="798"/>
  </r>
  <r>
    <x v="619"/>
    <x v="182"/>
    <x v="0"/>
    <x v="2"/>
    <x v="6"/>
    <x v="5"/>
    <x v="6"/>
    <x v="0"/>
    <x v="0"/>
    <x v="0"/>
    <x v="1"/>
    <x v="2"/>
    <x v="6"/>
    <x v="12"/>
    <x v="25"/>
    <x v="3"/>
    <x v="2"/>
    <x v="123"/>
    <x v="108"/>
    <x v="494"/>
    <x v="291"/>
  </r>
  <r>
    <x v="620"/>
    <x v="162"/>
    <x v="0"/>
    <x v="2"/>
    <x v="6"/>
    <x v="5"/>
    <x v="6"/>
    <x v="1"/>
    <x v="1"/>
    <x v="1"/>
    <x v="3"/>
    <x v="6"/>
    <x v="1"/>
    <x v="2"/>
    <x v="11"/>
    <x v="25"/>
    <x v="16"/>
    <x v="832"/>
    <x v="742"/>
    <x v="1111"/>
    <x v="1561"/>
  </r>
  <r>
    <x v="621"/>
    <x v="169"/>
    <x v="0"/>
    <x v="2"/>
    <x v="6"/>
    <x v="5"/>
    <x v="6"/>
    <x v="1"/>
    <x v="1"/>
    <x v="0"/>
    <x v="3"/>
    <x v="6"/>
    <x v="1"/>
    <x v="2"/>
    <x v="3"/>
    <x v="25"/>
    <x v="16"/>
    <x v="697"/>
    <x v="645"/>
    <x v="1178"/>
    <x v="1239"/>
  </r>
  <r>
    <x v="622"/>
    <x v="176"/>
    <x v="0"/>
    <x v="2"/>
    <x v="6"/>
    <x v="5"/>
    <x v="6"/>
    <x v="1"/>
    <x v="1"/>
    <x v="1"/>
    <x v="3"/>
    <x v="6"/>
    <x v="2"/>
    <x v="4"/>
    <x v="14"/>
    <x v="22"/>
    <x v="14"/>
    <x v="739"/>
    <x v="668"/>
    <x v="839"/>
    <x v="1378"/>
  </r>
  <r>
    <x v="623"/>
    <x v="183"/>
    <x v="0"/>
    <x v="2"/>
    <x v="6"/>
    <x v="5"/>
    <x v="6"/>
    <x v="1"/>
    <x v="1"/>
    <x v="0"/>
    <x v="3"/>
    <x v="6"/>
    <x v="2"/>
    <x v="4"/>
    <x v="3"/>
    <x v="22"/>
    <x v="14"/>
    <x v="384"/>
    <x v="374"/>
    <x v="876"/>
    <x v="669"/>
  </r>
  <r>
    <x v="624"/>
    <x v="163"/>
    <x v="0"/>
    <x v="2"/>
    <x v="6"/>
    <x v="5"/>
    <x v="6"/>
    <x v="1"/>
    <x v="1"/>
    <x v="1"/>
    <x v="3"/>
    <x v="6"/>
    <x v="5"/>
    <x v="10"/>
    <x v="13"/>
    <x v="28"/>
    <x v="18"/>
    <x v="862"/>
    <x v="769"/>
    <x v="1207"/>
    <x v="1583"/>
  </r>
  <r>
    <x v="625"/>
    <x v="170"/>
    <x v="0"/>
    <x v="2"/>
    <x v="6"/>
    <x v="5"/>
    <x v="6"/>
    <x v="1"/>
    <x v="1"/>
    <x v="0"/>
    <x v="3"/>
    <x v="6"/>
    <x v="5"/>
    <x v="10"/>
    <x v="4"/>
    <x v="28"/>
    <x v="18"/>
    <x v="793"/>
    <x v="724"/>
    <x v="1263"/>
    <x v="1367"/>
  </r>
  <r>
    <x v="626"/>
    <x v="177"/>
    <x v="0"/>
    <x v="2"/>
    <x v="6"/>
    <x v="5"/>
    <x v="6"/>
    <x v="1"/>
    <x v="1"/>
    <x v="1"/>
    <x v="0"/>
    <x v="0"/>
    <x v="3"/>
    <x v="6"/>
    <x v="57"/>
    <x v="0"/>
    <x v="0"/>
    <x v="282"/>
    <x v="222"/>
    <x v="199"/>
    <x v="722"/>
  </r>
  <r>
    <x v="627"/>
    <x v="184"/>
    <x v="0"/>
    <x v="2"/>
    <x v="6"/>
    <x v="5"/>
    <x v="6"/>
    <x v="1"/>
    <x v="1"/>
    <x v="0"/>
    <x v="0"/>
    <x v="0"/>
    <x v="3"/>
    <x v="6"/>
    <x v="21"/>
    <x v="0"/>
    <x v="0"/>
    <x v="57"/>
    <x v="47"/>
    <x v="311"/>
    <x v="164"/>
  </r>
  <r>
    <x v="628"/>
    <x v="164"/>
    <x v="0"/>
    <x v="2"/>
    <x v="6"/>
    <x v="5"/>
    <x v="6"/>
    <x v="1"/>
    <x v="1"/>
    <x v="1"/>
    <x v="0"/>
    <x v="0"/>
    <x v="8"/>
    <x v="16"/>
    <x v="64"/>
    <x v="12"/>
    <x v="6"/>
    <x v="709"/>
    <x v="609"/>
    <x v="778"/>
    <x v="1418"/>
  </r>
  <r>
    <x v="629"/>
    <x v="171"/>
    <x v="0"/>
    <x v="2"/>
    <x v="6"/>
    <x v="5"/>
    <x v="6"/>
    <x v="1"/>
    <x v="1"/>
    <x v="0"/>
    <x v="0"/>
    <x v="0"/>
    <x v="8"/>
    <x v="16"/>
    <x v="26"/>
    <x v="12"/>
    <x v="6"/>
    <x v="435"/>
    <x v="369"/>
    <x v="955"/>
    <x v="941"/>
  </r>
  <r>
    <x v="630"/>
    <x v="178"/>
    <x v="0"/>
    <x v="2"/>
    <x v="6"/>
    <x v="5"/>
    <x v="6"/>
    <x v="1"/>
    <x v="1"/>
    <x v="1"/>
    <x v="0"/>
    <x v="0"/>
    <x v="9"/>
    <x v="18"/>
    <x v="52"/>
    <x v="6"/>
    <x v="4"/>
    <x v="540"/>
    <x v="477"/>
    <x v="519"/>
    <x v="1114"/>
  </r>
  <r>
    <x v="631"/>
    <x v="185"/>
    <x v="0"/>
    <x v="2"/>
    <x v="6"/>
    <x v="5"/>
    <x v="6"/>
    <x v="1"/>
    <x v="1"/>
    <x v="0"/>
    <x v="0"/>
    <x v="0"/>
    <x v="9"/>
    <x v="18"/>
    <x v="23"/>
    <x v="6"/>
    <x v="4"/>
    <x v="277"/>
    <x v="250"/>
    <x v="738"/>
    <x v="565"/>
  </r>
  <r>
    <x v="632"/>
    <x v="165"/>
    <x v="0"/>
    <x v="2"/>
    <x v="6"/>
    <x v="5"/>
    <x v="6"/>
    <x v="1"/>
    <x v="1"/>
    <x v="1"/>
    <x v="2"/>
    <x v="4"/>
    <x v="0"/>
    <x v="0"/>
    <x v="22"/>
    <x v="15"/>
    <x v="10"/>
    <x v="470"/>
    <x v="411"/>
    <x v="421"/>
    <x v="1005"/>
  </r>
  <r>
    <x v="633"/>
    <x v="172"/>
    <x v="0"/>
    <x v="2"/>
    <x v="6"/>
    <x v="5"/>
    <x v="6"/>
    <x v="1"/>
    <x v="1"/>
    <x v="0"/>
    <x v="2"/>
    <x v="4"/>
    <x v="0"/>
    <x v="0"/>
    <x v="10"/>
    <x v="15"/>
    <x v="10"/>
    <x v="237"/>
    <x v="208"/>
    <x v="686"/>
    <x v="513"/>
  </r>
  <r>
    <x v="634"/>
    <x v="179"/>
    <x v="0"/>
    <x v="2"/>
    <x v="6"/>
    <x v="5"/>
    <x v="6"/>
    <x v="1"/>
    <x v="1"/>
    <x v="1"/>
    <x v="2"/>
    <x v="4"/>
    <x v="4"/>
    <x v="8"/>
    <x v="23"/>
    <x v="9"/>
    <x v="7"/>
    <x v="364"/>
    <x v="334"/>
    <x v="285"/>
    <x v="766"/>
  </r>
  <r>
    <x v="635"/>
    <x v="186"/>
    <x v="0"/>
    <x v="2"/>
    <x v="6"/>
    <x v="5"/>
    <x v="6"/>
    <x v="1"/>
    <x v="1"/>
    <x v="0"/>
    <x v="2"/>
    <x v="4"/>
    <x v="4"/>
    <x v="8"/>
    <x v="9"/>
    <x v="9"/>
    <x v="7"/>
    <x v="121"/>
    <x v="124"/>
    <x v="487"/>
    <x v="228"/>
  </r>
  <r>
    <x v="636"/>
    <x v="166"/>
    <x v="0"/>
    <x v="2"/>
    <x v="6"/>
    <x v="5"/>
    <x v="6"/>
    <x v="1"/>
    <x v="1"/>
    <x v="1"/>
    <x v="1"/>
    <x v="2"/>
    <x v="7"/>
    <x v="14"/>
    <x v="33"/>
    <x v="18"/>
    <x v="12"/>
    <x v="622"/>
    <x v="564"/>
    <x v="645"/>
    <x v="1206"/>
  </r>
  <r>
    <x v="637"/>
    <x v="173"/>
    <x v="0"/>
    <x v="2"/>
    <x v="6"/>
    <x v="5"/>
    <x v="6"/>
    <x v="1"/>
    <x v="1"/>
    <x v="0"/>
    <x v="1"/>
    <x v="2"/>
    <x v="7"/>
    <x v="14"/>
    <x v="10"/>
    <x v="18"/>
    <x v="12"/>
    <x v="262"/>
    <x v="259"/>
    <x v="717"/>
    <x v="477"/>
  </r>
  <r>
    <x v="638"/>
    <x v="180"/>
    <x v="0"/>
    <x v="2"/>
    <x v="6"/>
    <x v="5"/>
    <x v="6"/>
    <x v="1"/>
    <x v="1"/>
    <x v="1"/>
    <x v="1"/>
    <x v="2"/>
    <x v="6"/>
    <x v="12"/>
    <x v="28"/>
    <x v="3"/>
    <x v="2"/>
    <x v="153"/>
    <x v="128"/>
    <x v="95"/>
    <x v="401"/>
  </r>
  <r>
    <x v="639"/>
    <x v="187"/>
    <x v="0"/>
    <x v="2"/>
    <x v="6"/>
    <x v="5"/>
    <x v="6"/>
    <x v="1"/>
    <x v="1"/>
    <x v="0"/>
    <x v="1"/>
    <x v="2"/>
    <x v="6"/>
    <x v="12"/>
    <x v="14"/>
    <x v="3"/>
    <x v="2"/>
    <x v="42"/>
    <x v="40"/>
    <x v="253"/>
    <x v="95"/>
  </r>
  <r>
    <x v="640"/>
    <x v="167"/>
    <x v="0"/>
    <x v="2"/>
    <x v="6"/>
    <x v="5"/>
    <x v="6"/>
    <x v="3"/>
    <x v="3"/>
    <x v="1"/>
    <x v="3"/>
    <x v="6"/>
    <x v="1"/>
    <x v="2"/>
    <x v="8"/>
    <x v="25"/>
    <x v="16"/>
    <x v="813"/>
    <x v="728"/>
    <x v="1045"/>
    <x v="1519"/>
  </r>
  <r>
    <x v="641"/>
    <x v="174"/>
    <x v="0"/>
    <x v="2"/>
    <x v="6"/>
    <x v="5"/>
    <x v="6"/>
    <x v="3"/>
    <x v="3"/>
    <x v="0"/>
    <x v="3"/>
    <x v="6"/>
    <x v="1"/>
    <x v="2"/>
    <x v="2"/>
    <x v="25"/>
    <x v="16"/>
    <x v="634"/>
    <x v="592"/>
    <x v="1131"/>
    <x v="1132"/>
  </r>
  <r>
    <x v="642"/>
    <x v="181"/>
    <x v="0"/>
    <x v="2"/>
    <x v="6"/>
    <x v="5"/>
    <x v="6"/>
    <x v="3"/>
    <x v="3"/>
    <x v="1"/>
    <x v="3"/>
    <x v="6"/>
    <x v="2"/>
    <x v="4"/>
    <x v="7"/>
    <x v="22"/>
    <x v="14"/>
    <x v="583"/>
    <x v="548"/>
    <x v="595"/>
    <x v="1106"/>
  </r>
  <r>
    <x v="643"/>
    <x v="188"/>
    <x v="0"/>
    <x v="2"/>
    <x v="6"/>
    <x v="5"/>
    <x v="6"/>
    <x v="3"/>
    <x v="3"/>
    <x v="0"/>
    <x v="3"/>
    <x v="6"/>
    <x v="2"/>
    <x v="4"/>
    <x v="1"/>
    <x v="22"/>
    <x v="14"/>
    <x v="220"/>
    <x v="229"/>
    <x v="658"/>
    <x v="351"/>
  </r>
  <r>
    <x v="644"/>
    <x v="168"/>
    <x v="0"/>
    <x v="2"/>
    <x v="6"/>
    <x v="5"/>
    <x v="6"/>
    <x v="3"/>
    <x v="3"/>
    <x v="1"/>
    <x v="3"/>
    <x v="6"/>
    <x v="5"/>
    <x v="10"/>
    <x v="7"/>
    <x v="28"/>
    <x v="18"/>
    <x v="829"/>
    <x v="744"/>
    <x v="1097"/>
    <x v="1527"/>
  </r>
  <r>
    <x v="645"/>
    <x v="175"/>
    <x v="0"/>
    <x v="2"/>
    <x v="6"/>
    <x v="5"/>
    <x v="6"/>
    <x v="3"/>
    <x v="3"/>
    <x v="0"/>
    <x v="3"/>
    <x v="6"/>
    <x v="5"/>
    <x v="10"/>
    <x v="2"/>
    <x v="28"/>
    <x v="18"/>
    <x v="721"/>
    <x v="673"/>
    <x v="1196"/>
    <x v="1189"/>
  </r>
  <r>
    <x v="646"/>
    <x v="182"/>
    <x v="0"/>
    <x v="2"/>
    <x v="6"/>
    <x v="5"/>
    <x v="6"/>
    <x v="3"/>
    <x v="3"/>
    <x v="1"/>
    <x v="0"/>
    <x v="0"/>
    <x v="3"/>
    <x v="6"/>
    <x v="51"/>
    <x v="0"/>
    <x v="0"/>
    <x v="252"/>
    <x v="194"/>
    <x v="173"/>
    <x v="643"/>
  </r>
  <r>
    <x v="647"/>
    <x v="162"/>
    <x v="0"/>
    <x v="2"/>
    <x v="6"/>
    <x v="5"/>
    <x v="6"/>
    <x v="3"/>
    <x v="3"/>
    <x v="0"/>
    <x v="0"/>
    <x v="0"/>
    <x v="3"/>
    <x v="6"/>
    <x v="17"/>
    <x v="0"/>
    <x v="0"/>
    <x v="38"/>
    <x v="33"/>
    <x v="236"/>
    <x v="103"/>
  </r>
  <r>
    <x v="648"/>
    <x v="169"/>
    <x v="0"/>
    <x v="2"/>
    <x v="6"/>
    <x v="5"/>
    <x v="6"/>
    <x v="3"/>
    <x v="3"/>
    <x v="1"/>
    <x v="0"/>
    <x v="0"/>
    <x v="8"/>
    <x v="16"/>
    <x v="42"/>
    <x v="12"/>
    <x v="6"/>
    <x v="594"/>
    <x v="504"/>
    <x v="607"/>
    <x v="1249"/>
  </r>
  <r>
    <x v="649"/>
    <x v="176"/>
    <x v="0"/>
    <x v="2"/>
    <x v="6"/>
    <x v="5"/>
    <x v="6"/>
    <x v="3"/>
    <x v="3"/>
    <x v="0"/>
    <x v="0"/>
    <x v="0"/>
    <x v="8"/>
    <x v="16"/>
    <x v="16"/>
    <x v="12"/>
    <x v="6"/>
    <x v="293"/>
    <x v="244"/>
    <x v="760"/>
    <x v="658"/>
  </r>
  <r>
    <x v="650"/>
    <x v="183"/>
    <x v="0"/>
    <x v="2"/>
    <x v="6"/>
    <x v="5"/>
    <x v="6"/>
    <x v="3"/>
    <x v="3"/>
    <x v="1"/>
    <x v="0"/>
    <x v="0"/>
    <x v="9"/>
    <x v="18"/>
    <x v="52"/>
    <x v="6"/>
    <x v="4"/>
    <x v="540"/>
    <x v="477"/>
    <x v="519"/>
    <x v="1114"/>
  </r>
  <r>
    <x v="651"/>
    <x v="163"/>
    <x v="0"/>
    <x v="2"/>
    <x v="6"/>
    <x v="5"/>
    <x v="6"/>
    <x v="3"/>
    <x v="3"/>
    <x v="0"/>
    <x v="0"/>
    <x v="0"/>
    <x v="9"/>
    <x v="18"/>
    <x v="18"/>
    <x v="6"/>
    <x v="4"/>
    <x v="207"/>
    <x v="193"/>
    <x v="649"/>
    <x v="433"/>
  </r>
  <r>
    <x v="652"/>
    <x v="170"/>
    <x v="0"/>
    <x v="2"/>
    <x v="6"/>
    <x v="5"/>
    <x v="6"/>
    <x v="3"/>
    <x v="3"/>
    <x v="1"/>
    <x v="2"/>
    <x v="4"/>
    <x v="0"/>
    <x v="0"/>
    <x v="15"/>
    <x v="15"/>
    <x v="10"/>
    <x v="351"/>
    <x v="300"/>
    <x v="262"/>
    <x v="793"/>
  </r>
  <r>
    <x v="653"/>
    <x v="177"/>
    <x v="0"/>
    <x v="2"/>
    <x v="6"/>
    <x v="5"/>
    <x v="6"/>
    <x v="3"/>
    <x v="3"/>
    <x v="0"/>
    <x v="2"/>
    <x v="4"/>
    <x v="0"/>
    <x v="0"/>
    <x v="6"/>
    <x v="15"/>
    <x v="10"/>
    <x v="130"/>
    <x v="116"/>
    <x v="503"/>
    <x v="283"/>
  </r>
  <r>
    <x v="654"/>
    <x v="184"/>
    <x v="0"/>
    <x v="2"/>
    <x v="6"/>
    <x v="5"/>
    <x v="6"/>
    <x v="3"/>
    <x v="3"/>
    <x v="1"/>
    <x v="2"/>
    <x v="4"/>
    <x v="4"/>
    <x v="8"/>
    <x v="20"/>
    <x v="9"/>
    <x v="7"/>
    <x v="332"/>
    <x v="295"/>
    <x v="235"/>
    <x v="681"/>
  </r>
  <r>
    <x v="655"/>
    <x v="164"/>
    <x v="0"/>
    <x v="2"/>
    <x v="6"/>
    <x v="5"/>
    <x v="6"/>
    <x v="3"/>
    <x v="3"/>
    <x v="0"/>
    <x v="2"/>
    <x v="4"/>
    <x v="4"/>
    <x v="8"/>
    <x v="6"/>
    <x v="9"/>
    <x v="7"/>
    <x v="65"/>
    <x v="71"/>
    <x v="335"/>
    <x v="111"/>
  </r>
  <r>
    <x v="656"/>
    <x v="171"/>
    <x v="0"/>
    <x v="2"/>
    <x v="6"/>
    <x v="5"/>
    <x v="6"/>
    <x v="3"/>
    <x v="3"/>
    <x v="1"/>
    <x v="1"/>
    <x v="2"/>
    <x v="7"/>
    <x v="14"/>
    <x v="29"/>
    <x v="18"/>
    <x v="12"/>
    <x v="582"/>
    <x v="538"/>
    <x v="592"/>
    <x v="1147"/>
  </r>
  <r>
    <x v="657"/>
    <x v="178"/>
    <x v="0"/>
    <x v="2"/>
    <x v="6"/>
    <x v="5"/>
    <x v="6"/>
    <x v="3"/>
    <x v="3"/>
    <x v="0"/>
    <x v="1"/>
    <x v="2"/>
    <x v="7"/>
    <x v="14"/>
    <x v="9"/>
    <x v="18"/>
    <x v="12"/>
    <x v="235"/>
    <x v="232"/>
    <x v="681"/>
    <x v="427"/>
  </r>
  <r>
    <x v="658"/>
    <x v="185"/>
    <x v="0"/>
    <x v="2"/>
    <x v="6"/>
    <x v="5"/>
    <x v="6"/>
    <x v="3"/>
    <x v="3"/>
    <x v="1"/>
    <x v="1"/>
    <x v="2"/>
    <x v="6"/>
    <x v="12"/>
    <x v="25"/>
    <x v="3"/>
    <x v="2"/>
    <x v="123"/>
    <x v="108"/>
    <x v="71"/>
    <x v="330"/>
  </r>
  <r>
    <x v="659"/>
    <x v="165"/>
    <x v="0"/>
    <x v="2"/>
    <x v="6"/>
    <x v="5"/>
    <x v="6"/>
    <x v="3"/>
    <x v="3"/>
    <x v="0"/>
    <x v="1"/>
    <x v="2"/>
    <x v="6"/>
    <x v="12"/>
    <x v="10"/>
    <x v="3"/>
    <x v="2"/>
    <x v="17"/>
    <x v="20"/>
    <x v="175"/>
    <x v="46"/>
  </r>
  <r>
    <x v="660"/>
    <x v="172"/>
    <x v="0"/>
    <x v="2"/>
    <x v="6"/>
    <x v="5"/>
    <x v="6"/>
    <x v="2"/>
    <x v="2"/>
    <x v="1"/>
    <x v="3"/>
    <x v="6"/>
    <x v="1"/>
    <x v="2"/>
    <x v="5"/>
    <x v="25"/>
    <x v="16"/>
    <x v="768"/>
    <x v="698"/>
    <x v="904"/>
    <x v="1420"/>
  </r>
  <r>
    <x v="661"/>
    <x v="179"/>
    <x v="0"/>
    <x v="2"/>
    <x v="6"/>
    <x v="5"/>
    <x v="6"/>
    <x v="2"/>
    <x v="2"/>
    <x v="0"/>
    <x v="3"/>
    <x v="6"/>
    <x v="1"/>
    <x v="2"/>
    <x v="1"/>
    <x v="25"/>
    <x v="16"/>
    <x v="548"/>
    <x v="519"/>
    <x v="1057"/>
    <x v="933"/>
  </r>
  <r>
    <x v="662"/>
    <x v="186"/>
    <x v="0"/>
    <x v="2"/>
    <x v="6"/>
    <x v="5"/>
    <x v="6"/>
    <x v="2"/>
    <x v="2"/>
    <x v="1"/>
    <x v="3"/>
    <x v="6"/>
    <x v="2"/>
    <x v="4"/>
    <x v="4"/>
    <x v="22"/>
    <x v="14"/>
    <x v="445"/>
    <x v="429"/>
    <x v="389"/>
    <x v="852"/>
  </r>
  <r>
    <x v="663"/>
    <x v="166"/>
    <x v="0"/>
    <x v="2"/>
    <x v="6"/>
    <x v="5"/>
    <x v="6"/>
    <x v="2"/>
    <x v="2"/>
    <x v="0"/>
    <x v="3"/>
    <x v="6"/>
    <x v="2"/>
    <x v="4"/>
    <x v="1"/>
    <x v="22"/>
    <x v="14"/>
    <x v="220"/>
    <x v="229"/>
    <x v="658"/>
    <x v="351"/>
  </r>
  <r>
    <x v="664"/>
    <x v="173"/>
    <x v="0"/>
    <x v="2"/>
    <x v="6"/>
    <x v="5"/>
    <x v="6"/>
    <x v="2"/>
    <x v="2"/>
    <x v="1"/>
    <x v="3"/>
    <x v="6"/>
    <x v="5"/>
    <x v="10"/>
    <x v="5"/>
    <x v="28"/>
    <x v="18"/>
    <x v="808"/>
    <x v="731"/>
    <x v="1028"/>
    <x v="1458"/>
  </r>
  <r>
    <x v="665"/>
    <x v="180"/>
    <x v="0"/>
    <x v="2"/>
    <x v="6"/>
    <x v="5"/>
    <x v="6"/>
    <x v="2"/>
    <x v="2"/>
    <x v="0"/>
    <x v="3"/>
    <x v="6"/>
    <x v="5"/>
    <x v="10"/>
    <x v="1"/>
    <x v="28"/>
    <x v="18"/>
    <x v="644"/>
    <x v="623"/>
    <x v="1140"/>
    <x v="1009"/>
  </r>
  <r>
    <x v="666"/>
    <x v="187"/>
    <x v="0"/>
    <x v="2"/>
    <x v="6"/>
    <x v="5"/>
    <x v="6"/>
    <x v="2"/>
    <x v="2"/>
    <x v="1"/>
    <x v="0"/>
    <x v="0"/>
    <x v="3"/>
    <x v="6"/>
    <x v="31"/>
    <x v="0"/>
    <x v="0"/>
    <x v="119"/>
    <x v="92"/>
    <x v="68"/>
    <x v="360"/>
  </r>
  <r>
    <x v="667"/>
    <x v="167"/>
    <x v="0"/>
    <x v="2"/>
    <x v="6"/>
    <x v="5"/>
    <x v="6"/>
    <x v="2"/>
    <x v="2"/>
    <x v="0"/>
    <x v="0"/>
    <x v="0"/>
    <x v="3"/>
    <x v="6"/>
    <x v="11"/>
    <x v="0"/>
    <x v="0"/>
    <x v="12"/>
    <x v="10"/>
    <x v="134"/>
    <x v="41"/>
  </r>
  <r>
    <x v="668"/>
    <x v="174"/>
    <x v="0"/>
    <x v="2"/>
    <x v="6"/>
    <x v="5"/>
    <x v="6"/>
    <x v="2"/>
    <x v="2"/>
    <x v="1"/>
    <x v="0"/>
    <x v="0"/>
    <x v="8"/>
    <x v="16"/>
    <x v="37"/>
    <x v="12"/>
    <x v="6"/>
    <x v="558"/>
    <x v="470"/>
    <x v="543"/>
    <x v="1200"/>
  </r>
  <r>
    <x v="669"/>
    <x v="181"/>
    <x v="0"/>
    <x v="2"/>
    <x v="6"/>
    <x v="5"/>
    <x v="6"/>
    <x v="2"/>
    <x v="2"/>
    <x v="0"/>
    <x v="0"/>
    <x v="0"/>
    <x v="8"/>
    <x v="16"/>
    <x v="9"/>
    <x v="12"/>
    <x v="6"/>
    <x v="152"/>
    <x v="123"/>
    <x v="541"/>
    <x v="358"/>
  </r>
  <r>
    <x v="670"/>
    <x v="188"/>
    <x v="0"/>
    <x v="2"/>
    <x v="6"/>
    <x v="5"/>
    <x v="6"/>
    <x v="2"/>
    <x v="2"/>
    <x v="1"/>
    <x v="0"/>
    <x v="0"/>
    <x v="9"/>
    <x v="18"/>
    <x v="34"/>
    <x v="6"/>
    <x v="4"/>
    <x v="399"/>
    <x v="351"/>
    <x v="323"/>
    <x v="858"/>
  </r>
  <r>
    <x v="671"/>
    <x v="168"/>
    <x v="0"/>
    <x v="2"/>
    <x v="6"/>
    <x v="5"/>
    <x v="6"/>
    <x v="2"/>
    <x v="2"/>
    <x v="0"/>
    <x v="0"/>
    <x v="0"/>
    <x v="9"/>
    <x v="18"/>
    <x v="10"/>
    <x v="6"/>
    <x v="4"/>
    <x v="89"/>
    <x v="84"/>
    <x v="396"/>
    <x v="177"/>
  </r>
  <r>
    <x v="672"/>
    <x v="175"/>
    <x v="0"/>
    <x v="2"/>
    <x v="6"/>
    <x v="5"/>
    <x v="6"/>
    <x v="2"/>
    <x v="2"/>
    <x v="1"/>
    <x v="2"/>
    <x v="4"/>
    <x v="0"/>
    <x v="0"/>
    <x v="12"/>
    <x v="15"/>
    <x v="10"/>
    <x v="286"/>
    <x v="253"/>
    <x v="202"/>
    <x v="656"/>
  </r>
  <r>
    <x v="673"/>
    <x v="182"/>
    <x v="0"/>
    <x v="2"/>
    <x v="6"/>
    <x v="5"/>
    <x v="6"/>
    <x v="2"/>
    <x v="2"/>
    <x v="0"/>
    <x v="2"/>
    <x v="4"/>
    <x v="0"/>
    <x v="0"/>
    <x v="4"/>
    <x v="15"/>
    <x v="10"/>
    <x v="76"/>
    <x v="70"/>
    <x v="365"/>
    <x v="159"/>
  </r>
  <r>
    <x v="674"/>
    <x v="162"/>
    <x v="0"/>
    <x v="2"/>
    <x v="6"/>
    <x v="5"/>
    <x v="6"/>
    <x v="2"/>
    <x v="2"/>
    <x v="1"/>
    <x v="2"/>
    <x v="4"/>
    <x v="4"/>
    <x v="8"/>
    <x v="13"/>
    <x v="9"/>
    <x v="7"/>
    <x v="202"/>
    <x v="198"/>
    <x v="133"/>
    <x v="439"/>
  </r>
  <r>
    <x v="675"/>
    <x v="169"/>
    <x v="0"/>
    <x v="2"/>
    <x v="6"/>
    <x v="5"/>
    <x v="6"/>
    <x v="2"/>
    <x v="2"/>
    <x v="0"/>
    <x v="2"/>
    <x v="4"/>
    <x v="4"/>
    <x v="8"/>
    <x v="3"/>
    <x v="9"/>
    <x v="7"/>
    <x v="18"/>
    <x v="28"/>
    <x v="179"/>
    <x v="34"/>
  </r>
  <r>
    <x v="676"/>
    <x v="176"/>
    <x v="0"/>
    <x v="2"/>
    <x v="6"/>
    <x v="5"/>
    <x v="6"/>
    <x v="2"/>
    <x v="2"/>
    <x v="1"/>
    <x v="1"/>
    <x v="2"/>
    <x v="7"/>
    <x v="14"/>
    <x v="16"/>
    <x v="18"/>
    <x v="12"/>
    <x v="399"/>
    <x v="375"/>
    <x v="323"/>
    <x v="797"/>
  </r>
  <r>
    <x v="677"/>
    <x v="183"/>
    <x v="0"/>
    <x v="2"/>
    <x v="6"/>
    <x v="5"/>
    <x v="6"/>
    <x v="2"/>
    <x v="2"/>
    <x v="0"/>
    <x v="1"/>
    <x v="2"/>
    <x v="7"/>
    <x v="14"/>
    <x v="7"/>
    <x v="18"/>
    <x v="12"/>
    <x v="176"/>
    <x v="183"/>
    <x v="602"/>
    <x v="306"/>
  </r>
  <r>
    <x v="678"/>
    <x v="163"/>
    <x v="0"/>
    <x v="2"/>
    <x v="6"/>
    <x v="5"/>
    <x v="6"/>
    <x v="2"/>
    <x v="2"/>
    <x v="1"/>
    <x v="1"/>
    <x v="2"/>
    <x v="6"/>
    <x v="12"/>
    <x v="18"/>
    <x v="3"/>
    <x v="2"/>
    <x v="70"/>
    <x v="63"/>
    <x v="31"/>
    <x v="201"/>
  </r>
  <r>
    <x v="679"/>
    <x v="170"/>
    <x v="0"/>
    <x v="2"/>
    <x v="6"/>
    <x v="5"/>
    <x v="6"/>
    <x v="2"/>
    <x v="2"/>
    <x v="0"/>
    <x v="1"/>
    <x v="2"/>
    <x v="6"/>
    <x v="12"/>
    <x v="6"/>
    <x v="3"/>
    <x v="2"/>
    <x v="5"/>
    <x v="6"/>
    <x v="81"/>
    <x v="11"/>
  </r>
  <r>
    <x v="680"/>
    <x v="177"/>
    <x v="0"/>
    <x v="2"/>
    <x v="6"/>
    <x v="5"/>
    <x v="6"/>
    <x v="4"/>
    <x v="4"/>
    <x v="1"/>
    <x v="3"/>
    <x v="6"/>
    <x v="1"/>
    <x v="2"/>
    <x v="6"/>
    <x v="25"/>
    <x v="16"/>
    <x v="789"/>
    <x v="711"/>
    <x v="967"/>
    <x v="1461"/>
  </r>
  <r>
    <x v="681"/>
    <x v="184"/>
    <x v="0"/>
    <x v="2"/>
    <x v="6"/>
    <x v="5"/>
    <x v="6"/>
    <x v="4"/>
    <x v="4"/>
    <x v="0"/>
    <x v="3"/>
    <x v="6"/>
    <x v="1"/>
    <x v="2"/>
    <x v="1"/>
    <x v="25"/>
    <x v="16"/>
    <x v="548"/>
    <x v="519"/>
    <x v="1057"/>
    <x v="933"/>
  </r>
  <r>
    <x v="682"/>
    <x v="164"/>
    <x v="0"/>
    <x v="2"/>
    <x v="6"/>
    <x v="5"/>
    <x v="6"/>
    <x v="4"/>
    <x v="4"/>
    <x v="1"/>
    <x v="3"/>
    <x v="6"/>
    <x v="2"/>
    <x v="4"/>
    <x v="6"/>
    <x v="22"/>
    <x v="14"/>
    <x v="548"/>
    <x v="514"/>
    <x v="531"/>
    <x v="1034"/>
  </r>
  <r>
    <x v="683"/>
    <x v="171"/>
    <x v="0"/>
    <x v="2"/>
    <x v="6"/>
    <x v="5"/>
    <x v="6"/>
    <x v="4"/>
    <x v="4"/>
    <x v="0"/>
    <x v="3"/>
    <x v="6"/>
    <x v="2"/>
    <x v="4"/>
    <x v="1"/>
    <x v="22"/>
    <x v="14"/>
    <x v="220"/>
    <x v="229"/>
    <x v="658"/>
    <x v="351"/>
  </r>
  <r>
    <x v="684"/>
    <x v="178"/>
    <x v="0"/>
    <x v="2"/>
    <x v="6"/>
    <x v="5"/>
    <x v="6"/>
    <x v="4"/>
    <x v="4"/>
    <x v="1"/>
    <x v="3"/>
    <x v="6"/>
    <x v="5"/>
    <x v="10"/>
    <x v="5"/>
    <x v="28"/>
    <x v="18"/>
    <x v="808"/>
    <x v="731"/>
    <x v="1028"/>
    <x v="1458"/>
  </r>
  <r>
    <x v="685"/>
    <x v="185"/>
    <x v="0"/>
    <x v="2"/>
    <x v="6"/>
    <x v="5"/>
    <x v="6"/>
    <x v="4"/>
    <x v="4"/>
    <x v="0"/>
    <x v="3"/>
    <x v="6"/>
    <x v="5"/>
    <x v="10"/>
    <x v="1"/>
    <x v="28"/>
    <x v="18"/>
    <x v="644"/>
    <x v="623"/>
    <x v="1140"/>
    <x v="1009"/>
  </r>
  <r>
    <x v="686"/>
    <x v="165"/>
    <x v="0"/>
    <x v="2"/>
    <x v="6"/>
    <x v="5"/>
    <x v="6"/>
    <x v="4"/>
    <x v="4"/>
    <x v="1"/>
    <x v="0"/>
    <x v="0"/>
    <x v="3"/>
    <x v="6"/>
    <x v="31"/>
    <x v="0"/>
    <x v="0"/>
    <x v="119"/>
    <x v="92"/>
    <x v="68"/>
    <x v="360"/>
  </r>
  <r>
    <x v="687"/>
    <x v="172"/>
    <x v="0"/>
    <x v="2"/>
    <x v="6"/>
    <x v="5"/>
    <x v="6"/>
    <x v="4"/>
    <x v="4"/>
    <x v="0"/>
    <x v="0"/>
    <x v="0"/>
    <x v="3"/>
    <x v="6"/>
    <x v="11"/>
    <x v="0"/>
    <x v="0"/>
    <x v="12"/>
    <x v="10"/>
    <x v="134"/>
    <x v="41"/>
  </r>
  <r>
    <x v="688"/>
    <x v="179"/>
    <x v="0"/>
    <x v="2"/>
    <x v="6"/>
    <x v="5"/>
    <x v="6"/>
    <x v="4"/>
    <x v="4"/>
    <x v="1"/>
    <x v="0"/>
    <x v="0"/>
    <x v="8"/>
    <x v="16"/>
    <x v="38"/>
    <x v="12"/>
    <x v="6"/>
    <x v="566"/>
    <x v="478"/>
    <x v="561"/>
    <x v="1215"/>
  </r>
  <r>
    <x v="689"/>
    <x v="186"/>
    <x v="0"/>
    <x v="2"/>
    <x v="6"/>
    <x v="5"/>
    <x v="6"/>
    <x v="4"/>
    <x v="4"/>
    <x v="0"/>
    <x v="0"/>
    <x v="0"/>
    <x v="8"/>
    <x v="16"/>
    <x v="11"/>
    <x v="12"/>
    <x v="6"/>
    <x v="196"/>
    <x v="161"/>
    <x v="623"/>
    <x v="457"/>
  </r>
  <r>
    <x v="690"/>
    <x v="166"/>
    <x v="0"/>
    <x v="2"/>
    <x v="6"/>
    <x v="5"/>
    <x v="6"/>
    <x v="4"/>
    <x v="4"/>
    <x v="1"/>
    <x v="0"/>
    <x v="0"/>
    <x v="9"/>
    <x v="18"/>
    <x v="32"/>
    <x v="6"/>
    <x v="4"/>
    <x v="375"/>
    <x v="337"/>
    <x v="302"/>
    <x v="820"/>
  </r>
  <r>
    <x v="691"/>
    <x v="173"/>
    <x v="0"/>
    <x v="2"/>
    <x v="6"/>
    <x v="5"/>
    <x v="6"/>
    <x v="4"/>
    <x v="4"/>
    <x v="0"/>
    <x v="0"/>
    <x v="0"/>
    <x v="9"/>
    <x v="18"/>
    <x v="11"/>
    <x v="6"/>
    <x v="4"/>
    <x v="100"/>
    <x v="101"/>
    <x v="437"/>
    <x v="211"/>
  </r>
  <r>
    <x v="692"/>
    <x v="180"/>
    <x v="0"/>
    <x v="2"/>
    <x v="6"/>
    <x v="5"/>
    <x v="6"/>
    <x v="4"/>
    <x v="4"/>
    <x v="1"/>
    <x v="2"/>
    <x v="4"/>
    <x v="0"/>
    <x v="0"/>
    <x v="16"/>
    <x v="15"/>
    <x v="10"/>
    <x v="369"/>
    <x v="321"/>
    <x v="292"/>
    <x v="830"/>
  </r>
  <r>
    <x v="693"/>
    <x v="187"/>
    <x v="0"/>
    <x v="2"/>
    <x v="6"/>
    <x v="5"/>
    <x v="6"/>
    <x v="4"/>
    <x v="4"/>
    <x v="0"/>
    <x v="2"/>
    <x v="4"/>
    <x v="0"/>
    <x v="0"/>
    <x v="3"/>
    <x v="15"/>
    <x v="10"/>
    <x v="48"/>
    <x v="49"/>
    <x v="284"/>
    <x v="104"/>
  </r>
  <r>
    <x v="694"/>
    <x v="167"/>
    <x v="0"/>
    <x v="2"/>
    <x v="6"/>
    <x v="5"/>
    <x v="6"/>
    <x v="4"/>
    <x v="4"/>
    <x v="1"/>
    <x v="2"/>
    <x v="4"/>
    <x v="4"/>
    <x v="8"/>
    <x v="13"/>
    <x v="9"/>
    <x v="7"/>
    <x v="202"/>
    <x v="198"/>
    <x v="133"/>
    <x v="439"/>
  </r>
  <r>
    <x v="695"/>
    <x v="174"/>
    <x v="0"/>
    <x v="2"/>
    <x v="6"/>
    <x v="5"/>
    <x v="6"/>
    <x v="4"/>
    <x v="4"/>
    <x v="0"/>
    <x v="2"/>
    <x v="4"/>
    <x v="4"/>
    <x v="8"/>
    <x v="4"/>
    <x v="9"/>
    <x v="7"/>
    <x v="34"/>
    <x v="41"/>
    <x v="224"/>
    <x v="53"/>
  </r>
  <r>
    <x v="696"/>
    <x v="181"/>
    <x v="0"/>
    <x v="2"/>
    <x v="6"/>
    <x v="5"/>
    <x v="6"/>
    <x v="4"/>
    <x v="4"/>
    <x v="1"/>
    <x v="1"/>
    <x v="2"/>
    <x v="7"/>
    <x v="14"/>
    <x v="21"/>
    <x v="18"/>
    <x v="12"/>
    <x v="482"/>
    <x v="451"/>
    <x v="437"/>
    <x v="940"/>
  </r>
  <r>
    <x v="697"/>
    <x v="188"/>
    <x v="0"/>
    <x v="2"/>
    <x v="6"/>
    <x v="5"/>
    <x v="6"/>
    <x v="4"/>
    <x v="4"/>
    <x v="0"/>
    <x v="1"/>
    <x v="2"/>
    <x v="7"/>
    <x v="14"/>
    <x v="7"/>
    <x v="18"/>
    <x v="12"/>
    <x v="176"/>
    <x v="183"/>
    <x v="602"/>
    <x v="306"/>
  </r>
  <r>
    <x v="698"/>
    <x v="168"/>
    <x v="0"/>
    <x v="2"/>
    <x v="6"/>
    <x v="5"/>
    <x v="6"/>
    <x v="4"/>
    <x v="4"/>
    <x v="1"/>
    <x v="1"/>
    <x v="2"/>
    <x v="6"/>
    <x v="12"/>
    <x v="18"/>
    <x v="3"/>
    <x v="2"/>
    <x v="70"/>
    <x v="63"/>
    <x v="31"/>
    <x v="201"/>
  </r>
  <r>
    <x v="699"/>
    <x v="175"/>
    <x v="0"/>
    <x v="2"/>
    <x v="6"/>
    <x v="5"/>
    <x v="6"/>
    <x v="4"/>
    <x v="4"/>
    <x v="0"/>
    <x v="1"/>
    <x v="2"/>
    <x v="6"/>
    <x v="12"/>
    <x v="7"/>
    <x v="3"/>
    <x v="2"/>
    <x v="7"/>
    <x v="8"/>
    <x v="107"/>
    <x v="18"/>
  </r>
  <r>
    <x v="700"/>
    <x v="209"/>
    <x v="0"/>
    <x v="2"/>
    <x v="7"/>
    <x v="1"/>
    <x v="7"/>
    <x v="0"/>
    <x v="0"/>
    <x v="1"/>
    <x v="3"/>
    <x v="6"/>
    <x v="1"/>
    <x v="2"/>
    <x v="16"/>
    <x v="25"/>
    <x v="16"/>
    <x v="852"/>
    <x v="756"/>
    <x v="1182"/>
    <x v="1587"/>
  </r>
  <r>
    <x v="701"/>
    <x v="189"/>
    <x v="0"/>
    <x v="2"/>
    <x v="7"/>
    <x v="1"/>
    <x v="7"/>
    <x v="0"/>
    <x v="0"/>
    <x v="0"/>
    <x v="3"/>
    <x v="6"/>
    <x v="1"/>
    <x v="2"/>
    <x v="8"/>
    <x v="25"/>
    <x v="16"/>
    <x v="813"/>
    <x v="728"/>
    <x v="1287"/>
    <x v="1500"/>
  </r>
  <r>
    <x v="702"/>
    <x v="196"/>
    <x v="0"/>
    <x v="2"/>
    <x v="7"/>
    <x v="1"/>
    <x v="7"/>
    <x v="0"/>
    <x v="0"/>
    <x v="1"/>
    <x v="3"/>
    <x v="6"/>
    <x v="2"/>
    <x v="4"/>
    <x v="16"/>
    <x v="22"/>
    <x v="14"/>
    <x v="757"/>
    <x v="690"/>
    <x v="882"/>
    <x v="1424"/>
  </r>
  <r>
    <x v="703"/>
    <x v="203"/>
    <x v="0"/>
    <x v="2"/>
    <x v="7"/>
    <x v="1"/>
    <x v="7"/>
    <x v="0"/>
    <x v="0"/>
    <x v="0"/>
    <x v="3"/>
    <x v="6"/>
    <x v="2"/>
    <x v="4"/>
    <x v="6"/>
    <x v="22"/>
    <x v="14"/>
    <x v="548"/>
    <x v="514"/>
    <x v="1057"/>
    <x v="971"/>
  </r>
  <r>
    <x v="704"/>
    <x v="210"/>
    <x v="0"/>
    <x v="2"/>
    <x v="7"/>
    <x v="1"/>
    <x v="7"/>
    <x v="0"/>
    <x v="0"/>
    <x v="1"/>
    <x v="3"/>
    <x v="6"/>
    <x v="5"/>
    <x v="10"/>
    <x v="15"/>
    <x v="28"/>
    <x v="18"/>
    <x v="868"/>
    <x v="774"/>
    <x v="1228"/>
    <x v="1594"/>
  </r>
  <r>
    <x v="705"/>
    <x v="190"/>
    <x v="0"/>
    <x v="2"/>
    <x v="7"/>
    <x v="1"/>
    <x v="7"/>
    <x v="0"/>
    <x v="0"/>
    <x v="0"/>
    <x v="3"/>
    <x v="6"/>
    <x v="5"/>
    <x v="10"/>
    <x v="5"/>
    <x v="28"/>
    <x v="18"/>
    <x v="808"/>
    <x v="731"/>
    <x v="1283"/>
    <x v="1427"/>
  </r>
  <r>
    <x v="706"/>
    <x v="197"/>
    <x v="0"/>
    <x v="2"/>
    <x v="7"/>
    <x v="1"/>
    <x v="7"/>
    <x v="0"/>
    <x v="0"/>
    <x v="1"/>
    <x v="0"/>
    <x v="0"/>
    <x v="3"/>
    <x v="6"/>
    <x v="97"/>
    <x v="0"/>
    <x v="0"/>
    <x v="467"/>
    <x v="377"/>
    <x v="419"/>
    <x v="1074"/>
  </r>
  <r>
    <x v="707"/>
    <x v="204"/>
    <x v="0"/>
    <x v="2"/>
    <x v="7"/>
    <x v="1"/>
    <x v="7"/>
    <x v="0"/>
    <x v="0"/>
    <x v="0"/>
    <x v="0"/>
    <x v="0"/>
    <x v="3"/>
    <x v="6"/>
    <x v="36"/>
    <x v="0"/>
    <x v="0"/>
    <x v="157"/>
    <x v="117"/>
    <x v="555"/>
    <x v="409"/>
  </r>
  <r>
    <x v="708"/>
    <x v="211"/>
    <x v="0"/>
    <x v="2"/>
    <x v="7"/>
    <x v="1"/>
    <x v="7"/>
    <x v="0"/>
    <x v="0"/>
    <x v="1"/>
    <x v="0"/>
    <x v="0"/>
    <x v="8"/>
    <x v="16"/>
    <x v="105"/>
    <x v="12"/>
    <x v="6"/>
    <x v="803"/>
    <x v="704"/>
    <x v="1010"/>
    <x v="1549"/>
  </r>
  <r>
    <x v="709"/>
    <x v="191"/>
    <x v="0"/>
    <x v="2"/>
    <x v="7"/>
    <x v="1"/>
    <x v="7"/>
    <x v="0"/>
    <x v="0"/>
    <x v="0"/>
    <x v="0"/>
    <x v="0"/>
    <x v="8"/>
    <x v="16"/>
    <x v="40"/>
    <x v="12"/>
    <x v="6"/>
    <x v="580"/>
    <x v="491"/>
    <x v="1085"/>
    <x v="1201"/>
  </r>
  <r>
    <x v="710"/>
    <x v="198"/>
    <x v="0"/>
    <x v="2"/>
    <x v="7"/>
    <x v="1"/>
    <x v="7"/>
    <x v="0"/>
    <x v="0"/>
    <x v="1"/>
    <x v="0"/>
    <x v="0"/>
    <x v="9"/>
    <x v="18"/>
    <x v="83"/>
    <x v="6"/>
    <x v="4"/>
    <x v="682"/>
    <x v="602"/>
    <x v="732"/>
    <x v="1338"/>
  </r>
  <r>
    <x v="711"/>
    <x v="205"/>
    <x v="0"/>
    <x v="2"/>
    <x v="7"/>
    <x v="1"/>
    <x v="7"/>
    <x v="0"/>
    <x v="0"/>
    <x v="0"/>
    <x v="0"/>
    <x v="0"/>
    <x v="9"/>
    <x v="18"/>
    <x v="41"/>
    <x v="6"/>
    <x v="4"/>
    <x v="456"/>
    <x v="410"/>
    <x v="982"/>
    <x v="913"/>
  </r>
  <r>
    <x v="712"/>
    <x v="212"/>
    <x v="0"/>
    <x v="2"/>
    <x v="7"/>
    <x v="1"/>
    <x v="7"/>
    <x v="0"/>
    <x v="0"/>
    <x v="1"/>
    <x v="2"/>
    <x v="4"/>
    <x v="0"/>
    <x v="0"/>
    <x v="35"/>
    <x v="15"/>
    <x v="10"/>
    <x v="616"/>
    <x v="537"/>
    <x v="632"/>
    <x v="1250"/>
  </r>
  <r>
    <x v="713"/>
    <x v="192"/>
    <x v="0"/>
    <x v="2"/>
    <x v="7"/>
    <x v="1"/>
    <x v="7"/>
    <x v="0"/>
    <x v="0"/>
    <x v="0"/>
    <x v="2"/>
    <x v="4"/>
    <x v="0"/>
    <x v="0"/>
    <x v="17"/>
    <x v="15"/>
    <x v="10"/>
    <x v="388"/>
    <x v="338"/>
    <x v="880"/>
    <x v="811"/>
  </r>
  <r>
    <x v="714"/>
    <x v="199"/>
    <x v="0"/>
    <x v="2"/>
    <x v="7"/>
    <x v="1"/>
    <x v="7"/>
    <x v="0"/>
    <x v="0"/>
    <x v="1"/>
    <x v="2"/>
    <x v="4"/>
    <x v="4"/>
    <x v="8"/>
    <x v="35"/>
    <x v="9"/>
    <x v="7"/>
    <x v="499"/>
    <x v="456"/>
    <x v="460"/>
    <x v="1013"/>
  </r>
  <r>
    <x v="715"/>
    <x v="206"/>
    <x v="0"/>
    <x v="2"/>
    <x v="7"/>
    <x v="1"/>
    <x v="7"/>
    <x v="0"/>
    <x v="0"/>
    <x v="0"/>
    <x v="2"/>
    <x v="4"/>
    <x v="4"/>
    <x v="8"/>
    <x v="15"/>
    <x v="9"/>
    <x v="7"/>
    <x v="239"/>
    <x v="227"/>
    <x v="687"/>
    <x v="461"/>
  </r>
  <r>
    <x v="716"/>
    <x v="213"/>
    <x v="0"/>
    <x v="2"/>
    <x v="7"/>
    <x v="1"/>
    <x v="7"/>
    <x v="0"/>
    <x v="0"/>
    <x v="1"/>
    <x v="1"/>
    <x v="2"/>
    <x v="7"/>
    <x v="14"/>
    <x v="48"/>
    <x v="18"/>
    <x v="12"/>
    <x v="718"/>
    <x v="650"/>
    <x v="800"/>
    <x v="1360"/>
  </r>
  <r>
    <x v="717"/>
    <x v="193"/>
    <x v="0"/>
    <x v="2"/>
    <x v="7"/>
    <x v="1"/>
    <x v="7"/>
    <x v="0"/>
    <x v="0"/>
    <x v="0"/>
    <x v="1"/>
    <x v="2"/>
    <x v="7"/>
    <x v="14"/>
    <x v="17"/>
    <x v="18"/>
    <x v="12"/>
    <x v="414"/>
    <x v="396"/>
    <x v="923"/>
    <x v="771"/>
  </r>
  <r>
    <x v="718"/>
    <x v="200"/>
    <x v="0"/>
    <x v="2"/>
    <x v="7"/>
    <x v="1"/>
    <x v="7"/>
    <x v="0"/>
    <x v="0"/>
    <x v="1"/>
    <x v="1"/>
    <x v="2"/>
    <x v="6"/>
    <x v="12"/>
    <x v="59"/>
    <x v="3"/>
    <x v="2"/>
    <x v="367"/>
    <x v="303"/>
    <x v="289"/>
    <x v="850"/>
  </r>
  <r>
    <x v="719"/>
    <x v="207"/>
    <x v="0"/>
    <x v="2"/>
    <x v="7"/>
    <x v="1"/>
    <x v="7"/>
    <x v="0"/>
    <x v="0"/>
    <x v="0"/>
    <x v="1"/>
    <x v="2"/>
    <x v="6"/>
    <x v="12"/>
    <x v="23"/>
    <x v="3"/>
    <x v="2"/>
    <x v="110"/>
    <x v="95"/>
    <x v="450"/>
    <x v="255"/>
  </r>
  <r>
    <x v="720"/>
    <x v="214"/>
    <x v="0"/>
    <x v="2"/>
    <x v="7"/>
    <x v="1"/>
    <x v="7"/>
    <x v="1"/>
    <x v="1"/>
    <x v="1"/>
    <x v="3"/>
    <x v="6"/>
    <x v="1"/>
    <x v="2"/>
    <x v="9"/>
    <x v="25"/>
    <x v="16"/>
    <x v="818"/>
    <x v="733"/>
    <x v="1067"/>
    <x v="1536"/>
  </r>
  <r>
    <x v="721"/>
    <x v="194"/>
    <x v="0"/>
    <x v="2"/>
    <x v="7"/>
    <x v="1"/>
    <x v="7"/>
    <x v="1"/>
    <x v="1"/>
    <x v="0"/>
    <x v="3"/>
    <x v="6"/>
    <x v="1"/>
    <x v="2"/>
    <x v="2"/>
    <x v="25"/>
    <x v="16"/>
    <x v="634"/>
    <x v="592"/>
    <x v="1131"/>
    <x v="1132"/>
  </r>
  <r>
    <x v="722"/>
    <x v="201"/>
    <x v="0"/>
    <x v="2"/>
    <x v="7"/>
    <x v="1"/>
    <x v="7"/>
    <x v="1"/>
    <x v="1"/>
    <x v="1"/>
    <x v="3"/>
    <x v="6"/>
    <x v="2"/>
    <x v="4"/>
    <x v="11"/>
    <x v="22"/>
    <x v="14"/>
    <x v="691"/>
    <x v="635"/>
    <x v="745"/>
    <x v="1286"/>
  </r>
  <r>
    <x v="723"/>
    <x v="208"/>
    <x v="0"/>
    <x v="2"/>
    <x v="7"/>
    <x v="1"/>
    <x v="7"/>
    <x v="1"/>
    <x v="1"/>
    <x v="0"/>
    <x v="3"/>
    <x v="6"/>
    <x v="2"/>
    <x v="4"/>
    <x v="2"/>
    <x v="22"/>
    <x v="14"/>
    <x v="316"/>
    <x v="304"/>
    <x v="791"/>
    <x v="530"/>
  </r>
  <r>
    <x v="724"/>
    <x v="215"/>
    <x v="0"/>
    <x v="2"/>
    <x v="7"/>
    <x v="1"/>
    <x v="7"/>
    <x v="1"/>
    <x v="1"/>
    <x v="1"/>
    <x v="3"/>
    <x v="6"/>
    <x v="5"/>
    <x v="10"/>
    <x v="11"/>
    <x v="28"/>
    <x v="18"/>
    <x v="851"/>
    <x v="762"/>
    <x v="1181"/>
    <x v="1572"/>
  </r>
  <r>
    <x v="725"/>
    <x v="195"/>
    <x v="0"/>
    <x v="2"/>
    <x v="7"/>
    <x v="1"/>
    <x v="7"/>
    <x v="1"/>
    <x v="1"/>
    <x v="0"/>
    <x v="3"/>
    <x v="6"/>
    <x v="5"/>
    <x v="10"/>
    <x v="2"/>
    <x v="28"/>
    <x v="18"/>
    <x v="721"/>
    <x v="673"/>
    <x v="1196"/>
    <x v="1189"/>
  </r>
  <r>
    <x v="726"/>
    <x v="202"/>
    <x v="0"/>
    <x v="2"/>
    <x v="7"/>
    <x v="1"/>
    <x v="7"/>
    <x v="1"/>
    <x v="1"/>
    <x v="1"/>
    <x v="0"/>
    <x v="0"/>
    <x v="3"/>
    <x v="6"/>
    <x v="62"/>
    <x v="0"/>
    <x v="0"/>
    <x v="313"/>
    <x v="242"/>
    <x v="219"/>
    <x v="776"/>
  </r>
  <r>
    <x v="727"/>
    <x v="209"/>
    <x v="0"/>
    <x v="2"/>
    <x v="7"/>
    <x v="1"/>
    <x v="7"/>
    <x v="1"/>
    <x v="1"/>
    <x v="0"/>
    <x v="0"/>
    <x v="0"/>
    <x v="3"/>
    <x v="6"/>
    <x v="23"/>
    <x v="0"/>
    <x v="0"/>
    <x v="70"/>
    <x v="55"/>
    <x v="350"/>
    <x v="198"/>
  </r>
  <r>
    <x v="728"/>
    <x v="189"/>
    <x v="0"/>
    <x v="2"/>
    <x v="7"/>
    <x v="1"/>
    <x v="7"/>
    <x v="1"/>
    <x v="1"/>
    <x v="1"/>
    <x v="0"/>
    <x v="0"/>
    <x v="8"/>
    <x v="16"/>
    <x v="63"/>
    <x v="12"/>
    <x v="6"/>
    <x v="703"/>
    <x v="604"/>
    <x v="771"/>
    <x v="1409"/>
  </r>
  <r>
    <x v="729"/>
    <x v="196"/>
    <x v="0"/>
    <x v="2"/>
    <x v="7"/>
    <x v="1"/>
    <x v="7"/>
    <x v="1"/>
    <x v="1"/>
    <x v="0"/>
    <x v="0"/>
    <x v="0"/>
    <x v="8"/>
    <x v="16"/>
    <x v="23"/>
    <x v="12"/>
    <x v="6"/>
    <x v="403"/>
    <x v="333"/>
    <x v="905"/>
    <x v="877"/>
  </r>
  <r>
    <x v="730"/>
    <x v="203"/>
    <x v="0"/>
    <x v="2"/>
    <x v="7"/>
    <x v="1"/>
    <x v="7"/>
    <x v="1"/>
    <x v="1"/>
    <x v="1"/>
    <x v="0"/>
    <x v="0"/>
    <x v="9"/>
    <x v="18"/>
    <x v="56"/>
    <x v="6"/>
    <x v="4"/>
    <x v="562"/>
    <x v="498"/>
    <x v="557"/>
    <x v="1160"/>
  </r>
  <r>
    <x v="731"/>
    <x v="210"/>
    <x v="0"/>
    <x v="2"/>
    <x v="7"/>
    <x v="1"/>
    <x v="7"/>
    <x v="1"/>
    <x v="1"/>
    <x v="0"/>
    <x v="0"/>
    <x v="0"/>
    <x v="9"/>
    <x v="18"/>
    <x v="17"/>
    <x v="6"/>
    <x v="4"/>
    <x v="196"/>
    <x v="180"/>
    <x v="623"/>
    <x v="403"/>
  </r>
  <r>
    <x v="732"/>
    <x v="190"/>
    <x v="0"/>
    <x v="2"/>
    <x v="7"/>
    <x v="1"/>
    <x v="7"/>
    <x v="1"/>
    <x v="1"/>
    <x v="1"/>
    <x v="2"/>
    <x v="4"/>
    <x v="0"/>
    <x v="0"/>
    <x v="20"/>
    <x v="15"/>
    <x v="10"/>
    <x v="432"/>
    <x v="384"/>
    <x v="380"/>
    <x v="948"/>
  </r>
  <r>
    <x v="733"/>
    <x v="197"/>
    <x v="0"/>
    <x v="2"/>
    <x v="7"/>
    <x v="1"/>
    <x v="7"/>
    <x v="1"/>
    <x v="1"/>
    <x v="0"/>
    <x v="2"/>
    <x v="4"/>
    <x v="0"/>
    <x v="0"/>
    <x v="7"/>
    <x v="15"/>
    <x v="10"/>
    <x v="160"/>
    <x v="142"/>
    <x v="563"/>
    <x v="334"/>
  </r>
  <r>
    <x v="734"/>
    <x v="204"/>
    <x v="0"/>
    <x v="2"/>
    <x v="7"/>
    <x v="1"/>
    <x v="7"/>
    <x v="1"/>
    <x v="1"/>
    <x v="1"/>
    <x v="2"/>
    <x v="4"/>
    <x v="4"/>
    <x v="8"/>
    <x v="24"/>
    <x v="9"/>
    <x v="7"/>
    <x v="375"/>
    <x v="347"/>
    <x v="302"/>
    <x v="791"/>
  </r>
  <r>
    <x v="735"/>
    <x v="211"/>
    <x v="0"/>
    <x v="2"/>
    <x v="7"/>
    <x v="1"/>
    <x v="7"/>
    <x v="1"/>
    <x v="1"/>
    <x v="0"/>
    <x v="2"/>
    <x v="4"/>
    <x v="4"/>
    <x v="8"/>
    <x v="8"/>
    <x v="9"/>
    <x v="7"/>
    <x v="101"/>
    <x v="107"/>
    <x v="439"/>
    <x v="191"/>
  </r>
  <r>
    <x v="736"/>
    <x v="191"/>
    <x v="0"/>
    <x v="2"/>
    <x v="7"/>
    <x v="1"/>
    <x v="7"/>
    <x v="1"/>
    <x v="1"/>
    <x v="1"/>
    <x v="1"/>
    <x v="2"/>
    <x v="7"/>
    <x v="14"/>
    <x v="25"/>
    <x v="18"/>
    <x v="12"/>
    <x v="540"/>
    <x v="497"/>
    <x v="519"/>
    <x v="1059"/>
  </r>
  <r>
    <x v="737"/>
    <x v="198"/>
    <x v="0"/>
    <x v="2"/>
    <x v="7"/>
    <x v="1"/>
    <x v="7"/>
    <x v="1"/>
    <x v="1"/>
    <x v="0"/>
    <x v="1"/>
    <x v="2"/>
    <x v="7"/>
    <x v="14"/>
    <x v="9"/>
    <x v="18"/>
    <x v="12"/>
    <x v="235"/>
    <x v="232"/>
    <x v="681"/>
    <x v="427"/>
  </r>
  <r>
    <x v="738"/>
    <x v="205"/>
    <x v="0"/>
    <x v="2"/>
    <x v="7"/>
    <x v="1"/>
    <x v="7"/>
    <x v="1"/>
    <x v="1"/>
    <x v="1"/>
    <x v="1"/>
    <x v="2"/>
    <x v="6"/>
    <x v="12"/>
    <x v="31"/>
    <x v="3"/>
    <x v="2"/>
    <x v="175"/>
    <x v="148"/>
    <x v="113"/>
    <x v="451"/>
  </r>
  <r>
    <x v="739"/>
    <x v="212"/>
    <x v="0"/>
    <x v="2"/>
    <x v="7"/>
    <x v="1"/>
    <x v="7"/>
    <x v="1"/>
    <x v="1"/>
    <x v="0"/>
    <x v="1"/>
    <x v="2"/>
    <x v="6"/>
    <x v="12"/>
    <x v="10"/>
    <x v="3"/>
    <x v="2"/>
    <x v="17"/>
    <x v="20"/>
    <x v="175"/>
    <x v="46"/>
  </r>
  <r>
    <x v="740"/>
    <x v="192"/>
    <x v="0"/>
    <x v="2"/>
    <x v="7"/>
    <x v="1"/>
    <x v="7"/>
    <x v="3"/>
    <x v="3"/>
    <x v="1"/>
    <x v="3"/>
    <x v="6"/>
    <x v="1"/>
    <x v="2"/>
    <x v="7"/>
    <x v="25"/>
    <x v="16"/>
    <x v="804"/>
    <x v="721"/>
    <x v="1013"/>
    <x v="1494"/>
  </r>
  <r>
    <x v="741"/>
    <x v="199"/>
    <x v="0"/>
    <x v="2"/>
    <x v="7"/>
    <x v="1"/>
    <x v="7"/>
    <x v="3"/>
    <x v="3"/>
    <x v="0"/>
    <x v="3"/>
    <x v="6"/>
    <x v="1"/>
    <x v="2"/>
    <x v="2"/>
    <x v="25"/>
    <x v="16"/>
    <x v="634"/>
    <x v="592"/>
    <x v="1131"/>
    <x v="1132"/>
  </r>
  <r>
    <x v="742"/>
    <x v="206"/>
    <x v="0"/>
    <x v="2"/>
    <x v="7"/>
    <x v="1"/>
    <x v="7"/>
    <x v="3"/>
    <x v="3"/>
    <x v="1"/>
    <x v="3"/>
    <x v="6"/>
    <x v="2"/>
    <x v="4"/>
    <x v="6"/>
    <x v="22"/>
    <x v="14"/>
    <x v="548"/>
    <x v="514"/>
    <x v="531"/>
    <x v="1034"/>
  </r>
  <r>
    <x v="743"/>
    <x v="213"/>
    <x v="0"/>
    <x v="2"/>
    <x v="7"/>
    <x v="1"/>
    <x v="7"/>
    <x v="3"/>
    <x v="3"/>
    <x v="0"/>
    <x v="3"/>
    <x v="6"/>
    <x v="2"/>
    <x v="4"/>
    <x v="1"/>
    <x v="22"/>
    <x v="14"/>
    <x v="220"/>
    <x v="229"/>
    <x v="658"/>
    <x v="351"/>
  </r>
  <r>
    <x v="744"/>
    <x v="193"/>
    <x v="0"/>
    <x v="2"/>
    <x v="7"/>
    <x v="1"/>
    <x v="7"/>
    <x v="3"/>
    <x v="3"/>
    <x v="1"/>
    <x v="3"/>
    <x v="6"/>
    <x v="5"/>
    <x v="10"/>
    <x v="8"/>
    <x v="28"/>
    <x v="18"/>
    <x v="835"/>
    <x v="748"/>
    <x v="1125"/>
    <x v="1541"/>
  </r>
  <r>
    <x v="745"/>
    <x v="200"/>
    <x v="0"/>
    <x v="2"/>
    <x v="7"/>
    <x v="1"/>
    <x v="7"/>
    <x v="3"/>
    <x v="3"/>
    <x v="0"/>
    <x v="3"/>
    <x v="6"/>
    <x v="5"/>
    <x v="10"/>
    <x v="1"/>
    <x v="28"/>
    <x v="18"/>
    <x v="644"/>
    <x v="623"/>
    <x v="1140"/>
    <x v="1009"/>
  </r>
  <r>
    <x v="746"/>
    <x v="207"/>
    <x v="0"/>
    <x v="2"/>
    <x v="7"/>
    <x v="1"/>
    <x v="7"/>
    <x v="3"/>
    <x v="3"/>
    <x v="1"/>
    <x v="0"/>
    <x v="0"/>
    <x v="3"/>
    <x v="6"/>
    <x v="38"/>
    <x v="0"/>
    <x v="0"/>
    <x v="169"/>
    <x v="129"/>
    <x v="108"/>
    <x v="476"/>
  </r>
  <r>
    <x v="747"/>
    <x v="214"/>
    <x v="0"/>
    <x v="2"/>
    <x v="7"/>
    <x v="1"/>
    <x v="7"/>
    <x v="3"/>
    <x v="3"/>
    <x v="0"/>
    <x v="0"/>
    <x v="0"/>
    <x v="3"/>
    <x v="6"/>
    <x v="14"/>
    <x v="0"/>
    <x v="0"/>
    <x v="22"/>
    <x v="21"/>
    <x v="192"/>
    <x v="63"/>
  </r>
  <r>
    <x v="748"/>
    <x v="194"/>
    <x v="0"/>
    <x v="2"/>
    <x v="7"/>
    <x v="1"/>
    <x v="7"/>
    <x v="3"/>
    <x v="3"/>
    <x v="1"/>
    <x v="0"/>
    <x v="0"/>
    <x v="8"/>
    <x v="16"/>
    <x v="31"/>
    <x v="12"/>
    <x v="6"/>
    <x v="498"/>
    <x v="419"/>
    <x v="458"/>
    <x v="1100"/>
  </r>
  <r>
    <x v="749"/>
    <x v="201"/>
    <x v="0"/>
    <x v="2"/>
    <x v="7"/>
    <x v="1"/>
    <x v="7"/>
    <x v="3"/>
    <x v="3"/>
    <x v="0"/>
    <x v="0"/>
    <x v="0"/>
    <x v="8"/>
    <x v="16"/>
    <x v="15"/>
    <x v="12"/>
    <x v="6"/>
    <x v="274"/>
    <x v="226"/>
    <x v="735"/>
    <x v="620"/>
  </r>
  <r>
    <x v="750"/>
    <x v="208"/>
    <x v="0"/>
    <x v="2"/>
    <x v="7"/>
    <x v="1"/>
    <x v="7"/>
    <x v="3"/>
    <x v="3"/>
    <x v="1"/>
    <x v="0"/>
    <x v="0"/>
    <x v="9"/>
    <x v="18"/>
    <x v="44"/>
    <x v="6"/>
    <x v="4"/>
    <x v="482"/>
    <x v="424"/>
    <x v="437"/>
    <x v="1012"/>
  </r>
  <r>
    <x v="751"/>
    <x v="215"/>
    <x v="0"/>
    <x v="2"/>
    <x v="7"/>
    <x v="1"/>
    <x v="7"/>
    <x v="3"/>
    <x v="3"/>
    <x v="0"/>
    <x v="0"/>
    <x v="0"/>
    <x v="9"/>
    <x v="18"/>
    <x v="14"/>
    <x v="6"/>
    <x v="4"/>
    <x v="150"/>
    <x v="139"/>
    <x v="539"/>
    <x v="296"/>
  </r>
  <r>
    <x v="752"/>
    <x v="195"/>
    <x v="0"/>
    <x v="2"/>
    <x v="7"/>
    <x v="1"/>
    <x v="7"/>
    <x v="3"/>
    <x v="3"/>
    <x v="1"/>
    <x v="2"/>
    <x v="4"/>
    <x v="0"/>
    <x v="0"/>
    <x v="19"/>
    <x v="15"/>
    <x v="10"/>
    <x v="418"/>
    <x v="367"/>
    <x v="358"/>
    <x v="919"/>
  </r>
  <r>
    <x v="753"/>
    <x v="202"/>
    <x v="0"/>
    <x v="2"/>
    <x v="7"/>
    <x v="1"/>
    <x v="7"/>
    <x v="3"/>
    <x v="3"/>
    <x v="0"/>
    <x v="2"/>
    <x v="4"/>
    <x v="0"/>
    <x v="0"/>
    <x v="5"/>
    <x v="15"/>
    <x v="10"/>
    <x v="99"/>
    <x v="93"/>
    <x v="434"/>
    <x v="220"/>
  </r>
  <r>
    <x v="754"/>
    <x v="209"/>
    <x v="0"/>
    <x v="2"/>
    <x v="7"/>
    <x v="1"/>
    <x v="7"/>
    <x v="3"/>
    <x v="3"/>
    <x v="1"/>
    <x v="2"/>
    <x v="4"/>
    <x v="4"/>
    <x v="8"/>
    <x v="16"/>
    <x v="9"/>
    <x v="7"/>
    <x v="259"/>
    <x v="246"/>
    <x v="184"/>
    <x v="546"/>
  </r>
  <r>
    <x v="755"/>
    <x v="189"/>
    <x v="0"/>
    <x v="2"/>
    <x v="7"/>
    <x v="1"/>
    <x v="7"/>
    <x v="3"/>
    <x v="3"/>
    <x v="0"/>
    <x v="2"/>
    <x v="4"/>
    <x v="4"/>
    <x v="8"/>
    <x v="5"/>
    <x v="9"/>
    <x v="7"/>
    <x v="46"/>
    <x v="56"/>
    <x v="280"/>
    <x v="80"/>
  </r>
  <r>
    <x v="756"/>
    <x v="196"/>
    <x v="0"/>
    <x v="2"/>
    <x v="7"/>
    <x v="1"/>
    <x v="7"/>
    <x v="3"/>
    <x v="3"/>
    <x v="1"/>
    <x v="1"/>
    <x v="2"/>
    <x v="7"/>
    <x v="14"/>
    <x v="23"/>
    <x v="18"/>
    <x v="12"/>
    <x v="512"/>
    <x v="475"/>
    <x v="482"/>
    <x v="997"/>
  </r>
  <r>
    <x v="757"/>
    <x v="203"/>
    <x v="0"/>
    <x v="2"/>
    <x v="7"/>
    <x v="1"/>
    <x v="7"/>
    <x v="3"/>
    <x v="3"/>
    <x v="0"/>
    <x v="1"/>
    <x v="2"/>
    <x v="7"/>
    <x v="14"/>
    <x v="6"/>
    <x v="18"/>
    <x v="12"/>
    <x v="150"/>
    <x v="157"/>
    <x v="539"/>
    <x v="244"/>
  </r>
  <r>
    <x v="758"/>
    <x v="210"/>
    <x v="0"/>
    <x v="2"/>
    <x v="7"/>
    <x v="1"/>
    <x v="7"/>
    <x v="3"/>
    <x v="3"/>
    <x v="1"/>
    <x v="1"/>
    <x v="2"/>
    <x v="6"/>
    <x v="12"/>
    <x v="24"/>
    <x v="3"/>
    <x v="2"/>
    <x v="118"/>
    <x v="102"/>
    <x v="66"/>
    <x v="317"/>
  </r>
  <r>
    <x v="759"/>
    <x v="190"/>
    <x v="0"/>
    <x v="2"/>
    <x v="7"/>
    <x v="1"/>
    <x v="7"/>
    <x v="3"/>
    <x v="3"/>
    <x v="0"/>
    <x v="1"/>
    <x v="2"/>
    <x v="6"/>
    <x v="12"/>
    <x v="6"/>
    <x v="3"/>
    <x v="2"/>
    <x v="5"/>
    <x v="6"/>
    <x v="81"/>
    <x v="11"/>
  </r>
  <r>
    <x v="760"/>
    <x v="197"/>
    <x v="0"/>
    <x v="2"/>
    <x v="7"/>
    <x v="1"/>
    <x v="7"/>
    <x v="2"/>
    <x v="2"/>
    <x v="1"/>
    <x v="3"/>
    <x v="6"/>
    <x v="1"/>
    <x v="2"/>
    <x v="5"/>
    <x v="25"/>
    <x v="16"/>
    <x v="768"/>
    <x v="698"/>
    <x v="904"/>
    <x v="1420"/>
  </r>
  <r>
    <x v="761"/>
    <x v="204"/>
    <x v="0"/>
    <x v="2"/>
    <x v="7"/>
    <x v="1"/>
    <x v="7"/>
    <x v="2"/>
    <x v="2"/>
    <x v="0"/>
    <x v="3"/>
    <x v="6"/>
    <x v="1"/>
    <x v="2"/>
    <x v="1"/>
    <x v="25"/>
    <x v="16"/>
    <x v="548"/>
    <x v="519"/>
    <x v="1057"/>
    <x v="933"/>
  </r>
  <r>
    <x v="762"/>
    <x v="211"/>
    <x v="0"/>
    <x v="2"/>
    <x v="7"/>
    <x v="1"/>
    <x v="7"/>
    <x v="2"/>
    <x v="2"/>
    <x v="1"/>
    <x v="3"/>
    <x v="6"/>
    <x v="2"/>
    <x v="4"/>
    <x v="5"/>
    <x v="22"/>
    <x v="14"/>
    <x v="500"/>
    <x v="476"/>
    <x v="461"/>
    <x v="938"/>
  </r>
  <r>
    <x v="763"/>
    <x v="191"/>
    <x v="0"/>
    <x v="2"/>
    <x v="7"/>
    <x v="1"/>
    <x v="7"/>
    <x v="2"/>
    <x v="2"/>
    <x v="0"/>
    <x v="3"/>
    <x v="6"/>
    <x v="2"/>
    <x v="4"/>
    <x v="1"/>
    <x v="22"/>
    <x v="14"/>
    <x v="220"/>
    <x v="229"/>
    <x v="658"/>
    <x v="351"/>
  </r>
  <r>
    <x v="764"/>
    <x v="198"/>
    <x v="0"/>
    <x v="2"/>
    <x v="7"/>
    <x v="1"/>
    <x v="7"/>
    <x v="2"/>
    <x v="2"/>
    <x v="1"/>
    <x v="3"/>
    <x v="6"/>
    <x v="5"/>
    <x v="10"/>
    <x v="5"/>
    <x v="28"/>
    <x v="18"/>
    <x v="808"/>
    <x v="731"/>
    <x v="1028"/>
    <x v="1458"/>
  </r>
  <r>
    <x v="765"/>
    <x v="205"/>
    <x v="0"/>
    <x v="2"/>
    <x v="7"/>
    <x v="1"/>
    <x v="7"/>
    <x v="2"/>
    <x v="2"/>
    <x v="0"/>
    <x v="3"/>
    <x v="6"/>
    <x v="5"/>
    <x v="10"/>
    <x v="0"/>
    <x v="28"/>
    <x v="18"/>
    <x v="517"/>
    <x v="521"/>
    <x v="1033"/>
    <x v="751"/>
  </r>
  <r>
    <x v="766"/>
    <x v="212"/>
    <x v="0"/>
    <x v="2"/>
    <x v="7"/>
    <x v="1"/>
    <x v="7"/>
    <x v="2"/>
    <x v="2"/>
    <x v="1"/>
    <x v="0"/>
    <x v="0"/>
    <x v="3"/>
    <x v="6"/>
    <x v="24"/>
    <x v="0"/>
    <x v="0"/>
    <x v="77"/>
    <x v="61"/>
    <x v="37"/>
    <x v="234"/>
  </r>
  <r>
    <x v="767"/>
    <x v="192"/>
    <x v="0"/>
    <x v="2"/>
    <x v="7"/>
    <x v="1"/>
    <x v="7"/>
    <x v="2"/>
    <x v="2"/>
    <x v="0"/>
    <x v="0"/>
    <x v="0"/>
    <x v="3"/>
    <x v="6"/>
    <x v="12"/>
    <x v="0"/>
    <x v="0"/>
    <x v="15"/>
    <x v="13"/>
    <x v="151"/>
    <x v="45"/>
  </r>
  <r>
    <x v="768"/>
    <x v="199"/>
    <x v="0"/>
    <x v="2"/>
    <x v="7"/>
    <x v="1"/>
    <x v="7"/>
    <x v="2"/>
    <x v="2"/>
    <x v="1"/>
    <x v="0"/>
    <x v="0"/>
    <x v="8"/>
    <x v="16"/>
    <x v="24"/>
    <x v="12"/>
    <x v="6"/>
    <x v="414"/>
    <x v="346"/>
    <x v="348"/>
    <x v="939"/>
  </r>
  <r>
    <x v="769"/>
    <x v="206"/>
    <x v="0"/>
    <x v="2"/>
    <x v="7"/>
    <x v="1"/>
    <x v="7"/>
    <x v="2"/>
    <x v="2"/>
    <x v="0"/>
    <x v="0"/>
    <x v="0"/>
    <x v="8"/>
    <x v="16"/>
    <x v="10"/>
    <x v="12"/>
    <x v="6"/>
    <x v="173"/>
    <x v="143"/>
    <x v="593"/>
    <x v="417"/>
  </r>
  <r>
    <x v="770"/>
    <x v="213"/>
    <x v="0"/>
    <x v="2"/>
    <x v="7"/>
    <x v="1"/>
    <x v="7"/>
    <x v="2"/>
    <x v="2"/>
    <x v="1"/>
    <x v="0"/>
    <x v="0"/>
    <x v="9"/>
    <x v="18"/>
    <x v="31"/>
    <x v="6"/>
    <x v="4"/>
    <x v="368"/>
    <x v="327"/>
    <x v="290"/>
    <x v="801"/>
  </r>
  <r>
    <x v="771"/>
    <x v="193"/>
    <x v="0"/>
    <x v="2"/>
    <x v="7"/>
    <x v="1"/>
    <x v="7"/>
    <x v="2"/>
    <x v="2"/>
    <x v="0"/>
    <x v="0"/>
    <x v="0"/>
    <x v="9"/>
    <x v="18"/>
    <x v="9"/>
    <x v="6"/>
    <x v="4"/>
    <x v="73"/>
    <x v="74"/>
    <x v="360"/>
    <x v="138"/>
  </r>
  <r>
    <x v="772"/>
    <x v="200"/>
    <x v="0"/>
    <x v="2"/>
    <x v="7"/>
    <x v="1"/>
    <x v="7"/>
    <x v="2"/>
    <x v="2"/>
    <x v="1"/>
    <x v="2"/>
    <x v="4"/>
    <x v="0"/>
    <x v="0"/>
    <x v="10"/>
    <x v="15"/>
    <x v="10"/>
    <x v="237"/>
    <x v="208"/>
    <x v="162"/>
    <x v="560"/>
  </r>
  <r>
    <x v="773"/>
    <x v="207"/>
    <x v="0"/>
    <x v="2"/>
    <x v="7"/>
    <x v="1"/>
    <x v="7"/>
    <x v="2"/>
    <x v="2"/>
    <x v="0"/>
    <x v="2"/>
    <x v="4"/>
    <x v="0"/>
    <x v="0"/>
    <x v="4"/>
    <x v="15"/>
    <x v="10"/>
    <x v="76"/>
    <x v="70"/>
    <x v="365"/>
    <x v="159"/>
  </r>
  <r>
    <x v="774"/>
    <x v="214"/>
    <x v="0"/>
    <x v="2"/>
    <x v="7"/>
    <x v="1"/>
    <x v="7"/>
    <x v="2"/>
    <x v="2"/>
    <x v="1"/>
    <x v="2"/>
    <x v="4"/>
    <x v="4"/>
    <x v="8"/>
    <x v="10"/>
    <x v="9"/>
    <x v="7"/>
    <x v="144"/>
    <x v="144"/>
    <x v="87"/>
    <x v="311"/>
  </r>
  <r>
    <x v="775"/>
    <x v="194"/>
    <x v="0"/>
    <x v="2"/>
    <x v="7"/>
    <x v="1"/>
    <x v="7"/>
    <x v="2"/>
    <x v="2"/>
    <x v="0"/>
    <x v="2"/>
    <x v="4"/>
    <x v="4"/>
    <x v="8"/>
    <x v="3"/>
    <x v="9"/>
    <x v="7"/>
    <x v="18"/>
    <x v="28"/>
    <x v="179"/>
    <x v="34"/>
  </r>
  <r>
    <x v="776"/>
    <x v="201"/>
    <x v="0"/>
    <x v="2"/>
    <x v="7"/>
    <x v="1"/>
    <x v="7"/>
    <x v="2"/>
    <x v="2"/>
    <x v="1"/>
    <x v="1"/>
    <x v="2"/>
    <x v="7"/>
    <x v="14"/>
    <x v="15"/>
    <x v="18"/>
    <x v="12"/>
    <x v="375"/>
    <x v="356"/>
    <x v="302"/>
    <x v="756"/>
  </r>
  <r>
    <x v="777"/>
    <x v="208"/>
    <x v="0"/>
    <x v="2"/>
    <x v="7"/>
    <x v="1"/>
    <x v="7"/>
    <x v="2"/>
    <x v="2"/>
    <x v="0"/>
    <x v="1"/>
    <x v="2"/>
    <x v="7"/>
    <x v="14"/>
    <x v="5"/>
    <x v="18"/>
    <x v="12"/>
    <x v="118"/>
    <x v="126"/>
    <x v="473"/>
    <x v="197"/>
  </r>
  <r>
    <x v="778"/>
    <x v="215"/>
    <x v="0"/>
    <x v="2"/>
    <x v="7"/>
    <x v="1"/>
    <x v="7"/>
    <x v="2"/>
    <x v="2"/>
    <x v="1"/>
    <x v="1"/>
    <x v="2"/>
    <x v="6"/>
    <x v="12"/>
    <x v="13"/>
    <x v="3"/>
    <x v="2"/>
    <x v="37"/>
    <x v="36"/>
    <x v="6"/>
    <x v="99"/>
  </r>
  <r>
    <x v="779"/>
    <x v="195"/>
    <x v="0"/>
    <x v="2"/>
    <x v="7"/>
    <x v="1"/>
    <x v="7"/>
    <x v="2"/>
    <x v="2"/>
    <x v="0"/>
    <x v="1"/>
    <x v="2"/>
    <x v="6"/>
    <x v="12"/>
    <x v="4"/>
    <x v="3"/>
    <x v="2"/>
    <x v="1"/>
    <x v="1"/>
    <x v="40"/>
    <x v="2"/>
  </r>
  <r>
    <x v="780"/>
    <x v="202"/>
    <x v="0"/>
    <x v="2"/>
    <x v="7"/>
    <x v="1"/>
    <x v="7"/>
    <x v="4"/>
    <x v="4"/>
    <x v="1"/>
    <x v="3"/>
    <x v="6"/>
    <x v="1"/>
    <x v="2"/>
    <x v="5"/>
    <x v="25"/>
    <x v="16"/>
    <x v="768"/>
    <x v="698"/>
    <x v="904"/>
    <x v="1420"/>
  </r>
  <r>
    <x v="781"/>
    <x v="209"/>
    <x v="0"/>
    <x v="2"/>
    <x v="7"/>
    <x v="1"/>
    <x v="7"/>
    <x v="4"/>
    <x v="4"/>
    <x v="0"/>
    <x v="3"/>
    <x v="6"/>
    <x v="1"/>
    <x v="2"/>
    <x v="1"/>
    <x v="25"/>
    <x v="16"/>
    <x v="548"/>
    <x v="519"/>
    <x v="1057"/>
    <x v="933"/>
  </r>
  <r>
    <x v="782"/>
    <x v="189"/>
    <x v="0"/>
    <x v="2"/>
    <x v="7"/>
    <x v="1"/>
    <x v="7"/>
    <x v="4"/>
    <x v="4"/>
    <x v="1"/>
    <x v="3"/>
    <x v="6"/>
    <x v="2"/>
    <x v="4"/>
    <x v="5"/>
    <x v="22"/>
    <x v="14"/>
    <x v="500"/>
    <x v="476"/>
    <x v="461"/>
    <x v="938"/>
  </r>
  <r>
    <x v="783"/>
    <x v="196"/>
    <x v="0"/>
    <x v="2"/>
    <x v="7"/>
    <x v="1"/>
    <x v="7"/>
    <x v="4"/>
    <x v="4"/>
    <x v="0"/>
    <x v="3"/>
    <x v="6"/>
    <x v="2"/>
    <x v="4"/>
    <x v="0"/>
    <x v="22"/>
    <x v="14"/>
    <x v="116"/>
    <x v="132"/>
    <x v="469"/>
    <x v="168"/>
  </r>
  <r>
    <x v="784"/>
    <x v="203"/>
    <x v="0"/>
    <x v="2"/>
    <x v="7"/>
    <x v="1"/>
    <x v="7"/>
    <x v="4"/>
    <x v="4"/>
    <x v="1"/>
    <x v="3"/>
    <x v="6"/>
    <x v="5"/>
    <x v="10"/>
    <x v="5"/>
    <x v="28"/>
    <x v="18"/>
    <x v="808"/>
    <x v="731"/>
    <x v="1028"/>
    <x v="1458"/>
  </r>
  <r>
    <x v="785"/>
    <x v="210"/>
    <x v="0"/>
    <x v="2"/>
    <x v="7"/>
    <x v="1"/>
    <x v="7"/>
    <x v="4"/>
    <x v="4"/>
    <x v="0"/>
    <x v="3"/>
    <x v="6"/>
    <x v="5"/>
    <x v="10"/>
    <x v="1"/>
    <x v="28"/>
    <x v="18"/>
    <x v="644"/>
    <x v="623"/>
    <x v="1140"/>
    <x v="1009"/>
  </r>
  <r>
    <x v="786"/>
    <x v="190"/>
    <x v="0"/>
    <x v="2"/>
    <x v="7"/>
    <x v="1"/>
    <x v="7"/>
    <x v="4"/>
    <x v="4"/>
    <x v="1"/>
    <x v="0"/>
    <x v="0"/>
    <x v="3"/>
    <x v="6"/>
    <x v="30"/>
    <x v="0"/>
    <x v="0"/>
    <x v="114"/>
    <x v="87"/>
    <x v="64"/>
    <x v="333"/>
  </r>
  <r>
    <x v="787"/>
    <x v="197"/>
    <x v="0"/>
    <x v="2"/>
    <x v="7"/>
    <x v="1"/>
    <x v="7"/>
    <x v="4"/>
    <x v="4"/>
    <x v="0"/>
    <x v="0"/>
    <x v="0"/>
    <x v="3"/>
    <x v="6"/>
    <x v="8"/>
    <x v="0"/>
    <x v="0"/>
    <x v="5"/>
    <x v="5"/>
    <x v="81"/>
    <x v="15"/>
  </r>
  <r>
    <x v="788"/>
    <x v="204"/>
    <x v="0"/>
    <x v="2"/>
    <x v="7"/>
    <x v="1"/>
    <x v="7"/>
    <x v="4"/>
    <x v="4"/>
    <x v="1"/>
    <x v="0"/>
    <x v="0"/>
    <x v="8"/>
    <x v="16"/>
    <x v="28"/>
    <x v="12"/>
    <x v="6"/>
    <x v="466"/>
    <x v="393"/>
    <x v="417"/>
    <x v="1045"/>
  </r>
  <r>
    <x v="789"/>
    <x v="211"/>
    <x v="0"/>
    <x v="2"/>
    <x v="7"/>
    <x v="1"/>
    <x v="7"/>
    <x v="4"/>
    <x v="4"/>
    <x v="0"/>
    <x v="0"/>
    <x v="0"/>
    <x v="8"/>
    <x v="16"/>
    <x v="10"/>
    <x v="12"/>
    <x v="6"/>
    <x v="173"/>
    <x v="143"/>
    <x v="593"/>
    <x v="417"/>
  </r>
  <r>
    <x v="790"/>
    <x v="191"/>
    <x v="0"/>
    <x v="2"/>
    <x v="7"/>
    <x v="1"/>
    <x v="7"/>
    <x v="4"/>
    <x v="4"/>
    <x v="1"/>
    <x v="0"/>
    <x v="0"/>
    <x v="9"/>
    <x v="18"/>
    <x v="28"/>
    <x v="6"/>
    <x v="4"/>
    <x v="342"/>
    <x v="297"/>
    <x v="245"/>
    <x v="738"/>
  </r>
  <r>
    <x v="791"/>
    <x v="198"/>
    <x v="0"/>
    <x v="2"/>
    <x v="7"/>
    <x v="1"/>
    <x v="7"/>
    <x v="4"/>
    <x v="4"/>
    <x v="0"/>
    <x v="0"/>
    <x v="0"/>
    <x v="9"/>
    <x v="18"/>
    <x v="11"/>
    <x v="6"/>
    <x v="4"/>
    <x v="100"/>
    <x v="101"/>
    <x v="437"/>
    <x v="211"/>
  </r>
  <r>
    <x v="792"/>
    <x v="205"/>
    <x v="0"/>
    <x v="2"/>
    <x v="7"/>
    <x v="1"/>
    <x v="7"/>
    <x v="4"/>
    <x v="4"/>
    <x v="1"/>
    <x v="2"/>
    <x v="4"/>
    <x v="0"/>
    <x v="0"/>
    <x v="12"/>
    <x v="15"/>
    <x v="10"/>
    <x v="286"/>
    <x v="253"/>
    <x v="202"/>
    <x v="656"/>
  </r>
  <r>
    <x v="793"/>
    <x v="212"/>
    <x v="0"/>
    <x v="2"/>
    <x v="7"/>
    <x v="1"/>
    <x v="7"/>
    <x v="4"/>
    <x v="4"/>
    <x v="0"/>
    <x v="2"/>
    <x v="4"/>
    <x v="0"/>
    <x v="0"/>
    <x v="4"/>
    <x v="15"/>
    <x v="10"/>
    <x v="76"/>
    <x v="70"/>
    <x v="365"/>
    <x v="159"/>
  </r>
  <r>
    <x v="794"/>
    <x v="192"/>
    <x v="0"/>
    <x v="2"/>
    <x v="7"/>
    <x v="1"/>
    <x v="7"/>
    <x v="4"/>
    <x v="4"/>
    <x v="1"/>
    <x v="2"/>
    <x v="4"/>
    <x v="4"/>
    <x v="8"/>
    <x v="11"/>
    <x v="9"/>
    <x v="7"/>
    <x v="165"/>
    <x v="162"/>
    <x v="103"/>
    <x v="348"/>
  </r>
  <r>
    <x v="795"/>
    <x v="199"/>
    <x v="0"/>
    <x v="2"/>
    <x v="7"/>
    <x v="1"/>
    <x v="7"/>
    <x v="4"/>
    <x v="4"/>
    <x v="0"/>
    <x v="2"/>
    <x v="4"/>
    <x v="4"/>
    <x v="8"/>
    <x v="3"/>
    <x v="9"/>
    <x v="7"/>
    <x v="18"/>
    <x v="28"/>
    <x v="179"/>
    <x v="34"/>
  </r>
  <r>
    <x v="796"/>
    <x v="206"/>
    <x v="0"/>
    <x v="2"/>
    <x v="7"/>
    <x v="1"/>
    <x v="7"/>
    <x v="4"/>
    <x v="4"/>
    <x v="1"/>
    <x v="1"/>
    <x v="2"/>
    <x v="7"/>
    <x v="14"/>
    <x v="18"/>
    <x v="18"/>
    <x v="12"/>
    <x v="429"/>
    <x v="409"/>
    <x v="375"/>
    <x v="862"/>
  </r>
  <r>
    <x v="797"/>
    <x v="213"/>
    <x v="0"/>
    <x v="2"/>
    <x v="7"/>
    <x v="1"/>
    <x v="7"/>
    <x v="4"/>
    <x v="4"/>
    <x v="0"/>
    <x v="1"/>
    <x v="2"/>
    <x v="7"/>
    <x v="14"/>
    <x v="6"/>
    <x v="18"/>
    <x v="12"/>
    <x v="150"/>
    <x v="157"/>
    <x v="539"/>
    <x v="244"/>
  </r>
  <r>
    <x v="798"/>
    <x v="193"/>
    <x v="0"/>
    <x v="2"/>
    <x v="7"/>
    <x v="1"/>
    <x v="7"/>
    <x v="4"/>
    <x v="4"/>
    <x v="1"/>
    <x v="1"/>
    <x v="2"/>
    <x v="6"/>
    <x v="12"/>
    <x v="15"/>
    <x v="3"/>
    <x v="2"/>
    <x v="46"/>
    <x v="45"/>
    <x v="17"/>
    <x v="131"/>
  </r>
  <r>
    <x v="799"/>
    <x v="200"/>
    <x v="0"/>
    <x v="2"/>
    <x v="7"/>
    <x v="1"/>
    <x v="7"/>
    <x v="4"/>
    <x v="4"/>
    <x v="0"/>
    <x v="1"/>
    <x v="2"/>
    <x v="6"/>
    <x v="12"/>
    <x v="6"/>
    <x v="3"/>
    <x v="2"/>
    <x v="5"/>
    <x v="6"/>
    <x v="81"/>
    <x v="11"/>
  </r>
  <r>
    <x v="800"/>
    <x v="234"/>
    <x v="0"/>
    <x v="2"/>
    <x v="8"/>
    <x v="11"/>
    <x v="8"/>
    <x v="0"/>
    <x v="0"/>
    <x v="1"/>
    <x v="3"/>
    <x v="6"/>
    <x v="1"/>
    <x v="2"/>
    <x v="16"/>
    <x v="25"/>
    <x v="16"/>
    <x v="852"/>
    <x v="756"/>
    <x v="1182"/>
    <x v="1587"/>
  </r>
  <r>
    <x v="801"/>
    <x v="241"/>
    <x v="0"/>
    <x v="2"/>
    <x v="8"/>
    <x v="11"/>
    <x v="8"/>
    <x v="0"/>
    <x v="0"/>
    <x v="0"/>
    <x v="3"/>
    <x v="6"/>
    <x v="1"/>
    <x v="2"/>
    <x v="5"/>
    <x v="25"/>
    <x v="16"/>
    <x v="768"/>
    <x v="698"/>
    <x v="1237"/>
    <x v="1385"/>
  </r>
  <r>
    <x v="802"/>
    <x v="221"/>
    <x v="0"/>
    <x v="2"/>
    <x v="8"/>
    <x v="11"/>
    <x v="8"/>
    <x v="0"/>
    <x v="0"/>
    <x v="1"/>
    <x v="3"/>
    <x v="6"/>
    <x v="2"/>
    <x v="4"/>
    <x v="19"/>
    <x v="22"/>
    <x v="14"/>
    <x v="787"/>
    <x v="708"/>
    <x v="957"/>
    <x v="1474"/>
  </r>
  <r>
    <x v="803"/>
    <x v="228"/>
    <x v="0"/>
    <x v="2"/>
    <x v="8"/>
    <x v="11"/>
    <x v="8"/>
    <x v="0"/>
    <x v="0"/>
    <x v="0"/>
    <x v="3"/>
    <x v="6"/>
    <x v="2"/>
    <x v="4"/>
    <x v="7"/>
    <x v="22"/>
    <x v="14"/>
    <x v="583"/>
    <x v="548"/>
    <x v="1087"/>
    <x v="1056"/>
  </r>
  <r>
    <x v="804"/>
    <x v="235"/>
    <x v="0"/>
    <x v="2"/>
    <x v="8"/>
    <x v="11"/>
    <x v="8"/>
    <x v="0"/>
    <x v="0"/>
    <x v="1"/>
    <x v="3"/>
    <x v="6"/>
    <x v="5"/>
    <x v="10"/>
    <x v="18"/>
    <x v="28"/>
    <x v="18"/>
    <x v="877"/>
    <x v="782"/>
    <x v="1254"/>
    <x v="1609"/>
  </r>
  <r>
    <x v="805"/>
    <x v="242"/>
    <x v="0"/>
    <x v="2"/>
    <x v="8"/>
    <x v="11"/>
    <x v="8"/>
    <x v="0"/>
    <x v="0"/>
    <x v="0"/>
    <x v="3"/>
    <x v="6"/>
    <x v="5"/>
    <x v="10"/>
    <x v="6"/>
    <x v="28"/>
    <x v="18"/>
    <x v="818"/>
    <x v="738"/>
    <x v="1295"/>
    <x v="1465"/>
  </r>
  <r>
    <x v="806"/>
    <x v="222"/>
    <x v="0"/>
    <x v="2"/>
    <x v="8"/>
    <x v="11"/>
    <x v="8"/>
    <x v="0"/>
    <x v="0"/>
    <x v="1"/>
    <x v="0"/>
    <x v="0"/>
    <x v="3"/>
    <x v="6"/>
    <x v="88"/>
    <x v="0"/>
    <x v="0"/>
    <x v="425"/>
    <x v="342"/>
    <x v="369"/>
    <x v="1004"/>
  </r>
  <r>
    <x v="807"/>
    <x v="229"/>
    <x v="0"/>
    <x v="2"/>
    <x v="8"/>
    <x v="11"/>
    <x v="8"/>
    <x v="0"/>
    <x v="0"/>
    <x v="0"/>
    <x v="0"/>
    <x v="0"/>
    <x v="3"/>
    <x v="6"/>
    <x v="43"/>
    <x v="0"/>
    <x v="0"/>
    <x v="199"/>
    <x v="154"/>
    <x v="635"/>
    <x v="497"/>
  </r>
  <r>
    <x v="808"/>
    <x v="236"/>
    <x v="0"/>
    <x v="2"/>
    <x v="8"/>
    <x v="11"/>
    <x v="8"/>
    <x v="0"/>
    <x v="0"/>
    <x v="1"/>
    <x v="0"/>
    <x v="0"/>
    <x v="8"/>
    <x v="16"/>
    <x v="93"/>
    <x v="12"/>
    <x v="6"/>
    <x v="783"/>
    <x v="683"/>
    <x v="947"/>
    <x v="1526"/>
  </r>
  <r>
    <x v="809"/>
    <x v="216"/>
    <x v="0"/>
    <x v="2"/>
    <x v="8"/>
    <x v="11"/>
    <x v="8"/>
    <x v="0"/>
    <x v="0"/>
    <x v="0"/>
    <x v="0"/>
    <x v="0"/>
    <x v="8"/>
    <x v="16"/>
    <x v="33"/>
    <x v="12"/>
    <x v="6"/>
    <x v="520"/>
    <x v="438"/>
    <x v="1038"/>
    <x v="1089"/>
  </r>
  <r>
    <x v="810"/>
    <x v="223"/>
    <x v="0"/>
    <x v="2"/>
    <x v="8"/>
    <x v="11"/>
    <x v="8"/>
    <x v="0"/>
    <x v="0"/>
    <x v="1"/>
    <x v="0"/>
    <x v="0"/>
    <x v="9"/>
    <x v="18"/>
    <x v="92"/>
    <x v="6"/>
    <x v="4"/>
    <x v="707"/>
    <x v="624"/>
    <x v="776"/>
    <x v="1384"/>
  </r>
  <r>
    <x v="811"/>
    <x v="230"/>
    <x v="0"/>
    <x v="2"/>
    <x v="8"/>
    <x v="11"/>
    <x v="8"/>
    <x v="0"/>
    <x v="0"/>
    <x v="0"/>
    <x v="0"/>
    <x v="0"/>
    <x v="9"/>
    <x v="18"/>
    <x v="40"/>
    <x v="6"/>
    <x v="4"/>
    <x v="449"/>
    <x v="405"/>
    <x v="969"/>
    <x v="905"/>
  </r>
  <r>
    <x v="812"/>
    <x v="237"/>
    <x v="0"/>
    <x v="2"/>
    <x v="8"/>
    <x v="11"/>
    <x v="8"/>
    <x v="0"/>
    <x v="0"/>
    <x v="1"/>
    <x v="2"/>
    <x v="4"/>
    <x v="0"/>
    <x v="0"/>
    <x v="41"/>
    <x v="15"/>
    <x v="10"/>
    <x v="652"/>
    <x v="573"/>
    <x v="688"/>
    <x v="1312"/>
  </r>
  <r>
    <x v="813"/>
    <x v="217"/>
    <x v="0"/>
    <x v="2"/>
    <x v="8"/>
    <x v="11"/>
    <x v="8"/>
    <x v="0"/>
    <x v="0"/>
    <x v="0"/>
    <x v="2"/>
    <x v="4"/>
    <x v="0"/>
    <x v="0"/>
    <x v="14"/>
    <x v="15"/>
    <x v="10"/>
    <x v="337"/>
    <x v="287"/>
    <x v="817"/>
    <x v="700"/>
  </r>
  <r>
    <x v="814"/>
    <x v="224"/>
    <x v="0"/>
    <x v="2"/>
    <x v="8"/>
    <x v="11"/>
    <x v="8"/>
    <x v="0"/>
    <x v="0"/>
    <x v="1"/>
    <x v="2"/>
    <x v="4"/>
    <x v="4"/>
    <x v="8"/>
    <x v="48"/>
    <x v="9"/>
    <x v="7"/>
    <x v="599"/>
    <x v="542"/>
    <x v="613"/>
    <x v="1199"/>
  </r>
  <r>
    <x v="815"/>
    <x v="231"/>
    <x v="0"/>
    <x v="2"/>
    <x v="8"/>
    <x v="11"/>
    <x v="8"/>
    <x v="0"/>
    <x v="0"/>
    <x v="0"/>
    <x v="2"/>
    <x v="4"/>
    <x v="4"/>
    <x v="8"/>
    <x v="17"/>
    <x v="9"/>
    <x v="7"/>
    <x v="274"/>
    <x v="258"/>
    <x v="735"/>
    <x v="532"/>
  </r>
  <r>
    <x v="816"/>
    <x v="238"/>
    <x v="0"/>
    <x v="2"/>
    <x v="8"/>
    <x v="11"/>
    <x v="8"/>
    <x v="0"/>
    <x v="0"/>
    <x v="1"/>
    <x v="1"/>
    <x v="2"/>
    <x v="7"/>
    <x v="14"/>
    <x v="63"/>
    <x v="18"/>
    <x v="12"/>
    <x v="769"/>
    <x v="692"/>
    <x v="906"/>
    <x v="1450"/>
  </r>
  <r>
    <x v="817"/>
    <x v="218"/>
    <x v="0"/>
    <x v="2"/>
    <x v="8"/>
    <x v="11"/>
    <x v="8"/>
    <x v="0"/>
    <x v="0"/>
    <x v="0"/>
    <x v="1"/>
    <x v="2"/>
    <x v="7"/>
    <x v="14"/>
    <x v="19"/>
    <x v="18"/>
    <x v="12"/>
    <x v="449"/>
    <x v="421"/>
    <x v="969"/>
    <x v="835"/>
  </r>
  <r>
    <x v="818"/>
    <x v="225"/>
    <x v="0"/>
    <x v="2"/>
    <x v="8"/>
    <x v="11"/>
    <x v="8"/>
    <x v="0"/>
    <x v="0"/>
    <x v="1"/>
    <x v="1"/>
    <x v="2"/>
    <x v="6"/>
    <x v="12"/>
    <x v="47"/>
    <x v="3"/>
    <x v="2"/>
    <x v="296"/>
    <x v="247"/>
    <x v="206"/>
    <x v="709"/>
  </r>
  <r>
    <x v="819"/>
    <x v="232"/>
    <x v="0"/>
    <x v="2"/>
    <x v="8"/>
    <x v="11"/>
    <x v="8"/>
    <x v="0"/>
    <x v="0"/>
    <x v="0"/>
    <x v="1"/>
    <x v="2"/>
    <x v="6"/>
    <x v="12"/>
    <x v="19"/>
    <x v="3"/>
    <x v="2"/>
    <x v="78"/>
    <x v="68"/>
    <x v="376"/>
    <x v="186"/>
  </r>
  <r>
    <x v="820"/>
    <x v="239"/>
    <x v="0"/>
    <x v="2"/>
    <x v="8"/>
    <x v="11"/>
    <x v="8"/>
    <x v="1"/>
    <x v="1"/>
    <x v="1"/>
    <x v="3"/>
    <x v="6"/>
    <x v="1"/>
    <x v="2"/>
    <x v="11"/>
    <x v="25"/>
    <x v="16"/>
    <x v="832"/>
    <x v="742"/>
    <x v="1111"/>
    <x v="1561"/>
  </r>
  <r>
    <x v="821"/>
    <x v="219"/>
    <x v="0"/>
    <x v="2"/>
    <x v="8"/>
    <x v="11"/>
    <x v="8"/>
    <x v="1"/>
    <x v="1"/>
    <x v="0"/>
    <x v="3"/>
    <x v="6"/>
    <x v="1"/>
    <x v="2"/>
    <x v="3"/>
    <x v="25"/>
    <x v="16"/>
    <x v="697"/>
    <x v="645"/>
    <x v="1178"/>
    <x v="1239"/>
  </r>
  <r>
    <x v="822"/>
    <x v="226"/>
    <x v="0"/>
    <x v="2"/>
    <x v="8"/>
    <x v="11"/>
    <x v="8"/>
    <x v="1"/>
    <x v="1"/>
    <x v="1"/>
    <x v="3"/>
    <x v="6"/>
    <x v="2"/>
    <x v="4"/>
    <x v="10"/>
    <x v="22"/>
    <x v="14"/>
    <x v="665"/>
    <x v="616"/>
    <x v="708"/>
    <x v="1253"/>
  </r>
  <r>
    <x v="823"/>
    <x v="233"/>
    <x v="0"/>
    <x v="2"/>
    <x v="8"/>
    <x v="11"/>
    <x v="8"/>
    <x v="1"/>
    <x v="1"/>
    <x v="0"/>
    <x v="3"/>
    <x v="6"/>
    <x v="2"/>
    <x v="4"/>
    <x v="3"/>
    <x v="22"/>
    <x v="14"/>
    <x v="384"/>
    <x v="374"/>
    <x v="876"/>
    <x v="669"/>
  </r>
  <r>
    <x v="824"/>
    <x v="240"/>
    <x v="0"/>
    <x v="2"/>
    <x v="8"/>
    <x v="11"/>
    <x v="8"/>
    <x v="1"/>
    <x v="1"/>
    <x v="1"/>
    <x v="3"/>
    <x v="6"/>
    <x v="5"/>
    <x v="10"/>
    <x v="9"/>
    <x v="28"/>
    <x v="18"/>
    <x v="842"/>
    <x v="752"/>
    <x v="1149"/>
    <x v="1556"/>
  </r>
  <r>
    <x v="825"/>
    <x v="220"/>
    <x v="0"/>
    <x v="2"/>
    <x v="8"/>
    <x v="11"/>
    <x v="8"/>
    <x v="1"/>
    <x v="1"/>
    <x v="0"/>
    <x v="3"/>
    <x v="6"/>
    <x v="5"/>
    <x v="10"/>
    <x v="4"/>
    <x v="28"/>
    <x v="18"/>
    <x v="793"/>
    <x v="724"/>
    <x v="1263"/>
    <x v="1367"/>
  </r>
  <r>
    <x v="826"/>
    <x v="227"/>
    <x v="0"/>
    <x v="2"/>
    <x v="8"/>
    <x v="11"/>
    <x v="8"/>
    <x v="1"/>
    <x v="1"/>
    <x v="1"/>
    <x v="0"/>
    <x v="0"/>
    <x v="3"/>
    <x v="6"/>
    <x v="48"/>
    <x v="0"/>
    <x v="0"/>
    <x v="230"/>
    <x v="178"/>
    <x v="155"/>
    <x v="603"/>
  </r>
  <r>
    <x v="827"/>
    <x v="234"/>
    <x v="0"/>
    <x v="2"/>
    <x v="8"/>
    <x v="11"/>
    <x v="8"/>
    <x v="1"/>
    <x v="1"/>
    <x v="0"/>
    <x v="0"/>
    <x v="0"/>
    <x v="3"/>
    <x v="6"/>
    <x v="16"/>
    <x v="0"/>
    <x v="0"/>
    <x v="33"/>
    <x v="29"/>
    <x v="217"/>
    <x v="89"/>
  </r>
  <r>
    <x v="828"/>
    <x v="241"/>
    <x v="0"/>
    <x v="2"/>
    <x v="8"/>
    <x v="11"/>
    <x v="8"/>
    <x v="1"/>
    <x v="1"/>
    <x v="1"/>
    <x v="0"/>
    <x v="0"/>
    <x v="8"/>
    <x v="16"/>
    <x v="53"/>
    <x v="12"/>
    <x v="6"/>
    <x v="656"/>
    <x v="563"/>
    <x v="696"/>
    <x v="1341"/>
  </r>
  <r>
    <x v="829"/>
    <x v="221"/>
    <x v="0"/>
    <x v="2"/>
    <x v="8"/>
    <x v="11"/>
    <x v="8"/>
    <x v="1"/>
    <x v="1"/>
    <x v="0"/>
    <x v="0"/>
    <x v="0"/>
    <x v="8"/>
    <x v="16"/>
    <x v="24"/>
    <x v="12"/>
    <x v="6"/>
    <x v="414"/>
    <x v="346"/>
    <x v="923"/>
    <x v="902"/>
  </r>
  <r>
    <x v="830"/>
    <x v="228"/>
    <x v="0"/>
    <x v="2"/>
    <x v="8"/>
    <x v="11"/>
    <x v="8"/>
    <x v="1"/>
    <x v="1"/>
    <x v="1"/>
    <x v="0"/>
    <x v="0"/>
    <x v="9"/>
    <x v="18"/>
    <x v="62"/>
    <x v="6"/>
    <x v="4"/>
    <x v="591"/>
    <x v="524"/>
    <x v="606"/>
    <x v="1214"/>
  </r>
  <r>
    <x v="831"/>
    <x v="235"/>
    <x v="0"/>
    <x v="2"/>
    <x v="8"/>
    <x v="11"/>
    <x v="8"/>
    <x v="1"/>
    <x v="1"/>
    <x v="0"/>
    <x v="0"/>
    <x v="0"/>
    <x v="9"/>
    <x v="18"/>
    <x v="24"/>
    <x v="6"/>
    <x v="4"/>
    <x v="288"/>
    <x v="262"/>
    <x v="757"/>
    <x v="586"/>
  </r>
  <r>
    <x v="832"/>
    <x v="242"/>
    <x v="0"/>
    <x v="2"/>
    <x v="8"/>
    <x v="11"/>
    <x v="8"/>
    <x v="1"/>
    <x v="1"/>
    <x v="1"/>
    <x v="2"/>
    <x v="4"/>
    <x v="0"/>
    <x v="0"/>
    <x v="26"/>
    <x v="15"/>
    <x v="10"/>
    <x v="523"/>
    <x v="458"/>
    <x v="495"/>
    <x v="1108"/>
  </r>
  <r>
    <x v="833"/>
    <x v="222"/>
    <x v="0"/>
    <x v="2"/>
    <x v="8"/>
    <x v="11"/>
    <x v="8"/>
    <x v="1"/>
    <x v="1"/>
    <x v="0"/>
    <x v="2"/>
    <x v="4"/>
    <x v="0"/>
    <x v="0"/>
    <x v="8"/>
    <x v="15"/>
    <x v="10"/>
    <x v="185"/>
    <x v="166"/>
    <x v="612"/>
    <x v="410"/>
  </r>
  <r>
    <x v="834"/>
    <x v="229"/>
    <x v="0"/>
    <x v="2"/>
    <x v="8"/>
    <x v="11"/>
    <x v="8"/>
    <x v="1"/>
    <x v="1"/>
    <x v="1"/>
    <x v="2"/>
    <x v="4"/>
    <x v="4"/>
    <x v="8"/>
    <x v="21"/>
    <x v="9"/>
    <x v="7"/>
    <x v="343"/>
    <x v="309"/>
    <x v="246"/>
    <x v="710"/>
  </r>
  <r>
    <x v="835"/>
    <x v="236"/>
    <x v="0"/>
    <x v="2"/>
    <x v="8"/>
    <x v="11"/>
    <x v="8"/>
    <x v="1"/>
    <x v="1"/>
    <x v="0"/>
    <x v="2"/>
    <x v="4"/>
    <x v="4"/>
    <x v="8"/>
    <x v="10"/>
    <x v="9"/>
    <x v="7"/>
    <x v="144"/>
    <x v="144"/>
    <x v="534"/>
    <x v="265"/>
  </r>
  <r>
    <x v="836"/>
    <x v="216"/>
    <x v="0"/>
    <x v="2"/>
    <x v="8"/>
    <x v="11"/>
    <x v="8"/>
    <x v="1"/>
    <x v="1"/>
    <x v="1"/>
    <x v="1"/>
    <x v="2"/>
    <x v="7"/>
    <x v="14"/>
    <x v="33"/>
    <x v="18"/>
    <x v="12"/>
    <x v="622"/>
    <x v="564"/>
    <x v="645"/>
    <x v="1206"/>
  </r>
  <r>
    <x v="837"/>
    <x v="223"/>
    <x v="0"/>
    <x v="2"/>
    <x v="8"/>
    <x v="11"/>
    <x v="8"/>
    <x v="1"/>
    <x v="1"/>
    <x v="0"/>
    <x v="1"/>
    <x v="2"/>
    <x v="7"/>
    <x v="14"/>
    <x v="11"/>
    <x v="18"/>
    <x v="12"/>
    <x v="288"/>
    <x v="279"/>
    <x v="757"/>
    <x v="528"/>
  </r>
  <r>
    <x v="838"/>
    <x v="230"/>
    <x v="0"/>
    <x v="2"/>
    <x v="8"/>
    <x v="11"/>
    <x v="8"/>
    <x v="1"/>
    <x v="1"/>
    <x v="1"/>
    <x v="1"/>
    <x v="2"/>
    <x v="6"/>
    <x v="12"/>
    <x v="27"/>
    <x v="3"/>
    <x v="2"/>
    <x v="143"/>
    <x v="120"/>
    <x v="85"/>
    <x v="384"/>
  </r>
  <r>
    <x v="839"/>
    <x v="237"/>
    <x v="0"/>
    <x v="2"/>
    <x v="8"/>
    <x v="11"/>
    <x v="8"/>
    <x v="1"/>
    <x v="1"/>
    <x v="0"/>
    <x v="1"/>
    <x v="2"/>
    <x v="6"/>
    <x v="12"/>
    <x v="10"/>
    <x v="3"/>
    <x v="2"/>
    <x v="17"/>
    <x v="20"/>
    <x v="175"/>
    <x v="46"/>
  </r>
  <r>
    <x v="840"/>
    <x v="217"/>
    <x v="0"/>
    <x v="2"/>
    <x v="8"/>
    <x v="11"/>
    <x v="8"/>
    <x v="3"/>
    <x v="3"/>
    <x v="1"/>
    <x v="3"/>
    <x v="6"/>
    <x v="1"/>
    <x v="2"/>
    <x v="8"/>
    <x v="25"/>
    <x v="16"/>
    <x v="813"/>
    <x v="728"/>
    <x v="1045"/>
    <x v="1519"/>
  </r>
  <r>
    <x v="841"/>
    <x v="224"/>
    <x v="0"/>
    <x v="2"/>
    <x v="8"/>
    <x v="11"/>
    <x v="8"/>
    <x v="3"/>
    <x v="3"/>
    <x v="0"/>
    <x v="3"/>
    <x v="6"/>
    <x v="1"/>
    <x v="2"/>
    <x v="1"/>
    <x v="25"/>
    <x v="16"/>
    <x v="548"/>
    <x v="519"/>
    <x v="1057"/>
    <x v="933"/>
  </r>
  <r>
    <x v="842"/>
    <x v="231"/>
    <x v="0"/>
    <x v="2"/>
    <x v="8"/>
    <x v="11"/>
    <x v="8"/>
    <x v="3"/>
    <x v="3"/>
    <x v="1"/>
    <x v="3"/>
    <x v="6"/>
    <x v="2"/>
    <x v="4"/>
    <x v="8"/>
    <x v="22"/>
    <x v="14"/>
    <x v="620"/>
    <x v="572"/>
    <x v="639"/>
    <x v="1171"/>
  </r>
  <r>
    <x v="843"/>
    <x v="238"/>
    <x v="0"/>
    <x v="2"/>
    <x v="8"/>
    <x v="11"/>
    <x v="8"/>
    <x v="3"/>
    <x v="3"/>
    <x v="0"/>
    <x v="3"/>
    <x v="6"/>
    <x v="2"/>
    <x v="4"/>
    <x v="1"/>
    <x v="22"/>
    <x v="14"/>
    <x v="220"/>
    <x v="229"/>
    <x v="658"/>
    <x v="351"/>
  </r>
  <r>
    <x v="844"/>
    <x v="218"/>
    <x v="0"/>
    <x v="2"/>
    <x v="8"/>
    <x v="11"/>
    <x v="8"/>
    <x v="3"/>
    <x v="3"/>
    <x v="1"/>
    <x v="3"/>
    <x v="6"/>
    <x v="5"/>
    <x v="10"/>
    <x v="6"/>
    <x v="28"/>
    <x v="18"/>
    <x v="818"/>
    <x v="738"/>
    <x v="1067"/>
    <x v="1501"/>
  </r>
  <r>
    <x v="845"/>
    <x v="225"/>
    <x v="0"/>
    <x v="2"/>
    <x v="8"/>
    <x v="11"/>
    <x v="8"/>
    <x v="3"/>
    <x v="3"/>
    <x v="0"/>
    <x v="3"/>
    <x v="6"/>
    <x v="5"/>
    <x v="10"/>
    <x v="1"/>
    <x v="28"/>
    <x v="18"/>
    <x v="644"/>
    <x v="623"/>
    <x v="1140"/>
    <x v="1009"/>
  </r>
  <r>
    <x v="846"/>
    <x v="232"/>
    <x v="0"/>
    <x v="2"/>
    <x v="8"/>
    <x v="11"/>
    <x v="8"/>
    <x v="3"/>
    <x v="3"/>
    <x v="1"/>
    <x v="0"/>
    <x v="0"/>
    <x v="3"/>
    <x v="6"/>
    <x v="38"/>
    <x v="0"/>
    <x v="0"/>
    <x v="169"/>
    <x v="129"/>
    <x v="108"/>
    <x v="476"/>
  </r>
  <r>
    <x v="847"/>
    <x v="239"/>
    <x v="0"/>
    <x v="2"/>
    <x v="8"/>
    <x v="11"/>
    <x v="8"/>
    <x v="3"/>
    <x v="3"/>
    <x v="0"/>
    <x v="0"/>
    <x v="0"/>
    <x v="3"/>
    <x v="6"/>
    <x v="14"/>
    <x v="0"/>
    <x v="0"/>
    <x v="22"/>
    <x v="21"/>
    <x v="192"/>
    <x v="63"/>
  </r>
  <r>
    <x v="848"/>
    <x v="219"/>
    <x v="0"/>
    <x v="2"/>
    <x v="8"/>
    <x v="11"/>
    <x v="8"/>
    <x v="3"/>
    <x v="3"/>
    <x v="1"/>
    <x v="0"/>
    <x v="0"/>
    <x v="8"/>
    <x v="16"/>
    <x v="45"/>
    <x v="12"/>
    <x v="6"/>
    <x v="618"/>
    <x v="522"/>
    <x v="636"/>
    <x v="1273"/>
  </r>
  <r>
    <x v="849"/>
    <x v="226"/>
    <x v="0"/>
    <x v="2"/>
    <x v="8"/>
    <x v="11"/>
    <x v="8"/>
    <x v="3"/>
    <x v="3"/>
    <x v="0"/>
    <x v="0"/>
    <x v="0"/>
    <x v="8"/>
    <x v="16"/>
    <x v="16"/>
    <x v="12"/>
    <x v="6"/>
    <x v="293"/>
    <x v="244"/>
    <x v="760"/>
    <x v="658"/>
  </r>
  <r>
    <x v="850"/>
    <x v="233"/>
    <x v="0"/>
    <x v="2"/>
    <x v="8"/>
    <x v="11"/>
    <x v="8"/>
    <x v="3"/>
    <x v="3"/>
    <x v="1"/>
    <x v="0"/>
    <x v="0"/>
    <x v="9"/>
    <x v="18"/>
    <x v="44"/>
    <x v="6"/>
    <x v="4"/>
    <x v="482"/>
    <x v="424"/>
    <x v="437"/>
    <x v="1012"/>
  </r>
  <r>
    <x v="851"/>
    <x v="240"/>
    <x v="0"/>
    <x v="2"/>
    <x v="8"/>
    <x v="11"/>
    <x v="8"/>
    <x v="3"/>
    <x v="3"/>
    <x v="0"/>
    <x v="0"/>
    <x v="0"/>
    <x v="9"/>
    <x v="18"/>
    <x v="16"/>
    <x v="6"/>
    <x v="4"/>
    <x v="176"/>
    <x v="168"/>
    <x v="602"/>
    <x v="371"/>
  </r>
  <r>
    <x v="852"/>
    <x v="220"/>
    <x v="0"/>
    <x v="2"/>
    <x v="8"/>
    <x v="11"/>
    <x v="8"/>
    <x v="3"/>
    <x v="3"/>
    <x v="1"/>
    <x v="2"/>
    <x v="4"/>
    <x v="0"/>
    <x v="0"/>
    <x v="18"/>
    <x v="15"/>
    <x v="10"/>
    <x v="407"/>
    <x v="350"/>
    <x v="334"/>
    <x v="895"/>
  </r>
  <r>
    <x v="853"/>
    <x v="227"/>
    <x v="0"/>
    <x v="2"/>
    <x v="8"/>
    <x v="11"/>
    <x v="8"/>
    <x v="3"/>
    <x v="3"/>
    <x v="0"/>
    <x v="2"/>
    <x v="4"/>
    <x v="0"/>
    <x v="0"/>
    <x v="6"/>
    <x v="15"/>
    <x v="10"/>
    <x v="130"/>
    <x v="116"/>
    <x v="503"/>
    <x v="283"/>
  </r>
  <r>
    <x v="854"/>
    <x v="234"/>
    <x v="0"/>
    <x v="2"/>
    <x v="8"/>
    <x v="11"/>
    <x v="8"/>
    <x v="3"/>
    <x v="3"/>
    <x v="1"/>
    <x v="2"/>
    <x v="4"/>
    <x v="4"/>
    <x v="8"/>
    <x v="17"/>
    <x v="9"/>
    <x v="7"/>
    <x v="274"/>
    <x v="258"/>
    <x v="195"/>
    <x v="577"/>
  </r>
  <r>
    <x v="855"/>
    <x v="241"/>
    <x v="0"/>
    <x v="2"/>
    <x v="8"/>
    <x v="11"/>
    <x v="8"/>
    <x v="3"/>
    <x v="3"/>
    <x v="0"/>
    <x v="2"/>
    <x v="4"/>
    <x v="4"/>
    <x v="8"/>
    <x v="6"/>
    <x v="9"/>
    <x v="7"/>
    <x v="65"/>
    <x v="71"/>
    <x v="335"/>
    <x v="111"/>
  </r>
  <r>
    <x v="856"/>
    <x v="221"/>
    <x v="0"/>
    <x v="2"/>
    <x v="8"/>
    <x v="11"/>
    <x v="8"/>
    <x v="3"/>
    <x v="3"/>
    <x v="1"/>
    <x v="1"/>
    <x v="2"/>
    <x v="7"/>
    <x v="14"/>
    <x v="19"/>
    <x v="18"/>
    <x v="12"/>
    <x v="449"/>
    <x v="421"/>
    <x v="394"/>
    <x v="890"/>
  </r>
  <r>
    <x v="857"/>
    <x v="228"/>
    <x v="0"/>
    <x v="2"/>
    <x v="8"/>
    <x v="11"/>
    <x v="8"/>
    <x v="3"/>
    <x v="3"/>
    <x v="0"/>
    <x v="1"/>
    <x v="2"/>
    <x v="7"/>
    <x v="14"/>
    <x v="8"/>
    <x v="18"/>
    <x v="12"/>
    <x v="207"/>
    <x v="206"/>
    <x v="649"/>
    <x v="370"/>
  </r>
  <r>
    <x v="858"/>
    <x v="235"/>
    <x v="0"/>
    <x v="2"/>
    <x v="8"/>
    <x v="11"/>
    <x v="8"/>
    <x v="3"/>
    <x v="3"/>
    <x v="1"/>
    <x v="1"/>
    <x v="2"/>
    <x v="6"/>
    <x v="12"/>
    <x v="26"/>
    <x v="3"/>
    <x v="2"/>
    <x v="136"/>
    <x v="115"/>
    <x v="80"/>
    <x v="354"/>
  </r>
  <r>
    <x v="859"/>
    <x v="242"/>
    <x v="0"/>
    <x v="2"/>
    <x v="8"/>
    <x v="11"/>
    <x v="8"/>
    <x v="3"/>
    <x v="3"/>
    <x v="0"/>
    <x v="1"/>
    <x v="2"/>
    <x v="6"/>
    <x v="12"/>
    <x v="9"/>
    <x v="3"/>
    <x v="2"/>
    <x v="13"/>
    <x v="16"/>
    <x v="147"/>
    <x v="38"/>
  </r>
  <r>
    <x v="860"/>
    <x v="222"/>
    <x v="0"/>
    <x v="2"/>
    <x v="8"/>
    <x v="11"/>
    <x v="8"/>
    <x v="2"/>
    <x v="2"/>
    <x v="1"/>
    <x v="3"/>
    <x v="6"/>
    <x v="1"/>
    <x v="2"/>
    <x v="4"/>
    <x v="25"/>
    <x v="16"/>
    <x v="739"/>
    <x v="671"/>
    <x v="839"/>
    <x v="1362"/>
  </r>
  <r>
    <x v="861"/>
    <x v="229"/>
    <x v="0"/>
    <x v="2"/>
    <x v="8"/>
    <x v="11"/>
    <x v="8"/>
    <x v="2"/>
    <x v="2"/>
    <x v="0"/>
    <x v="3"/>
    <x v="6"/>
    <x v="1"/>
    <x v="2"/>
    <x v="0"/>
    <x v="25"/>
    <x v="16"/>
    <x v="407"/>
    <x v="404"/>
    <x v="912"/>
    <x v="685"/>
  </r>
  <r>
    <x v="862"/>
    <x v="236"/>
    <x v="0"/>
    <x v="2"/>
    <x v="8"/>
    <x v="11"/>
    <x v="8"/>
    <x v="2"/>
    <x v="2"/>
    <x v="1"/>
    <x v="3"/>
    <x v="6"/>
    <x v="2"/>
    <x v="4"/>
    <x v="5"/>
    <x v="22"/>
    <x v="14"/>
    <x v="500"/>
    <x v="476"/>
    <x v="461"/>
    <x v="938"/>
  </r>
  <r>
    <x v="863"/>
    <x v="216"/>
    <x v="0"/>
    <x v="2"/>
    <x v="8"/>
    <x v="11"/>
    <x v="8"/>
    <x v="2"/>
    <x v="2"/>
    <x v="0"/>
    <x v="3"/>
    <x v="6"/>
    <x v="2"/>
    <x v="4"/>
    <x v="1"/>
    <x v="22"/>
    <x v="14"/>
    <x v="220"/>
    <x v="229"/>
    <x v="658"/>
    <x v="351"/>
  </r>
  <r>
    <x v="864"/>
    <x v="223"/>
    <x v="0"/>
    <x v="2"/>
    <x v="8"/>
    <x v="11"/>
    <x v="8"/>
    <x v="2"/>
    <x v="2"/>
    <x v="1"/>
    <x v="3"/>
    <x v="6"/>
    <x v="5"/>
    <x v="10"/>
    <x v="6"/>
    <x v="28"/>
    <x v="18"/>
    <x v="818"/>
    <x v="738"/>
    <x v="1067"/>
    <x v="1501"/>
  </r>
  <r>
    <x v="865"/>
    <x v="230"/>
    <x v="0"/>
    <x v="2"/>
    <x v="8"/>
    <x v="11"/>
    <x v="8"/>
    <x v="2"/>
    <x v="2"/>
    <x v="0"/>
    <x v="3"/>
    <x v="6"/>
    <x v="5"/>
    <x v="10"/>
    <x v="0"/>
    <x v="28"/>
    <x v="18"/>
    <x v="517"/>
    <x v="521"/>
    <x v="1033"/>
    <x v="751"/>
  </r>
  <r>
    <x v="866"/>
    <x v="237"/>
    <x v="0"/>
    <x v="2"/>
    <x v="8"/>
    <x v="11"/>
    <x v="8"/>
    <x v="2"/>
    <x v="2"/>
    <x v="1"/>
    <x v="0"/>
    <x v="0"/>
    <x v="3"/>
    <x v="6"/>
    <x v="25"/>
    <x v="0"/>
    <x v="0"/>
    <x v="83"/>
    <x v="65"/>
    <x v="42"/>
    <x v="249"/>
  </r>
  <r>
    <x v="867"/>
    <x v="217"/>
    <x v="0"/>
    <x v="2"/>
    <x v="8"/>
    <x v="11"/>
    <x v="8"/>
    <x v="2"/>
    <x v="2"/>
    <x v="0"/>
    <x v="0"/>
    <x v="0"/>
    <x v="3"/>
    <x v="6"/>
    <x v="12"/>
    <x v="0"/>
    <x v="0"/>
    <x v="15"/>
    <x v="13"/>
    <x v="151"/>
    <x v="45"/>
  </r>
  <r>
    <x v="868"/>
    <x v="224"/>
    <x v="0"/>
    <x v="2"/>
    <x v="8"/>
    <x v="11"/>
    <x v="8"/>
    <x v="2"/>
    <x v="2"/>
    <x v="1"/>
    <x v="0"/>
    <x v="0"/>
    <x v="8"/>
    <x v="16"/>
    <x v="24"/>
    <x v="12"/>
    <x v="6"/>
    <x v="414"/>
    <x v="346"/>
    <x v="348"/>
    <x v="939"/>
  </r>
  <r>
    <x v="869"/>
    <x v="231"/>
    <x v="0"/>
    <x v="2"/>
    <x v="8"/>
    <x v="11"/>
    <x v="8"/>
    <x v="2"/>
    <x v="2"/>
    <x v="0"/>
    <x v="0"/>
    <x v="0"/>
    <x v="8"/>
    <x v="16"/>
    <x v="8"/>
    <x v="12"/>
    <x v="6"/>
    <x v="126"/>
    <x v="106"/>
    <x v="496"/>
    <x v="303"/>
  </r>
  <r>
    <x v="870"/>
    <x v="238"/>
    <x v="0"/>
    <x v="2"/>
    <x v="8"/>
    <x v="11"/>
    <x v="8"/>
    <x v="2"/>
    <x v="2"/>
    <x v="1"/>
    <x v="0"/>
    <x v="0"/>
    <x v="9"/>
    <x v="18"/>
    <x v="30"/>
    <x v="6"/>
    <x v="4"/>
    <x v="358"/>
    <x v="316"/>
    <x v="275"/>
    <x v="780"/>
  </r>
  <r>
    <x v="871"/>
    <x v="218"/>
    <x v="0"/>
    <x v="2"/>
    <x v="8"/>
    <x v="11"/>
    <x v="8"/>
    <x v="2"/>
    <x v="2"/>
    <x v="0"/>
    <x v="0"/>
    <x v="0"/>
    <x v="9"/>
    <x v="18"/>
    <x v="8"/>
    <x v="6"/>
    <x v="4"/>
    <x v="59"/>
    <x v="62"/>
    <x v="314"/>
    <x v="114"/>
  </r>
  <r>
    <x v="872"/>
    <x v="225"/>
    <x v="0"/>
    <x v="2"/>
    <x v="8"/>
    <x v="11"/>
    <x v="8"/>
    <x v="2"/>
    <x v="2"/>
    <x v="1"/>
    <x v="2"/>
    <x v="4"/>
    <x v="0"/>
    <x v="0"/>
    <x v="11"/>
    <x v="15"/>
    <x v="10"/>
    <x v="262"/>
    <x v="230"/>
    <x v="186"/>
    <x v="602"/>
  </r>
  <r>
    <x v="873"/>
    <x v="232"/>
    <x v="0"/>
    <x v="2"/>
    <x v="8"/>
    <x v="11"/>
    <x v="8"/>
    <x v="2"/>
    <x v="2"/>
    <x v="0"/>
    <x v="2"/>
    <x v="4"/>
    <x v="0"/>
    <x v="0"/>
    <x v="4"/>
    <x v="15"/>
    <x v="10"/>
    <x v="76"/>
    <x v="70"/>
    <x v="365"/>
    <x v="159"/>
  </r>
  <r>
    <x v="874"/>
    <x v="239"/>
    <x v="0"/>
    <x v="2"/>
    <x v="8"/>
    <x v="11"/>
    <x v="8"/>
    <x v="2"/>
    <x v="2"/>
    <x v="1"/>
    <x v="2"/>
    <x v="4"/>
    <x v="4"/>
    <x v="8"/>
    <x v="10"/>
    <x v="9"/>
    <x v="7"/>
    <x v="144"/>
    <x v="144"/>
    <x v="87"/>
    <x v="311"/>
  </r>
  <r>
    <x v="875"/>
    <x v="219"/>
    <x v="0"/>
    <x v="2"/>
    <x v="8"/>
    <x v="11"/>
    <x v="8"/>
    <x v="2"/>
    <x v="2"/>
    <x v="0"/>
    <x v="2"/>
    <x v="4"/>
    <x v="4"/>
    <x v="8"/>
    <x v="3"/>
    <x v="9"/>
    <x v="7"/>
    <x v="18"/>
    <x v="28"/>
    <x v="179"/>
    <x v="34"/>
  </r>
  <r>
    <x v="876"/>
    <x v="226"/>
    <x v="0"/>
    <x v="2"/>
    <x v="8"/>
    <x v="11"/>
    <x v="8"/>
    <x v="2"/>
    <x v="2"/>
    <x v="1"/>
    <x v="1"/>
    <x v="2"/>
    <x v="7"/>
    <x v="14"/>
    <x v="18"/>
    <x v="18"/>
    <x v="12"/>
    <x v="429"/>
    <x v="409"/>
    <x v="375"/>
    <x v="862"/>
  </r>
  <r>
    <x v="877"/>
    <x v="233"/>
    <x v="0"/>
    <x v="2"/>
    <x v="8"/>
    <x v="11"/>
    <x v="8"/>
    <x v="2"/>
    <x v="2"/>
    <x v="0"/>
    <x v="1"/>
    <x v="2"/>
    <x v="7"/>
    <x v="14"/>
    <x v="6"/>
    <x v="18"/>
    <x v="12"/>
    <x v="150"/>
    <x v="157"/>
    <x v="539"/>
    <x v="244"/>
  </r>
  <r>
    <x v="878"/>
    <x v="240"/>
    <x v="0"/>
    <x v="2"/>
    <x v="8"/>
    <x v="11"/>
    <x v="8"/>
    <x v="2"/>
    <x v="2"/>
    <x v="1"/>
    <x v="1"/>
    <x v="2"/>
    <x v="6"/>
    <x v="12"/>
    <x v="16"/>
    <x v="3"/>
    <x v="2"/>
    <x v="54"/>
    <x v="51"/>
    <x v="24"/>
    <x v="155"/>
  </r>
  <r>
    <x v="879"/>
    <x v="220"/>
    <x v="0"/>
    <x v="2"/>
    <x v="8"/>
    <x v="11"/>
    <x v="8"/>
    <x v="2"/>
    <x v="2"/>
    <x v="0"/>
    <x v="1"/>
    <x v="2"/>
    <x v="6"/>
    <x v="12"/>
    <x v="4"/>
    <x v="3"/>
    <x v="2"/>
    <x v="1"/>
    <x v="1"/>
    <x v="40"/>
    <x v="2"/>
  </r>
  <r>
    <x v="880"/>
    <x v="227"/>
    <x v="0"/>
    <x v="2"/>
    <x v="8"/>
    <x v="11"/>
    <x v="8"/>
    <x v="4"/>
    <x v="4"/>
    <x v="1"/>
    <x v="3"/>
    <x v="6"/>
    <x v="1"/>
    <x v="2"/>
    <x v="4"/>
    <x v="25"/>
    <x v="16"/>
    <x v="739"/>
    <x v="671"/>
    <x v="839"/>
    <x v="1362"/>
  </r>
  <r>
    <x v="881"/>
    <x v="234"/>
    <x v="0"/>
    <x v="2"/>
    <x v="8"/>
    <x v="11"/>
    <x v="8"/>
    <x v="4"/>
    <x v="4"/>
    <x v="0"/>
    <x v="3"/>
    <x v="6"/>
    <x v="1"/>
    <x v="2"/>
    <x v="1"/>
    <x v="25"/>
    <x v="16"/>
    <x v="548"/>
    <x v="519"/>
    <x v="1057"/>
    <x v="933"/>
  </r>
  <r>
    <x v="882"/>
    <x v="241"/>
    <x v="0"/>
    <x v="2"/>
    <x v="8"/>
    <x v="11"/>
    <x v="8"/>
    <x v="4"/>
    <x v="4"/>
    <x v="1"/>
    <x v="3"/>
    <x v="6"/>
    <x v="2"/>
    <x v="4"/>
    <x v="5"/>
    <x v="22"/>
    <x v="14"/>
    <x v="500"/>
    <x v="476"/>
    <x v="461"/>
    <x v="938"/>
  </r>
  <r>
    <x v="883"/>
    <x v="221"/>
    <x v="0"/>
    <x v="2"/>
    <x v="8"/>
    <x v="11"/>
    <x v="8"/>
    <x v="4"/>
    <x v="4"/>
    <x v="0"/>
    <x v="3"/>
    <x v="6"/>
    <x v="2"/>
    <x v="4"/>
    <x v="1"/>
    <x v="22"/>
    <x v="14"/>
    <x v="220"/>
    <x v="229"/>
    <x v="658"/>
    <x v="351"/>
  </r>
  <r>
    <x v="884"/>
    <x v="228"/>
    <x v="0"/>
    <x v="2"/>
    <x v="8"/>
    <x v="11"/>
    <x v="8"/>
    <x v="4"/>
    <x v="4"/>
    <x v="1"/>
    <x v="3"/>
    <x v="6"/>
    <x v="5"/>
    <x v="10"/>
    <x v="4"/>
    <x v="28"/>
    <x v="18"/>
    <x v="793"/>
    <x v="724"/>
    <x v="983"/>
    <x v="1406"/>
  </r>
  <r>
    <x v="885"/>
    <x v="235"/>
    <x v="0"/>
    <x v="2"/>
    <x v="8"/>
    <x v="11"/>
    <x v="8"/>
    <x v="4"/>
    <x v="4"/>
    <x v="0"/>
    <x v="3"/>
    <x v="6"/>
    <x v="5"/>
    <x v="10"/>
    <x v="0"/>
    <x v="28"/>
    <x v="18"/>
    <x v="517"/>
    <x v="521"/>
    <x v="1033"/>
    <x v="751"/>
  </r>
  <r>
    <x v="886"/>
    <x v="242"/>
    <x v="0"/>
    <x v="2"/>
    <x v="8"/>
    <x v="11"/>
    <x v="8"/>
    <x v="4"/>
    <x v="4"/>
    <x v="1"/>
    <x v="0"/>
    <x v="0"/>
    <x v="3"/>
    <x v="6"/>
    <x v="24"/>
    <x v="0"/>
    <x v="0"/>
    <x v="77"/>
    <x v="61"/>
    <x v="37"/>
    <x v="234"/>
  </r>
  <r>
    <x v="887"/>
    <x v="222"/>
    <x v="0"/>
    <x v="2"/>
    <x v="8"/>
    <x v="11"/>
    <x v="8"/>
    <x v="4"/>
    <x v="4"/>
    <x v="0"/>
    <x v="0"/>
    <x v="0"/>
    <x v="3"/>
    <x v="6"/>
    <x v="10"/>
    <x v="0"/>
    <x v="0"/>
    <x v="8"/>
    <x v="9"/>
    <x v="119"/>
    <x v="29"/>
  </r>
  <r>
    <x v="888"/>
    <x v="229"/>
    <x v="0"/>
    <x v="2"/>
    <x v="8"/>
    <x v="11"/>
    <x v="8"/>
    <x v="4"/>
    <x v="4"/>
    <x v="1"/>
    <x v="0"/>
    <x v="0"/>
    <x v="8"/>
    <x v="16"/>
    <x v="28"/>
    <x v="12"/>
    <x v="6"/>
    <x v="466"/>
    <x v="393"/>
    <x v="417"/>
    <x v="1045"/>
  </r>
  <r>
    <x v="889"/>
    <x v="236"/>
    <x v="0"/>
    <x v="2"/>
    <x v="8"/>
    <x v="11"/>
    <x v="8"/>
    <x v="4"/>
    <x v="4"/>
    <x v="0"/>
    <x v="0"/>
    <x v="0"/>
    <x v="8"/>
    <x v="16"/>
    <x v="10"/>
    <x v="12"/>
    <x v="6"/>
    <x v="173"/>
    <x v="143"/>
    <x v="593"/>
    <x v="417"/>
  </r>
  <r>
    <x v="890"/>
    <x v="216"/>
    <x v="0"/>
    <x v="2"/>
    <x v="8"/>
    <x v="11"/>
    <x v="8"/>
    <x v="4"/>
    <x v="4"/>
    <x v="1"/>
    <x v="0"/>
    <x v="0"/>
    <x v="9"/>
    <x v="18"/>
    <x v="28"/>
    <x v="6"/>
    <x v="4"/>
    <x v="342"/>
    <x v="297"/>
    <x v="245"/>
    <x v="738"/>
  </r>
  <r>
    <x v="891"/>
    <x v="223"/>
    <x v="0"/>
    <x v="2"/>
    <x v="8"/>
    <x v="11"/>
    <x v="8"/>
    <x v="4"/>
    <x v="4"/>
    <x v="0"/>
    <x v="0"/>
    <x v="0"/>
    <x v="9"/>
    <x v="18"/>
    <x v="12"/>
    <x v="6"/>
    <x v="4"/>
    <x v="118"/>
    <x v="112"/>
    <x v="473"/>
    <x v="235"/>
  </r>
  <r>
    <x v="892"/>
    <x v="230"/>
    <x v="0"/>
    <x v="2"/>
    <x v="8"/>
    <x v="11"/>
    <x v="8"/>
    <x v="4"/>
    <x v="4"/>
    <x v="1"/>
    <x v="2"/>
    <x v="4"/>
    <x v="0"/>
    <x v="0"/>
    <x v="15"/>
    <x v="15"/>
    <x v="10"/>
    <x v="351"/>
    <x v="300"/>
    <x v="262"/>
    <x v="793"/>
  </r>
  <r>
    <x v="893"/>
    <x v="237"/>
    <x v="0"/>
    <x v="2"/>
    <x v="8"/>
    <x v="11"/>
    <x v="8"/>
    <x v="4"/>
    <x v="4"/>
    <x v="0"/>
    <x v="2"/>
    <x v="4"/>
    <x v="0"/>
    <x v="0"/>
    <x v="3"/>
    <x v="15"/>
    <x v="10"/>
    <x v="48"/>
    <x v="49"/>
    <x v="284"/>
    <x v="104"/>
  </r>
  <r>
    <x v="894"/>
    <x v="217"/>
    <x v="0"/>
    <x v="2"/>
    <x v="8"/>
    <x v="11"/>
    <x v="8"/>
    <x v="4"/>
    <x v="4"/>
    <x v="1"/>
    <x v="2"/>
    <x v="4"/>
    <x v="4"/>
    <x v="8"/>
    <x v="10"/>
    <x v="9"/>
    <x v="7"/>
    <x v="144"/>
    <x v="144"/>
    <x v="87"/>
    <x v="311"/>
  </r>
  <r>
    <x v="895"/>
    <x v="224"/>
    <x v="0"/>
    <x v="2"/>
    <x v="8"/>
    <x v="11"/>
    <x v="8"/>
    <x v="4"/>
    <x v="4"/>
    <x v="0"/>
    <x v="2"/>
    <x v="4"/>
    <x v="4"/>
    <x v="8"/>
    <x v="4"/>
    <x v="9"/>
    <x v="7"/>
    <x v="34"/>
    <x v="41"/>
    <x v="224"/>
    <x v="53"/>
  </r>
  <r>
    <x v="896"/>
    <x v="231"/>
    <x v="0"/>
    <x v="2"/>
    <x v="8"/>
    <x v="11"/>
    <x v="8"/>
    <x v="4"/>
    <x v="4"/>
    <x v="1"/>
    <x v="1"/>
    <x v="2"/>
    <x v="7"/>
    <x v="14"/>
    <x v="13"/>
    <x v="18"/>
    <x v="12"/>
    <x v="342"/>
    <x v="319"/>
    <x v="245"/>
    <x v="672"/>
  </r>
  <r>
    <x v="897"/>
    <x v="238"/>
    <x v="0"/>
    <x v="2"/>
    <x v="8"/>
    <x v="11"/>
    <x v="8"/>
    <x v="4"/>
    <x v="4"/>
    <x v="0"/>
    <x v="1"/>
    <x v="2"/>
    <x v="7"/>
    <x v="14"/>
    <x v="4"/>
    <x v="18"/>
    <x v="12"/>
    <x v="89"/>
    <x v="96"/>
    <x v="396"/>
    <x v="133"/>
  </r>
  <r>
    <x v="898"/>
    <x v="218"/>
    <x v="0"/>
    <x v="2"/>
    <x v="8"/>
    <x v="11"/>
    <x v="8"/>
    <x v="4"/>
    <x v="4"/>
    <x v="1"/>
    <x v="1"/>
    <x v="2"/>
    <x v="6"/>
    <x v="12"/>
    <x v="16"/>
    <x v="3"/>
    <x v="2"/>
    <x v="54"/>
    <x v="51"/>
    <x v="24"/>
    <x v="155"/>
  </r>
  <r>
    <x v="899"/>
    <x v="225"/>
    <x v="0"/>
    <x v="2"/>
    <x v="8"/>
    <x v="11"/>
    <x v="8"/>
    <x v="4"/>
    <x v="4"/>
    <x v="0"/>
    <x v="1"/>
    <x v="2"/>
    <x v="6"/>
    <x v="12"/>
    <x v="6"/>
    <x v="3"/>
    <x v="2"/>
    <x v="5"/>
    <x v="6"/>
    <x v="81"/>
    <x v="11"/>
  </r>
  <r>
    <x v="900"/>
    <x v="259"/>
    <x v="0"/>
    <x v="3"/>
    <x v="9"/>
    <x v="10"/>
    <x v="9"/>
    <x v="0"/>
    <x v="0"/>
    <x v="1"/>
    <x v="3"/>
    <x v="6"/>
    <x v="1"/>
    <x v="2"/>
    <x v="21"/>
    <x v="25"/>
    <x v="16"/>
    <x v="867"/>
    <x v="770"/>
    <x v="1223"/>
    <x v="1611"/>
  </r>
  <r>
    <x v="901"/>
    <x v="266"/>
    <x v="0"/>
    <x v="3"/>
    <x v="9"/>
    <x v="10"/>
    <x v="9"/>
    <x v="0"/>
    <x v="0"/>
    <x v="0"/>
    <x v="3"/>
    <x v="6"/>
    <x v="1"/>
    <x v="2"/>
    <x v="7"/>
    <x v="25"/>
    <x v="16"/>
    <x v="804"/>
    <x v="721"/>
    <x v="1279"/>
    <x v="1467"/>
  </r>
  <r>
    <x v="902"/>
    <x v="246"/>
    <x v="0"/>
    <x v="3"/>
    <x v="9"/>
    <x v="10"/>
    <x v="9"/>
    <x v="0"/>
    <x v="0"/>
    <x v="1"/>
    <x v="3"/>
    <x v="6"/>
    <x v="2"/>
    <x v="4"/>
    <x v="17"/>
    <x v="22"/>
    <x v="14"/>
    <x v="771"/>
    <x v="697"/>
    <x v="914"/>
    <x v="1440"/>
  </r>
  <r>
    <x v="903"/>
    <x v="253"/>
    <x v="0"/>
    <x v="3"/>
    <x v="9"/>
    <x v="10"/>
    <x v="9"/>
    <x v="0"/>
    <x v="0"/>
    <x v="0"/>
    <x v="3"/>
    <x v="6"/>
    <x v="2"/>
    <x v="4"/>
    <x v="6"/>
    <x v="22"/>
    <x v="14"/>
    <x v="548"/>
    <x v="514"/>
    <x v="1070"/>
    <x v="965"/>
  </r>
  <r>
    <x v="904"/>
    <x v="260"/>
    <x v="0"/>
    <x v="3"/>
    <x v="9"/>
    <x v="10"/>
    <x v="9"/>
    <x v="0"/>
    <x v="0"/>
    <x v="1"/>
    <x v="3"/>
    <x v="6"/>
    <x v="5"/>
    <x v="10"/>
    <x v="19"/>
    <x v="28"/>
    <x v="18"/>
    <x v="880"/>
    <x v="784"/>
    <x v="1261"/>
    <x v="1613"/>
  </r>
  <r>
    <x v="905"/>
    <x v="267"/>
    <x v="0"/>
    <x v="3"/>
    <x v="9"/>
    <x v="10"/>
    <x v="9"/>
    <x v="0"/>
    <x v="0"/>
    <x v="0"/>
    <x v="3"/>
    <x v="6"/>
    <x v="5"/>
    <x v="10"/>
    <x v="7"/>
    <x v="28"/>
    <x v="18"/>
    <x v="829"/>
    <x v="744"/>
    <x v="1304"/>
    <x v="1496"/>
  </r>
  <r>
    <x v="906"/>
    <x v="247"/>
    <x v="0"/>
    <x v="3"/>
    <x v="9"/>
    <x v="10"/>
    <x v="9"/>
    <x v="0"/>
    <x v="0"/>
    <x v="1"/>
    <x v="0"/>
    <x v="0"/>
    <x v="3"/>
    <x v="6"/>
    <x v="100"/>
    <x v="0"/>
    <x v="0"/>
    <x v="478"/>
    <x v="387"/>
    <x v="429"/>
    <x v="1092"/>
  </r>
  <r>
    <x v="907"/>
    <x v="254"/>
    <x v="0"/>
    <x v="3"/>
    <x v="9"/>
    <x v="10"/>
    <x v="9"/>
    <x v="0"/>
    <x v="0"/>
    <x v="0"/>
    <x v="0"/>
    <x v="0"/>
    <x v="3"/>
    <x v="6"/>
    <x v="36"/>
    <x v="0"/>
    <x v="0"/>
    <x v="157"/>
    <x v="117"/>
    <x v="581"/>
    <x v="404"/>
  </r>
  <r>
    <x v="908"/>
    <x v="261"/>
    <x v="0"/>
    <x v="3"/>
    <x v="9"/>
    <x v="10"/>
    <x v="9"/>
    <x v="0"/>
    <x v="0"/>
    <x v="1"/>
    <x v="0"/>
    <x v="0"/>
    <x v="8"/>
    <x v="16"/>
    <x v="103"/>
    <x v="12"/>
    <x v="6"/>
    <x v="800"/>
    <x v="699"/>
    <x v="1002"/>
    <x v="1545"/>
  </r>
  <r>
    <x v="909"/>
    <x v="268"/>
    <x v="0"/>
    <x v="3"/>
    <x v="9"/>
    <x v="10"/>
    <x v="9"/>
    <x v="0"/>
    <x v="0"/>
    <x v="0"/>
    <x v="0"/>
    <x v="0"/>
    <x v="8"/>
    <x v="16"/>
    <x v="41"/>
    <x v="12"/>
    <x v="6"/>
    <x v="585"/>
    <x v="499"/>
    <x v="1100"/>
    <x v="1210"/>
  </r>
  <r>
    <x v="910"/>
    <x v="248"/>
    <x v="0"/>
    <x v="3"/>
    <x v="9"/>
    <x v="10"/>
    <x v="9"/>
    <x v="0"/>
    <x v="0"/>
    <x v="1"/>
    <x v="0"/>
    <x v="0"/>
    <x v="9"/>
    <x v="18"/>
    <x v="107"/>
    <x v="6"/>
    <x v="4"/>
    <x v="746"/>
    <x v="658"/>
    <x v="850"/>
    <x v="1443"/>
  </r>
  <r>
    <x v="911"/>
    <x v="255"/>
    <x v="0"/>
    <x v="3"/>
    <x v="9"/>
    <x v="10"/>
    <x v="9"/>
    <x v="0"/>
    <x v="0"/>
    <x v="0"/>
    <x v="0"/>
    <x v="0"/>
    <x v="9"/>
    <x v="18"/>
    <x v="36"/>
    <x v="6"/>
    <x v="4"/>
    <x v="414"/>
    <x v="371"/>
    <x v="943"/>
    <x v="837"/>
  </r>
  <r>
    <x v="912"/>
    <x v="262"/>
    <x v="0"/>
    <x v="3"/>
    <x v="9"/>
    <x v="10"/>
    <x v="9"/>
    <x v="0"/>
    <x v="0"/>
    <x v="1"/>
    <x v="2"/>
    <x v="4"/>
    <x v="0"/>
    <x v="0"/>
    <x v="41"/>
    <x v="15"/>
    <x v="10"/>
    <x v="652"/>
    <x v="573"/>
    <x v="688"/>
    <x v="1312"/>
  </r>
  <r>
    <x v="913"/>
    <x v="269"/>
    <x v="0"/>
    <x v="3"/>
    <x v="9"/>
    <x v="10"/>
    <x v="9"/>
    <x v="0"/>
    <x v="0"/>
    <x v="0"/>
    <x v="2"/>
    <x v="4"/>
    <x v="0"/>
    <x v="0"/>
    <x v="15"/>
    <x v="15"/>
    <x v="10"/>
    <x v="351"/>
    <x v="300"/>
    <x v="856"/>
    <x v="737"/>
  </r>
  <r>
    <x v="914"/>
    <x v="249"/>
    <x v="0"/>
    <x v="3"/>
    <x v="9"/>
    <x v="10"/>
    <x v="9"/>
    <x v="0"/>
    <x v="0"/>
    <x v="1"/>
    <x v="2"/>
    <x v="4"/>
    <x v="4"/>
    <x v="8"/>
    <x v="41"/>
    <x v="9"/>
    <x v="7"/>
    <x v="553"/>
    <x v="500"/>
    <x v="536"/>
    <x v="1109"/>
  </r>
  <r>
    <x v="915"/>
    <x v="256"/>
    <x v="0"/>
    <x v="3"/>
    <x v="9"/>
    <x v="10"/>
    <x v="9"/>
    <x v="0"/>
    <x v="0"/>
    <x v="0"/>
    <x v="2"/>
    <x v="4"/>
    <x v="4"/>
    <x v="8"/>
    <x v="15"/>
    <x v="9"/>
    <x v="7"/>
    <x v="239"/>
    <x v="227"/>
    <x v="705"/>
    <x v="458"/>
  </r>
  <r>
    <x v="916"/>
    <x v="263"/>
    <x v="0"/>
    <x v="3"/>
    <x v="9"/>
    <x v="10"/>
    <x v="9"/>
    <x v="0"/>
    <x v="0"/>
    <x v="1"/>
    <x v="1"/>
    <x v="2"/>
    <x v="7"/>
    <x v="14"/>
    <x v="65"/>
    <x v="18"/>
    <x v="12"/>
    <x v="774"/>
    <x v="695"/>
    <x v="921"/>
    <x v="1460"/>
  </r>
  <r>
    <x v="917"/>
    <x v="243"/>
    <x v="0"/>
    <x v="3"/>
    <x v="9"/>
    <x v="10"/>
    <x v="9"/>
    <x v="0"/>
    <x v="0"/>
    <x v="0"/>
    <x v="1"/>
    <x v="2"/>
    <x v="7"/>
    <x v="14"/>
    <x v="23"/>
    <x v="18"/>
    <x v="12"/>
    <x v="512"/>
    <x v="475"/>
    <x v="1045"/>
    <x v="932"/>
  </r>
  <r>
    <x v="918"/>
    <x v="250"/>
    <x v="0"/>
    <x v="3"/>
    <x v="9"/>
    <x v="10"/>
    <x v="9"/>
    <x v="0"/>
    <x v="0"/>
    <x v="1"/>
    <x v="1"/>
    <x v="2"/>
    <x v="6"/>
    <x v="12"/>
    <x v="64"/>
    <x v="3"/>
    <x v="2"/>
    <x v="392"/>
    <x v="329"/>
    <x v="318"/>
    <x v="898"/>
  </r>
  <r>
    <x v="919"/>
    <x v="257"/>
    <x v="0"/>
    <x v="3"/>
    <x v="9"/>
    <x v="10"/>
    <x v="9"/>
    <x v="0"/>
    <x v="0"/>
    <x v="0"/>
    <x v="1"/>
    <x v="2"/>
    <x v="6"/>
    <x v="12"/>
    <x v="23"/>
    <x v="3"/>
    <x v="2"/>
    <x v="110"/>
    <x v="95"/>
    <x v="476"/>
    <x v="253"/>
  </r>
  <r>
    <x v="920"/>
    <x v="264"/>
    <x v="0"/>
    <x v="3"/>
    <x v="9"/>
    <x v="10"/>
    <x v="9"/>
    <x v="1"/>
    <x v="1"/>
    <x v="1"/>
    <x v="3"/>
    <x v="6"/>
    <x v="1"/>
    <x v="2"/>
    <x v="9"/>
    <x v="25"/>
    <x v="16"/>
    <x v="818"/>
    <x v="733"/>
    <x v="1067"/>
    <x v="1536"/>
  </r>
  <r>
    <x v="921"/>
    <x v="244"/>
    <x v="0"/>
    <x v="3"/>
    <x v="9"/>
    <x v="10"/>
    <x v="9"/>
    <x v="1"/>
    <x v="1"/>
    <x v="0"/>
    <x v="3"/>
    <x v="6"/>
    <x v="1"/>
    <x v="2"/>
    <x v="3"/>
    <x v="25"/>
    <x v="16"/>
    <x v="697"/>
    <x v="645"/>
    <x v="1186"/>
    <x v="1235"/>
  </r>
  <r>
    <x v="922"/>
    <x v="251"/>
    <x v="0"/>
    <x v="3"/>
    <x v="9"/>
    <x v="10"/>
    <x v="9"/>
    <x v="1"/>
    <x v="1"/>
    <x v="1"/>
    <x v="3"/>
    <x v="6"/>
    <x v="2"/>
    <x v="4"/>
    <x v="12"/>
    <x v="22"/>
    <x v="14"/>
    <x v="710"/>
    <x v="652"/>
    <x v="779"/>
    <x v="1314"/>
  </r>
  <r>
    <x v="923"/>
    <x v="258"/>
    <x v="0"/>
    <x v="3"/>
    <x v="9"/>
    <x v="10"/>
    <x v="9"/>
    <x v="1"/>
    <x v="1"/>
    <x v="0"/>
    <x v="3"/>
    <x v="6"/>
    <x v="2"/>
    <x v="4"/>
    <x v="3"/>
    <x v="22"/>
    <x v="14"/>
    <x v="384"/>
    <x v="374"/>
    <x v="897"/>
    <x v="665"/>
  </r>
  <r>
    <x v="924"/>
    <x v="265"/>
    <x v="0"/>
    <x v="3"/>
    <x v="9"/>
    <x v="10"/>
    <x v="9"/>
    <x v="1"/>
    <x v="1"/>
    <x v="1"/>
    <x v="3"/>
    <x v="6"/>
    <x v="5"/>
    <x v="10"/>
    <x v="10"/>
    <x v="28"/>
    <x v="18"/>
    <x v="847"/>
    <x v="757"/>
    <x v="1166"/>
    <x v="1566"/>
  </r>
  <r>
    <x v="925"/>
    <x v="245"/>
    <x v="0"/>
    <x v="3"/>
    <x v="9"/>
    <x v="10"/>
    <x v="9"/>
    <x v="1"/>
    <x v="1"/>
    <x v="0"/>
    <x v="3"/>
    <x v="6"/>
    <x v="5"/>
    <x v="10"/>
    <x v="3"/>
    <x v="28"/>
    <x v="18"/>
    <x v="760"/>
    <x v="707"/>
    <x v="1242"/>
    <x v="1279"/>
  </r>
  <r>
    <x v="926"/>
    <x v="252"/>
    <x v="0"/>
    <x v="3"/>
    <x v="9"/>
    <x v="10"/>
    <x v="9"/>
    <x v="1"/>
    <x v="1"/>
    <x v="1"/>
    <x v="0"/>
    <x v="0"/>
    <x v="3"/>
    <x v="6"/>
    <x v="49"/>
    <x v="0"/>
    <x v="0"/>
    <x v="234"/>
    <x v="184"/>
    <x v="158"/>
    <x v="624"/>
  </r>
  <r>
    <x v="927"/>
    <x v="259"/>
    <x v="0"/>
    <x v="3"/>
    <x v="9"/>
    <x v="10"/>
    <x v="9"/>
    <x v="1"/>
    <x v="1"/>
    <x v="0"/>
    <x v="0"/>
    <x v="0"/>
    <x v="3"/>
    <x v="6"/>
    <x v="21"/>
    <x v="0"/>
    <x v="0"/>
    <x v="57"/>
    <x v="47"/>
    <x v="331"/>
    <x v="160"/>
  </r>
  <r>
    <x v="928"/>
    <x v="266"/>
    <x v="0"/>
    <x v="3"/>
    <x v="9"/>
    <x v="10"/>
    <x v="9"/>
    <x v="1"/>
    <x v="1"/>
    <x v="1"/>
    <x v="0"/>
    <x v="0"/>
    <x v="8"/>
    <x v="16"/>
    <x v="54"/>
    <x v="12"/>
    <x v="6"/>
    <x v="662"/>
    <x v="569"/>
    <x v="704"/>
    <x v="1351"/>
  </r>
  <r>
    <x v="929"/>
    <x v="246"/>
    <x v="0"/>
    <x v="3"/>
    <x v="9"/>
    <x v="10"/>
    <x v="9"/>
    <x v="1"/>
    <x v="1"/>
    <x v="0"/>
    <x v="0"/>
    <x v="0"/>
    <x v="8"/>
    <x v="16"/>
    <x v="25"/>
    <x v="12"/>
    <x v="6"/>
    <x v="424"/>
    <x v="357"/>
    <x v="959"/>
    <x v="916"/>
  </r>
  <r>
    <x v="930"/>
    <x v="253"/>
    <x v="0"/>
    <x v="3"/>
    <x v="9"/>
    <x v="10"/>
    <x v="9"/>
    <x v="1"/>
    <x v="1"/>
    <x v="1"/>
    <x v="0"/>
    <x v="0"/>
    <x v="9"/>
    <x v="18"/>
    <x v="63"/>
    <x v="6"/>
    <x v="4"/>
    <x v="597"/>
    <x v="531"/>
    <x v="610"/>
    <x v="1219"/>
  </r>
  <r>
    <x v="931"/>
    <x v="260"/>
    <x v="0"/>
    <x v="3"/>
    <x v="9"/>
    <x v="10"/>
    <x v="9"/>
    <x v="1"/>
    <x v="1"/>
    <x v="0"/>
    <x v="0"/>
    <x v="0"/>
    <x v="9"/>
    <x v="18"/>
    <x v="19"/>
    <x v="6"/>
    <x v="4"/>
    <x v="224"/>
    <x v="203"/>
    <x v="680"/>
    <x v="455"/>
  </r>
  <r>
    <x v="932"/>
    <x v="267"/>
    <x v="0"/>
    <x v="3"/>
    <x v="9"/>
    <x v="10"/>
    <x v="9"/>
    <x v="1"/>
    <x v="1"/>
    <x v="1"/>
    <x v="2"/>
    <x v="4"/>
    <x v="0"/>
    <x v="0"/>
    <x v="25"/>
    <x v="15"/>
    <x v="10"/>
    <x v="511"/>
    <x v="446"/>
    <x v="479"/>
    <x v="1084"/>
  </r>
  <r>
    <x v="933"/>
    <x v="247"/>
    <x v="0"/>
    <x v="3"/>
    <x v="9"/>
    <x v="10"/>
    <x v="9"/>
    <x v="1"/>
    <x v="1"/>
    <x v="0"/>
    <x v="2"/>
    <x v="4"/>
    <x v="0"/>
    <x v="0"/>
    <x v="10"/>
    <x v="15"/>
    <x v="10"/>
    <x v="237"/>
    <x v="208"/>
    <x v="703"/>
    <x v="508"/>
  </r>
  <r>
    <x v="934"/>
    <x v="254"/>
    <x v="0"/>
    <x v="3"/>
    <x v="9"/>
    <x v="10"/>
    <x v="9"/>
    <x v="1"/>
    <x v="1"/>
    <x v="1"/>
    <x v="2"/>
    <x v="4"/>
    <x v="4"/>
    <x v="8"/>
    <x v="24"/>
    <x v="9"/>
    <x v="7"/>
    <x v="375"/>
    <x v="347"/>
    <x v="302"/>
    <x v="791"/>
  </r>
  <r>
    <x v="935"/>
    <x v="261"/>
    <x v="0"/>
    <x v="3"/>
    <x v="9"/>
    <x v="10"/>
    <x v="9"/>
    <x v="1"/>
    <x v="1"/>
    <x v="0"/>
    <x v="2"/>
    <x v="4"/>
    <x v="4"/>
    <x v="8"/>
    <x v="8"/>
    <x v="9"/>
    <x v="7"/>
    <x v="101"/>
    <x v="107"/>
    <x v="459"/>
    <x v="187"/>
  </r>
  <r>
    <x v="936"/>
    <x v="268"/>
    <x v="0"/>
    <x v="3"/>
    <x v="9"/>
    <x v="10"/>
    <x v="9"/>
    <x v="1"/>
    <x v="1"/>
    <x v="1"/>
    <x v="1"/>
    <x v="2"/>
    <x v="7"/>
    <x v="14"/>
    <x v="35"/>
    <x v="18"/>
    <x v="12"/>
    <x v="635"/>
    <x v="579"/>
    <x v="662"/>
    <x v="1226"/>
  </r>
  <r>
    <x v="937"/>
    <x v="248"/>
    <x v="0"/>
    <x v="3"/>
    <x v="9"/>
    <x v="10"/>
    <x v="9"/>
    <x v="1"/>
    <x v="1"/>
    <x v="0"/>
    <x v="1"/>
    <x v="2"/>
    <x v="7"/>
    <x v="14"/>
    <x v="13"/>
    <x v="18"/>
    <x v="12"/>
    <x v="342"/>
    <x v="319"/>
    <x v="839"/>
    <x v="596"/>
  </r>
  <r>
    <x v="938"/>
    <x v="255"/>
    <x v="0"/>
    <x v="3"/>
    <x v="9"/>
    <x v="10"/>
    <x v="9"/>
    <x v="1"/>
    <x v="1"/>
    <x v="1"/>
    <x v="1"/>
    <x v="2"/>
    <x v="6"/>
    <x v="12"/>
    <x v="31"/>
    <x v="3"/>
    <x v="2"/>
    <x v="175"/>
    <x v="148"/>
    <x v="113"/>
    <x v="451"/>
  </r>
  <r>
    <x v="939"/>
    <x v="262"/>
    <x v="0"/>
    <x v="3"/>
    <x v="9"/>
    <x v="10"/>
    <x v="9"/>
    <x v="1"/>
    <x v="1"/>
    <x v="0"/>
    <x v="1"/>
    <x v="2"/>
    <x v="6"/>
    <x v="12"/>
    <x v="11"/>
    <x v="3"/>
    <x v="2"/>
    <x v="24"/>
    <x v="25"/>
    <x v="202"/>
    <x v="59"/>
  </r>
  <r>
    <x v="940"/>
    <x v="269"/>
    <x v="0"/>
    <x v="3"/>
    <x v="9"/>
    <x v="10"/>
    <x v="9"/>
    <x v="3"/>
    <x v="3"/>
    <x v="1"/>
    <x v="3"/>
    <x v="6"/>
    <x v="1"/>
    <x v="2"/>
    <x v="7"/>
    <x v="25"/>
    <x v="16"/>
    <x v="804"/>
    <x v="721"/>
    <x v="1013"/>
    <x v="1494"/>
  </r>
  <r>
    <x v="941"/>
    <x v="249"/>
    <x v="0"/>
    <x v="3"/>
    <x v="9"/>
    <x v="10"/>
    <x v="9"/>
    <x v="3"/>
    <x v="3"/>
    <x v="0"/>
    <x v="3"/>
    <x v="6"/>
    <x v="1"/>
    <x v="2"/>
    <x v="1"/>
    <x v="25"/>
    <x v="16"/>
    <x v="548"/>
    <x v="519"/>
    <x v="1070"/>
    <x v="929"/>
  </r>
  <r>
    <x v="942"/>
    <x v="256"/>
    <x v="0"/>
    <x v="3"/>
    <x v="9"/>
    <x v="10"/>
    <x v="9"/>
    <x v="3"/>
    <x v="3"/>
    <x v="1"/>
    <x v="3"/>
    <x v="6"/>
    <x v="2"/>
    <x v="4"/>
    <x v="6"/>
    <x v="22"/>
    <x v="14"/>
    <x v="548"/>
    <x v="514"/>
    <x v="531"/>
    <x v="1034"/>
  </r>
  <r>
    <x v="943"/>
    <x v="263"/>
    <x v="0"/>
    <x v="3"/>
    <x v="9"/>
    <x v="10"/>
    <x v="9"/>
    <x v="3"/>
    <x v="3"/>
    <x v="0"/>
    <x v="3"/>
    <x v="6"/>
    <x v="2"/>
    <x v="4"/>
    <x v="1"/>
    <x v="22"/>
    <x v="14"/>
    <x v="220"/>
    <x v="229"/>
    <x v="677"/>
    <x v="346"/>
  </r>
  <r>
    <x v="944"/>
    <x v="243"/>
    <x v="0"/>
    <x v="3"/>
    <x v="9"/>
    <x v="10"/>
    <x v="9"/>
    <x v="3"/>
    <x v="3"/>
    <x v="1"/>
    <x v="3"/>
    <x v="6"/>
    <x v="5"/>
    <x v="10"/>
    <x v="7"/>
    <x v="28"/>
    <x v="18"/>
    <x v="829"/>
    <x v="744"/>
    <x v="1097"/>
    <x v="1527"/>
  </r>
  <r>
    <x v="945"/>
    <x v="250"/>
    <x v="0"/>
    <x v="3"/>
    <x v="9"/>
    <x v="10"/>
    <x v="9"/>
    <x v="3"/>
    <x v="3"/>
    <x v="0"/>
    <x v="3"/>
    <x v="6"/>
    <x v="5"/>
    <x v="10"/>
    <x v="1"/>
    <x v="28"/>
    <x v="18"/>
    <x v="644"/>
    <x v="623"/>
    <x v="1150"/>
    <x v="1001"/>
  </r>
  <r>
    <x v="946"/>
    <x v="257"/>
    <x v="0"/>
    <x v="3"/>
    <x v="9"/>
    <x v="10"/>
    <x v="9"/>
    <x v="3"/>
    <x v="3"/>
    <x v="1"/>
    <x v="0"/>
    <x v="0"/>
    <x v="3"/>
    <x v="6"/>
    <x v="41"/>
    <x v="0"/>
    <x v="0"/>
    <x v="186"/>
    <x v="145"/>
    <x v="121"/>
    <x v="522"/>
  </r>
  <r>
    <x v="947"/>
    <x v="264"/>
    <x v="0"/>
    <x v="3"/>
    <x v="9"/>
    <x v="10"/>
    <x v="9"/>
    <x v="3"/>
    <x v="3"/>
    <x v="0"/>
    <x v="0"/>
    <x v="0"/>
    <x v="3"/>
    <x v="6"/>
    <x v="17"/>
    <x v="0"/>
    <x v="0"/>
    <x v="38"/>
    <x v="33"/>
    <x v="249"/>
    <x v="101"/>
  </r>
  <r>
    <x v="948"/>
    <x v="244"/>
    <x v="0"/>
    <x v="3"/>
    <x v="9"/>
    <x v="10"/>
    <x v="9"/>
    <x v="3"/>
    <x v="3"/>
    <x v="1"/>
    <x v="0"/>
    <x v="0"/>
    <x v="8"/>
    <x v="16"/>
    <x v="45"/>
    <x v="12"/>
    <x v="6"/>
    <x v="618"/>
    <x v="522"/>
    <x v="636"/>
    <x v="1273"/>
  </r>
  <r>
    <x v="949"/>
    <x v="251"/>
    <x v="0"/>
    <x v="3"/>
    <x v="9"/>
    <x v="10"/>
    <x v="9"/>
    <x v="3"/>
    <x v="3"/>
    <x v="0"/>
    <x v="0"/>
    <x v="0"/>
    <x v="8"/>
    <x v="16"/>
    <x v="17"/>
    <x v="12"/>
    <x v="6"/>
    <x v="317"/>
    <x v="256"/>
    <x v="811"/>
    <x v="699"/>
  </r>
  <r>
    <x v="950"/>
    <x v="258"/>
    <x v="0"/>
    <x v="3"/>
    <x v="9"/>
    <x v="10"/>
    <x v="9"/>
    <x v="3"/>
    <x v="3"/>
    <x v="1"/>
    <x v="0"/>
    <x v="0"/>
    <x v="9"/>
    <x v="18"/>
    <x v="46"/>
    <x v="6"/>
    <x v="4"/>
    <x v="495"/>
    <x v="443"/>
    <x v="455"/>
    <x v="1044"/>
  </r>
  <r>
    <x v="951"/>
    <x v="265"/>
    <x v="0"/>
    <x v="3"/>
    <x v="9"/>
    <x v="10"/>
    <x v="9"/>
    <x v="3"/>
    <x v="3"/>
    <x v="0"/>
    <x v="0"/>
    <x v="0"/>
    <x v="9"/>
    <x v="18"/>
    <x v="15"/>
    <x v="6"/>
    <x v="4"/>
    <x v="165"/>
    <x v="153"/>
    <x v="597"/>
    <x v="325"/>
  </r>
  <r>
    <x v="952"/>
    <x v="245"/>
    <x v="0"/>
    <x v="3"/>
    <x v="9"/>
    <x v="10"/>
    <x v="9"/>
    <x v="3"/>
    <x v="3"/>
    <x v="1"/>
    <x v="2"/>
    <x v="4"/>
    <x v="0"/>
    <x v="0"/>
    <x v="16"/>
    <x v="15"/>
    <x v="10"/>
    <x v="369"/>
    <x v="321"/>
    <x v="292"/>
    <x v="830"/>
  </r>
  <r>
    <x v="953"/>
    <x v="252"/>
    <x v="0"/>
    <x v="3"/>
    <x v="9"/>
    <x v="10"/>
    <x v="9"/>
    <x v="3"/>
    <x v="3"/>
    <x v="0"/>
    <x v="2"/>
    <x v="4"/>
    <x v="0"/>
    <x v="0"/>
    <x v="5"/>
    <x v="15"/>
    <x v="10"/>
    <x v="99"/>
    <x v="93"/>
    <x v="451"/>
    <x v="219"/>
  </r>
  <r>
    <x v="954"/>
    <x v="259"/>
    <x v="0"/>
    <x v="3"/>
    <x v="9"/>
    <x v="10"/>
    <x v="9"/>
    <x v="3"/>
    <x v="3"/>
    <x v="1"/>
    <x v="2"/>
    <x v="4"/>
    <x v="4"/>
    <x v="8"/>
    <x v="21"/>
    <x v="9"/>
    <x v="7"/>
    <x v="343"/>
    <x v="309"/>
    <x v="246"/>
    <x v="710"/>
  </r>
  <r>
    <x v="955"/>
    <x v="266"/>
    <x v="0"/>
    <x v="3"/>
    <x v="9"/>
    <x v="10"/>
    <x v="9"/>
    <x v="3"/>
    <x v="3"/>
    <x v="0"/>
    <x v="2"/>
    <x v="4"/>
    <x v="4"/>
    <x v="8"/>
    <x v="6"/>
    <x v="9"/>
    <x v="7"/>
    <x v="65"/>
    <x v="71"/>
    <x v="357"/>
    <x v="109"/>
  </r>
  <r>
    <x v="956"/>
    <x v="246"/>
    <x v="0"/>
    <x v="3"/>
    <x v="9"/>
    <x v="10"/>
    <x v="9"/>
    <x v="3"/>
    <x v="3"/>
    <x v="1"/>
    <x v="1"/>
    <x v="2"/>
    <x v="7"/>
    <x v="14"/>
    <x v="24"/>
    <x v="18"/>
    <x v="12"/>
    <x v="525"/>
    <x v="488"/>
    <x v="499"/>
    <x v="1029"/>
  </r>
  <r>
    <x v="957"/>
    <x v="253"/>
    <x v="0"/>
    <x v="3"/>
    <x v="9"/>
    <x v="10"/>
    <x v="9"/>
    <x v="3"/>
    <x v="3"/>
    <x v="0"/>
    <x v="1"/>
    <x v="2"/>
    <x v="7"/>
    <x v="14"/>
    <x v="7"/>
    <x v="18"/>
    <x v="12"/>
    <x v="176"/>
    <x v="183"/>
    <x v="618"/>
    <x v="299"/>
  </r>
  <r>
    <x v="958"/>
    <x v="260"/>
    <x v="0"/>
    <x v="3"/>
    <x v="9"/>
    <x v="10"/>
    <x v="9"/>
    <x v="3"/>
    <x v="3"/>
    <x v="1"/>
    <x v="1"/>
    <x v="2"/>
    <x v="6"/>
    <x v="12"/>
    <x v="22"/>
    <x v="3"/>
    <x v="2"/>
    <x v="99"/>
    <x v="85"/>
    <x v="55"/>
    <x v="276"/>
  </r>
  <r>
    <x v="959"/>
    <x v="267"/>
    <x v="0"/>
    <x v="3"/>
    <x v="9"/>
    <x v="10"/>
    <x v="9"/>
    <x v="3"/>
    <x v="3"/>
    <x v="0"/>
    <x v="1"/>
    <x v="2"/>
    <x v="6"/>
    <x v="12"/>
    <x v="7"/>
    <x v="3"/>
    <x v="2"/>
    <x v="7"/>
    <x v="8"/>
    <x v="115"/>
    <x v="17"/>
  </r>
  <r>
    <x v="960"/>
    <x v="247"/>
    <x v="0"/>
    <x v="3"/>
    <x v="9"/>
    <x v="10"/>
    <x v="9"/>
    <x v="2"/>
    <x v="2"/>
    <x v="1"/>
    <x v="3"/>
    <x v="6"/>
    <x v="1"/>
    <x v="2"/>
    <x v="5"/>
    <x v="25"/>
    <x v="16"/>
    <x v="768"/>
    <x v="698"/>
    <x v="904"/>
    <x v="1420"/>
  </r>
  <r>
    <x v="961"/>
    <x v="254"/>
    <x v="0"/>
    <x v="3"/>
    <x v="9"/>
    <x v="10"/>
    <x v="9"/>
    <x v="2"/>
    <x v="2"/>
    <x v="0"/>
    <x v="3"/>
    <x v="6"/>
    <x v="1"/>
    <x v="2"/>
    <x v="0"/>
    <x v="25"/>
    <x v="16"/>
    <x v="407"/>
    <x v="404"/>
    <x v="933"/>
    <x v="680"/>
  </r>
  <r>
    <x v="962"/>
    <x v="261"/>
    <x v="0"/>
    <x v="3"/>
    <x v="9"/>
    <x v="10"/>
    <x v="9"/>
    <x v="2"/>
    <x v="2"/>
    <x v="1"/>
    <x v="3"/>
    <x v="6"/>
    <x v="2"/>
    <x v="4"/>
    <x v="4"/>
    <x v="22"/>
    <x v="14"/>
    <x v="445"/>
    <x v="429"/>
    <x v="389"/>
    <x v="852"/>
  </r>
  <r>
    <x v="963"/>
    <x v="268"/>
    <x v="0"/>
    <x v="3"/>
    <x v="9"/>
    <x v="10"/>
    <x v="9"/>
    <x v="2"/>
    <x v="2"/>
    <x v="0"/>
    <x v="3"/>
    <x v="6"/>
    <x v="2"/>
    <x v="4"/>
    <x v="1"/>
    <x v="22"/>
    <x v="14"/>
    <x v="220"/>
    <x v="229"/>
    <x v="677"/>
    <x v="346"/>
  </r>
  <r>
    <x v="964"/>
    <x v="248"/>
    <x v="0"/>
    <x v="3"/>
    <x v="9"/>
    <x v="10"/>
    <x v="9"/>
    <x v="2"/>
    <x v="2"/>
    <x v="1"/>
    <x v="3"/>
    <x v="6"/>
    <x v="5"/>
    <x v="10"/>
    <x v="6"/>
    <x v="28"/>
    <x v="18"/>
    <x v="818"/>
    <x v="738"/>
    <x v="1067"/>
    <x v="1501"/>
  </r>
  <r>
    <x v="965"/>
    <x v="255"/>
    <x v="0"/>
    <x v="3"/>
    <x v="9"/>
    <x v="10"/>
    <x v="9"/>
    <x v="2"/>
    <x v="2"/>
    <x v="0"/>
    <x v="3"/>
    <x v="6"/>
    <x v="5"/>
    <x v="10"/>
    <x v="1"/>
    <x v="28"/>
    <x v="18"/>
    <x v="644"/>
    <x v="623"/>
    <x v="1150"/>
    <x v="1001"/>
  </r>
  <r>
    <x v="966"/>
    <x v="262"/>
    <x v="0"/>
    <x v="3"/>
    <x v="9"/>
    <x v="10"/>
    <x v="9"/>
    <x v="2"/>
    <x v="2"/>
    <x v="1"/>
    <x v="0"/>
    <x v="0"/>
    <x v="3"/>
    <x v="6"/>
    <x v="30"/>
    <x v="0"/>
    <x v="0"/>
    <x v="114"/>
    <x v="87"/>
    <x v="64"/>
    <x v="333"/>
  </r>
  <r>
    <x v="967"/>
    <x v="269"/>
    <x v="0"/>
    <x v="3"/>
    <x v="9"/>
    <x v="10"/>
    <x v="9"/>
    <x v="2"/>
    <x v="2"/>
    <x v="0"/>
    <x v="0"/>
    <x v="0"/>
    <x v="3"/>
    <x v="6"/>
    <x v="9"/>
    <x v="0"/>
    <x v="0"/>
    <x v="6"/>
    <x v="7"/>
    <x v="111"/>
    <x v="21"/>
  </r>
  <r>
    <x v="968"/>
    <x v="249"/>
    <x v="0"/>
    <x v="3"/>
    <x v="9"/>
    <x v="10"/>
    <x v="9"/>
    <x v="2"/>
    <x v="2"/>
    <x v="1"/>
    <x v="0"/>
    <x v="0"/>
    <x v="8"/>
    <x v="16"/>
    <x v="32"/>
    <x v="12"/>
    <x v="6"/>
    <x v="510"/>
    <x v="426"/>
    <x v="475"/>
    <x v="1122"/>
  </r>
  <r>
    <x v="969"/>
    <x v="256"/>
    <x v="0"/>
    <x v="3"/>
    <x v="9"/>
    <x v="10"/>
    <x v="9"/>
    <x v="2"/>
    <x v="2"/>
    <x v="0"/>
    <x v="0"/>
    <x v="0"/>
    <x v="8"/>
    <x v="16"/>
    <x v="11"/>
    <x v="12"/>
    <x v="6"/>
    <x v="196"/>
    <x v="161"/>
    <x v="646"/>
    <x v="453"/>
  </r>
  <r>
    <x v="970"/>
    <x v="263"/>
    <x v="0"/>
    <x v="3"/>
    <x v="9"/>
    <x v="10"/>
    <x v="9"/>
    <x v="2"/>
    <x v="2"/>
    <x v="1"/>
    <x v="0"/>
    <x v="0"/>
    <x v="9"/>
    <x v="18"/>
    <x v="32"/>
    <x v="6"/>
    <x v="4"/>
    <x v="375"/>
    <x v="337"/>
    <x v="302"/>
    <x v="820"/>
  </r>
  <r>
    <x v="971"/>
    <x v="243"/>
    <x v="0"/>
    <x v="3"/>
    <x v="9"/>
    <x v="10"/>
    <x v="9"/>
    <x v="2"/>
    <x v="2"/>
    <x v="0"/>
    <x v="0"/>
    <x v="0"/>
    <x v="9"/>
    <x v="18"/>
    <x v="11"/>
    <x v="6"/>
    <x v="4"/>
    <x v="100"/>
    <x v="101"/>
    <x v="455"/>
    <x v="209"/>
  </r>
  <r>
    <x v="972"/>
    <x v="250"/>
    <x v="0"/>
    <x v="3"/>
    <x v="9"/>
    <x v="10"/>
    <x v="9"/>
    <x v="2"/>
    <x v="2"/>
    <x v="1"/>
    <x v="2"/>
    <x v="4"/>
    <x v="0"/>
    <x v="0"/>
    <x v="11"/>
    <x v="15"/>
    <x v="10"/>
    <x v="262"/>
    <x v="230"/>
    <x v="186"/>
    <x v="602"/>
  </r>
  <r>
    <x v="973"/>
    <x v="257"/>
    <x v="0"/>
    <x v="3"/>
    <x v="9"/>
    <x v="10"/>
    <x v="9"/>
    <x v="2"/>
    <x v="2"/>
    <x v="0"/>
    <x v="2"/>
    <x v="4"/>
    <x v="0"/>
    <x v="0"/>
    <x v="4"/>
    <x v="15"/>
    <x v="10"/>
    <x v="76"/>
    <x v="70"/>
    <x v="382"/>
    <x v="158"/>
  </r>
  <r>
    <x v="974"/>
    <x v="264"/>
    <x v="0"/>
    <x v="3"/>
    <x v="9"/>
    <x v="10"/>
    <x v="9"/>
    <x v="2"/>
    <x v="2"/>
    <x v="1"/>
    <x v="2"/>
    <x v="4"/>
    <x v="4"/>
    <x v="8"/>
    <x v="12"/>
    <x v="9"/>
    <x v="7"/>
    <x v="183"/>
    <x v="179"/>
    <x v="120"/>
    <x v="398"/>
  </r>
  <r>
    <x v="975"/>
    <x v="244"/>
    <x v="0"/>
    <x v="3"/>
    <x v="9"/>
    <x v="10"/>
    <x v="9"/>
    <x v="2"/>
    <x v="2"/>
    <x v="0"/>
    <x v="2"/>
    <x v="4"/>
    <x v="4"/>
    <x v="8"/>
    <x v="3"/>
    <x v="9"/>
    <x v="7"/>
    <x v="18"/>
    <x v="28"/>
    <x v="189"/>
    <x v="33"/>
  </r>
  <r>
    <x v="976"/>
    <x v="251"/>
    <x v="0"/>
    <x v="3"/>
    <x v="9"/>
    <x v="10"/>
    <x v="9"/>
    <x v="2"/>
    <x v="2"/>
    <x v="1"/>
    <x v="1"/>
    <x v="2"/>
    <x v="7"/>
    <x v="14"/>
    <x v="20"/>
    <x v="18"/>
    <x v="12"/>
    <x v="468"/>
    <x v="436"/>
    <x v="420"/>
    <x v="914"/>
  </r>
  <r>
    <x v="977"/>
    <x v="258"/>
    <x v="0"/>
    <x v="3"/>
    <x v="9"/>
    <x v="10"/>
    <x v="9"/>
    <x v="2"/>
    <x v="2"/>
    <x v="0"/>
    <x v="1"/>
    <x v="2"/>
    <x v="7"/>
    <x v="14"/>
    <x v="5"/>
    <x v="18"/>
    <x v="12"/>
    <x v="118"/>
    <x v="126"/>
    <x v="495"/>
    <x v="193"/>
  </r>
  <r>
    <x v="978"/>
    <x v="265"/>
    <x v="0"/>
    <x v="3"/>
    <x v="9"/>
    <x v="10"/>
    <x v="9"/>
    <x v="2"/>
    <x v="2"/>
    <x v="1"/>
    <x v="1"/>
    <x v="2"/>
    <x v="6"/>
    <x v="12"/>
    <x v="19"/>
    <x v="3"/>
    <x v="2"/>
    <x v="78"/>
    <x v="68"/>
    <x v="38"/>
    <x v="217"/>
  </r>
  <r>
    <x v="979"/>
    <x v="245"/>
    <x v="0"/>
    <x v="3"/>
    <x v="9"/>
    <x v="10"/>
    <x v="9"/>
    <x v="2"/>
    <x v="2"/>
    <x v="0"/>
    <x v="1"/>
    <x v="2"/>
    <x v="6"/>
    <x v="12"/>
    <x v="6"/>
    <x v="3"/>
    <x v="2"/>
    <x v="5"/>
    <x v="6"/>
    <x v="90"/>
    <x v="10"/>
  </r>
  <r>
    <x v="980"/>
    <x v="252"/>
    <x v="0"/>
    <x v="3"/>
    <x v="9"/>
    <x v="10"/>
    <x v="9"/>
    <x v="4"/>
    <x v="4"/>
    <x v="1"/>
    <x v="3"/>
    <x v="6"/>
    <x v="1"/>
    <x v="2"/>
    <x v="6"/>
    <x v="25"/>
    <x v="16"/>
    <x v="789"/>
    <x v="711"/>
    <x v="967"/>
    <x v="1461"/>
  </r>
  <r>
    <x v="981"/>
    <x v="259"/>
    <x v="0"/>
    <x v="3"/>
    <x v="9"/>
    <x v="10"/>
    <x v="9"/>
    <x v="4"/>
    <x v="4"/>
    <x v="0"/>
    <x v="3"/>
    <x v="6"/>
    <x v="1"/>
    <x v="2"/>
    <x v="1"/>
    <x v="25"/>
    <x v="16"/>
    <x v="548"/>
    <x v="519"/>
    <x v="1070"/>
    <x v="929"/>
  </r>
  <r>
    <x v="982"/>
    <x v="266"/>
    <x v="0"/>
    <x v="3"/>
    <x v="9"/>
    <x v="10"/>
    <x v="9"/>
    <x v="4"/>
    <x v="4"/>
    <x v="1"/>
    <x v="3"/>
    <x v="6"/>
    <x v="2"/>
    <x v="4"/>
    <x v="5"/>
    <x v="22"/>
    <x v="14"/>
    <x v="500"/>
    <x v="476"/>
    <x v="461"/>
    <x v="938"/>
  </r>
  <r>
    <x v="983"/>
    <x v="246"/>
    <x v="0"/>
    <x v="3"/>
    <x v="9"/>
    <x v="10"/>
    <x v="9"/>
    <x v="4"/>
    <x v="4"/>
    <x v="0"/>
    <x v="3"/>
    <x v="6"/>
    <x v="2"/>
    <x v="4"/>
    <x v="1"/>
    <x v="22"/>
    <x v="14"/>
    <x v="220"/>
    <x v="229"/>
    <x v="677"/>
    <x v="346"/>
  </r>
  <r>
    <x v="984"/>
    <x v="253"/>
    <x v="0"/>
    <x v="3"/>
    <x v="9"/>
    <x v="10"/>
    <x v="9"/>
    <x v="4"/>
    <x v="4"/>
    <x v="1"/>
    <x v="3"/>
    <x v="6"/>
    <x v="5"/>
    <x v="10"/>
    <x v="5"/>
    <x v="28"/>
    <x v="18"/>
    <x v="808"/>
    <x v="731"/>
    <x v="1028"/>
    <x v="1458"/>
  </r>
  <r>
    <x v="985"/>
    <x v="260"/>
    <x v="0"/>
    <x v="3"/>
    <x v="9"/>
    <x v="10"/>
    <x v="9"/>
    <x v="4"/>
    <x v="4"/>
    <x v="0"/>
    <x v="3"/>
    <x v="6"/>
    <x v="5"/>
    <x v="10"/>
    <x v="1"/>
    <x v="28"/>
    <x v="18"/>
    <x v="644"/>
    <x v="623"/>
    <x v="1150"/>
    <x v="1001"/>
  </r>
  <r>
    <x v="986"/>
    <x v="267"/>
    <x v="0"/>
    <x v="3"/>
    <x v="9"/>
    <x v="10"/>
    <x v="9"/>
    <x v="4"/>
    <x v="4"/>
    <x v="1"/>
    <x v="0"/>
    <x v="0"/>
    <x v="3"/>
    <x v="6"/>
    <x v="26"/>
    <x v="0"/>
    <x v="0"/>
    <x v="92"/>
    <x v="69"/>
    <x v="46"/>
    <x v="274"/>
  </r>
  <r>
    <x v="987"/>
    <x v="247"/>
    <x v="0"/>
    <x v="3"/>
    <x v="9"/>
    <x v="10"/>
    <x v="9"/>
    <x v="4"/>
    <x v="4"/>
    <x v="0"/>
    <x v="0"/>
    <x v="0"/>
    <x v="3"/>
    <x v="6"/>
    <x v="10"/>
    <x v="0"/>
    <x v="0"/>
    <x v="8"/>
    <x v="9"/>
    <x v="128"/>
    <x v="28"/>
  </r>
  <r>
    <x v="988"/>
    <x v="254"/>
    <x v="0"/>
    <x v="3"/>
    <x v="9"/>
    <x v="10"/>
    <x v="9"/>
    <x v="4"/>
    <x v="4"/>
    <x v="1"/>
    <x v="0"/>
    <x v="0"/>
    <x v="8"/>
    <x v="16"/>
    <x v="32"/>
    <x v="12"/>
    <x v="6"/>
    <x v="510"/>
    <x v="426"/>
    <x v="475"/>
    <x v="1122"/>
  </r>
  <r>
    <x v="989"/>
    <x v="261"/>
    <x v="0"/>
    <x v="3"/>
    <x v="9"/>
    <x v="10"/>
    <x v="9"/>
    <x v="4"/>
    <x v="4"/>
    <x v="0"/>
    <x v="0"/>
    <x v="0"/>
    <x v="8"/>
    <x v="16"/>
    <x v="11"/>
    <x v="12"/>
    <x v="6"/>
    <x v="196"/>
    <x v="161"/>
    <x v="646"/>
    <x v="453"/>
  </r>
  <r>
    <x v="990"/>
    <x v="268"/>
    <x v="0"/>
    <x v="3"/>
    <x v="9"/>
    <x v="10"/>
    <x v="9"/>
    <x v="4"/>
    <x v="4"/>
    <x v="1"/>
    <x v="0"/>
    <x v="0"/>
    <x v="9"/>
    <x v="18"/>
    <x v="30"/>
    <x v="6"/>
    <x v="4"/>
    <x v="358"/>
    <x v="316"/>
    <x v="275"/>
    <x v="780"/>
  </r>
  <r>
    <x v="991"/>
    <x v="248"/>
    <x v="0"/>
    <x v="3"/>
    <x v="9"/>
    <x v="10"/>
    <x v="9"/>
    <x v="4"/>
    <x v="4"/>
    <x v="0"/>
    <x v="0"/>
    <x v="0"/>
    <x v="9"/>
    <x v="18"/>
    <x v="12"/>
    <x v="6"/>
    <x v="4"/>
    <x v="118"/>
    <x v="112"/>
    <x v="495"/>
    <x v="232"/>
  </r>
  <r>
    <x v="992"/>
    <x v="255"/>
    <x v="0"/>
    <x v="3"/>
    <x v="9"/>
    <x v="10"/>
    <x v="9"/>
    <x v="4"/>
    <x v="4"/>
    <x v="1"/>
    <x v="2"/>
    <x v="4"/>
    <x v="0"/>
    <x v="0"/>
    <x v="10"/>
    <x v="15"/>
    <x v="10"/>
    <x v="237"/>
    <x v="208"/>
    <x v="162"/>
    <x v="560"/>
  </r>
  <r>
    <x v="993"/>
    <x v="262"/>
    <x v="0"/>
    <x v="3"/>
    <x v="9"/>
    <x v="10"/>
    <x v="9"/>
    <x v="4"/>
    <x v="4"/>
    <x v="0"/>
    <x v="2"/>
    <x v="4"/>
    <x v="0"/>
    <x v="0"/>
    <x v="5"/>
    <x v="15"/>
    <x v="10"/>
    <x v="99"/>
    <x v="93"/>
    <x v="451"/>
    <x v="219"/>
  </r>
  <r>
    <x v="994"/>
    <x v="269"/>
    <x v="0"/>
    <x v="3"/>
    <x v="9"/>
    <x v="10"/>
    <x v="9"/>
    <x v="4"/>
    <x v="4"/>
    <x v="1"/>
    <x v="2"/>
    <x v="4"/>
    <x v="4"/>
    <x v="8"/>
    <x v="15"/>
    <x v="9"/>
    <x v="7"/>
    <x v="239"/>
    <x v="227"/>
    <x v="163"/>
    <x v="510"/>
  </r>
  <r>
    <x v="995"/>
    <x v="249"/>
    <x v="0"/>
    <x v="3"/>
    <x v="9"/>
    <x v="10"/>
    <x v="9"/>
    <x v="4"/>
    <x v="4"/>
    <x v="0"/>
    <x v="2"/>
    <x v="4"/>
    <x v="4"/>
    <x v="8"/>
    <x v="5"/>
    <x v="9"/>
    <x v="7"/>
    <x v="46"/>
    <x v="56"/>
    <x v="298"/>
    <x v="79"/>
  </r>
  <r>
    <x v="996"/>
    <x v="256"/>
    <x v="0"/>
    <x v="3"/>
    <x v="9"/>
    <x v="10"/>
    <x v="9"/>
    <x v="4"/>
    <x v="4"/>
    <x v="1"/>
    <x v="1"/>
    <x v="2"/>
    <x v="7"/>
    <x v="14"/>
    <x v="19"/>
    <x v="18"/>
    <x v="12"/>
    <x v="449"/>
    <x v="421"/>
    <x v="394"/>
    <x v="890"/>
  </r>
  <r>
    <x v="997"/>
    <x v="263"/>
    <x v="0"/>
    <x v="3"/>
    <x v="9"/>
    <x v="10"/>
    <x v="9"/>
    <x v="4"/>
    <x v="4"/>
    <x v="0"/>
    <x v="1"/>
    <x v="2"/>
    <x v="7"/>
    <x v="14"/>
    <x v="6"/>
    <x v="18"/>
    <x v="12"/>
    <x v="150"/>
    <x v="157"/>
    <x v="570"/>
    <x v="242"/>
  </r>
  <r>
    <x v="998"/>
    <x v="243"/>
    <x v="0"/>
    <x v="3"/>
    <x v="9"/>
    <x v="10"/>
    <x v="9"/>
    <x v="4"/>
    <x v="4"/>
    <x v="1"/>
    <x v="1"/>
    <x v="2"/>
    <x v="6"/>
    <x v="12"/>
    <x v="18"/>
    <x v="3"/>
    <x v="2"/>
    <x v="70"/>
    <x v="63"/>
    <x v="31"/>
    <x v="201"/>
  </r>
  <r>
    <x v="999"/>
    <x v="250"/>
    <x v="0"/>
    <x v="3"/>
    <x v="9"/>
    <x v="10"/>
    <x v="9"/>
    <x v="4"/>
    <x v="4"/>
    <x v="0"/>
    <x v="1"/>
    <x v="2"/>
    <x v="6"/>
    <x v="12"/>
    <x v="6"/>
    <x v="3"/>
    <x v="2"/>
    <x v="5"/>
    <x v="6"/>
    <x v="90"/>
    <x v="10"/>
  </r>
  <r>
    <x v="1000"/>
    <x v="284"/>
    <x v="0"/>
    <x v="3"/>
    <x v="10"/>
    <x v="9"/>
    <x v="10"/>
    <x v="0"/>
    <x v="0"/>
    <x v="1"/>
    <x v="3"/>
    <x v="6"/>
    <x v="1"/>
    <x v="2"/>
    <x v="24"/>
    <x v="25"/>
    <x v="16"/>
    <x v="873"/>
    <x v="775"/>
    <x v="1246"/>
    <x v="1616"/>
  </r>
  <r>
    <x v="1001"/>
    <x v="291"/>
    <x v="0"/>
    <x v="3"/>
    <x v="10"/>
    <x v="9"/>
    <x v="10"/>
    <x v="0"/>
    <x v="0"/>
    <x v="0"/>
    <x v="3"/>
    <x v="6"/>
    <x v="1"/>
    <x v="2"/>
    <x v="8"/>
    <x v="25"/>
    <x v="16"/>
    <x v="813"/>
    <x v="728"/>
    <x v="1293"/>
    <x v="1495"/>
  </r>
  <r>
    <x v="1002"/>
    <x v="271"/>
    <x v="0"/>
    <x v="3"/>
    <x v="10"/>
    <x v="9"/>
    <x v="10"/>
    <x v="0"/>
    <x v="0"/>
    <x v="1"/>
    <x v="3"/>
    <x v="6"/>
    <x v="2"/>
    <x v="4"/>
    <x v="29"/>
    <x v="22"/>
    <x v="14"/>
    <x v="822"/>
    <x v="735"/>
    <x v="1081"/>
    <x v="1553"/>
  </r>
  <r>
    <x v="1003"/>
    <x v="278"/>
    <x v="0"/>
    <x v="3"/>
    <x v="10"/>
    <x v="9"/>
    <x v="10"/>
    <x v="0"/>
    <x v="0"/>
    <x v="0"/>
    <x v="3"/>
    <x v="6"/>
    <x v="2"/>
    <x v="4"/>
    <x v="7"/>
    <x v="22"/>
    <x v="14"/>
    <x v="583"/>
    <x v="548"/>
    <x v="1099"/>
    <x v="1053"/>
  </r>
  <r>
    <x v="1004"/>
    <x v="285"/>
    <x v="0"/>
    <x v="3"/>
    <x v="10"/>
    <x v="9"/>
    <x v="10"/>
    <x v="0"/>
    <x v="0"/>
    <x v="1"/>
    <x v="3"/>
    <x v="6"/>
    <x v="5"/>
    <x v="10"/>
    <x v="21"/>
    <x v="28"/>
    <x v="18"/>
    <x v="884"/>
    <x v="789"/>
    <x v="1273"/>
    <x v="1617"/>
  </r>
  <r>
    <x v="1005"/>
    <x v="292"/>
    <x v="0"/>
    <x v="3"/>
    <x v="10"/>
    <x v="9"/>
    <x v="10"/>
    <x v="0"/>
    <x v="0"/>
    <x v="0"/>
    <x v="3"/>
    <x v="6"/>
    <x v="5"/>
    <x v="10"/>
    <x v="9"/>
    <x v="28"/>
    <x v="18"/>
    <x v="842"/>
    <x v="752"/>
    <x v="1314"/>
    <x v="1537"/>
  </r>
  <r>
    <x v="1006"/>
    <x v="272"/>
    <x v="0"/>
    <x v="3"/>
    <x v="10"/>
    <x v="9"/>
    <x v="10"/>
    <x v="0"/>
    <x v="0"/>
    <x v="1"/>
    <x v="0"/>
    <x v="0"/>
    <x v="3"/>
    <x v="6"/>
    <x v="98"/>
    <x v="0"/>
    <x v="0"/>
    <x v="471"/>
    <x v="381"/>
    <x v="422"/>
    <x v="1081"/>
  </r>
  <r>
    <x v="1007"/>
    <x v="279"/>
    <x v="0"/>
    <x v="3"/>
    <x v="10"/>
    <x v="9"/>
    <x v="10"/>
    <x v="0"/>
    <x v="0"/>
    <x v="0"/>
    <x v="0"/>
    <x v="0"/>
    <x v="3"/>
    <x v="6"/>
    <x v="42"/>
    <x v="0"/>
    <x v="0"/>
    <x v="195"/>
    <x v="150"/>
    <x v="644"/>
    <x v="485"/>
  </r>
  <r>
    <x v="1008"/>
    <x v="286"/>
    <x v="0"/>
    <x v="3"/>
    <x v="10"/>
    <x v="9"/>
    <x v="10"/>
    <x v="0"/>
    <x v="0"/>
    <x v="1"/>
    <x v="0"/>
    <x v="0"/>
    <x v="8"/>
    <x v="16"/>
    <x v="105"/>
    <x v="12"/>
    <x v="6"/>
    <x v="803"/>
    <x v="704"/>
    <x v="1010"/>
    <x v="1549"/>
  </r>
  <r>
    <x v="1009"/>
    <x v="293"/>
    <x v="0"/>
    <x v="3"/>
    <x v="10"/>
    <x v="9"/>
    <x v="10"/>
    <x v="0"/>
    <x v="0"/>
    <x v="0"/>
    <x v="0"/>
    <x v="0"/>
    <x v="8"/>
    <x v="16"/>
    <x v="44"/>
    <x v="12"/>
    <x v="6"/>
    <x v="609"/>
    <x v="517"/>
    <x v="1120"/>
    <x v="1234"/>
  </r>
  <r>
    <x v="1010"/>
    <x v="273"/>
    <x v="0"/>
    <x v="3"/>
    <x v="10"/>
    <x v="9"/>
    <x v="10"/>
    <x v="0"/>
    <x v="0"/>
    <x v="1"/>
    <x v="0"/>
    <x v="0"/>
    <x v="9"/>
    <x v="18"/>
    <x v="113"/>
    <x v="6"/>
    <x v="4"/>
    <x v="762"/>
    <x v="675"/>
    <x v="890"/>
    <x v="1477"/>
  </r>
  <r>
    <x v="1011"/>
    <x v="280"/>
    <x v="0"/>
    <x v="3"/>
    <x v="10"/>
    <x v="9"/>
    <x v="10"/>
    <x v="0"/>
    <x v="0"/>
    <x v="0"/>
    <x v="0"/>
    <x v="0"/>
    <x v="9"/>
    <x v="18"/>
    <x v="46"/>
    <x v="6"/>
    <x v="4"/>
    <x v="495"/>
    <x v="443"/>
    <x v="1027"/>
    <x v="983"/>
  </r>
  <r>
    <x v="1012"/>
    <x v="287"/>
    <x v="0"/>
    <x v="3"/>
    <x v="10"/>
    <x v="9"/>
    <x v="10"/>
    <x v="0"/>
    <x v="0"/>
    <x v="1"/>
    <x v="2"/>
    <x v="4"/>
    <x v="0"/>
    <x v="0"/>
    <x v="55"/>
    <x v="15"/>
    <x v="10"/>
    <x v="729"/>
    <x v="640"/>
    <x v="819"/>
    <x v="1436"/>
  </r>
  <r>
    <x v="1013"/>
    <x v="294"/>
    <x v="0"/>
    <x v="3"/>
    <x v="10"/>
    <x v="9"/>
    <x v="10"/>
    <x v="0"/>
    <x v="0"/>
    <x v="0"/>
    <x v="2"/>
    <x v="4"/>
    <x v="0"/>
    <x v="0"/>
    <x v="21"/>
    <x v="15"/>
    <x v="10"/>
    <x v="453"/>
    <x v="399"/>
    <x v="996"/>
    <x v="920"/>
  </r>
  <r>
    <x v="1014"/>
    <x v="274"/>
    <x v="0"/>
    <x v="3"/>
    <x v="10"/>
    <x v="9"/>
    <x v="10"/>
    <x v="0"/>
    <x v="0"/>
    <x v="1"/>
    <x v="2"/>
    <x v="4"/>
    <x v="4"/>
    <x v="8"/>
    <x v="63"/>
    <x v="9"/>
    <x v="7"/>
    <x v="672"/>
    <x v="605"/>
    <x v="718"/>
    <x v="1301"/>
  </r>
  <r>
    <x v="1015"/>
    <x v="281"/>
    <x v="0"/>
    <x v="3"/>
    <x v="10"/>
    <x v="9"/>
    <x v="10"/>
    <x v="0"/>
    <x v="0"/>
    <x v="0"/>
    <x v="2"/>
    <x v="4"/>
    <x v="4"/>
    <x v="8"/>
    <x v="19"/>
    <x v="9"/>
    <x v="7"/>
    <x v="312"/>
    <x v="286"/>
    <x v="805"/>
    <x v="585"/>
  </r>
  <r>
    <x v="1016"/>
    <x v="288"/>
    <x v="0"/>
    <x v="3"/>
    <x v="10"/>
    <x v="9"/>
    <x v="10"/>
    <x v="0"/>
    <x v="0"/>
    <x v="1"/>
    <x v="1"/>
    <x v="2"/>
    <x v="7"/>
    <x v="14"/>
    <x v="66"/>
    <x v="18"/>
    <x v="12"/>
    <x v="778"/>
    <x v="696"/>
    <x v="931"/>
    <x v="1466"/>
  </r>
  <r>
    <x v="1017"/>
    <x v="295"/>
    <x v="0"/>
    <x v="3"/>
    <x v="10"/>
    <x v="9"/>
    <x v="10"/>
    <x v="0"/>
    <x v="0"/>
    <x v="0"/>
    <x v="1"/>
    <x v="2"/>
    <x v="7"/>
    <x v="14"/>
    <x v="31"/>
    <x v="18"/>
    <x v="12"/>
    <x v="605"/>
    <x v="555"/>
    <x v="1114"/>
    <x v="1121"/>
  </r>
  <r>
    <x v="1018"/>
    <x v="275"/>
    <x v="0"/>
    <x v="3"/>
    <x v="10"/>
    <x v="9"/>
    <x v="10"/>
    <x v="0"/>
    <x v="0"/>
    <x v="1"/>
    <x v="1"/>
    <x v="2"/>
    <x v="6"/>
    <x v="12"/>
    <x v="76"/>
    <x v="3"/>
    <x v="2"/>
    <x v="460"/>
    <x v="390"/>
    <x v="407"/>
    <x v="1023"/>
  </r>
  <r>
    <x v="1019"/>
    <x v="282"/>
    <x v="0"/>
    <x v="3"/>
    <x v="10"/>
    <x v="9"/>
    <x v="10"/>
    <x v="0"/>
    <x v="0"/>
    <x v="0"/>
    <x v="1"/>
    <x v="2"/>
    <x v="6"/>
    <x v="12"/>
    <x v="29"/>
    <x v="3"/>
    <x v="2"/>
    <x v="161"/>
    <x v="136"/>
    <x v="589"/>
    <x v="376"/>
  </r>
  <r>
    <x v="1020"/>
    <x v="289"/>
    <x v="0"/>
    <x v="3"/>
    <x v="10"/>
    <x v="9"/>
    <x v="10"/>
    <x v="1"/>
    <x v="1"/>
    <x v="1"/>
    <x v="3"/>
    <x v="6"/>
    <x v="1"/>
    <x v="2"/>
    <x v="15"/>
    <x v="25"/>
    <x v="16"/>
    <x v="848"/>
    <x v="753"/>
    <x v="1170"/>
    <x v="1581"/>
  </r>
  <r>
    <x v="1021"/>
    <x v="296"/>
    <x v="0"/>
    <x v="3"/>
    <x v="10"/>
    <x v="9"/>
    <x v="10"/>
    <x v="1"/>
    <x v="1"/>
    <x v="0"/>
    <x v="3"/>
    <x v="6"/>
    <x v="1"/>
    <x v="2"/>
    <x v="5"/>
    <x v="25"/>
    <x v="16"/>
    <x v="768"/>
    <x v="698"/>
    <x v="1245"/>
    <x v="1382"/>
  </r>
  <r>
    <x v="1022"/>
    <x v="276"/>
    <x v="0"/>
    <x v="3"/>
    <x v="10"/>
    <x v="9"/>
    <x v="10"/>
    <x v="1"/>
    <x v="1"/>
    <x v="1"/>
    <x v="3"/>
    <x v="6"/>
    <x v="2"/>
    <x v="4"/>
    <x v="12"/>
    <x v="22"/>
    <x v="14"/>
    <x v="710"/>
    <x v="652"/>
    <x v="779"/>
    <x v="1314"/>
  </r>
  <r>
    <x v="1023"/>
    <x v="283"/>
    <x v="0"/>
    <x v="3"/>
    <x v="10"/>
    <x v="9"/>
    <x v="10"/>
    <x v="1"/>
    <x v="1"/>
    <x v="0"/>
    <x v="3"/>
    <x v="6"/>
    <x v="2"/>
    <x v="4"/>
    <x v="4"/>
    <x v="22"/>
    <x v="14"/>
    <x v="445"/>
    <x v="429"/>
    <x v="985"/>
    <x v="787"/>
  </r>
  <r>
    <x v="1024"/>
    <x v="290"/>
    <x v="0"/>
    <x v="3"/>
    <x v="10"/>
    <x v="9"/>
    <x v="10"/>
    <x v="1"/>
    <x v="1"/>
    <x v="1"/>
    <x v="3"/>
    <x v="6"/>
    <x v="5"/>
    <x v="10"/>
    <x v="11"/>
    <x v="28"/>
    <x v="18"/>
    <x v="851"/>
    <x v="762"/>
    <x v="1181"/>
    <x v="1572"/>
  </r>
  <r>
    <x v="1025"/>
    <x v="270"/>
    <x v="0"/>
    <x v="3"/>
    <x v="10"/>
    <x v="9"/>
    <x v="10"/>
    <x v="1"/>
    <x v="1"/>
    <x v="0"/>
    <x v="3"/>
    <x v="6"/>
    <x v="5"/>
    <x v="10"/>
    <x v="3"/>
    <x v="28"/>
    <x v="18"/>
    <x v="760"/>
    <x v="707"/>
    <x v="1242"/>
    <x v="1279"/>
  </r>
  <r>
    <x v="1026"/>
    <x v="277"/>
    <x v="0"/>
    <x v="3"/>
    <x v="10"/>
    <x v="9"/>
    <x v="10"/>
    <x v="1"/>
    <x v="1"/>
    <x v="1"/>
    <x v="0"/>
    <x v="0"/>
    <x v="3"/>
    <x v="6"/>
    <x v="72"/>
    <x v="0"/>
    <x v="0"/>
    <x v="357"/>
    <x v="282"/>
    <x v="272"/>
    <x v="869"/>
  </r>
  <r>
    <x v="1027"/>
    <x v="284"/>
    <x v="0"/>
    <x v="3"/>
    <x v="10"/>
    <x v="9"/>
    <x v="10"/>
    <x v="1"/>
    <x v="1"/>
    <x v="0"/>
    <x v="0"/>
    <x v="0"/>
    <x v="3"/>
    <x v="6"/>
    <x v="25"/>
    <x v="0"/>
    <x v="0"/>
    <x v="83"/>
    <x v="65"/>
    <x v="403"/>
    <x v="225"/>
  </r>
  <r>
    <x v="1028"/>
    <x v="291"/>
    <x v="0"/>
    <x v="3"/>
    <x v="10"/>
    <x v="9"/>
    <x v="10"/>
    <x v="1"/>
    <x v="1"/>
    <x v="1"/>
    <x v="0"/>
    <x v="0"/>
    <x v="8"/>
    <x v="16"/>
    <x v="71"/>
    <x v="12"/>
    <x v="6"/>
    <x v="733"/>
    <x v="631"/>
    <x v="828"/>
    <x v="1449"/>
  </r>
  <r>
    <x v="1029"/>
    <x v="271"/>
    <x v="0"/>
    <x v="3"/>
    <x v="10"/>
    <x v="9"/>
    <x v="10"/>
    <x v="1"/>
    <x v="1"/>
    <x v="0"/>
    <x v="0"/>
    <x v="0"/>
    <x v="8"/>
    <x v="16"/>
    <x v="29"/>
    <x v="12"/>
    <x v="6"/>
    <x v="479"/>
    <x v="403"/>
    <x v="1014"/>
    <x v="1007"/>
  </r>
  <r>
    <x v="1030"/>
    <x v="278"/>
    <x v="0"/>
    <x v="3"/>
    <x v="10"/>
    <x v="9"/>
    <x v="10"/>
    <x v="1"/>
    <x v="1"/>
    <x v="1"/>
    <x v="0"/>
    <x v="0"/>
    <x v="9"/>
    <x v="18"/>
    <x v="77"/>
    <x v="6"/>
    <x v="4"/>
    <x v="658"/>
    <x v="584"/>
    <x v="699"/>
    <x v="1300"/>
  </r>
  <r>
    <x v="1031"/>
    <x v="285"/>
    <x v="0"/>
    <x v="3"/>
    <x v="10"/>
    <x v="9"/>
    <x v="10"/>
    <x v="1"/>
    <x v="1"/>
    <x v="0"/>
    <x v="0"/>
    <x v="0"/>
    <x v="9"/>
    <x v="18"/>
    <x v="22"/>
    <x v="6"/>
    <x v="4"/>
    <x v="262"/>
    <x v="239"/>
    <x v="740"/>
    <x v="538"/>
  </r>
  <r>
    <x v="1032"/>
    <x v="292"/>
    <x v="0"/>
    <x v="3"/>
    <x v="10"/>
    <x v="9"/>
    <x v="10"/>
    <x v="1"/>
    <x v="1"/>
    <x v="1"/>
    <x v="2"/>
    <x v="4"/>
    <x v="0"/>
    <x v="0"/>
    <x v="30"/>
    <x v="15"/>
    <x v="10"/>
    <x v="570"/>
    <x v="494"/>
    <x v="570"/>
    <x v="1187"/>
  </r>
  <r>
    <x v="1033"/>
    <x v="272"/>
    <x v="0"/>
    <x v="3"/>
    <x v="10"/>
    <x v="9"/>
    <x v="10"/>
    <x v="1"/>
    <x v="1"/>
    <x v="0"/>
    <x v="2"/>
    <x v="4"/>
    <x v="0"/>
    <x v="0"/>
    <x v="11"/>
    <x v="15"/>
    <x v="10"/>
    <x v="262"/>
    <x v="230"/>
    <x v="740"/>
    <x v="558"/>
  </r>
  <r>
    <x v="1034"/>
    <x v="279"/>
    <x v="0"/>
    <x v="3"/>
    <x v="10"/>
    <x v="9"/>
    <x v="10"/>
    <x v="1"/>
    <x v="1"/>
    <x v="1"/>
    <x v="2"/>
    <x v="4"/>
    <x v="4"/>
    <x v="8"/>
    <x v="28"/>
    <x v="9"/>
    <x v="7"/>
    <x v="422"/>
    <x v="394"/>
    <x v="366"/>
    <x v="880"/>
  </r>
  <r>
    <x v="1035"/>
    <x v="286"/>
    <x v="0"/>
    <x v="3"/>
    <x v="10"/>
    <x v="9"/>
    <x v="10"/>
    <x v="1"/>
    <x v="1"/>
    <x v="0"/>
    <x v="2"/>
    <x v="4"/>
    <x v="4"/>
    <x v="8"/>
    <x v="12"/>
    <x v="9"/>
    <x v="7"/>
    <x v="183"/>
    <x v="179"/>
    <x v="625"/>
    <x v="336"/>
  </r>
  <r>
    <x v="1036"/>
    <x v="293"/>
    <x v="0"/>
    <x v="3"/>
    <x v="10"/>
    <x v="9"/>
    <x v="10"/>
    <x v="1"/>
    <x v="1"/>
    <x v="1"/>
    <x v="1"/>
    <x v="2"/>
    <x v="7"/>
    <x v="14"/>
    <x v="43"/>
    <x v="18"/>
    <x v="12"/>
    <x v="691"/>
    <x v="625"/>
    <x v="745"/>
    <x v="1305"/>
  </r>
  <r>
    <x v="1037"/>
    <x v="273"/>
    <x v="0"/>
    <x v="3"/>
    <x v="10"/>
    <x v="9"/>
    <x v="10"/>
    <x v="1"/>
    <x v="1"/>
    <x v="0"/>
    <x v="1"/>
    <x v="2"/>
    <x v="7"/>
    <x v="14"/>
    <x v="16"/>
    <x v="18"/>
    <x v="12"/>
    <x v="399"/>
    <x v="375"/>
    <x v="920"/>
    <x v="726"/>
  </r>
  <r>
    <x v="1038"/>
    <x v="280"/>
    <x v="0"/>
    <x v="3"/>
    <x v="10"/>
    <x v="9"/>
    <x v="10"/>
    <x v="1"/>
    <x v="1"/>
    <x v="1"/>
    <x v="1"/>
    <x v="2"/>
    <x v="6"/>
    <x v="12"/>
    <x v="41"/>
    <x v="3"/>
    <x v="2"/>
    <x v="255"/>
    <x v="211"/>
    <x v="180"/>
    <x v="612"/>
  </r>
  <r>
    <x v="1039"/>
    <x v="287"/>
    <x v="0"/>
    <x v="3"/>
    <x v="10"/>
    <x v="9"/>
    <x v="10"/>
    <x v="1"/>
    <x v="1"/>
    <x v="0"/>
    <x v="1"/>
    <x v="2"/>
    <x v="6"/>
    <x v="12"/>
    <x v="15"/>
    <x v="3"/>
    <x v="2"/>
    <x v="46"/>
    <x v="45"/>
    <x v="298"/>
    <x v="112"/>
  </r>
  <r>
    <x v="1040"/>
    <x v="294"/>
    <x v="0"/>
    <x v="3"/>
    <x v="10"/>
    <x v="9"/>
    <x v="10"/>
    <x v="3"/>
    <x v="3"/>
    <x v="1"/>
    <x v="3"/>
    <x v="6"/>
    <x v="1"/>
    <x v="2"/>
    <x v="11"/>
    <x v="25"/>
    <x v="16"/>
    <x v="832"/>
    <x v="742"/>
    <x v="1111"/>
    <x v="1561"/>
  </r>
  <r>
    <x v="1041"/>
    <x v="274"/>
    <x v="0"/>
    <x v="3"/>
    <x v="10"/>
    <x v="9"/>
    <x v="10"/>
    <x v="3"/>
    <x v="3"/>
    <x v="0"/>
    <x v="3"/>
    <x v="6"/>
    <x v="1"/>
    <x v="2"/>
    <x v="2"/>
    <x v="25"/>
    <x v="16"/>
    <x v="634"/>
    <x v="592"/>
    <x v="1142"/>
    <x v="1127"/>
  </r>
  <r>
    <x v="1042"/>
    <x v="281"/>
    <x v="0"/>
    <x v="3"/>
    <x v="10"/>
    <x v="9"/>
    <x v="10"/>
    <x v="3"/>
    <x v="3"/>
    <x v="1"/>
    <x v="3"/>
    <x v="6"/>
    <x v="2"/>
    <x v="4"/>
    <x v="10"/>
    <x v="22"/>
    <x v="14"/>
    <x v="665"/>
    <x v="616"/>
    <x v="708"/>
    <x v="1253"/>
  </r>
  <r>
    <x v="1043"/>
    <x v="288"/>
    <x v="0"/>
    <x v="3"/>
    <x v="10"/>
    <x v="9"/>
    <x v="10"/>
    <x v="3"/>
    <x v="3"/>
    <x v="0"/>
    <x v="3"/>
    <x v="6"/>
    <x v="2"/>
    <x v="4"/>
    <x v="2"/>
    <x v="22"/>
    <x v="14"/>
    <x v="316"/>
    <x v="304"/>
    <x v="809"/>
    <x v="526"/>
  </r>
  <r>
    <x v="1044"/>
    <x v="295"/>
    <x v="0"/>
    <x v="3"/>
    <x v="10"/>
    <x v="9"/>
    <x v="10"/>
    <x v="3"/>
    <x v="3"/>
    <x v="1"/>
    <x v="3"/>
    <x v="6"/>
    <x v="5"/>
    <x v="10"/>
    <x v="11"/>
    <x v="28"/>
    <x v="18"/>
    <x v="851"/>
    <x v="762"/>
    <x v="1181"/>
    <x v="1572"/>
  </r>
  <r>
    <x v="1045"/>
    <x v="275"/>
    <x v="0"/>
    <x v="3"/>
    <x v="10"/>
    <x v="9"/>
    <x v="10"/>
    <x v="3"/>
    <x v="3"/>
    <x v="0"/>
    <x v="3"/>
    <x v="6"/>
    <x v="5"/>
    <x v="10"/>
    <x v="2"/>
    <x v="28"/>
    <x v="18"/>
    <x v="721"/>
    <x v="673"/>
    <x v="1203"/>
    <x v="1184"/>
  </r>
  <r>
    <x v="1046"/>
    <x v="282"/>
    <x v="0"/>
    <x v="3"/>
    <x v="10"/>
    <x v="9"/>
    <x v="10"/>
    <x v="3"/>
    <x v="3"/>
    <x v="1"/>
    <x v="0"/>
    <x v="0"/>
    <x v="3"/>
    <x v="6"/>
    <x v="47"/>
    <x v="0"/>
    <x v="0"/>
    <x v="225"/>
    <x v="174"/>
    <x v="148"/>
    <x v="588"/>
  </r>
  <r>
    <x v="1047"/>
    <x v="289"/>
    <x v="0"/>
    <x v="3"/>
    <x v="10"/>
    <x v="9"/>
    <x v="10"/>
    <x v="3"/>
    <x v="3"/>
    <x v="0"/>
    <x v="0"/>
    <x v="0"/>
    <x v="3"/>
    <x v="6"/>
    <x v="17"/>
    <x v="0"/>
    <x v="0"/>
    <x v="38"/>
    <x v="33"/>
    <x v="249"/>
    <x v="101"/>
  </r>
  <r>
    <x v="1048"/>
    <x v="296"/>
    <x v="0"/>
    <x v="3"/>
    <x v="10"/>
    <x v="9"/>
    <x v="10"/>
    <x v="3"/>
    <x v="3"/>
    <x v="1"/>
    <x v="0"/>
    <x v="0"/>
    <x v="8"/>
    <x v="16"/>
    <x v="43"/>
    <x v="12"/>
    <x v="6"/>
    <x v="602"/>
    <x v="511"/>
    <x v="614"/>
    <x v="1257"/>
  </r>
  <r>
    <x v="1049"/>
    <x v="276"/>
    <x v="0"/>
    <x v="3"/>
    <x v="10"/>
    <x v="9"/>
    <x v="10"/>
    <x v="3"/>
    <x v="3"/>
    <x v="0"/>
    <x v="0"/>
    <x v="0"/>
    <x v="8"/>
    <x v="16"/>
    <x v="20"/>
    <x v="12"/>
    <x v="6"/>
    <x v="361"/>
    <x v="294"/>
    <x v="867"/>
    <x v="796"/>
  </r>
  <r>
    <x v="1050"/>
    <x v="283"/>
    <x v="0"/>
    <x v="3"/>
    <x v="10"/>
    <x v="9"/>
    <x v="10"/>
    <x v="3"/>
    <x v="3"/>
    <x v="1"/>
    <x v="0"/>
    <x v="0"/>
    <x v="9"/>
    <x v="18"/>
    <x v="57"/>
    <x v="6"/>
    <x v="4"/>
    <x v="569"/>
    <x v="502"/>
    <x v="568"/>
    <x v="1169"/>
  </r>
  <r>
    <x v="1051"/>
    <x v="290"/>
    <x v="0"/>
    <x v="3"/>
    <x v="10"/>
    <x v="9"/>
    <x v="10"/>
    <x v="3"/>
    <x v="3"/>
    <x v="0"/>
    <x v="0"/>
    <x v="0"/>
    <x v="9"/>
    <x v="18"/>
    <x v="17"/>
    <x v="6"/>
    <x v="4"/>
    <x v="196"/>
    <x v="180"/>
    <x v="646"/>
    <x v="399"/>
  </r>
  <r>
    <x v="1052"/>
    <x v="270"/>
    <x v="0"/>
    <x v="3"/>
    <x v="10"/>
    <x v="9"/>
    <x v="10"/>
    <x v="3"/>
    <x v="3"/>
    <x v="1"/>
    <x v="2"/>
    <x v="4"/>
    <x v="0"/>
    <x v="0"/>
    <x v="23"/>
    <x v="15"/>
    <x v="10"/>
    <x v="483"/>
    <x v="420"/>
    <x v="438"/>
    <x v="1039"/>
  </r>
  <r>
    <x v="1053"/>
    <x v="277"/>
    <x v="0"/>
    <x v="3"/>
    <x v="10"/>
    <x v="9"/>
    <x v="10"/>
    <x v="3"/>
    <x v="3"/>
    <x v="0"/>
    <x v="2"/>
    <x v="4"/>
    <x v="0"/>
    <x v="0"/>
    <x v="6"/>
    <x v="15"/>
    <x v="10"/>
    <x v="130"/>
    <x v="116"/>
    <x v="525"/>
    <x v="282"/>
  </r>
  <r>
    <x v="1054"/>
    <x v="284"/>
    <x v="0"/>
    <x v="3"/>
    <x v="10"/>
    <x v="9"/>
    <x v="10"/>
    <x v="3"/>
    <x v="3"/>
    <x v="1"/>
    <x v="2"/>
    <x v="4"/>
    <x v="4"/>
    <x v="8"/>
    <x v="25"/>
    <x v="9"/>
    <x v="7"/>
    <x v="389"/>
    <x v="358"/>
    <x v="313"/>
    <x v="812"/>
  </r>
  <r>
    <x v="1055"/>
    <x v="291"/>
    <x v="0"/>
    <x v="3"/>
    <x v="10"/>
    <x v="9"/>
    <x v="10"/>
    <x v="3"/>
    <x v="3"/>
    <x v="0"/>
    <x v="2"/>
    <x v="4"/>
    <x v="4"/>
    <x v="8"/>
    <x v="7"/>
    <x v="9"/>
    <x v="7"/>
    <x v="84"/>
    <x v="89"/>
    <x v="409"/>
    <x v="145"/>
  </r>
  <r>
    <x v="1056"/>
    <x v="271"/>
    <x v="0"/>
    <x v="3"/>
    <x v="10"/>
    <x v="9"/>
    <x v="10"/>
    <x v="3"/>
    <x v="3"/>
    <x v="1"/>
    <x v="1"/>
    <x v="2"/>
    <x v="7"/>
    <x v="14"/>
    <x v="32"/>
    <x v="18"/>
    <x v="12"/>
    <x v="613"/>
    <x v="561"/>
    <x v="628"/>
    <x v="1193"/>
  </r>
  <r>
    <x v="1057"/>
    <x v="278"/>
    <x v="0"/>
    <x v="3"/>
    <x v="10"/>
    <x v="9"/>
    <x v="10"/>
    <x v="3"/>
    <x v="3"/>
    <x v="0"/>
    <x v="1"/>
    <x v="2"/>
    <x v="7"/>
    <x v="14"/>
    <x v="11"/>
    <x v="18"/>
    <x v="12"/>
    <x v="288"/>
    <x v="279"/>
    <x v="776"/>
    <x v="523"/>
  </r>
  <r>
    <x v="1058"/>
    <x v="285"/>
    <x v="0"/>
    <x v="3"/>
    <x v="10"/>
    <x v="9"/>
    <x v="10"/>
    <x v="3"/>
    <x v="3"/>
    <x v="1"/>
    <x v="1"/>
    <x v="2"/>
    <x v="6"/>
    <x v="12"/>
    <x v="26"/>
    <x v="3"/>
    <x v="2"/>
    <x v="136"/>
    <x v="115"/>
    <x v="80"/>
    <x v="354"/>
  </r>
  <r>
    <x v="1059"/>
    <x v="292"/>
    <x v="0"/>
    <x v="3"/>
    <x v="10"/>
    <x v="9"/>
    <x v="10"/>
    <x v="3"/>
    <x v="3"/>
    <x v="0"/>
    <x v="1"/>
    <x v="2"/>
    <x v="6"/>
    <x v="12"/>
    <x v="9"/>
    <x v="3"/>
    <x v="2"/>
    <x v="13"/>
    <x v="16"/>
    <x v="157"/>
    <x v="37"/>
  </r>
  <r>
    <x v="1060"/>
    <x v="272"/>
    <x v="0"/>
    <x v="3"/>
    <x v="10"/>
    <x v="9"/>
    <x v="10"/>
    <x v="2"/>
    <x v="2"/>
    <x v="1"/>
    <x v="3"/>
    <x v="6"/>
    <x v="1"/>
    <x v="2"/>
    <x v="6"/>
    <x v="25"/>
    <x v="16"/>
    <x v="789"/>
    <x v="711"/>
    <x v="967"/>
    <x v="1461"/>
  </r>
  <r>
    <x v="1061"/>
    <x v="279"/>
    <x v="0"/>
    <x v="3"/>
    <x v="10"/>
    <x v="9"/>
    <x v="10"/>
    <x v="2"/>
    <x v="2"/>
    <x v="0"/>
    <x v="3"/>
    <x v="6"/>
    <x v="1"/>
    <x v="2"/>
    <x v="2"/>
    <x v="25"/>
    <x v="16"/>
    <x v="634"/>
    <x v="592"/>
    <x v="1142"/>
    <x v="1127"/>
  </r>
  <r>
    <x v="1062"/>
    <x v="286"/>
    <x v="0"/>
    <x v="3"/>
    <x v="10"/>
    <x v="9"/>
    <x v="10"/>
    <x v="2"/>
    <x v="2"/>
    <x v="1"/>
    <x v="3"/>
    <x v="6"/>
    <x v="2"/>
    <x v="4"/>
    <x v="6"/>
    <x v="22"/>
    <x v="14"/>
    <x v="548"/>
    <x v="514"/>
    <x v="531"/>
    <x v="1034"/>
  </r>
  <r>
    <x v="1063"/>
    <x v="293"/>
    <x v="0"/>
    <x v="3"/>
    <x v="10"/>
    <x v="9"/>
    <x v="10"/>
    <x v="2"/>
    <x v="2"/>
    <x v="0"/>
    <x v="3"/>
    <x v="6"/>
    <x v="2"/>
    <x v="4"/>
    <x v="1"/>
    <x v="22"/>
    <x v="14"/>
    <x v="220"/>
    <x v="229"/>
    <x v="677"/>
    <x v="346"/>
  </r>
  <r>
    <x v="1064"/>
    <x v="273"/>
    <x v="0"/>
    <x v="3"/>
    <x v="10"/>
    <x v="9"/>
    <x v="10"/>
    <x v="2"/>
    <x v="2"/>
    <x v="1"/>
    <x v="3"/>
    <x v="6"/>
    <x v="5"/>
    <x v="10"/>
    <x v="5"/>
    <x v="28"/>
    <x v="18"/>
    <x v="808"/>
    <x v="731"/>
    <x v="1028"/>
    <x v="1458"/>
  </r>
  <r>
    <x v="1065"/>
    <x v="280"/>
    <x v="0"/>
    <x v="3"/>
    <x v="10"/>
    <x v="9"/>
    <x v="10"/>
    <x v="2"/>
    <x v="2"/>
    <x v="0"/>
    <x v="3"/>
    <x v="6"/>
    <x v="5"/>
    <x v="10"/>
    <x v="1"/>
    <x v="28"/>
    <x v="18"/>
    <x v="644"/>
    <x v="623"/>
    <x v="1150"/>
    <x v="1001"/>
  </r>
  <r>
    <x v="1066"/>
    <x v="287"/>
    <x v="0"/>
    <x v="3"/>
    <x v="10"/>
    <x v="9"/>
    <x v="10"/>
    <x v="2"/>
    <x v="2"/>
    <x v="1"/>
    <x v="0"/>
    <x v="0"/>
    <x v="3"/>
    <x v="6"/>
    <x v="41"/>
    <x v="0"/>
    <x v="0"/>
    <x v="186"/>
    <x v="145"/>
    <x v="121"/>
    <x v="522"/>
  </r>
  <r>
    <x v="1067"/>
    <x v="294"/>
    <x v="0"/>
    <x v="3"/>
    <x v="10"/>
    <x v="9"/>
    <x v="10"/>
    <x v="2"/>
    <x v="2"/>
    <x v="0"/>
    <x v="0"/>
    <x v="0"/>
    <x v="3"/>
    <x v="6"/>
    <x v="13"/>
    <x v="0"/>
    <x v="0"/>
    <x v="17"/>
    <x v="17"/>
    <x v="185"/>
    <x v="55"/>
  </r>
  <r>
    <x v="1068"/>
    <x v="274"/>
    <x v="0"/>
    <x v="3"/>
    <x v="10"/>
    <x v="9"/>
    <x v="10"/>
    <x v="2"/>
    <x v="2"/>
    <x v="1"/>
    <x v="0"/>
    <x v="0"/>
    <x v="8"/>
    <x v="16"/>
    <x v="39"/>
    <x v="12"/>
    <x v="6"/>
    <x v="575"/>
    <x v="484"/>
    <x v="578"/>
    <x v="1222"/>
  </r>
  <r>
    <x v="1069"/>
    <x v="281"/>
    <x v="0"/>
    <x v="3"/>
    <x v="10"/>
    <x v="9"/>
    <x v="10"/>
    <x v="2"/>
    <x v="2"/>
    <x v="0"/>
    <x v="0"/>
    <x v="0"/>
    <x v="8"/>
    <x v="16"/>
    <x v="14"/>
    <x v="12"/>
    <x v="6"/>
    <x v="258"/>
    <x v="212"/>
    <x v="725"/>
    <x v="578"/>
  </r>
  <r>
    <x v="1070"/>
    <x v="288"/>
    <x v="0"/>
    <x v="3"/>
    <x v="10"/>
    <x v="9"/>
    <x v="10"/>
    <x v="2"/>
    <x v="2"/>
    <x v="1"/>
    <x v="0"/>
    <x v="0"/>
    <x v="9"/>
    <x v="18"/>
    <x v="41"/>
    <x v="6"/>
    <x v="4"/>
    <x v="456"/>
    <x v="410"/>
    <x v="404"/>
    <x v="964"/>
  </r>
  <r>
    <x v="1071"/>
    <x v="295"/>
    <x v="0"/>
    <x v="3"/>
    <x v="10"/>
    <x v="9"/>
    <x v="10"/>
    <x v="2"/>
    <x v="2"/>
    <x v="0"/>
    <x v="0"/>
    <x v="0"/>
    <x v="9"/>
    <x v="18"/>
    <x v="16"/>
    <x v="6"/>
    <x v="4"/>
    <x v="176"/>
    <x v="168"/>
    <x v="618"/>
    <x v="368"/>
  </r>
  <r>
    <x v="1072"/>
    <x v="275"/>
    <x v="0"/>
    <x v="3"/>
    <x v="10"/>
    <x v="9"/>
    <x v="10"/>
    <x v="2"/>
    <x v="2"/>
    <x v="1"/>
    <x v="2"/>
    <x v="4"/>
    <x v="0"/>
    <x v="0"/>
    <x v="18"/>
    <x v="15"/>
    <x v="10"/>
    <x v="407"/>
    <x v="350"/>
    <x v="334"/>
    <x v="895"/>
  </r>
  <r>
    <x v="1073"/>
    <x v="282"/>
    <x v="0"/>
    <x v="3"/>
    <x v="10"/>
    <x v="9"/>
    <x v="10"/>
    <x v="2"/>
    <x v="2"/>
    <x v="0"/>
    <x v="2"/>
    <x v="4"/>
    <x v="0"/>
    <x v="0"/>
    <x v="5"/>
    <x v="15"/>
    <x v="10"/>
    <x v="99"/>
    <x v="93"/>
    <x v="451"/>
    <x v="219"/>
  </r>
  <r>
    <x v="1074"/>
    <x v="289"/>
    <x v="0"/>
    <x v="3"/>
    <x v="10"/>
    <x v="9"/>
    <x v="10"/>
    <x v="2"/>
    <x v="2"/>
    <x v="1"/>
    <x v="2"/>
    <x v="4"/>
    <x v="4"/>
    <x v="8"/>
    <x v="15"/>
    <x v="9"/>
    <x v="7"/>
    <x v="239"/>
    <x v="227"/>
    <x v="163"/>
    <x v="510"/>
  </r>
  <r>
    <x v="1075"/>
    <x v="296"/>
    <x v="0"/>
    <x v="3"/>
    <x v="10"/>
    <x v="9"/>
    <x v="10"/>
    <x v="2"/>
    <x v="2"/>
    <x v="0"/>
    <x v="2"/>
    <x v="4"/>
    <x v="4"/>
    <x v="8"/>
    <x v="6"/>
    <x v="9"/>
    <x v="7"/>
    <x v="65"/>
    <x v="71"/>
    <x v="357"/>
    <x v="109"/>
  </r>
  <r>
    <x v="1076"/>
    <x v="276"/>
    <x v="0"/>
    <x v="3"/>
    <x v="10"/>
    <x v="9"/>
    <x v="10"/>
    <x v="2"/>
    <x v="2"/>
    <x v="1"/>
    <x v="1"/>
    <x v="2"/>
    <x v="7"/>
    <x v="14"/>
    <x v="20"/>
    <x v="18"/>
    <x v="12"/>
    <x v="468"/>
    <x v="436"/>
    <x v="420"/>
    <x v="914"/>
  </r>
  <r>
    <x v="1077"/>
    <x v="283"/>
    <x v="0"/>
    <x v="3"/>
    <x v="10"/>
    <x v="9"/>
    <x v="10"/>
    <x v="2"/>
    <x v="2"/>
    <x v="0"/>
    <x v="1"/>
    <x v="2"/>
    <x v="7"/>
    <x v="14"/>
    <x v="6"/>
    <x v="18"/>
    <x v="12"/>
    <x v="150"/>
    <x v="157"/>
    <x v="570"/>
    <x v="242"/>
  </r>
  <r>
    <x v="1078"/>
    <x v="290"/>
    <x v="0"/>
    <x v="3"/>
    <x v="10"/>
    <x v="9"/>
    <x v="10"/>
    <x v="2"/>
    <x v="2"/>
    <x v="1"/>
    <x v="1"/>
    <x v="2"/>
    <x v="6"/>
    <x v="12"/>
    <x v="18"/>
    <x v="3"/>
    <x v="2"/>
    <x v="70"/>
    <x v="63"/>
    <x v="31"/>
    <x v="201"/>
  </r>
  <r>
    <x v="1079"/>
    <x v="270"/>
    <x v="0"/>
    <x v="3"/>
    <x v="10"/>
    <x v="9"/>
    <x v="10"/>
    <x v="2"/>
    <x v="2"/>
    <x v="0"/>
    <x v="1"/>
    <x v="2"/>
    <x v="6"/>
    <x v="12"/>
    <x v="6"/>
    <x v="3"/>
    <x v="2"/>
    <x v="5"/>
    <x v="6"/>
    <x v="90"/>
    <x v="10"/>
  </r>
  <r>
    <x v="1080"/>
    <x v="277"/>
    <x v="0"/>
    <x v="3"/>
    <x v="10"/>
    <x v="9"/>
    <x v="10"/>
    <x v="4"/>
    <x v="4"/>
    <x v="1"/>
    <x v="3"/>
    <x v="6"/>
    <x v="1"/>
    <x v="2"/>
    <x v="7"/>
    <x v="25"/>
    <x v="16"/>
    <x v="804"/>
    <x v="721"/>
    <x v="1013"/>
    <x v="1494"/>
  </r>
  <r>
    <x v="1081"/>
    <x v="284"/>
    <x v="0"/>
    <x v="3"/>
    <x v="10"/>
    <x v="9"/>
    <x v="10"/>
    <x v="4"/>
    <x v="4"/>
    <x v="0"/>
    <x v="3"/>
    <x v="6"/>
    <x v="1"/>
    <x v="2"/>
    <x v="1"/>
    <x v="25"/>
    <x v="16"/>
    <x v="548"/>
    <x v="519"/>
    <x v="1070"/>
    <x v="929"/>
  </r>
  <r>
    <x v="1082"/>
    <x v="291"/>
    <x v="0"/>
    <x v="3"/>
    <x v="10"/>
    <x v="9"/>
    <x v="10"/>
    <x v="4"/>
    <x v="4"/>
    <x v="1"/>
    <x v="3"/>
    <x v="6"/>
    <x v="2"/>
    <x v="4"/>
    <x v="6"/>
    <x v="22"/>
    <x v="14"/>
    <x v="548"/>
    <x v="514"/>
    <x v="531"/>
    <x v="1034"/>
  </r>
  <r>
    <x v="1083"/>
    <x v="271"/>
    <x v="0"/>
    <x v="3"/>
    <x v="10"/>
    <x v="9"/>
    <x v="10"/>
    <x v="4"/>
    <x v="4"/>
    <x v="0"/>
    <x v="3"/>
    <x v="6"/>
    <x v="2"/>
    <x v="4"/>
    <x v="1"/>
    <x v="22"/>
    <x v="14"/>
    <x v="220"/>
    <x v="229"/>
    <x v="677"/>
    <x v="346"/>
  </r>
  <r>
    <x v="1084"/>
    <x v="278"/>
    <x v="0"/>
    <x v="3"/>
    <x v="10"/>
    <x v="9"/>
    <x v="10"/>
    <x v="4"/>
    <x v="4"/>
    <x v="1"/>
    <x v="3"/>
    <x v="6"/>
    <x v="5"/>
    <x v="10"/>
    <x v="5"/>
    <x v="28"/>
    <x v="18"/>
    <x v="808"/>
    <x v="731"/>
    <x v="1028"/>
    <x v="1458"/>
  </r>
  <r>
    <x v="1085"/>
    <x v="285"/>
    <x v="0"/>
    <x v="3"/>
    <x v="10"/>
    <x v="9"/>
    <x v="10"/>
    <x v="4"/>
    <x v="4"/>
    <x v="0"/>
    <x v="3"/>
    <x v="6"/>
    <x v="5"/>
    <x v="10"/>
    <x v="1"/>
    <x v="28"/>
    <x v="18"/>
    <x v="644"/>
    <x v="623"/>
    <x v="1150"/>
    <x v="1001"/>
  </r>
  <r>
    <x v="1086"/>
    <x v="292"/>
    <x v="0"/>
    <x v="3"/>
    <x v="10"/>
    <x v="9"/>
    <x v="10"/>
    <x v="4"/>
    <x v="4"/>
    <x v="1"/>
    <x v="0"/>
    <x v="0"/>
    <x v="3"/>
    <x v="6"/>
    <x v="40"/>
    <x v="0"/>
    <x v="0"/>
    <x v="178"/>
    <x v="138"/>
    <x v="116"/>
    <x v="496"/>
  </r>
  <r>
    <x v="1087"/>
    <x v="272"/>
    <x v="0"/>
    <x v="3"/>
    <x v="10"/>
    <x v="9"/>
    <x v="10"/>
    <x v="4"/>
    <x v="4"/>
    <x v="0"/>
    <x v="0"/>
    <x v="0"/>
    <x v="3"/>
    <x v="6"/>
    <x v="14"/>
    <x v="0"/>
    <x v="0"/>
    <x v="22"/>
    <x v="21"/>
    <x v="200"/>
    <x v="62"/>
  </r>
  <r>
    <x v="1088"/>
    <x v="279"/>
    <x v="0"/>
    <x v="3"/>
    <x v="10"/>
    <x v="9"/>
    <x v="10"/>
    <x v="4"/>
    <x v="4"/>
    <x v="1"/>
    <x v="0"/>
    <x v="0"/>
    <x v="8"/>
    <x v="16"/>
    <x v="38"/>
    <x v="12"/>
    <x v="6"/>
    <x v="566"/>
    <x v="478"/>
    <x v="561"/>
    <x v="1215"/>
  </r>
  <r>
    <x v="1089"/>
    <x v="286"/>
    <x v="0"/>
    <x v="3"/>
    <x v="10"/>
    <x v="9"/>
    <x v="10"/>
    <x v="4"/>
    <x v="4"/>
    <x v="0"/>
    <x v="0"/>
    <x v="0"/>
    <x v="8"/>
    <x v="16"/>
    <x v="11"/>
    <x v="12"/>
    <x v="6"/>
    <x v="196"/>
    <x v="161"/>
    <x v="646"/>
    <x v="453"/>
  </r>
  <r>
    <x v="1090"/>
    <x v="293"/>
    <x v="0"/>
    <x v="3"/>
    <x v="10"/>
    <x v="9"/>
    <x v="10"/>
    <x v="4"/>
    <x v="4"/>
    <x v="1"/>
    <x v="0"/>
    <x v="0"/>
    <x v="9"/>
    <x v="18"/>
    <x v="31"/>
    <x v="6"/>
    <x v="4"/>
    <x v="368"/>
    <x v="327"/>
    <x v="290"/>
    <x v="801"/>
  </r>
  <r>
    <x v="1091"/>
    <x v="273"/>
    <x v="0"/>
    <x v="3"/>
    <x v="10"/>
    <x v="9"/>
    <x v="10"/>
    <x v="4"/>
    <x v="4"/>
    <x v="0"/>
    <x v="0"/>
    <x v="0"/>
    <x v="9"/>
    <x v="18"/>
    <x v="12"/>
    <x v="6"/>
    <x v="4"/>
    <x v="118"/>
    <x v="112"/>
    <x v="495"/>
    <x v="232"/>
  </r>
  <r>
    <x v="1092"/>
    <x v="280"/>
    <x v="0"/>
    <x v="3"/>
    <x v="10"/>
    <x v="9"/>
    <x v="10"/>
    <x v="4"/>
    <x v="4"/>
    <x v="1"/>
    <x v="2"/>
    <x v="4"/>
    <x v="0"/>
    <x v="0"/>
    <x v="13"/>
    <x v="15"/>
    <x v="10"/>
    <x v="316"/>
    <x v="271"/>
    <x v="223"/>
    <x v="713"/>
  </r>
  <r>
    <x v="1093"/>
    <x v="287"/>
    <x v="0"/>
    <x v="3"/>
    <x v="10"/>
    <x v="9"/>
    <x v="10"/>
    <x v="4"/>
    <x v="4"/>
    <x v="0"/>
    <x v="2"/>
    <x v="4"/>
    <x v="0"/>
    <x v="0"/>
    <x v="6"/>
    <x v="15"/>
    <x v="10"/>
    <x v="130"/>
    <x v="116"/>
    <x v="525"/>
    <x v="282"/>
  </r>
  <r>
    <x v="1094"/>
    <x v="294"/>
    <x v="0"/>
    <x v="3"/>
    <x v="10"/>
    <x v="9"/>
    <x v="10"/>
    <x v="4"/>
    <x v="4"/>
    <x v="1"/>
    <x v="2"/>
    <x v="4"/>
    <x v="4"/>
    <x v="8"/>
    <x v="13"/>
    <x v="9"/>
    <x v="7"/>
    <x v="202"/>
    <x v="198"/>
    <x v="133"/>
    <x v="439"/>
  </r>
  <r>
    <x v="1095"/>
    <x v="274"/>
    <x v="0"/>
    <x v="3"/>
    <x v="10"/>
    <x v="9"/>
    <x v="10"/>
    <x v="4"/>
    <x v="4"/>
    <x v="0"/>
    <x v="2"/>
    <x v="4"/>
    <x v="4"/>
    <x v="8"/>
    <x v="5"/>
    <x v="9"/>
    <x v="7"/>
    <x v="46"/>
    <x v="56"/>
    <x v="298"/>
    <x v="79"/>
  </r>
  <r>
    <x v="1096"/>
    <x v="281"/>
    <x v="0"/>
    <x v="3"/>
    <x v="10"/>
    <x v="9"/>
    <x v="10"/>
    <x v="4"/>
    <x v="4"/>
    <x v="1"/>
    <x v="1"/>
    <x v="2"/>
    <x v="7"/>
    <x v="14"/>
    <x v="20"/>
    <x v="18"/>
    <x v="12"/>
    <x v="468"/>
    <x v="436"/>
    <x v="420"/>
    <x v="914"/>
  </r>
  <r>
    <x v="1097"/>
    <x v="288"/>
    <x v="0"/>
    <x v="3"/>
    <x v="10"/>
    <x v="9"/>
    <x v="10"/>
    <x v="4"/>
    <x v="4"/>
    <x v="0"/>
    <x v="1"/>
    <x v="2"/>
    <x v="7"/>
    <x v="14"/>
    <x v="8"/>
    <x v="18"/>
    <x v="12"/>
    <x v="207"/>
    <x v="206"/>
    <x v="661"/>
    <x v="366"/>
  </r>
  <r>
    <x v="1098"/>
    <x v="295"/>
    <x v="0"/>
    <x v="3"/>
    <x v="10"/>
    <x v="9"/>
    <x v="10"/>
    <x v="4"/>
    <x v="4"/>
    <x v="1"/>
    <x v="1"/>
    <x v="2"/>
    <x v="6"/>
    <x v="12"/>
    <x v="22"/>
    <x v="3"/>
    <x v="2"/>
    <x v="99"/>
    <x v="85"/>
    <x v="55"/>
    <x v="276"/>
  </r>
  <r>
    <x v="1099"/>
    <x v="275"/>
    <x v="0"/>
    <x v="3"/>
    <x v="10"/>
    <x v="9"/>
    <x v="10"/>
    <x v="4"/>
    <x v="4"/>
    <x v="0"/>
    <x v="1"/>
    <x v="2"/>
    <x v="6"/>
    <x v="12"/>
    <x v="6"/>
    <x v="3"/>
    <x v="2"/>
    <x v="5"/>
    <x v="6"/>
    <x v="90"/>
    <x v="10"/>
  </r>
  <r>
    <x v="1100"/>
    <x v="309"/>
    <x v="0"/>
    <x v="3"/>
    <x v="11"/>
    <x v="2"/>
    <x v="11"/>
    <x v="0"/>
    <x v="0"/>
    <x v="1"/>
    <x v="3"/>
    <x v="6"/>
    <x v="1"/>
    <x v="2"/>
    <x v="34"/>
    <x v="25"/>
    <x v="16"/>
    <x v="889"/>
    <x v="790"/>
    <x v="1291"/>
    <x v="1622"/>
  </r>
  <r>
    <x v="1101"/>
    <x v="316"/>
    <x v="0"/>
    <x v="3"/>
    <x v="11"/>
    <x v="2"/>
    <x v="11"/>
    <x v="0"/>
    <x v="0"/>
    <x v="0"/>
    <x v="3"/>
    <x v="6"/>
    <x v="1"/>
    <x v="2"/>
    <x v="11"/>
    <x v="25"/>
    <x v="16"/>
    <x v="832"/>
    <x v="742"/>
    <x v="1307"/>
    <x v="1547"/>
  </r>
  <r>
    <x v="1102"/>
    <x v="323"/>
    <x v="0"/>
    <x v="3"/>
    <x v="11"/>
    <x v="2"/>
    <x v="11"/>
    <x v="0"/>
    <x v="0"/>
    <x v="1"/>
    <x v="3"/>
    <x v="6"/>
    <x v="2"/>
    <x v="4"/>
    <x v="31"/>
    <x v="22"/>
    <x v="14"/>
    <x v="829"/>
    <x v="739"/>
    <x v="1097"/>
    <x v="1560"/>
  </r>
  <r>
    <x v="1103"/>
    <x v="303"/>
    <x v="0"/>
    <x v="3"/>
    <x v="11"/>
    <x v="2"/>
    <x v="11"/>
    <x v="0"/>
    <x v="0"/>
    <x v="0"/>
    <x v="3"/>
    <x v="6"/>
    <x v="2"/>
    <x v="4"/>
    <x v="10"/>
    <x v="22"/>
    <x v="14"/>
    <x v="665"/>
    <x v="616"/>
    <x v="1167"/>
    <x v="1217"/>
  </r>
  <r>
    <x v="1104"/>
    <x v="310"/>
    <x v="0"/>
    <x v="3"/>
    <x v="11"/>
    <x v="2"/>
    <x v="11"/>
    <x v="0"/>
    <x v="0"/>
    <x v="1"/>
    <x v="3"/>
    <x v="6"/>
    <x v="5"/>
    <x v="10"/>
    <x v="24"/>
    <x v="28"/>
    <x v="18"/>
    <x v="888"/>
    <x v="793"/>
    <x v="1289"/>
    <x v="1620"/>
  </r>
  <r>
    <x v="1105"/>
    <x v="317"/>
    <x v="0"/>
    <x v="3"/>
    <x v="11"/>
    <x v="2"/>
    <x v="11"/>
    <x v="0"/>
    <x v="0"/>
    <x v="0"/>
    <x v="3"/>
    <x v="6"/>
    <x v="5"/>
    <x v="10"/>
    <x v="10"/>
    <x v="28"/>
    <x v="18"/>
    <x v="847"/>
    <x v="757"/>
    <x v="1317"/>
    <x v="1551"/>
  </r>
  <r>
    <x v="1106"/>
    <x v="297"/>
    <x v="0"/>
    <x v="3"/>
    <x v="11"/>
    <x v="2"/>
    <x v="11"/>
    <x v="0"/>
    <x v="0"/>
    <x v="1"/>
    <x v="0"/>
    <x v="0"/>
    <x v="3"/>
    <x v="6"/>
    <x v="117"/>
    <x v="0"/>
    <x v="0"/>
    <x v="614"/>
    <x v="507"/>
    <x v="629"/>
    <x v="1293"/>
  </r>
  <r>
    <x v="1107"/>
    <x v="304"/>
    <x v="0"/>
    <x v="3"/>
    <x v="11"/>
    <x v="2"/>
    <x v="11"/>
    <x v="0"/>
    <x v="0"/>
    <x v="0"/>
    <x v="0"/>
    <x v="0"/>
    <x v="3"/>
    <x v="6"/>
    <x v="56"/>
    <x v="0"/>
    <x v="0"/>
    <x v="276"/>
    <x v="217"/>
    <x v="758"/>
    <x v="661"/>
  </r>
  <r>
    <x v="1108"/>
    <x v="311"/>
    <x v="0"/>
    <x v="3"/>
    <x v="11"/>
    <x v="2"/>
    <x v="11"/>
    <x v="0"/>
    <x v="0"/>
    <x v="1"/>
    <x v="0"/>
    <x v="0"/>
    <x v="8"/>
    <x v="16"/>
    <x v="116"/>
    <x v="12"/>
    <x v="6"/>
    <x v="826"/>
    <x v="727"/>
    <x v="1091"/>
    <x v="1579"/>
  </r>
  <r>
    <x v="1109"/>
    <x v="318"/>
    <x v="0"/>
    <x v="3"/>
    <x v="11"/>
    <x v="2"/>
    <x v="11"/>
    <x v="0"/>
    <x v="0"/>
    <x v="0"/>
    <x v="0"/>
    <x v="0"/>
    <x v="8"/>
    <x v="16"/>
    <x v="47"/>
    <x v="12"/>
    <x v="6"/>
    <x v="626"/>
    <x v="535"/>
    <x v="1135"/>
    <x v="1262"/>
  </r>
  <r>
    <x v="1110"/>
    <x v="298"/>
    <x v="0"/>
    <x v="3"/>
    <x v="11"/>
    <x v="2"/>
    <x v="11"/>
    <x v="0"/>
    <x v="0"/>
    <x v="1"/>
    <x v="0"/>
    <x v="0"/>
    <x v="9"/>
    <x v="18"/>
    <x v="114"/>
    <x v="6"/>
    <x v="4"/>
    <x v="772"/>
    <x v="684"/>
    <x v="916"/>
    <x v="1483"/>
  </r>
  <r>
    <x v="1111"/>
    <x v="305"/>
    <x v="0"/>
    <x v="3"/>
    <x v="11"/>
    <x v="2"/>
    <x v="11"/>
    <x v="0"/>
    <x v="0"/>
    <x v="0"/>
    <x v="0"/>
    <x v="0"/>
    <x v="9"/>
    <x v="18"/>
    <x v="60"/>
    <x v="6"/>
    <x v="4"/>
    <x v="582"/>
    <x v="516"/>
    <x v="1098"/>
    <x v="1151"/>
  </r>
  <r>
    <x v="1112"/>
    <x v="312"/>
    <x v="0"/>
    <x v="3"/>
    <x v="11"/>
    <x v="2"/>
    <x v="11"/>
    <x v="0"/>
    <x v="0"/>
    <x v="1"/>
    <x v="2"/>
    <x v="4"/>
    <x v="0"/>
    <x v="0"/>
    <x v="66"/>
    <x v="15"/>
    <x v="10"/>
    <x v="759"/>
    <x v="667"/>
    <x v="886"/>
    <x v="1479"/>
  </r>
  <r>
    <x v="1113"/>
    <x v="319"/>
    <x v="0"/>
    <x v="3"/>
    <x v="11"/>
    <x v="2"/>
    <x v="11"/>
    <x v="0"/>
    <x v="0"/>
    <x v="0"/>
    <x v="2"/>
    <x v="4"/>
    <x v="0"/>
    <x v="0"/>
    <x v="20"/>
    <x v="15"/>
    <x v="10"/>
    <x v="432"/>
    <x v="384"/>
    <x v="974"/>
    <x v="903"/>
  </r>
  <r>
    <x v="1114"/>
    <x v="299"/>
    <x v="0"/>
    <x v="3"/>
    <x v="11"/>
    <x v="2"/>
    <x v="11"/>
    <x v="0"/>
    <x v="0"/>
    <x v="1"/>
    <x v="2"/>
    <x v="4"/>
    <x v="4"/>
    <x v="8"/>
    <x v="59"/>
    <x v="9"/>
    <x v="7"/>
    <x v="653"/>
    <x v="589"/>
    <x v="693"/>
    <x v="1278"/>
  </r>
  <r>
    <x v="1115"/>
    <x v="306"/>
    <x v="0"/>
    <x v="3"/>
    <x v="11"/>
    <x v="2"/>
    <x v="11"/>
    <x v="0"/>
    <x v="0"/>
    <x v="0"/>
    <x v="2"/>
    <x v="4"/>
    <x v="4"/>
    <x v="8"/>
    <x v="25"/>
    <x v="9"/>
    <x v="7"/>
    <x v="389"/>
    <x v="358"/>
    <x v="910"/>
    <x v="754"/>
  </r>
  <r>
    <x v="1116"/>
    <x v="313"/>
    <x v="0"/>
    <x v="3"/>
    <x v="11"/>
    <x v="2"/>
    <x v="11"/>
    <x v="0"/>
    <x v="0"/>
    <x v="1"/>
    <x v="1"/>
    <x v="2"/>
    <x v="7"/>
    <x v="14"/>
    <x v="77"/>
    <x v="18"/>
    <x v="12"/>
    <x v="801"/>
    <x v="716"/>
    <x v="1005"/>
    <x v="1510"/>
  </r>
  <r>
    <x v="1117"/>
    <x v="320"/>
    <x v="0"/>
    <x v="3"/>
    <x v="11"/>
    <x v="2"/>
    <x v="11"/>
    <x v="0"/>
    <x v="0"/>
    <x v="0"/>
    <x v="1"/>
    <x v="2"/>
    <x v="7"/>
    <x v="14"/>
    <x v="29"/>
    <x v="18"/>
    <x v="12"/>
    <x v="582"/>
    <x v="538"/>
    <x v="1098"/>
    <x v="1080"/>
  </r>
  <r>
    <x v="1118"/>
    <x v="300"/>
    <x v="0"/>
    <x v="3"/>
    <x v="11"/>
    <x v="2"/>
    <x v="11"/>
    <x v="0"/>
    <x v="0"/>
    <x v="1"/>
    <x v="1"/>
    <x v="2"/>
    <x v="6"/>
    <x v="12"/>
    <x v="69"/>
    <x v="3"/>
    <x v="2"/>
    <x v="415"/>
    <x v="349"/>
    <x v="352"/>
    <x v="935"/>
  </r>
  <r>
    <x v="1119"/>
    <x v="307"/>
    <x v="0"/>
    <x v="3"/>
    <x v="11"/>
    <x v="2"/>
    <x v="11"/>
    <x v="0"/>
    <x v="0"/>
    <x v="0"/>
    <x v="1"/>
    <x v="2"/>
    <x v="6"/>
    <x v="12"/>
    <x v="27"/>
    <x v="3"/>
    <x v="2"/>
    <x v="143"/>
    <x v="120"/>
    <x v="552"/>
    <x v="326"/>
  </r>
  <r>
    <x v="1120"/>
    <x v="314"/>
    <x v="0"/>
    <x v="3"/>
    <x v="11"/>
    <x v="2"/>
    <x v="11"/>
    <x v="1"/>
    <x v="1"/>
    <x v="1"/>
    <x v="3"/>
    <x v="6"/>
    <x v="1"/>
    <x v="2"/>
    <x v="15"/>
    <x v="25"/>
    <x v="16"/>
    <x v="848"/>
    <x v="753"/>
    <x v="1170"/>
    <x v="1581"/>
  </r>
  <r>
    <x v="1121"/>
    <x v="321"/>
    <x v="0"/>
    <x v="3"/>
    <x v="11"/>
    <x v="2"/>
    <x v="11"/>
    <x v="1"/>
    <x v="1"/>
    <x v="0"/>
    <x v="3"/>
    <x v="6"/>
    <x v="1"/>
    <x v="2"/>
    <x v="4"/>
    <x v="25"/>
    <x v="16"/>
    <x v="739"/>
    <x v="671"/>
    <x v="1216"/>
    <x v="1310"/>
  </r>
  <r>
    <x v="1122"/>
    <x v="301"/>
    <x v="0"/>
    <x v="3"/>
    <x v="11"/>
    <x v="2"/>
    <x v="11"/>
    <x v="1"/>
    <x v="1"/>
    <x v="1"/>
    <x v="3"/>
    <x v="6"/>
    <x v="2"/>
    <x v="4"/>
    <x v="15"/>
    <x v="22"/>
    <x v="14"/>
    <x v="751"/>
    <x v="682"/>
    <x v="864"/>
    <x v="1396"/>
  </r>
  <r>
    <x v="1123"/>
    <x v="308"/>
    <x v="0"/>
    <x v="3"/>
    <x v="11"/>
    <x v="2"/>
    <x v="11"/>
    <x v="1"/>
    <x v="1"/>
    <x v="0"/>
    <x v="3"/>
    <x v="6"/>
    <x v="2"/>
    <x v="4"/>
    <x v="6"/>
    <x v="22"/>
    <x v="14"/>
    <x v="548"/>
    <x v="514"/>
    <x v="1070"/>
    <x v="965"/>
  </r>
  <r>
    <x v="1124"/>
    <x v="315"/>
    <x v="0"/>
    <x v="3"/>
    <x v="11"/>
    <x v="2"/>
    <x v="11"/>
    <x v="1"/>
    <x v="1"/>
    <x v="1"/>
    <x v="3"/>
    <x v="6"/>
    <x v="5"/>
    <x v="10"/>
    <x v="17"/>
    <x v="28"/>
    <x v="18"/>
    <x v="874"/>
    <x v="779"/>
    <x v="1247"/>
    <x v="1606"/>
  </r>
  <r>
    <x v="1125"/>
    <x v="322"/>
    <x v="0"/>
    <x v="3"/>
    <x v="11"/>
    <x v="2"/>
    <x v="11"/>
    <x v="1"/>
    <x v="1"/>
    <x v="0"/>
    <x v="3"/>
    <x v="6"/>
    <x v="5"/>
    <x v="10"/>
    <x v="4"/>
    <x v="28"/>
    <x v="18"/>
    <x v="793"/>
    <x v="724"/>
    <x v="1265"/>
    <x v="1363"/>
  </r>
  <r>
    <x v="1126"/>
    <x v="302"/>
    <x v="0"/>
    <x v="3"/>
    <x v="11"/>
    <x v="2"/>
    <x v="11"/>
    <x v="1"/>
    <x v="1"/>
    <x v="1"/>
    <x v="0"/>
    <x v="0"/>
    <x v="3"/>
    <x v="6"/>
    <x v="88"/>
    <x v="0"/>
    <x v="0"/>
    <x v="425"/>
    <x v="342"/>
    <x v="369"/>
    <x v="1004"/>
  </r>
  <r>
    <x v="1127"/>
    <x v="309"/>
    <x v="0"/>
    <x v="3"/>
    <x v="11"/>
    <x v="2"/>
    <x v="11"/>
    <x v="1"/>
    <x v="1"/>
    <x v="0"/>
    <x v="0"/>
    <x v="0"/>
    <x v="3"/>
    <x v="6"/>
    <x v="32"/>
    <x v="0"/>
    <x v="0"/>
    <x v="127"/>
    <x v="98"/>
    <x v="520"/>
    <x v="329"/>
  </r>
  <r>
    <x v="1128"/>
    <x v="316"/>
    <x v="0"/>
    <x v="3"/>
    <x v="11"/>
    <x v="2"/>
    <x v="11"/>
    <x v="1"/>
    <x v="1"/>
    <x v="1"/>
    <x v="0"/>
    <x v="0"/>
    <x v="8"/>
    <x v="16"/>
    <x v="81"/>
    <x v="12"/>
    <x v="6"/>
    <x v="756"/>
    <x v="659"/>
    <x v="881"/>
    <x v="1491"/>
  </r>
  <r>
    <x v="1129"/>
    <x v="323"/>
    <x v="0"/>
    <x v="3"/>
    <x v="11"/>
    <x v="2"/>
    <x v="11"/>
    <x v="1"/>
    <x v="1"/>
    <x v="0"/>
    <x v="0"/>
    <x v="0"/>
    <x v="8"/>
    <x v="16"/>
    <x v="26"/>
    <x v="12"/>
    <x v="6"/>
    <x v="435"/>
    <x v="369"/>
    <x v="978"/>
    <x v="936"/>
  </r>
  <r>
    <x v="1130"/>
    <x v="303"/>
    <x v="0"/>
    <x v="3"/>
    <x v="11"/>
    <x v="2"/>
    <x v="11"/>
    <x v="1"/>
    <x v="1"/>
    <x v="1"/>
    <x v="0"/>
    <x v="0"/>
    <x v="9"/>
    <x v="18"/>
    <x v="90"/>
    <x v="6"/>
    <x v="4"/>
    <x v="699"/>
    <x v="620"/>
    <x v="765"/>
    <x v="1374"/>
  </r>
  <r>
    <x v="1131"/>
    <x v="310"/>
    <x v="0"/>
    <x v="3"/>
    <x v="11"/>
    <x v="2"/>
    <x v="11"/>
    <x v="1"/>
    <x v="1"/>
    <x v="0"/>
    <x v="0"/>
    <x v="0"/>
    <x v="9"/>
    <x v="18"/>
    <x v="28"/>
    <x v="6"/>
    <x v="4"/>
    <x v="342"/>
    <x v="297"/>
    <x v="839"/>
    <x v="686"/>
  </r>
  <r>
    <x v="1132"/>
    <x v="317"/>
    <x v="0"/>
    <x v="3"/>
    <x v="11"/>
    <x v="2"/>
    <x v="11"/>
    <x v="1"/>
    <x v="1"/>
    <x v="1"/>
    <x v="2"/>
    <x v="4"/>
    <x v="0"/>
    <x v="0"/>
    <x v="30"/>
    <x v="15"/>
    <x v="10"/>
    <x v="570"/>
    <x v="494"/>
    <x v="570"/>
    <x v="1187"/>
  </r>
  <r>
    <x v="1133"/>
    <x v="297"/>
    <x v="0"/>
    <x v="3"/>
    <x v="11"/>
    <x v="2"/>
    <x v="11"/>
    <x v="1"/>
    <x v="1"/>
    <x v="0"/>
    <x v="2"/>
    <x v="4"/>
    <x v="0"/>
    <x v="0"/>
    <x v="10"/>
    <x v="15"/>
    <x v="10"/>
    <x v="237"/>
    <x v="208"/>
    <x v="703"/>
    <x v="508"/>
  </r>
  <r>
    <x v="1134"/>
    <x v="304"/>
    <x v="0"/>
    <x v="3"/>
    <x v="11"/>
    <x v="2"/>
    <x v="11"/>
    <x v="1"/>
    <x v="1"/>
    <x v="1"/>
    <x v="2"/>
    <x v="4"/>
    <x v="4"/>
    <x v="8"/>
    <x v="39"/>
    <x v="9"/>
    <x v="7"/>
    <x v="538"/>
    <x v="485"/>
    <x v="516"/>
    <x v="1079"/>
  </r>
  <r>
    <x v="1135"/>
    <x v="311"/>
    <x v="0"/>
    <x v="3"/>
    <x v="11"/>
    <x v="2"/>
    <x v="11"/>
    <x v="1"/>
    <x v="1"/>
    <x v="0"/>
    <x v="2"/>
    <x v="4"/>
    <x v="4"/>
    <x v="8"/>
    <x v="11"/>
    <x v="9"/>
    <x v="7"/>
    <x v="165"/>
    <x v="162"/>
    <x v="597"/>
    <x v="298"/>
  </r>
  <r>
    <x v="1136"/>
    <x v="318"/>
    <x v="0"/>
    <x v="3"/>
    <x v="11"/>
    <x v="2"/>
    <x v="11"/>
    <x v="1"/>
    <x v="1"/>
    <x v="1"/>
    <x v="1"/>
    <x v="2"/>
    <x v="7"/>
    <x v="14"/>
    <x v="40"/>
    <x v="18"/>
    <x v="12"/>
    <x v="667"/>
    <x v="611"/>
    <x v="713"/>
    <x v="1280"/>
  </r>
  <r>
    <x v="1137"/>
    <x v="298"/>
    <x v="0"/>
    <x v="3"/>
    <x v="11"/>
    <x v="2"/>
    <x v="11"/>
    <x v="1"/>
    <x v="1"/>
    <x v="0"/>
    <x v="1"/>
    <x v="2"/>
    <x v="7"/>
    <x v="14"/>
    <x v="15"/>
    <x v="18"/>
    <x v="12"/>
    <x v="375"/>
    <x v="356"/>
    <x v="886"/>
    <x v="695"/>
  </r>
  <r>
    <x v="1138"/>
    <x v="305"/>
    <x v="0"/>
    <x v="3"/>
    <x v="11"/>
    <x v="2"/>
    <x v="11"/>
    <x v="1"/>
    <x v="1"/>
    <x v="1"/>
    <x v="1"/>
    <x v="2"/>
    <x v="6"/>
    <x v="12"/>
    <x v="40"/>
    <x v="3"/>
    <x v="2"/>
    <x v="248"/>
    <x v="204"/>
    <x v="169"/>
    <x v="589"/>
  </r>
  <r>
    <x v="1139"/>
    <x v="312"/>
    <x v="0"/>
    <x v="3"/>
    <x v="11"/>
    <x v="2"/>
    <x v="11"/>
    <x v="1"/>
    <x v="1"/>
    <x v="0"/>
    <x v="1"/>
    <x v="2"/>
    <x v="6"/>
    <x v="12"/>
    <x v="18"/>
    <x v="3"/>
    <x v="2"/>
    <x v="70"/>
    <x v="63"/>
    <x v="372"/>
    <x v="167"/>
  </r>
  <r>
    <x v="1140"/>
    <x v="319"/>
    <x v="0"/>
    <x v="3"/>
    <x v="11"/>
    <x v="2"/>
    <x v="11"/>
    <x v="3"/>
    <x v="3"/>
    <x v="1"/>
    <x v="3"/>
    <x v="6"/>
    <x v="1"/>
    <x v="2"/>
    <x v="10"/>
    <x v="25"/>
    <x v="16"/>
    <x v="825"/>
    <x v="737"/>
    <x v="1089"/>
    <x v="1550"/>
  </r>
  <r>
    <x v="1141"/>
    <x v="299"/>
    <x v="0"/>
    <x v="3"/>
    <x v="11"/>
    <x v="2"/>
    <x v="11"/>
    <x v="3"/>
    <x v="3"/>
    <x v="0"/>
    <x v="3"/>
    <x v="6"/>
    <x v="1"/>
    <x v="2"/>
    <x v="4"/>
    <x v="25"/>
    <x v="16"/>
    <x v="739"/>
    <x v="671"/>
    <x v="1216"/>
    <x v="1310"/>
  </r>
  <r>
    <x v="1142"/>
    <x v="306"/>
    <x v="0"/>
    <x v="3"/>
    <x v="11"/>
    <x v="2"/>
    <x v="11"/>
    <x v="3"/>
    <x v="3"/>
    <x v="1"/>
    <x v="3"/>
    <x v="6"/>
    <x v="2"/>
    <x v="4"/>
    <x v="13"/>
    <x v="22"/>
    <x v="14"/>
    <x v="724"/>
    <x v="660"/>
    <x v="814"/>
    <x v="1347"/>
  </r>
  <r>
    <x v="1143"/>
    <x v="313"/>
    <x v="0"/>
    <x v="3"/>
    <x v="11"/>
    <x v="2"/>
    <x v="11"/>
    <x v="3"/>
    <x v="3"/>
    <x v="0"/>
    <x v="3"/>
    <x v="6"/>
    <x v="2"/>
    <x v="4"/>
    <x v="3"/>
    <x v="22"/>
    <x v="14"/>
    <x v="384"/>
    <x v="374"/>
    <x v="897"/>
    <x v="665"/>
  </r>
  <r>
    <x v="1144"/>
    <x v="320"/>
    <x v="0"/>
    <x v="3"/>
    <x v="11"/>
    <x v="2"/>
    <x v="11"/>
    <x v="3"/>
    <x v="3"/>
    <x v="1"/>
    <x v="3"/>
    <x v="6"/>
    <x v="5"/>
    <x v="10"/>
    <x v="11"/>
    <x v="28"/>
    <x v="18"/>
    <x v="851"/>
    <x v="762"/>
    <x v="1181"/>
    <x v="1572"/>
  </r>
  <r>
    <x v="1145"/>
    <x v="300"/>
    <x v="0"/>
    <x v="3"/>
    <x v="11"/>
    <x v="2"/>
    <x v="11"/>
    <x v="3"/>
    <x v="3"/>
    <x v="0"/>
    <x v="3"/>
    <x v="6"/>
    <x v="5"/>
    <x v="10"/>
    <x v="3"/>
    <x v="28"/>
    <x v="18"/>
    <x v="760"/>
    <x v="707"/>
    <x v="1242"/>
    <x v="1279"/>
  </r>
  <r>
    <x v="1146"/>
    <x v="307"/>
    <x v="0"/>
    <x v="3"/>
    <x v="11"/>
    <x v="2"/>
    <x v="11"/>
    <x v="3"/>
    <x v="3"/>
    <x v="1"/>
    <x v="0"/>
    <x v="0"/>
    <x v="3"/>
    <x v="6"/>
    <x v="67"/>
    <x v="0"/>
    <x v="0"/>
    <x v="339"/>
    <x v="263"/>
    <x v="241"/>
    <x v="826"/>
  </r>
  <r>
    <x v="1147"/>
    <x v="314"/>
    <x v="0"/>
    <x v="3"/>
    <x v="11"/>
    <x v="2"/>
    <x v="11"/>
    <x v="3"/>
    <x v="3"/>
    <x v="0"/>
    <x v="0"/>
    <x v="0"/>
    <x v="3"/>
    <x v="6"/>
    <x v="18"/>
    <x v="0"/>
    <x v="0"/>
    <x v="42"/>
    <x v="37"/>
    <x v="270"/>
    <x v="115"/>
  </r>
  <r>
    <x v="1148"/>
    <x v="321"/>
    <x v="0"/>
    <x v="3"/>
    <x v="11"/>
    <x v="2"/>
    <x v="11"/>
    <x v="3"/>
    <x v="3"/>
    <x v="1"/>
    <x v="0"/>
    <x v="0"/>
    <x v="8"/>
    <x v="16"/>
    <x v="51"/>
    <x v="12"/>
    <x v="6"/>
    <x v="646"/>
    <x v="557"/>
    <x v="679"/>
    <x v="1324"/>
  </r>
  <r>
    <x v="1149"/>
    <x v="301"/>
    <x v="0"/>
    <x v="3"/>
    <x v="11"/>
    <x v="2"/>
    <x v="11"/>
    <x v="3"/>
    <x v="3"/>
    <x v="0"/>
    <x v="0"/>
    <x v="0"/>
    <x v="8"/>
    <x v="16"/>
    <x v="23"/>
    <x v="12"/>
    <x v="6"/>
    <x v="403"/>
    <x v="333"/>
    <x v="925"/>
    <x v="875"/>
  </r>
  <r>
    <x v="1150"/>
    <x v="308"/>
    <x v="0"/>
    <x v="3"/>
    <x v="11"/>
    <x v="2"/>
    <x v="11"/>
    <x v="3"/>
    <x v="3"/>
    <x v="1"/>
    <x v="0"/>
    <x v="0"/>
    <x v="9"/>
    <x v="18"/>
    <x v="55"/>
    <x v="6"/>
    <x v="4"/>
    <x v="558"/>
    <x v="492"/>
    <x v="543"/>
    <x v="1152"/>
  </r>
  <r>
    <x v="1151"/>
    <x v="315"/>
    <x v="0"/>
    <x v="3"/>
    <x v="11"/>
    <x v="2"/>
    <x v="11"/>
    <x v="3"/>
    <x v="3"/>
    <x v="0"/>
    <x v="0"/>
    <x v="0"/>
    <x v="9"/>
    <x v="18"/>
    <x v="21"/>
    <x v="6"/>
    <x v="4"/>
    <x v="254"/>
    <x v="225"/>
    <x v="717"/>
    <x v="507"/>
  </r>
  <r>
    <x v="1152"/>
    <x v="322"/>
    <x v="0"/>
    <x v="3"/>
    <x v="11"/>
    <x v="2"/>
    <x v="11"/>
    <x v="3"/>
    <x v="3"/>
    <x v="1"/>
    <x v="2"/>
    <x v="4"/>
    <x v="0"/>
    <x v="0"/>
    <x v="27"/>
    <x v="15"/>
    <x v="10"/>
    <x v="537"/>
    <x v="468"/>
    <x v="515"/>
    <x v="1142"/>
  </r>
  <r>
    <x v="1153"/>
    <x v="302"/>
    <x v="0"/>
    <x v="3"/>
    <x v="11"/>
    <x v="2"/>
    <x v="11"/>
    <x v="3"/>
    <x v="3"/>
    <x v="0"/>
    <x v="2"/>
    <x v="4"/>
    <x v="0"/>
    <x v="0"/>
    <x v="8"/>
    <x v="15"/>
    <x v="10"/>
    <x v="185"/>
    <x v="166"/>
    <x v="631"/>
    <x v="408"/>
  </r>
  <r>
    <x v="1154"/>
    <x v="309"/>
    <x v="0"/>
    <x v="3"/>
    <x v="11"/>
    <x v="2"/>
    <x v="11"/>
    <x v="3"/>
    <x v="3"/>
    <x v="1"/>
    <x v="2"/>
    <x v="4"/>
    <x v="4"/>
    <x v="8"/>
    <x v="25"/>
    <x v="9"/>
    <x v="7"/>
    <x v="389"/>
    <x v="358"/>
    <x v="313"/>
    <x v="812"/>
  </r>
  <r>
    <x v="1155"/>
    <x v="316"/>
    <x v="0"/>
    <x v="3"/>
    <x v="11"/>
    <x v="2"/>
    <x v="11"/>
    <x v="3"/>
    <x v="3"/>
    <x v="0"/>
    <x v="2"/>
    <x v="4"/>
    <x v="4"/>
    <x v="8"/>
    <x v="9"/>
    <x v="9"/>
    <x v="7"/>
    <x v="121"/>
    <x v="124"/>
    <x v="512"/>
    <x v="226"/>
  </r>
  <r>
    <x v="1156"/>
    <x v="323"/>
    <x v="0"/>
    <x v="3"/>
    <x v="11"/>
    <x v="2"/>
    <x v="11"/>
    <x v="3"/>
    <x v="3"/>
    <x v="1"/>
    <x v="1"/>
    <x v="2"/>
    <x v="7"/>
    <x v="14"/>
    <x v="33"/>
    <x v="18"/>
    <x v="12"/>
    <x v="622"/>
    <x v="564"/>
    <x v="645"/>
    <x v="1206"/>
  </r>
  <r>
    <x v="1157"/>
    <x v="303"/>
    <x v="0"/>
    <x v="3"/>
    <x v="11"/>
    <x v="2"/>
    <x v="11"/>
    <x v="3"/>
    <x v="3"/>
    <x v="0"/>
    <x v="1"/>
    <x v="2"/>
    <x v="7"/>
    <x v="14"/>
    <x v="9"/>
    <x v="18"/>
    <x v="12"/>
    <x v="235"/>
    <x v="232"/>
    <x v="701"/>
    <x v="425"/>
  </r>
  <r>
    <x v="1158"/>
    <x v="310"/>
    <x v="0"/>
    <x v="3"/>
    <x v="11"/>
    <x v="2"/>
    <x v="11"/>
    <x v="3"/>
    <x v="3"/>
    <x v="1"/>
    <x v="1"/>
    <x v="2"/>
    <x v="6"/>
    <x v="12"/>
    <x v="32"/>
    <x v="3"/>
    <x v="2"/>
    <x v="183"/>
    <x v="156"/>
    <x v="120"/>
    <x v="473"/>
  </r>
  <r>
    <x v="1159"/>
    <x v="317"/>
    <x v="0"/>
    <x v="3"/>
    <x v="11"/>
    <x v="2"/>
    <x v="11"/>
    <x v="3"/>
    <x v="3"/>
    <x v="0"/>
    <x v="1"/>
    <x v="2"/>
    <x v="6"/>
    <x v="12"/>
    <x v="12"/>
    <x v="3"/>
    <x v="2"/>
    <x v="30"/>
    <x v="31"/>
    <x v="225"/>
    <x v="70"/>
  </r>
  <r>
    <x v="1160"/>
    <x v="297"/>
    <x v="0"/>
    <x v="3"/>
    <x v="11"/>
    <x v="2"/>
    <x v="11"/>
    <x v="2"/>
    <x v="2"/>
    <x v="1"/>
    <x v="3"/>
    <x v="6"/>
    <x v="1"/>
    <x v="2"/>
    <x v="8"/>
    <x v="25"/>
    <x v="16"/>
    <x v="813"/>
    <x v="728"/>
    <x v="1045"/>
    <x v="1519"/>
  </r>
  <r>
    <x v="1161"/>
    <x v="304"/>
    <x v="0"/>
    <x v="3"/>
    <x v="11"/>
    <x v="2"/>
    <x v="11"/>
    <x v="2"/>
    <x v="2"/>
    <x v="0"/>
    <x v="3"/>
    <x v="6"/>
    <x v="1"/>
    <x v="2"/>
    <x v="1"/>
    <x v="25"/>
    <x v="16"/>
    <x v="548"/>
    <x v="519"/>
    <x v="1070"/>
    <x v="929"/>
  </r>
  <r>
    <x v="1162"/>
    <x v="311"/>
    <x v="0"/>
    <x v="3"/>
    <x v="11"/>
    <x v="2"/>
    <x v="11"/>
    <x v="2"/>
    <x v="2"/>
    <x v="1"/>
    <x v="3"/>
    <x v="6"/>
    <x v="2"/>
    <x v="4"/>
    <x v="7"/>
    <x v="22"/>
    <x v="14"/>
    <x v="583"/>
    <x v="548"/>
    <x v="595"/>
    <x v="1106"/>
  </r>
  <r>
    <x v="1163"/>
    <x v="318"/>
    <x v="0"/>
    <x v="3"/>
    <x v="11"/>
    <x v="2"/>
    <x v="11"/>
    <x v="2"/>
    <x v="2"/>
    <x v="0"/>
    <x v="3"/>
    <x v="6"/>
    <x v="2"/>
    <x v="4"/>
    <x v="2"/>
    <x v="22"/>
    <x v="14"/>
    <x v="316"/>
    <x v="304"/>
    <x v="809"/>
    <x v="526"/>
  </r>
  <r>
    <x v="1164"/>
    <x v="298"/>
    <x v="0"/>
    <x v="3"/>
    <x v="11"/>
    <x v="2"/>
    <x v="11"/>
    <x v="2"/>
    <x v="2"/>
    <x v="1"/>
    <x v="3"/>
    <x v="6"/>
    <x v="5"/>
    <x v="10"/>
    <x v="9"/>
    <x v="28"/>
    <x v="18"/>
    <x v="842"/>
    <x v="752"/>
    <x v="1149"/>
    <x v="1556"/>
  </r>
  <r>
    <x v="1165"/>
    <x v="305"/>
    <x v="0"/>
    <x v="3"/>
    <x v="11"/>
    <x v="2"/>
    <x v="11"/>
    <x v="2"/>
    <x v="2"/>
    <x v="0"/>
    <x v="3"/>
    <x v="6"/>
    <x v="5"/>
    <x v="10"/>
    <x v="1"/>
    <x v="28"/>
    <x v="18"/>
    <x v="644"/>
    <x v="623"/>
    <x v="1150"/>
    <x v="1001"/>
  </r>
  <r>
    <x v="1166"/>
    <x v="312"/>
    <x v="0"/>
    <x v="3"/>
    <x v="11"/>
    <x v="2"/>
    <x v="11"/>
    <x v="2"/>
    <x v="2"/>
    <x v="1"/>
    <x v="0"/>
    <x v="0"/>
    <x v="3"/>
    <x v="6"/>
    <x v="47"/>
    <x v="0"/>
    <x v="0"/>
    <x v="225"/>
    <x v="174"/>
    <x v="148"/>
    <x v="588"/>
  </r>
  <r>
    <x v="1167"/>
    <x v="319"/>
    <x v="0"/>
    <x v="3"/>
    <x v="11"/>
    <x v="2"/>
    <x v="11"/>
    <x v="2"/>
    <x v="2"/>
    <x v="0"/>
    <x v="0"/>
    <x v="0"/>
    <x v="3"/>
    <x v="6"/>
    <x v="15"/>
    <x v="0"/>
    <x v="0"/>
    <x v="27"/>
    <x v="24"/>
    <x v="212"/>
    <x v="76"/>
  </r>
  <r>
    <x v="1168"/>
    <x v="299"/>
    <x v="0"/>
    <x v="3"/>
    <x v="11"/>
    <x v="2"/>
    <x v="11"/>
    <x v="2"/>
    <x v="2"/>
    <x v="1"/>
    <x v="0"/>
    <x v="0"/>
    <x v="8"/>
    <x v="16"/>
    <x v="50"/>
    <x v="12"/>
    <x v="6"/>
    <x v="643"/>
    <x v="553"/>
    <x v="674"/>
    <x v="1315"/>
  </r>
  <r>
    <x v="1169"/>
    <x v="306"/>
    <x v="0"/>
    <x v="3"/>
    <x v="11"/>
    <x v="2"/>
    <x v="11"/>
    <x v="2"/>
    <x v="2"/>
    <x v="0"/>
    <x v="0"/>
    <x v="0"/>
    <x v="8"/>
    <x v="16"/>
    <x v="17"/>
    <x v="12"/>
    <x v="6"/>
    <x v="317"/>
    <x v="256"/>
    <x v="811"/>
    <x v="699"/>
  </r>
  <r>
    <x v="1170"/>
    <x v="313"/>
    <x v="0"/>
    <x v="3"/>
    <x v="11"/>
    <x v="2"/>
    <x v="11"/>
    <x v="2"/>
    <x v="2"/>
    <x v="1"/>
    <x v="0"/>
    <x v="0"/>
    <x v="9"/>
    <x v="18"/>
    <x v="38"/>
    <x v="6"/>
    <x v="4"/>
    <x v="429"/>
    <x v="388"/>
    <x v="375"/>
    <x v="917"/>
  </r>
  <r>
    <x v="1171"/>
    <x v="320"/>
    <x v="0"/>
    <x v="3"/>
    <x v="11"/>
    <x v="2"/>
    <x v="11"/>
    <x v="2"/>
    <x v="2"/>
    <x v="0"/>
    <x v="0"/>
    <x v="0"/>
    <x v="9"/>
    <x v="18"/>
    <x v="13"/>
    <x v="6"/>
    <x v="4"/>
    <x v="134"/>
    <x v="125"/>
    <x v="531"/>
    <x v="266"/>
  </r>
  <r>
    <x v="1172"/>
    <x v="300"/>
    <x v="0"/>
    <x v="3"/>
    <x v="11"/>
    <x v="2"/>
    <x v="11"/>
    <x v="2"/>
    <x v="2"/>
    <x v="1"/>
    <x v="2"/>
    <x v="4"/>
    <x v="0"/>
    <x v="0"/>
    <x v="16"/>
    <x v="15"/>
    <x v="10"/>
    <x v="369"/>
    <x v="321"/>
    <x v="292"/>
    <x v="830"/>
  </r>
  <r>
    <x v="1173"/>
    <x v="307"/>
    <x v="0"/>
    <x v="3"/>
    <x v="11"/>
    <x v="2"/>
    <x v="11"/>
    <x v="2"/>
    <x v="2"/>
    <x v="0"/>
    <x v="2"/>
    <x v="4"/>
    <x v="0"/>
    <x v="0"/>
    <x v="6"/>
    <x v="15"/>
    <x v="10"/>
    <x v="130"/>
    <x v="116"/>
    <x v="525"/>
    <x v="282"/>
  </r>
  <r>
    <x v="1174"/>
    <x v="314"/>
    <x v="0"/>
    <x v="3"/>
    <x v="11"/>
    <x v="2"/>
    <x v="11"/>
    <x v="2"/>
    <x v="2"/>
    <x v="1"/>
    <x v="2"/>
    <x v="4"/>
    <x v="4"/>
    <x v="8"/>
    <x v="19"/>
    <x v="9"/>
    <x v="7"/>
    <x v="312"/>
    <x v="286"/>
    <x v="218"/>
    <x v="639"/>
  </r>
  <r>
    <x v="1175"/>
    <x v="321"/>
    <x v="0"/>
    <x v="3"/>
    <x v="11"/>
    <x v="2"/>
    <x v="11"/>
    <x v="2"/>
    <x v="2"/>
    <x v="0"/>
    <x v="2"/>
    <x v="4"/>
    <x v="4"/>
    <x v="8"/>
    <x v="7"/>
    <x v="9"/>
    <x v="7"/>
    <x v="84"/>
    <x v="89"/>
    <x v="409"/>
    <x v="145"/>
  </r>
  <r>
    <x v="1176"/>
    <x v="301"/>
    <x v="0"/>
    <x v="3"/>
    <x v="11"/>
    <x v="2"/>
    <x v="11"/>
    <x v="2"/>
    <x v="2"/>
    <x v="1"/>
    <x v="1"/>
    <x v="2"/>
    <x v="7"/>
    <x v="14"/>
    <x v="28"/>
    <x v="18"/>
    <x v="12"/>
    <x v="576"/>
    <x v="527"/>
    <x v="579"/>
    <x v="1120"/>
  </r>
  <r>
    <x v="1177"/>
    <x v="308"/>
    <x v="0"/>
    <x v="3"/>
    <x v="11"/>
    <x v="2"/>
    <x v="11"/>
    <x v="2"/>
    <x v="2"/>
    <x v="0"/>
    <x v="1"/>
    <x v="2"/>
    <x v="7"/>
    <x v="14"/>
    <x v="10"/>
    <x v="18"/>
    <x v="12"/>
    <x v="262"/>
    <x v="259"/>
    <x v="740"/>
    <x v="472"/>
  </r>
  <r>
    <x v="1178"/>
    <x v="315"/>
    <x v="0"/>
    <x v="3"/>
    <x v="11"/>
    <x v="2"/>
    <x v="11"/>
    <x v="2"/>
    <x v="2"/>
    <x v="1"/>
    <x v="1"/>
    <x v="2"/>
    <x v="6"/>
    <x v="12"/>
    <x v="23"/>
    <x v="3"/>
    <x v="2"/>
    <x v="110"/>
    <x v="95"/>
    <x v="61"/>
    <x v="290"/>
  </r>
  <r>
    <x v="1179"/>
    <x v="322"/>
    <x v="0"/>
    <x v="3"/>
    <x v="11"/>
    <x v="2"/>
    <x v="11"/>
    <x v="2"/>
    <x v="2"/>
    <x v="0"/>
    <x v="1"/>
    <x v="2"/>
    <x v="6"/>
    <x v="12"/>
    <x v="7"/>
    <x v="3"/>
    <x v="2"/>
    <x v="7"/>
    <x v="8"/>
    <x v="115"/>
    <x v="17"/>
  </r>
  <r>
    <x v="1180"/>
    <x v="302"/>
    <x v="0"/>
    <x v="3"/>
    <x v="11"/>
    <x v="2"/>
    <x v="11"/>
    <x v="4"/>
    <x v="4"/>
    <x v="1"/>
    <x v="3"/>
    <x v="6"/>
    <x v="1"/>
    <x v="2"/>
    <x v="9"/>
    <x v="25"/>
    <x v="16"/>
    <x v="818"/>
    <x v="733"/>
    <x v="1067"/>
    <x v="1536"/>
  </r>
  <r>
    <x v="1181"/>
    <x v="309"/>
    <x v="0"/>
    <x v="3"/>
    <x v="11"/>
    <x v="2"/>
    <x v="11"/>
    <x v="4"/>
    <x v="4"/>
    <x v="0"/>
    <x v="3"/>
    <x v="6"/>
    <x v="1"/>
    <x v="2"/>
    <x v="2"/>
    <x v="25"/>
    <x v="16"/>
    <x v="634"/>
    <x v="592"/>
    <x v="1142"/>
    <x v="1127"/>
  </r>
  <r>
    <x v="1182"/>
    <x v="316"/>
    <x v="0"/>
    <x v="3"/>
    <x v="11"/>
    <x v="2"/>
    <x v="11"/>
    <x v="4"/>
    <x v="4"/>
    <x v="1"/>
    <x v="3"/>
    <x v="6"/>
    <x v="2"/>
    <x v="4"/>
    <x v="7"/>
    <x v="22"/>
    <x v="14"/>
    <x v="583"/>
    <x v="548"/>
    <x v="595"/>
    <x v="1106"/>
  </r>
  <r>
    <x v="1183"/>
    <x v="323"/>
    <x v="0"/>
    <x v="3"/>
    <x v="11"/>
    <x v="2"/>
    <x v="11"/>
    <x v="4"/>
    <x v="4"/>
    <x v="0"/>
    <x v="3"/>
    <x v="6"/>
    <x v="2"/>
    <x v="4"/>
    <x v="1"/>
    <x v="22"/>
    <x v="14"/>
    <x v="220"/>
    <x v="229"/>
    <x v="677"/>
    <x v="346"/>
  </r>
  <r>
    <x v="1184"/>
    <x v="303"/>
    <x v="0"/>
    <x v="3"/>
    <x v="11"/>
    <x v="2"/>
    <x v="11"/>
    <x v="4"/>
    <x v="4"/>
    <x v="1"/>
    <x v="3"/>
    <x v="6"/>
    <x v="5"/>
    <x v="10"/>
    <x v="7"/>
    <x v="28"/>
    <x v="18"/>
    <x v="829"/>
    <x v="744"/>
    <x v="1097"/>
    <x v="1527"/>
  </r>
  <r>
    <x v="1185"/>
    <x v="310"/>
    <x v="0"/>
    <x v="3"/>
    <x v="11"/>
    <x v="2"/>
    <x v="11"/>
    <x v="4"/>
    <x v="4"/>
    <x v="0"/>
    <x v="3"/>
    <x v="6"/>
    <x v="5"/>
    <x v="10"/>
    <x v="2"/>
    <x v="28"/>
    <x v="18"/>
    <x v="721"/>
    <x v="673"/>
    <x v="1203"/>
    <x v="1184"/>
  </r>
  <r>
    <x v="1186"/>
    <x v="317"/>
    <x v="0"/>
    <x v="3"/>
    <x v="11"/>
    <x v="2"/>
    <x v="11"/>
    <x v="4"/>
    <x v="4"/>
    <x v="1"/>
    <x v="0"/>
    <x v="0"/>
    <x v="3"/>
    <x v="6"/>
    <x v="40"/>
    <x v="0"/>
    <x v="0"/>
    <x v="178"/>
    <x v="138"/>
    <x v="116"/>
    <x v="496"/>
  </r>
  <r>
    <x v="1187"/>
    <x v="297"/>
    <x v="0"/>
    <x v="3"/>
    <x v="11"/>
    <x v="2"/>
    <x v="11"/>
    <x v="4"/>
    <x v="4"/>
    <x v="0"/>
    <x v="0"/>
    <x v="0"/>
    <x v="3"/>
    <x v="6"/>
    <x v="17"/>
    <x v="0"/>
    <x v="0"/>
    <x v="38"/>
    <x v="33"/>
    <x v="249"/>
    <x v="101"/>
  </r>
  <r>
    <x v="1188"/>
    <x v="304"/>
    <x v="0"/>
    <x v="3"/>
    <x v="11"/>
    <x v="2"/>
    <x v="11"/>
    <x v="4"/>
    <x v="4"/>
    <x v="1"/>
    <x v="0"/>
    <x v="0"/>
    <x v="8"/>
    <x v="16"/>
    <x v="50"/>
    <x v="12"/>
    <x v="6"/>
    <x v="643"/>
    <x v="553"/>
    <x v="674"/>
    <x v="1315"/>
  </r>
  <r>
    <x v="1189"/>
    <x v="311"/>
    <x v="0"/>
    <x v="3"/>
    <x v="11"/>
    <x v="2"/>
    <x v="11"/>
    <x v="4"/>
    <x v="4"/>
    <x v="0"/>
    <x v="0"/>
    <x v="0"/>
    <x v="8"/>
    <x v="16"/>
    <x v="13"/>
    <x v="12"/>
    <x v="6"/>
    <x v="233"/>
    <x v="197"/>
    <x v="698"/>
    <x v="542"/>
  </r>
  <r>
    <x v="1190"/>
    <x v="318"/>
    <x v="0"/>
    <x v="3"/>
    <x v="11"/>
    <x v="2"/>
    <x v="11"/>
    <x v="4"/>
    <x v="4"/>
    <x v="1"/>
    <x v="0"/>
    <x v="0"/>
    <x v="9"/>
    <x v="18"/>
    <x v="51"/>
    <x v="6"/>
    <x v="4"/>
    <x v="535"/>
    <x v="472"/>
    <x v="511"/>
    <x v="1103"/>
  </r>
  <r>
    <x v="1191"/>
    <x v="298"/>
    <x v="0"/>
    <x v="3"/>
    <x v="11"/>
    <x v="2"/>
    <x v="11"/>
    <x v="4"/>
    <x v="4"/>
    <x v="0"/>
    <x v="0"/>
    <x v="0"/>
    <x v="9"/>
    <x v="18"/>
    <x v="18"/>
    <x v="6"/>
    <x v="4"/>
    <x v="207"/>
    <x v="193"/>
    <x v="661"/>
    <x v="432"/>
  </r>
  <r>
    <x v="1192"/>
    <x v="305"/>
    <x v="0"/>
    <x v="3"/>
    <x v="11"/>
    <x v="2"/>
    <x v="11"/>
    <x v="4"/>
    <x v="4"/>
    <x v="1"/>
    <x v="2"/>
    <x v="4"/>
    <x v="0"/>
    <x v="0"/>
    <x v="19"/>
    <x v="15"/>
    <x v="10"/>
    <x v="418"/>
    <x v="367"/>
    <x v="358"/>
    <x v="919"/>
  </r>
  <r>
    <x v="1193"/>
    <x v="312"/>
    <x v="0"/>
    <x v="3"/>
    <x v="11"/>
    <x v="2"/>
    <x v="11"/>
    <x v="4"/>
    <x v="4"/>
    <x v="0"/>
    <x v="2"/>
    <x v="4"/>
    <x v="0"/>
    <x v="0"/>
    <x v="6"/>
    <x v="15"/>
    <x v="10"/>
    <x v="130"/>
    <x v="116"/>
    <x v="525"/>
    <x v="282"/>
  </r>
  <r>
    <x v="1194"/>
    <x v="319"/>
    <x v="0"/>
    <x v="3"/>
    <x v="11"/>
    <x v="2"/>
    <x v="11"/>
    <x v="4"/>
    <x v="4"/>
    <x v="1"/>
    <x v="2"/>
    <x v="4"/>
    <x v="4"/>
    <x v="8"/>
    <x v="22"/>
    <x v="9"/>
    <x v="7"/>
    <x v="351"/>
    <x v="323"/>
    <x v="262"/>
    <x v="736"/>
  </r>
  <r>
    <x v="1195"/>
    <x v="299"/>
    <x v="0"/>
    <x v="3"/>
    <x v="11"/>
    <x v="2"/>
    <x v="11"/>
    <x v="4"/>
    <x v="4"/>
    <x v="0"/>
    <x v="2"/>
    <x v="4"/>
    <x v="4"/>
    <x v="8"/>
    <x v="7"/>
    <x v="9"/>
    <x v="7"/>
    <x v="84"/>
    <x v="89"/>
    <x v="409"/>
    <x v="145"/>
  </r>
  <r>
    <x v="1196"/>
    <x v="306"/>
    <x v="0"/>
    <x v="3"/>
    <x v="11"/>
    <x v="2"/>
    <x v="11"/>
    <x v="4"/>
    <x v="4"/>
    <x v="1"/>
    <x v="1"/>
    <x v="2"/>
    <x v="7"/>
    <x v="14"/>
    <x v="22"/>
    <x v="18"/>
    <x v="12"/>
    <x v="495"/>
    <x v="465"/>
    <x v="455"/>
    <x v="974"/>
  </r>
  <r>
    <x v="1197"/>
    <x v="313"/>
    <x v="0"/>
    <x v="3"/>
    <x v="11"/>
    <x v="2"/>
    <x v="11"/>
    <x v="4"/>
    <x v="4"/>
    <x v="0"/>
    <x v="1"/>
    <x v="2"/>
    <x v="7"/>
    <x v="14"/>
    <x v="9"/>
    <x v="18"/>
    <x v="12"/>
    <x v="235"/>
    <x v="232"/>
    <x v="701"/>
    <x v="425"/>
  </r>
  <r>
    <x v="1198"/>
    <x v="320"/>
    <x v="0"/>
    <x v="3"/>
    <x v="11"/>
    <x v="2"/>
    <x v="11"/>
    <x v="4"/>
    <x v="4"/>
    <x v="1"/>
    <x v="1"/>
    <x v="2"/>
    <x v="6"/>
    <x v="12"/>
    <x v="22"/>
    <x v="3"/>
    <x v="2"/>
    <x v="99"/>
    <x v="85"/>
    <x v="55"/>
    <x v="276"/>
  </r>
  <r>
    <x v="1199"/>
    <x v="300"/>
    <x v="0"/>
    <x v="3"/>
    <x v="11"/>
    <x v="2"/>
    <x v="11"/>
    <x v="4"/>
    <x v="4"/>
    <x v="0"/>
    <x v="1"/>
    <x v="2"/>
    <x v="6"/>
    <x v="12"/>
    <x v="7"/>
    <x v="3"/>
    <x v="2"/>
    <x v="7"/>
    <x v="8"/>
    <x v="115"/>
    <x v="17"/>
  </r>
  <r>
    <x v="1200"/>
    <x v="334"/>
    <x v="1"/>
    <x v="0"/>
    <x v="0"/>
    <x v="3"/>
    <x v="12"/>
    <x v="0"/>
    <x v="0"/>
    <x v="1"/>
    <x v="3"/>
    <x v="7"/>
    <x v="1"/>
    <x v="3"/>
    <x v="17"/>
    <x v="24"/>
    <x v="17"/>
    <x v="854"/>
    <x v="761"/>
    <x v="1189"/>
    <x v="1582"/>
  </r>
  <r>
    <x v="1201"/>
    <x v="341"/>
    <x v="1"/>
    <x v="0"/>
    <x v="0"/>
    <x v="3"/>
    <x v="12"/>
    <x v="0"/>
    <x v="0"/>
    <x v="0"/>
    <x v="3"/>
    <x v="7"/>
    <x v="1"/>
    <x v="3"/>
    <x v="8"/>
    <x v="24"/>
    <x v="17"/>
    <x v="809"/>
    <x v="729"/>
    <x v="1312"/>
    <x v="1441"/>
  </r>
  <r>
    <x v="1202"/>
    <x v="348"/>
    <x v="1"/>
    <x v="0"/>
    <x v="0"/>
    <x v="3"/>
    <x v="12"/>
    <x v="0"/>
    <x v="0"/>
    <x v="1"/>
    <x v="3"/>
    <x v="7"/>
    <x v="2"/>
    <x v="5"/>
    <x v="17"/>
    <x v="21"/>
    <x v="15"/>
    <x v="767"/>
    <x v="701"/>
    <x v="903"/>
    <x v="1401"/>
  </r>
  <r>
    <x v="1203"/>
    <x v="328"/>
    <x v="1"/>
    <x v="0"/>
    <x v="0"/>
    <x v="3"/>
    <x v="12"/>
    <x v="0"/>
    <x v="0"/>
    <x v="0"/>
    <x v="3"/>
    <x v="7"/>
    <x v="2"/>
    <x v="5"/>
    <x v="8"/>
    <x v="21"/>
    <x v="15"/>
    <x v="612"/>
    <x v="577"/>
    <x v="1193"/>
    <x v="994"/>
  </r>
  <r>
    <x v="1204"/>
    <x v="335"/>
    <x v="1"/>
    <x v="0"/>
    <x v="0"/>
    <x v="3"/>
    <x v="12"/>
    <x v="0"/>
    <x v="0"/>
    <x v="1"/>
    <x v="3"/>
    <x v="7"/>
    <x v="5"/>
    <x v="11"/>
    <x v="13"/>
    <x v="27"/>
    <x v="19"/>
    <x v="860"/>
    <x v="771"/>
    <x v="1202"/>
    <x v="1573"/>
  </r>
  <r>
    <x v="1205"/>
    <x v="342"/>
    <x v="1"/>
    <x v="0"/>
    <x v="0"/>
    <x v="3"/>
    <x v="12"/>
    <x v="0"/>
    <x v="0"/>
    <x v="0"/>
    <x v="3"/>
    <x v="7"/>
    <x v="5"/>
    <x v="11"/>
    <x v="10"/>
    <x v="27"/>
    <x v="19"/>
    <x v="846"/>
    <x v="759"/>
    <x v="1331"/>
    <x v="1507"/>
  </r>
  <r>
    <x v="1206"/>
    <x v="349"/>
    <x v="1"/>
    <x v="0"/>
    <x v="0"/>
    <x v="3"/>
    <x v="12"/>
    <x v="0"/>
    <x v="0"/>
    <x v="1"/>
    <x v="0"/>
    <x v="1"/>
    <x v="3"/>
    <x v="7"/>
    <x v="89"/>
    <x v="1"/>
    <x v="1"/>
    <x v="433"/>
    <x v="355"/>
    <x v="380"/>
    <x v="1015"/>
  </r>
  <r>
    <x v="1207"/>
    <x v="329"/>
    <x v="1"/>
    <x v="0"/>
    <x v="0"/>
    <x v="3"/>
    <x v="12"/>
    <x v="0"/>
    <x v="0"/>
    <x v="0"/>
    <x v="0"/>
    <x v="1"/>
    <x v="3"/>
    <x v="7"/>
    <x v="45"/>
    <x v="1"/>
    <x v="1"/>
    <x v="217"/>
    <x v="171"/>
    <x v="830"/>
    <x v="492"/>
  </r>
  <r>
    <x v="1208"/>
    <x v="336"/>
    <x v="1"/>
    <x v="0"/>
    <x v="0"/>
    <x v="3"/>
    <x v="12"/>
    <x v="0"/>
    <x v="0"/>
    <x v="1"/>
    <x v="0"/>
    <x v="1"/>
    <x v="8"/>
    <x v="17"/>
    <x v="64"/>
    <x v="13"/>
    <x v="8"/>
    <x v="713"/>
    <x v="615"/>
    <x v="789"/>
    <x v="1417"/>
  </r>
  <r>
    <x v="1209"/>
    <x v="343"/>
    <x v="1"/>
    <x v="0"/>
    <x v="0"/>
    <x v="3"/>
    <x v="12"/>
    <x v="0"/>
    <x v="0"/>
    <x v="0"/>
    <x v="0"/>
    <x v="1"/>
    <x v="8"/>
    <x v="17"/>
    <x v="53"/>
    <x v="13"/>
    <x v="8"/>
    <x v="660"/>
    <x v="571"/>
    <x v="1224"/>
    <x v="1288"/>
  </r>
  <r>
    <x v="1210"/>
    <x v="350"/>
    <x v="1"/>
    <x v="0"/>
    <x v="0"/>
    <x v="3"/>
    <x v="12"/>
    <x v="0"/>
    <x v="0"/>
    <x v="1"/>
    <x v="0"/>
    <x v="1"/>
    <x v="9"/>
    <x v="19"/>
    <x v="71"/>
    <x v="7"/>
    <x v="5"/>
    <x v="636"/>
    <x v="566"/>
    <x v="663"/>
    <x v="1261"/>
  </r>
  <r>
    <x v="1211"/>
    <x v="330"/>
    <x v="1"/>
    <x v="0"/>
    <x v="0"/>
    <x v="3"/>
    <x v="12"/>
    <x v="0"/>
    <x v="0"/>
    <x v="0"/>
    <x v="0"/>
    <x v="1"/>
    <x v="9"/>
    <x v="19"/>
    <x v="52"/>
    <x v="7"/>
    <x v="5"/>
    <x v="544"/>
    <x v="486"/>
    <x v="1156"/>
    <x v="1022"/>
  </r>
  <r>
    <x v="1212"/>
    <x v="337"/>
    <x v="1"/>
    <x v="0"/>
    <x v="0"/>
    <x v="3"/>
    <x v="12"/>
    <x v="0"/>
    <x v="0"/>
    <x v="1"/>
    <x v="2"/>
    <x v="5"/>
    <x v="0"/>
    <x v="1"/>
    <x v="34"/>
    <x v="16"/>
    <x v="11"/>
    <x v="611"/>
    <x v="539"/>
    <x v="624"/>
    <x v="1236"/>
  </r>
  <r>
    <x v="1213"/>
    <x v="344"/>
    <x v="1"/>
    <x v="0"/>
    <x v="0"/>
    <x v="3"/>
    <x v="12"/>
    <x v="0"/>
    <x v="0"/>
    <x v="0"/>
    <x v="2"/>
    <x v="5"/>
    <x v="0"/>
    <x v="1"/>
    <x v="25"/>
    <x v="16"/>
    <x v="11"/>
    <x v="516"/>
    <x v="453"/>
    <x v="1134"/>
    <x v="992"/>
  </r>
  <r>
    <x v="1214"/>
    <x v="324"/>
    <x v="1"/>
    <x v="0"/>
    <x v="0"/>
    <x v="3"/>
    <x v="12"/>
    <x v="0"/>
    <x v="0"/>
    <x v="1"/>
    <x v="2"/>
    <x v="5"/>
    <x v="4"/>
    <x v="9"/>
    <x v="31"/>
    <x v="10"/>
    <x v="9"/>
    <x v="465"/>
    <x v="427"/>
    <x v="416"/>
    <x v="925"/>
  </r>
  <r>
    <x v="1215"/>
    <x v="331"/>
    <x v="1"/>
    <x v="0"/>
    <x v="0"/>
    <x v="3"/>
    <x v="12"/>
    <x v="0"/>
    <x v="0"/>
    <x v="0"/>
    <x v="2"/>
    <x v="5"/>
    <x v="4"/>
    <x v="9"/>
    <x v="24"/>
    <x v="10"/>
    <x v="9"/>
    <x v="382"/>
    <x v="354"/>
    <x v="1037"/>
    <x v="688"/>
  </r>
  <r>
    <x v="1216"/>
    <x v="338"/>
    <x v="1"/>
    <x v="0"/>
    <x v="0"/>
    <x v="3"/>
    <x v="12"/>
    <x v="0"/>
    <x v="0"/>
    <x v="1"/>
    <x v="1"/>
    <x v="3"/>
    <x v="7"/>
    <x v="15"/>
    <x v="43"/>
    <x v="19"/>
    <x v="13"/>
    <x v="695"/>
    <x v="634"/>
    <x v="753"/>
    <x v="1299"/>
  </r>
  <r>
    <x v="1217"/>
    <x v="345"/>
    <x v="1"/>
    <x v="0"/>
    <x v="0"/>
    <x v="3"/>
    <x v="12"/>
    <x v="0"/>
    <x v="0"/>
    <x v="0"/>
    <x v="1"/>
    <x v="3"/>
    <x v="7"/>
    <x v="15"/>
    <x v="34"/>
    <x v="19"/>
    <x v="13"/>
    <x v="630"/>
    <x v="582"/>
    <x v="1208"/>
    <x v="1133"/>
  </r>
  <r>
    <x v="1218"/>
    <x v="325"/>
    <x v="1"/>
    <x v="0"/>
    <x v="0"/>
    <x v="3"/>
    <x v="12"/>
    <x v="0"/>
    <x v="0"/>
    <x v="1"/>
    <x v="1"/>
    <x v="3"/>
    <x v="6"/>
    <x v="13"/>
    <x v="47"/>
    <x v="4"/>
    <x v="3"/>
    <x v="305"/>
    <x v="255"/>
    <x v="210"/>
    <x v="706"/>
  </r>
  <r>
    <x v="1219"/>
    <x v="332"/>
    <x v="1"/>
    <x v="0"/>
    <x v="0"/>
    <x v="3"/>
    <x v="12"/>
    <x v="0"/>
    <x v="0"/>
    <x v="0"/>
    <x v="1"/>
    <x v="3"/>
    <x v="6"/>
    <x v="13"/>
    <x v="31"/>
    <x v="4"/>
    <x v="3"/>
    <x v="177"/>
    <x v="155"/>
    <x v="766"/>
    <x v="383"/>
  </r>
  <r>
    <x v="1220"/>
    <x v="339"/>
    <x v="1"/>
    <x v="0"/>
    <x v="0"/>
    <x v="3"/>
    <x v="12"/>
    <x v="1"/>
    <x v="1"/>
    <x v="1"/>
    <x v="3"/>
    <x v="7"/>
    <x v="1"/>
    <x v="3"/>
    <x v="8"/>
    <x v="24"/>
    <x v="17"/>
    <x v="809"/>
    <x v="729"/>
    <x v="1039"/>
    <x v="1493"/>
  </r>
  <r>
    <x v="1221"/>
    <x v="346"/>
    <x v="1"/>
    <x v="0"/>
    <x v="0"/>
    <x v="3"/>
    <x v="12"/>
    <x v="1"/>
    <x v="1"/>
    <x v="0"/>
    <x v="3"/>
    <x v="7"/>
    <x v="1"/>
    <x v="3"/>
    <x v="4"/>
    <x v="24"/>
    <x v="17"/>
    <x v="735"/>
    <x v="679"/>
    <x v="1269"/>
    <x v="1231"/>
  </r>
  <r>
    <x v="1222"/>
    <x v="326"/>
    <x v="1"/>
    <x v="0"/>
    <x v="0"/>
    <x v="3"/>
    <x v="12"/>
    <x v="1"/>
    <x v="1"/>
    <x v="1"/>
    <x v="3"/>
    <x v="7"/>
    <x v="2"/>
    <x v="5"/>
    <x v="7"/>
    <x v="21"/>
    <x v="15"/>
    <x v="579"/>
    <x v="556"/>
    <x v="585"/>
    <x v="1051"/>
  </r>
  <r>
    <x v="1223"/>
    <x v="333"/>
    <x v="1"/>
    <x v="0"/>
    <x v="0"/>
    <x v="3"/>
    <x v="12"/>
    <x v="1"/>
    <x v="1"/>
    <x v="0"/>
    <x v="3"/>
    <x v="7"/>
    <x v="2"/>
    <x v="5"/>
    <x v="4"/>
    <x v="21"/>
    <x v="15"/>
    <x v="434"/>
    <x v="442"/>
    <x v="1079"/>
    <x v="668"/>
  </r>
  <r>
    <x v="1224"/>
    <x v="340"/>
    <x v="1"/>
    <x v="0"/>
    <x v="0"/>
    <x v="3"/>
    <x v="12"/>
    <x v="1"/>
    <x v="1"/>
    <x v="1"/>
    <x v="3"/>
    <x v="7"/>
    <x v="5"/>
    <x v="11"/>
    <x v="9"/>
    <x v="27"/>
    <x v="19"/>
    <x v="841"/>
    <x v="754"/>
    <x v="1144"/>
    <x v="1533"/>
  </r>
  <r>
    <x v="1225"/>
    <x v="347"/>
    <x v="1"/>
    <x v="0"/>
    <x v="0"/>
    <x v="3"/>
    <x v="12"/>
    <x v="1"/>
    <x v="1"/>
    <x v="0"/>
    <x v="3"/>
    <x v="7"/>
    <x v="5"/>
    <x v="11"/>
    <x v="6"/>
    <x v="27"/>
    <x v="19"/>
    <x v="817"/>
    <x v="741"/>
    <x v="1315"/>
    <x v="1376"/>
  </r>
  <r>
    <x v="1226"/>
    <x v="327"/>
    <x v="1"/>
    <x v="0"/>
    <x v="0"/>
    <x v="3"/>
    <x v="12"/>
    <x v="1"/>
    <x v="1"/>
    <x v="1"/>
    <x v="0"/>
    <x v="1"/>
    <x v="3"/>
    <x v="7"/>
    <x v="36"/>
    <x v="1"/>
    <x v="1"/>
    <x v="159"/>
    <x v="122"/>
    <x v="98"/>
    <x v="443"/>
  </r>
  <r>
    <x v="1227"/>
    <x v="334"/>
    <x v="1"/>
    <x v="0"/>
    <x v="0"/>
    <x v="3"/>
    <x v="12"/>
    <x v="1"/>
    <x v="1"/>
    <x v="0"/>
    <x v="0"/>
    <x v="1"/>
    <x v="3"/>
    <x v="7"/>
    <x v="31"/>
    <x v="1"/>
    <x v="1"/>
    <x v="122"/>
    <x v="97"/>
    <x v="671"/>
    <x v="289"/>
  </r>
  <r>
    <x v="1228"/>
    <x v="341"/>
    <x v="1"/>
    <x v="0"/>
    <x v="0"/>
    <x v="3"/>
    <x v="12"/>
    <x v="1"/>
    <x v="1"/>
    <x v="1"/>
    <x v="0"/>
    <x v="1"/>
    <x v="8"/>
    <x v="17"/>
    <x v="37"/>
    <x v="13"/>
    <x v="8"/>
    <x v="561"/>
    <x v="479"/>
    <x v="554"/>
    <x v="1197"/>
  </r>
  <r>
    <x v="1229"/>
    <x v="348"/>
    <x v="1"/>
    <x v="0"/>
    <x v="0"/>
    <x v="3"/>
    <x v="12"/>
    <x v="1"/>
    <x v="1"/>
    <x v="0"/>
    <x v="0"/>
    <x v="1"/>
    <x v="8"/>
    <x v="17"/>
    <x v="33"/>
    <x v="13"/>
    <x v="8"/>
    <x v="524"/>
    <x v="449"/>
    <x v="1141"/>
    <x v="1062"/>
  </r>
  <r>
    <x v="1230"/>
    <x v="328"/>
    <x v="1"/>
    <x v="0"/>
    <x v="0"/>
    <x v="3"/>
    <x v="12"/>
    <x v="1"/>
    <x v="1"/>
    <x v="1"/>
    <x v="0"/>
    <x v="1"/>
    <x v="9"/>
    <x v="19"/>
    <x v="41"/>
    <x v="7"/>
    <x v="5"/>
    <x v="463"/>
    <x v="416"/>
    <x v="411"/>
    <x v="957"/>
  </r>
  <r>
    <x v="1231"/>
    <x v="335"/>
    <x v="1"/>
    <x v="0"/>
    <x v="0"/>
    <x v="3"/>
    <x v="12"/>
    <x v="1"/>
    <x v="1"/>
    <x v="0"/>
    <x v="0"/>
    <x v="1"/>
    <x v="9"/>
    <x v="19"/>
    <x v="29"/>
    <x v="7"/>
    <x v="5"/>
    <x v="352"/>
    <x v="315"/>
    <x v="1009"/>
    <x v="657"/>
  </r>
  <r>
    <x v="1232"/>
    <x v="342"/>
    <x v="1"/>
    <x v="0"/>
    <x v="0"/>
    <x v="3"/>
    <x v="12"/>
    <x v="1"/>
    <x v="1"/>
    <x v="1"/>
    <x v="2"/>
    <x v="5"/>
    <x v="0"/>
    <x v="1"/>
    <x v="20"/>
    <x v="16"/>
    <x v="11"/>
    <x v="441"/>
    <x v="395"/>
    <x v="386"/>
    <x v="946"/>
  </r>
  <r>
    <x v="1233"/>
    <x v="349"/>
    <x v="1"/>
    <x v="0"/>
    <x v="0"/>
    <x v="3"/>
    <x v="12"/>
    <x v="1"/>
    <x v="1"/>
    <x v="0"/>
    <x v="2"/>
    <x v="5"/>
    <x v="0"/>
    <x v="1"/>
    <x v="14"/>
    <x v="16"/>
    <x v="11"/>
    <x v="341"/>
    <x v="292"/>
    <x v="995"/>
    <x v="648"/>
  </r>
  <r>
    <x v="1234"/>
    <x v="329"/>
    <x v="1"/>
    <x v="0"/>
    <x v="0"/>
    <x v="3"/>
    <x v="12"/>
    <x v="1"/>
    <x v="1"/>
    <x v="1"/>
    <x v="2"/>
    <x v="5"/>
    <x v="4"/>
    <x v="9"/>
    <x v="18"/>
    <x v="10"/>
    <x v="9"/>
    <x v="300"/>
    <x v="280"/>
    <x v="208"/>
    <x v="595"/>
  </r>
  <r>
    <x v="1235"/>
    <x v="336"/>
    <x v="1"/>
    <x v="0"/>
    <x v="0"/>
    <x v="3"/>
    <x v="12"/>
    <x v="1"/>
    <x v="1"/>
    <x v="0"/>
    <x v="2"/>
    <x v="5"/>
    <x v="4"/>
    <x v="9"/>
    <x v="12"/>
    <x v="10"/>
    <x v="9"/>
    <x v="188"/>
    <x v="186"/>
    <x v="783"/>
    <x v="307"/>
  </r>
  <r>
    <x v="1236"/>
    <x v="343"/>
    <x v="1"/>
    <x v="0"/>
    <x v="0"/>
    <x v="3"/>
    <x v="12"/>
    <x v="1"/>
    <x v="1"/>
    <x v="1"/>
    <x v="1"/>
    <x v="3"/>
    <x v="7"/>
    <x v="15"/>
    <x v="22"/>
    <x v="19"/>
    <x v="13"/>
    <x v="503"/>
    <x v="474"/>
    <x v="466"/>
    <x v="963"/>
  </r>
  <r>
    <x v="1237"/>
    <x v="350"/>
    <x v="1"/>
    <x v="0"/>
    <x v="0"/>
    <x v="3"/>
    <x v="12"/>
    <x v="1"/>
    <x v="1"/>
    <x v="0"/>
    <x v="1"/>
    <x v="3"/>
    <x v="7"/>
    <x v="15"/>
    <x v="14"/>
    <x v="19"/>
    <x v="13"/>
    <x v="362"/>
    <x v="348"/>
    <x v="1017"/>
    <x v="590"/>
  </r>
  <r>
    <x v="1238"/>
    <x v="330"/>
    <x v="1"/>
    <x v="0"/>
    <x v="0"/>
    <x v="3"/>
    <x v="12"/>
    <x v="1"/>
    <x v="1"/>
    <x v="1"/>
    <x v="1"/>
    <x v="3"/>
    <x v="6"/>
    <x v="13"/>
    <x v="23"/>
    <x v="4"/>
    <x v="3"/>
    <x v="112"/>
    <x v="100"/>
    <x v="63"/>
    <x v="288"/>
  </r>
  <r>
    <x v="1239"/>
    <x v="337"/>
    <x v="1"/>
    <x v="0"/>
    <x v="0"/>
    <x v="3"/>
    <x v="12"/>
    <x v="1"/>
    <x v="1"/>
    <x v="0"/>
    <x v="1"/>
    <x v="3"/>
    <x v="6"/>
    <x v="13"/>
    <x v="17"/>
    <x v="4"/>
    <x v="3"/>
    <x v="64"/>
    <x v="60"/>
    <x v="523"/>
    <x v="127"/>
  </r>
  <r>
    <x v="1240"/>
    <x v="344"/>
    <x v="1"/>
    <x v="0"/>
    <x v="0"/>
    <x v="3"/>
    <x v="12"/>
    <x v="3"/>
    <x v="3"/>
    <x v="1"/>
    <x v="3"/>
    <x v="7"/>
    <x v="1"/>
    <x v="3"/>
    <x v="5"/>
    <x v="24"/>
    <x v="17"/>
    <x v="761"/>
    <x v="702"/>
    <x v="888"/>
    <x v="1380"/>
  </r>
  <r>
    <x v="1241"/>
    <x v="324"/>
    <x v="1"/>
    <x v="0"/>
    <x v="0"/>
    <x v="3"/>
    <x v="12"/>
    <x v="3"/>
    <x v="3"/>
    <x v="0"/>
    <x v="3"/>
    <x v="7"/>
    <x v="1"/>
    <x v="3"/>
    <x v="3"/>
    <x v="24"/>
    <x v="17"/>
    <x v="693"/>
    <x v="653"/>
    <x v="1244"/>
    <x v="1150"/>
  </r>
  <r>
    <x v="1242"/>
    <x v="331"/>
    <x v="1"/>
    <x v="0"/>
    <x v="0"/>
    <x v="3"/>
    <x v="12"/>
    <x v="3"/>
    <x v="3"/>
    <x v="1"/>
    <x v="3"/>
    <x v="7"/>
    <x v="2"/>
    <x v="5"/>
    <x v="5"/>
    <x v="21"/>
    <x v="15"/>
    <x v="492"/>
    <x v="482"/>
    <x v="449"/>
    <x v="885"/>
  </r>
  <r>
    <x v="1243"/>
    <x v="338"/>
    <x v="1"/>
    <x v="0"/>
    <x v="0"/>
    <x v="3"/>
    <x v="12"/>
    <x v="3"/>
    <x v="3"/>
    <x v="0"/>
    <x v="3"/>
    <x v="7"/>
    <x v="2"/>
    <x v="5"/>
    <x v="3"/>
    <x v="21"/>
    <x v="15"/>
    <x v="374"/>
    <x v="385"/>
    <x v="1029"/>
    <x v="548"/>
  </r>
  <r>
    <x v="1244"/>
    <x v="345"/>
    <x v="1"/>
    <x v="0"/>
    <x v="0"/>
    <x v="3"/>
    <x v="12"/>
    <x v="3"/>
    <x v="3"/>
    <x v="1"/>
    <x v="3"/>
    <x v="7"/>
    <x v="5"/>
    <x v="11"/>
    <x v="6"/>
    <x v="27"/>
    <x v="19"/>
    <x v="817"/>
    <x v="741"/>
    <x v="1063"/>
    <x v="1456"/>
  </r>
  <r>
    <x v="1245"/>
    <x v="325"/>
    <x v="1"/>
    <x v="0"/>
    <x v="0"/>
    <x v="3"/>
    <x v="12"/>
    <x v="3"/>
    <x v="3"/>
    <x v="0"/>
    <x v="3"/>
    <x v="7"/>
    <x v="5"/>
    <x v="11"/>
    <x v="4"/>
    <x v="27"/>
    <x v="19"/>
    <x v="791"/>
    <x v="726"/>
    <x v="1300"/>
    <x v="1251"/>
  </r>
  <r>
    <x v="1246"/>
    <x v="332"/>
    <x v="1"/>
    <x v="0"/>
    <x v="0"/>
    <x v="3"/>
    <x v="12"/>
    <x v="3"/>
    <x v="3"/>
    <x v="1"/>
    <x v="0"/>
    <x v="1"/>
    <x v="3"/>
    <x v="7"/>
    <x v="28"/>
    <x v="1"/>
    <x v="1"/>
    <x v="102"/>
    <x v="82"/>
    <x v="56"/>
    <x v="304"/>
  </r>
  <r>
    <x v="1247"/>
    <x v="339"/>
    <x v="1"/>
    <x v="0"/>
    <x v="0"/>
    <x v="3"/>
    <x v="12"/>
    <x v="3"/>
    <x v="3"/>
    <x v="0"/>
    <x v="0"/>
    <x v="1"/>
    <x v="3"/>
    <x v="7"/>
    <x v="25"/>
    <x v="1"/>
    <x v="1"/>
    <x v="85"/>
    <x v="67"/>
    <x v="590"/>
    <x v="208"/>
  </r>
  <r>
    <x v="1248"/>
    <x v="346"/>
    <x v="1"/>
    <x v="0"/>
    <x v="0"/>
    <x v="3"/>
    <x v="12"/>
    <x v="3"/>
    <x v="3"/>
    <x v="1"/>
    <x v="0"/>
    <x v="1"/>
    <x v="8"/>
    <x v="17"/>
    <x v="37"/>
    <x v="13"/>
    <x v="8"/>
    <x v="561"/>
    <x v="479"/>
    <x v="554"/>
    <x v="1197"/>
  </r>
  <r>
    <x v="1249"/>
    <x v="326"/>
    <x v="1"/>
    <x v="0"/>
    <x v="0"/>
    <x v="3"/>
    <x v="12"/>
    <x v="3"/>
    <x v="3"/>
    <x v="0"/>
    <x v="0"/>
    <x v="1"/>
    <x v="8"/>
    <x v="17"/>
    <x v="20"/>
    <x v="13"/>
    <x v="8"/>
    <x v="363"/>
    <x v="301"/>
    <x v="1022"/>
    <x v="761"/>
  </r>
  <r>
    <x v="1250"/>
    <x v="333"/>
    <x v="1"/>
    <x v="0"/>
    <x v="0"/>
    <x v="3"/>
    <x v="12"/>
    <x v="3"/>
    <x v="3"/>
    <x v="1"/>
    <x v="0"/>
    <x v="1"/>
    <x v="9"/>
    <x v="19"/>
    <x v="29"/>
    <x v="7"/>
    <x v="5"/>
    <x v="352"/>
    <x v="315"/>
    <x v="265"/>
    <x v="755"/>
  </r>
  <r>
    <x v="1251"/>
    <x v="340"/>
    <x v="1"/>
    <x v="0"/>
    <x v="0"/>
    <x v="3"/>
    <x v="12"/>
    <x v="3"/>
    <x v="3"/>
    <x v="0"/>
    <x v="0"/>
    <x v="1"/>
    <x v="9"/>
    <x v="19"/>
    <x v="19"/>
    <x v="7"/>
    <x v="5"/>
    <x v="227"/>
    <x v="210"/>
    <x v="841"/>
    <x v="426"/>
  </r>
  <r>
    <x v="1252"/>
    <x v="347"/>
    <x v="1"/>
    <x v="0"/>
    <x v="0"/>
    <x v="3"/>
    <x v="12"/>
    <x v="3"/>
    <x v="3"/>
    <x v="1"/>
    <x v="2"/>
    <x v="5"/>
    <x v="0"/>
    <x v="1"/>
    <x v="15"/>
    <x v="16"/>
    <x v="11"/>
    <x v="356"/>
    <x v="310"/>
    <x v="271"/>
    <x v="788"/>
  </r>
  <r>
    <x v="1253"/>
    <x v="327"/>
    <x v="1"/>
    <x v="0"/>
    <x v="0"/>
    <x v="3"/>
    <x v="12"/>
    <x v="3"/>
    <x v="3"/>
    <x v="0"/>
    <x v="2"/>
    <x v="5"/>
    <x v="0"/>
    <x v="1"/>
    <x v="9"/>
    <x v="16"/>
    <x v="11"/>
    <x v="218"/>
    <x v="199"/>
    <x v="831"/>
    <x v="429"/>
  </r>
  <r>
    <x v="1254"/>
    <x v="334"/>
    <x v="1"/>
    <x v="0"/>
    <x v="0"/>
    <x v="3"/>
    <x v="12"/>
    <x v="3"/>
    <x v="3"/>
    <x v="1"/>
    <x v="2"/>
    <x v="5"/>
    <x v="4"/>
    <x v="9"/>
    <x v="14"/>
    <x v="10"/>
    <x v="9"/>
    <x v="226"/>
    <x v="221"/>
    <x v="150"/>
    <x v="471"/>
  </r>
  <r>
    <x v="1255"/>
    <x v="341"/>
    <x v="1"/>
    <x v="0"/>
    <x v="0"/>
    <x v="3"/>
    <x v="12"/>
    <x v="3"/>
    <x v="3"/>
    <x v="0"/>
    <x v="2"/>
    <x v="5"/>
    <x v="4"/>
    <x v="9"/>
    <x v="9"/>
    <x v="10"/>
    <x v="9"/>
    <x v="125"/>
    <x v="131"/>
    <x v="675"/>
    <x v="204"/>
  </r>
  <r>
    <x v="1256"/>
    <x v="348"/>
    <x v="1"/>
    <x v="0"/>
    <x v="0"/>
    <x v="3"/>
    <x v="12"/>
    <x v="3"/>
    <x v="3"/>
    <x v="1"/>
    <x v="1"/>
    <x v="3"/>
    <x v="7"/>
    <x v="15"/>
    <x v="19"/>
    <x v="19"/>
    <x v="13"/>
    <x v="455"/>
    <x v="432"/>
    <x v="399"/>
    <x v="886"/>
  </r>
  <r>
    <x v="1257"/>
    <x v="328"/>
    <x v="1"/>
    <x v="0"/>
    <x v="0"/>
    <x v="3"/>
    <x v="12"/>
    <x v="3"/>
    <x v="3"/>
    <x v="0"/>
    <x v="1"/>
    <x v="3"/>
    <x v="7"/>
    <x v="15"/>
    <x v="13"/>
    <x v="19"/>
    <x v="13"/>
    <x v="347"/>
    <x v="328"/>
    <x v="999"/>
    <x v="561"/>
  </r>
  <r>
    <x v="1258"/>
    <x v="335"/>
    <x v="1"/>
    <x v="0"/>
    <x v="0"/>
    <x v="3"/>
    <x v="12"/>
    <x v="3"/>
    <x v="3"/>
    <x v="1"/>
    <x v="1"/>
    <x v="3"/>
    <x v="6"/>
    <x v="13"/>
    <x v="20"/>
    <x v="4"/>
    <x v="3"/>
    <x v="90"/>
    <x v="80"/>
    <x v="45"/>
    <x v="230"/>
  </r>
  <r>
    <x v="1259"/>
    <x v="342"/>
    <x v="1"/>
    <x v="0"/>
    <x v="0"/>
    <x v="3"/>
    <x v="12"/>
    <x v="3"/>
    <x v="3"/>
    <x v="0"/>
    <x v="1"/>
    <x v="3"/>
    <x v="6"/>
    <x v="13"/>
    <x v="13"/>
    <x v="4"/>
    <x v="3"/>
    <x v="39"/>
    <x v="38"/>
    <x v="402"/>
    <x v="74"/>
  </r>
  <r>
    <x v="1260"/>
    <x v="349"/>
    <x v="1"/>
    <x v="0"/>
    <x v="0"/>
    <x v="3"/>
    <x v="12"/>
    <x v="2"/>
    <x v="2"/>
    <x v="1"/>
    <x v="3"/>
    <x v="7"/>
    <x v="1"/>
    <x v="3"/>
    <x v="4"/>
    <x v="24"/>
    <x v="17"/>
    <x v="735"/>
    <x v="679"/>
    <x v="833"/>
    <x v="1308"/>
  </r>
  <r>
    <x v="1261"/>
    <x v="329"/>
    <x v="1"/>
    <x v="0"/>
    <x v="0"/>
    <x v="3"/>
    <x v="12"/>
    <x v="2"/>
    <x v="2"/>
    <x v="0"/>
    <x v="3"/>
    <x v="7"/>
    <x v="1"/>
    <x v="3"/>
    <x v="2"/>
    <x v="24"/>
    <x v="17"/>
    <x v="628"/>
    <x v="600"/>
    <x v="1206"/>
    <x v="996"/>
  </r>
  <r>
    <x v="1262"/>
    <x v="336"/>
    <x v="1"/>
    <x v="0"/>
    <x v="0"/>
    <x v="3"/>
    <x v="12"/>
    <x v="2"/>
    <x v="2"/>
    <x v="1"/>
    <x v="3"/>
    <x v="7"/>
    <x v="2"/>
    <x v="5"/>
    <x v="3"/>
    <x v="21"/>
    <x v="15"/>
    <x v="374"/>
    <x v="385"/>
    <x v="301"/>
    <x v="660"/>
  </r>
  <r>
    <x v="1263"/>
    <x v="343"/>
    <x v="1"/>
    <x v="0"/>
    <x v="0"/>
    <x v="3"/>
    <x v="12"/>
    <x v="2"/>
    <x v="2"/>
    <x v="0"/>
    <x v="3"/>
    <x v="7"/>
    <x v="2"/>
    <x v="5"/>
    <x v="2"/>
    <x v="21"/>
    <x v="15"/>
    <x v="309"/>
    <x v="313"/>
    <x v="950"/>
    <x v="420"/>
  </r>
  <r>
    <x v="1264"/>
    <x v="350"/>
    <x v="1"/>
    <x v="0"/>
    <x v="0"/>
    <x v="3"/>
    <x v="12"/>
    <x v="2"/>
    <x v="2"/>
    <x v="1"/>
    <x v="3"/>
    <x v="7"/>
    <x v="5"/>
    <x v="11"/>
    <x v="3"/>
    <x v="27"/>
    <x v="19"/>
    <x v="758"/>
    <x v="709"/>
    <x v="883"/>
    <x v="1272"/>
  </r>
  <r>
    <x v="1265"/>
    <x v="330"/>
    <x v="1"/>
    <x v="0"/>
    <x v="0"/>
    <x v="3"/>
    <x v="12"/>
    <x v="2"/>
    <x v="2"/>
    <x v="0"/>
    <x v="3"/>
    <x v="7"/>
    <x v="5"/>
    <x v="11"/>
    <x v="2"/>
    <x v="27"/>
    <x v="19"/>
    <x v="717"/>
    <x v="681"/>
    <x v="1259"/>
    <x v="1030"/>
  </r>
  <r>
    <x v="1266"/>
    <x v="337"/>
    <x v="1"/>
    <x v="0"/>
    <x v="0"/>
    <x v="3"/>
    <x v="12"/>
    <x v="2"/>
    <x v="2"/>
    <x v="1"/>
    <x v="0"/>
    <x v="1"/>
    <x v="3"/>
    <x v="7"/>
    <x v="19"/>
    <x v="1"/>
    <x v="1"/>
    <x v="47"/>
    <x v="42"/>
    <x v="18"/>
    <x v="151"/>
  </r>
  <r>
    <x v="1267"/>
    <x v="344"/>
    <x v="1"/>
    <x v="0"/>
    <x v="0"/>
    <x v="3"/>
    <x v="12"/>
    <x v="2"/>
    <x v="2"/>
    <x v="0"/>
    <x v="0"/>
    <x v="1"/>
    <x v="3"/>
    <x v="7"/>
    <x v="16"/>
    <x v="1"/>
    <x v="1"/>
    <x v="35"/>
    <x v="30"/>
    <x v="385"/>
    <x v="78"/>
  </r>
  <r>
    <x v="1268"/>
    <x v="324"/>
    <x v="1"/>
    <x v="0"/>
    <x v="0"/>
    <x v="3"/>
    <x v="12"/>
    <x v="2"/>
    <x v="2"/>
    <x v="1"/>
    <x v="0"/>
    <x v="1"/>
    <x v="8"/>
    <x v="17"/>
    <x v="25"/>
    <x v="13"/>
    <x v="8"/>
    <x v="430"/>
    <x v="366"/>
    <x v="376"/>
    <x v="966"/>
  </r>
  <r>
    <x v="1269"/>
    <x v="331"/>
    <x v="1"/>
    <x v="0"/>
    <x v="0"/>
    <x v="3"/>
    <x v="12"/>
    <x v="2"/>
    <x v="2"/>
    <x v="0"/>
    <x v="0"/>
    <x v="1"/>
    <x v="8"/>
    <x v="17"/>
    <x v="18"/>
    <x v="13"/>
    <x v="8"/>
    <x v="338"/>
    <x v="278"/>
    <x v="989"/>
    <x v="697"/>
  </r>
  <r>
    <x v="1270"/>
    <x v="338"/>
    <x v="1"/>
    <x v="0"/>
    <x v="0"/>
    <x v="3"/>
    <x v="12"/>
    <x v="2"/>
    <x v="2"/>
    <x v="1"/>
    <x v="0"/>
    <x v="1"/>
    <x v="9"/>
    <x v="19"/>
    <x v="23"/>
    <x v="7"/>
    <x v="5"/>
    <x v="280"/>
    <x v="257"/>
    <x v="198"/>
    <x v="600"/>
  </r>
  <r>
    <x v="1271"/>
    <x v="345"/>
    <x v="1"/>
    <x v="0"/>
    <x v="0"/>
    <x v="3"/>
    <x v="12"/>
    <x v="2"/>
    <x v="2"/>
    <x v="0"/>
    <x v="0"/>
    <x v="1"/>
    <x v="9"/>
    <x v="19"/>
    <x v="14"/>
    <x v="7"/>
    <x v="5"/>
    <x v="155"/>
    <x v="147"/>
    <x v="715"/>
    <x v="269"/>
  </r>
  <r>
    <x v="1272"/>
    <x v="325"/>
    <x v="1"/>
    <x v="0"/>
    <x v="0"/>
    <x v="3"/>
    <x v="12"/>
    <x v="2"/>
    <x v="2"/>
    <x v="1"/>
    <x v="2"/>
    <x v="5"/>
    <x v="0"/>
    <x v="1"/>
    <x v="10"/>
    <x v="16"/>
    <x v="11"/>
    <x v="245"/>
    <x v="219"/>
    <x v="167"/>
    <x v="551"/>
  </r>
  <r>
    <x v="1273"/>
    <x v="332"/>
    <x v="1"/>
    <x v="0"/>
    <x v="0"/>
    <x v="3"/>
    <x v="12"/>
    <x v="2"/>
    <x v="2"/>
    <x v="0"/>
    <x v="2"/>
    <x v="5"/>
    <x v="0"/>
    <x v="1"/>
    <x v="7"/>
    <x v="16"/>
    <x v="11"/>
    <x v="163"/>
    <x v="149"/>
    <x v="736"/>
    <x v="312"/>
  </r>
  <r>
    <x v="1274"/>
    <x v="339"/>
    <x v="1"/>
    <x v="0"/>
    <x v="0"/>
    <x v="3"/>
    <x v="12"/>
    <x v="2"/>
    <x v="2"/>
    <x v="1"/>
    <x v="2"/>
    <x v="5"/>
    <x v="4"/>
    <x v="9"/>
    <x v="9"/>
    <x v="10"/>
    <x v="9"/>
    <x v="125"/>
    <x v="131"/>
    <x v="74"/>
    <x v="256"/>
  </r>
  <r>
    <x v="1275"/>
    <x v="346"/>
    <x v="1"/>
    <x v="0"/>
    <x v="0"/>
    <x v="3"/>
    <x v="12"/>
    <x v="2"/>
    <x v="2"/>
    <x v="0"/>
    <x v="2"/>
    <x v="5"/>
    <x v="4"/>
    <x v="9"/>
    <x v="7"/>
    <x v="10"/>
    <x v="9"/>
    <x v="88"/>
    <x v="94"/>
    <x v="596"/>
    <x v="125"/>
  </r>
  <r>
    <x v="1276"/>
    <x v="326"/>
    <x v="1"/>
    <x v="0"/>
    <x v="0"/>
    <x v="3"/>
    <x v="12"/>
    <x v="2"/>
    <x v="2"/>
    <x v="1"/>
    <x v="1"/>
    <x v="3"/>
    <x v="7"/>
    <x v="15"/>
    <x v="13"/>
    <x v="19"/>
    <x v="13"/>
    <x v="347"/>
    <x v="328"/>
    <x v="251"/>
    <x v="664"/>
  </r>
  <r>
    <x v="1277"/>
    <x v="333"/>
    <x v="1"/>
    <x v="0"/>
    <x v="0"/>
    <x v="3"/>
    <x v="12"/>
    <x v="2"/>
    <x v="2"/>
    <x v="0"/>
    <x v="1"/>
    <x v="3"/>
    <x v="7"/>
    <x v="15"/>
    <x v="9"/>
    <x v="19"/>
    <x v="13"/>
    <x v="242"/>
    <x v="243"/>
    <x v="858"/>
    <x v="382"/>
  </r>
  <r>
    <x v="1278"/>
    <x v="340"/>
    <x v="1"/>
    <x v="0"/>
    <x v="0"/>
    <x v="3"/>
    <x v="12"/>
    <x v="2"/>
    <x v="2"/>
    <x v="1"/>
    <x v="1"/>
    <x v="3"/>
    <x v="6"/>
    <x v="13"/>
    <x v="11"/>
    <x v="4"/>
    <x v="3"/>
    <x v="25"/>
    <x v="27"/>
    <x v="2"/>
    <x v="68"/>
  </r>
  <r>
    <x v="1279"/>
    <x v="347"/>
    <x v="1"/>
    <x v="0"/>
    <x v="0"/>
    <x v="3"/>
    <x v="12"/>
    <x v="2"/>
    <x v="2"/>
    <x v="0"/>
    <x v="1"/>
    <x v="3"/>
    <x v="6"/>
    <x v="13"/>
    <x v="8"/>
    <x v="4"/>
    <x v="3"/>
    <x v="11"/>
    <x v="12"/>
    <x v="232"/>
    <x v="22"/>
  </r>
  <r>
    <x v="1280"/>
    <x v="327"/>
    <x v="1"/>
    <x v="0"/>
    <x v="0"/>
    <x v="3"/>
    <x v="12"/>
    <x v="4"/>
    <x v="4"/>
    <x v="1"/>
    <x v="3"/>
    <x v="7"/>
    <x v="1"/>
    <x v="3"/>
    <x v="4"/>
    <x v="24"/>
    <x v="17"/>
    <x v="735"/>
    <x v="679"/>
    <x v="833"/>
    <x v="1308"/>
  </r>
  <r>
    <x v="1281"/>
    <x v="334"/>
    <x v="1"/>
    <x v="0"/>
    <x v="0"/>
    <x v="3"/>
    <x v="12"/>
    <x v="4"/>
    <x v="4"/>
    <x v="0"/>
    <x v="3"/>
    <x v="7"/>
    <x v="1"/>
    <x v="3"/>
    <x v="1"/>
    <x v="24"/>
    <x v="17"/>
    <x v="542"/>
    <x v="530"/>
    <x v="1153"/>
    <x v="818"/>
  </r>
  <r>
    <x v="1282"/>
    <x v="341"/>
    <x v="1"/>
    <x v="0"/>
    <x v="0"/>
    <x v="3"/>
    <x v="12"/>
    <x v="4"/>
    <x v="4"/>
    <x v="1"/>
    <x v="3"/>
    <x v="7"/>
    <x v="2"/>
    <x v="5"/>
    <x v="3"/>
    <x v="21"/>
    <x v="15"/>
    <x v="374"/>
    <x v="385"/>
    <x v="301"/>
    <x v="660"/>
  </r>
  <r>
    <x v="1283"/>
    <x v="348"/>
    <x v="1"/>
    <x v="0"/>
    <x v="0"/>
    <x v="3"/>
    <x v="12"/>
    <x v="4"/>
    <x v="4"/>
    <x v="0"/>
    <x v="3"/>
    <x v="7"/>
    <x v="2"/>
    <x v="5"/>
    <x v="1"/>
    <x v="21"/>
    <x v="15"/>
    <x v="213"/>
    <x v="236"/>
    <x v="829"/>
    <x v="252"/>
  </r>
  <r>
    <x v="1284"/>
    <x v="328"/>
    <x v="1"/>
    <x v="0"/>
    <x v="0"/>
    <x v="3"/>
    <x v="12"/>
    <x v="4"/>
    <x v="4"/>
    <x v="1"/>
    <x v="3"/>
    <x v="7"/>
    <x v="5"/>
    <x v="11"/>
    <x v="4"/>
    <x v="27"/>
    <x v="19"/>
    <x v="791"/>
    <x v="726"/>
    <x v="973"/>
    <x v="1356"/>
  </r>
  <r>
    <x v="1285"/>
    <x v="335"/>
    <x v="1"/>
    <x v="0"/>
    <x v="0"/>
    <x v="3"/>
    <x v="12"/>
    <x v="4"/>
    <x v="4"/>
    <x v="0"/>
    <x v="3"/>
    <x v="7"/>
    <x v="5"/>
    <x v="11"/>
    <x v="2"/>
    <x v="27"/>
    <x v="19"/>
    <x v="717"/>
    <x v="681"/>
    <x v="1259"/>
    <x v="1030"/>
  </r>
  <r>
    <x v="1286"/>
    <x v="342"/>
    <x v="1"/>
    <x v="0"/>
    <x v="0"/>
    <x v="3"/>
    <x v="12"/>
    <x v="4"/>
    <x v="4"/>
    <x v="1"/>
    <x v="0"/>
    <x v="1"/>
    <x v="3"/>
    <x v="7"/>
    <x v="24"/>
    <x v="1"/>
    <x v="1"/>
    <x v="79"/>
    <x v="64"/>
    <x v="39"/>
    <x v="233"/>
  </r>
  <r>
    <x v="1287"/>
    <x v="349"/>
    <x v="1"/>
    <x v="0"/>
    <x v="0"/>
    <x v="3"/>
    <x v="12"/>
    <x v="4"/>
    <x v="4"/>
    <x v="0"/>
    <x v="0"/>
    <x v="1"/>
    <x v="3"/>
    <x v="7"/>
    <x v="18"/>
    <x v="1"/>
    <x v="1"/>
    <x v="43"/>
    <x v="39"/>
    <x v="433"/>
    <x v="102"/>
  </r>
  <r>
    <x v="1288"/>
    <x v="329"/>
    <x v="1"/>
    <x v="0"/>
    <x v="0"/>
    <x v="3"/>
    <x v="12"/>
    <x v="4"/>
    <x v="4"/>
    <x v="1"/>
    <x v="0"/>
    <x v="1"/>
    <x v="8"/>
    <x v="17"/>
    <x v="20"/>
    <x v="13"/>
    <x v="8"/>
    <x v="363"/>
    <x v="301"/>
    <x v="283"/>
    <x v="840"/>
  </r>
  <r>
    <x v="1289"/>
    <x v="336"/>
    <x v="1"/>
    <x v="0"/>
    <x v="0"/>
    <x v="3"/>
    <x v="12"/>
    <x v="4"/>
    <x v="4"/>
    <x v="0"/>
    <x v="0"/>
    <x v="1"/>
    <x v="8"/>
    <x v="17"/>
    <x v="13"/>
    <x v="13"/>
    <x v="8"/>
    <x v="238"/>
    <x v="201"/>
    <x v="857"/>
    <x v="504"/>
  </r>
  <r>
    <x v="1290"/>
    <x v="343"/>
    <x v="1"/>
    <x v="0"/>
    <x v="0"/>
    <x v="3"/>
    <x v="12"/>
    <x v="4"/>
    <x v="4"/>
    <x v="1"/>
    <x v="0"/>
    <x v="1"/>
    <x v="9"/>
    <x v="19"/>
    <x v="26"/>
    <x v="7"/>
    <x v="5"/>
    <x v="327"/>
    <x v="289"/>
    <x v="230"/>
    <x v="690"/>
  </r>
  <r>
    <x v="1291"/>
    <x v="350"/>
    <x v="1"/>
    <x v="0"/>
    <x v="0"/>
    <x v="3"/>
    <x v="12"/>
    <x v="4"/>
    <x v="4"/>
    <x v="0"/>
    <x v="0"/>
    <x v="1"/>
    <x v="9"/>
    <x v="19"/>
    <x v="18"/>
    <x v="7"/>
    <x v="5"/>
    <x v="210"/>
    <x v="200"/>
    <x v="822"/>
    <x v="392"/>
  </r>
  <r>
    <x v="1292"/>
    <x v="330"/>
    <x v="1"/>
    <x v="0"/>
    <x v="0"/>
    <x v="3"/>
    <x v="12"/>
    <x v="4"/>
    <x v="4"/>
    <x v="1"/>
    <x v="2"/>
    <x v="5"/>
    <x v="0"/>
    <x v="1"/>
    <x v="8"/>
    <x v="16"/>
    <x v="11"/>
    <x v="190"/>
    <x v="172"/>
    <x v="124"/>
    <x v="446"/>
  </r>
  <r>
    <x v="1293"/>
    <x v="337"/>
    <x v="1"/>
    <x v="0"/>
    <x v="0"/>
    <x v="3"/>
    <x v="12"/>
    <x v="4"/>
    <x v="4"/>
    <x v="0"/>
    <x v="2"/>
    <x v="5"/>
    <x v="0"/>
    <x v="1"/>
    <x v="5"/>
    <x v="16"/>
    <x v="11"/>
    <x v="103"/>
    <x v="99"/>
    <x v="634"/>
    <x v="199"/>
  </r>
  <r>
    <x v="1294"/>
    <x v="344"/>
    <x v="1"/>
    <x v="0"/>
    <x v="0"/>
    <x v="3"/>
    <x v="12"/>
    <x v="4"/>
    <x v="4"/>
    <x v="1"/>
    <x v="2"/>
    <x v="5"/>
    <x v="4"/>
    <x v="9"/>
    <x v="9"/>
    <x v="10"/>
    <x v="9"/>
    <x v="125"/>
    <x v="131"/>
    <x v="74"/>
    <x v="256"/>
  </r>
  <r>
    <x v="1295"/>
    <x v="324"/>
    <x v="1"/>
    <x v="0"/>
    <x v="0"/>
    <x v="3"/>
    <x v="12"/>
    <x v="4"/>
    <x v="4"/>
    <x v="0"/>
    <x v="2"/>
    <x v="5"/>
    <x v="4"/>
    <x v="9"/>
    <x v="7"/>
    <x v="10"/>
    <x v="9"/>
    <x v="88"/>
    <x v="94"/>
    <x v="596"/>
    <x v="125"/>
  </r>
  <r>
    <x v="1296"/>
    <x v="331"/>
    <x v="1"/>
    <x v="0"/>
    <x v="0"/>
    <x v="3"/>
    <x v="12"/>
    <x v="4"/>
    <x v="4"/>
    <x v="1"/>
    <x v="1"/>
    <x v="3"/>
    <x v="7"/>
    <x v="15"/>
    <x v="11"/>
    <x v="19"/>
    <x v="13"/>
    <x v="295"/>
    <x v="288"/>
    <x v="205"/>
    <x v="570"/>
  </r>
  <r>
    <x v="1297"/>
    <x v="338"/>
    <x v="1"/>
    <x v="0"/>
    <x v="0"/>
    <x v="3"/>
    <x v="12"/>
    <x v="4"/>
    <x v="4"/>
    <x v="0"/>
    <x v="1"/>
    <x v="3"/>
    <x v="7"/>
    <x v="15"/>
    <x v="7"/>
    <x v="19"/>
    <x v="13"/>
    <x v="182"/>
    <x v="191"/>
    <x v="773"/>
    <x v="267"/>
  </r>
  <r>
    <x v="1298"/>
    <x v="345"/>
    <x v="1"/>
    <x v="0"/>
    <x v="0"/>
    <x v="3"/>
    <x v="12"/>
    <x v="4"/>
    <x v="4"/>
    <x v="1"/>
    <x v="1"/>
    <x v="3"/>
    <x v="6"/>
    <x v="13"/>
    <x v="12"/>
    <x v="4"/>
    <x v="3"/>
    <x v="31"/>
    <x v="34"/>
    <x v="4"/>
    <x v="84"/>
  </r>
  <r>
    <x v="1299"/>
    <x v="325"/>
    <x v="1"/>
    <x v="0"/>
    <x v="0"/>
    <x v="3"/>
    <x v="12"/>
    <x v="4"/>
    <x v="4"/>
    <x v="0"/>
    <x v="1"/>
    <x v="3"/>
    <x v="6"/>
    <x v="13"/>
    <x v="9"/>
    <x v="4"/>
    <x v="3"/>
    <x v="14"/>
    <x v="18"/>
    <x v="264"/>
    <x v="32"/>
  </r>
  <r>
    <x v="1300"/>
    <x v="359"/>
    <x v="1"/>
    <x v="0"/>
    <x v="1"/>
    <x v="4"/>
    <x v="13"/>
    <x v="0"/>
    <x v="0"/>
    <x v="1"/>
    <x v="3"/>
    <x v="7"/>
    <x v="1"/>
    <x v="3"/>
    <x v="14"/>
    <x v="24"/>
    <x v="17"/>
    <x v="845"/>
    <x v="751"/>
    <x v="1158"/>
    <x v="1569"/>
  </r>
  <r>
    <x v="1301"/>
    <x v="366"/>
    <x v="1"/>
    <x v="0"/>
    <x v="1"/>
    <x v="4"/>
    <x v="13"/>
    <x v="0"/>
    <x v="0"/>
    <x v="0"/>
    <x v="3"/>
    <x v="7"/>
    <x v="1"/>
    <x v="3"/>
    <x v="11"/>
    <x v="24"/>
    <x v="17"/>
    <x v="831"/>
    <x v="743"/>
    <x v="1323"/>
    <x v="1512"/>
  </r>
  <r>
    <x v="1302"/>
    <x v="373"/>
    <x v="1"/>
    <x v="0"/>
    <x v="1"/>
    <x v="4"/>
    <x v="13"/>
    <x v="0"/>
    <x v="0"/>
    <x v="1"/>
    <x v="3"/>
    <x v="7"/>
    <x v="2"/>
    <x v="5"/>
    <x v="13"/>
    <x v="21"/>
    <x v="15"/>
    <x v="722"/>
    <x v="663"/>
    <x v="808"/>
    <x v="1298"/>
  </r>
  <r>
    <x v="1303"/>
    <x v="353"/>
    <x v="1"/>
    <x v="0"/>
    <x v="1"/>
    <x v="4"/>
    <x v="13"/>
    <x v="0"/>
    <x v="0"/>
    <x v="0"/>
    <x v="3"/>
    <x v="7"/>
    <x v="2"/>
    <x v="5"/>
    <x v="10"/>
    <x v="21"/>
    <x v="15"/>
    <x v="661"/>
    <x v="622"/>
    <x v="1225"/>
    <x v="1113"/>
  </r>
  <r>
    <x v="1304"/>
    <x v="360"/>
    <x v="1"/>
    <x v="0"/>
    <x v="1"/>
    <x v="4"/>
    <x v="13"/>
    <x v="0"/>
    <x v="0"/>
    <x v="1"/>
    <x v="3"/>
    <x v="7"/>
    <x v="5"/>
    <x v="11"/>
    <x v="17"/>
    <x v="27"/>
    <x v="19"/>
    <x v="872"/>
    <x v="781"/>
    <x v="1243"/>
    <x v="1592"/>
  </r>
  <r>
    <x v="1305"/>
    <x v="367"/>
    <x v="1"/>
    <x v="0"/>
    <x v="1"/>
    <x v="4"/>
    <x v="13"/>
    <x v="0"/>
    <x v="0"/>
    <x v="0"/>
    <x v="3"/>
    <x v="7"/>
    <x v="5"/>
    <x v="11"/>
    <x v="8"/>
    <x v="27"/>
    <x v="19"/>
    <x v="834"/>
    <x v="750"/>
    <x v="1325"/>
    <x v="1452"/>
  </r>
  <r>
    <x v="1306"/>
    <x v="374"/>
    <x v="1"/>
    <x v="0"/>
    <x v="1"/>
    <x v="4"/>
    <x v="13"/>
    <x v="0"/>
    <x v="0"/>
    <x v="1"/>
    <x v="0"/>
    <x v="1"/>
    <x v="3"/>
    <x v="7"/>
    <x v="83"/>
    <x v="1"/>
    <x v="1"/>
    <x v="413"/>
    <x v="335"/>
    <x v="347"/>
    <x v="970"/>
  </r>
  <r>
    <x v="1307"/>
    <x v="354"/>
    <x v="1"/>
    <x v="0"/>
    <x v="1"/>
    <x v="4"/>
    <x v="13"/>
    <x v="0"/>
    <x v="0"/>
    <x v="0"/>
    <x v="0"/>
    <x v="1"/>
    <x v="3"/>
    <x v="7"/>
    <x v="41"/>
    <x v="1"/>
    <x v="1"/>
    <x v="192"/>
    <x v="152"/>
    <x v="794"/>
    <x v="444"/>
  </r>
  <r>
    <x v="1308"/>
    <x v="361"/>
    <x v="1"/>
    <x v="0"/>
    <x v="1"/>
    <x v="4"/>
    <x v="13"/>
    <x v="0"/>
    <x v="0"/>
    <x v="1"/>
    <x v="0"/>
    <x v="1"/>
    <x v="8"/>
    <x v="17"/>
    <x v="79"/>
    <x v="13"/>
    <x v="8"/>
    <x v="755"/>
    <x v="661"/>
    <x v="878"/>
    <x v="1485"/>
  </r>
  <r>
    <x v="1309"/>
    <x v="368"/>
    <x v="1"/>
    <x v="0"/>
    <x v="1"/>
    <x v="4"/>
    <x v="13"/>
    <x v="0"/>
    <x v="0"/>
    <x v="0"/>
    <x v="0"/>
    <x v="1"/>
    <x v="8"/>
    <x v="17"/>
    <x v="58"/>
    <x v="13"/>
    <x v="8"/>
    <x v="688"/>
    <x v="591"/>
    <x v="1240"/>
    <x v="1321"/>
  </r>
  <r>
    <x v="1310"/>
    <x v="375"/>
    <x v="1"/>
    <x v="0"/>
    <x v="1"/>
    <x v="4"/>
    <x v="13"/>
    <x v="0"/>
    <x v="0"/>
    <x v="1"/>
    <x v="0"/>
    <x v="1"/>
    <x v="9"/>
    <x v="19"/>
    <x v="80"/>
    <x v="7"/>
    <x v="5"/>
    <x v="675"/>
    <x v="599"/>
    <x v="719"/>
    <x v="1319"/>
  </r>
  <r>
    <x v="1311"/>
    <x v="355"/>
    <x v="1"/>
    <x v="0"/>
    <x v="1"/>
    <x v="4"/>
    <x v="13"/>
    <x v="0"/>
    <x v="0"/>
    <x v="0"/>
    <x v="0"/>
    <x v="1"/>
    <x v="9"/>
    <x v="19"/>
    <x v="42"/>
    <x v="7"/>
    <x v="5"/>
    <x v="473"/>
    <x v="422"/>
    <x v="1102"/>
    <x v="889"/>
  </r>
  <r>
    <x v="1312"/>
    <x v="362"/>
    <x v="1"/>
    <x v="0"/>
    <x v="1"/>
    <x v="4"/>
    <x v="13"/>
    <x v="0"/>
    <x v="0"/>
    <x v="1"/>
    <x v="2"/>
    <x v="5"/>
    <x v="0"/>
    <x v="1"/>
    <x v="28"/>
    <x v="16"/>
    <x v="11"/>
    <x v="552"/>
    <x v="483"/>
    <x v="535"/>
    <x v="1153"/>
  </r>
  <r>
    <x v="1313"/>
    <x v="369"/>
    <x v="1"/>
    <x v="0"/>
    <x v="1"/>
    <x v="4"/>
    <x v="13"/>
    <x v="0"/>
    <x v="0"/>
    <x v="0"/>
    <x v="2"/>
    <x v="5"/>
    <x v="0"/>
    <x v="1"/>
    <x v="20"/>
    <x v="16"/>
    <x v="11"/>
    <x v="441"/>
    <x v="395"/>
    <x v="1083"/>
    <x v="866"/>
  </r>
  <r>
    <x v="1314"/>
    <x v="376"/>
    <x v="1"/>
    <x v="0"/>
    <x v="1"/>
    <x v="4"/>
    <x v="13"/>
    <x v="0"/>
    <x v="0"/>
    <x v="1"/>
    <x v="2"/>
    <x v="5"/>
    <x v="4"/>
    <x v="9"/>
    <x v="36"/>
    <x v="10"/>
    <x v="9"/>
    <x v="515"/>
    <x v="473"/>
    <x v="484"/>
    <x v="1027"/>
  </r>
  <r>
    <x v="1315"/>
    <x v="356"/>
    <x v="1"/>
    <x v="0"/>
    <x v="1"/>
    <x v="4"/>
    <x v="13"/>
    <x v="0"/>
    <x v="0"/>
    <x v="0"/>
    <x v="2"/>
    <x v="5"/>
    <x v="4"/>
    <x v="9"/>
    <x v="18"/>
    <x v="10"/>
    <x v="9"/>
    <x v="300"/>
    <x v="280"/>
    <x v="940"/>
    <x v="518"/>
  </r>
  <r>
    <x v="1316"/>
    <x v="363"/>
    <x v="1"/>
    <x v="0"/>
    <x v="1"/>
    <x v="4"/>
    <x v="13"/>
    <x v="0"/>
    <x v="0"/>
    <x v="1"/>
    <x v="1"/>
    <x v="3"/>
    <x v="7"/>
    <x v="15"/>
    <x v="38"/>
    <x v="19"/>
    <x v="13"/>
    <x v="659"/>
    <x v="606"/>
    <x v="700"/>
    <x v="1254"/>
  </r>
  <r>
    <x v="1317"/>
    <x v="370"/>
    <x v="1"/>
    <x v="0"/>
    <x v="1"/>
    <x v="4"/>
    <x v="13"/>
    <x v="0"/>
    <x v="0"/>
    <x v="0"/>
    <x v="1"/>
    <x v="3"/>
    <x v="7"/>
    <x v="15"/>
    <x v="28"/>
    <x v="19"/>
    <x v="13"/>
    <x v="578"/>
    <x v="534"/>
    <x v="1172"/>
    <x v="1008"/>
  </r>
  <r>
    <x v="1318"/>
    <x v="377"/>
    <x v="1"/>
    <x v="0"/>
    <x v="1"/>
    <x v="4"/>
    <x v="13"/>
    <x v="0"/>
    <x v="0"/>
    <x v="1"/>
    <x v="1"/>
    <x v="3"/>
    <x v="6"/>
    <x v="13"/>
    <x v="39"/>
    <x v="4"/>
    <x v="3"/>
    <x v="243"/>
    <x v="205"/>
    <x v="166"/>
    <x v="583"/>
  </r>
  <r>
    <x v="1319"/>
    <x v="357"/>
    <x v="1"/>
    <x v="0"/>
    <x v="1"/>
    <x v="4"/>
    <x v="13"/>
    <x v="0"/>
    <x v="0"/>
    <x v="0"/>
    <x v="1"/>
    <x v="3"/>
    <x v="6"/>
    <x v="13"/>
    <x v="25"/>
    <x v="4"/>
    <x v="3"/>
    <x v="129"/>
    <x v="113"/>
    <x v="678"/>
    <x v="268"/>
  </r>
  <r>
    <x v="1320"/>
    <x v="364"/>
    <x v="1"/>
    <x v="0"/>
    <x v="1"/>
    <x v="4"/>
    <x v="13"/>
    <x v="1"/>
    <x v="1"/>
    <x v="1"/>
    <x v="3"/>
    <x v="7"/>
    <x v="1"/>
    <x v="3"/>
    <x v="6"/>
    <x v="24"/>
    <x v="17"/>
    <x v="786"/>
    <x v="715"/>
    <x v="956"/>
    <x v="1434"/>
  </r>
  <r>
    <x v="1321"/>
    <x v="371"/>
    <x v="1"/>
    <x v="0"/>
    <x v="1"/>
    <x v="4"/>
    <x v="13"/>
    <x v="1"/>
    <x v="1"/>
    <x v="0"/>
    <x v="3"/>
    <x v="7"/>
    <x v="1"/>
    <x v="3"/>
    <x v="4"/>
    <x v="24"/>
    <x v="17"/>
    <x v="735"/>
    <x v="679"/>
    <x v="1269"/>
    <x v="1231"/>
  </r>
  <r>
    <x v="1322"/>
    <x v="351"/>
    <x v="1"/>
    <x v="0"/>
    <x v="1"/>
    <x v="4"/>
    <x v="13"/>
    <x v="1"/>
    <x v="1"/>
    <x v="1"/>
    <x v="3"/>
    <x v="7"/>
    <x v="2"/>
    <x v="5"/>
    <x v="8"/>
    <x v="21"/>
    <x v="15"/>
    <x v="612"/>
    <x v="577"/>
    <x v="628"/>
    <x v="1110"/>
  </r>
  <r>
    <x v="1323"/>
    <x v="358"/>
    <x v="1"/>
    <x v="0"/>
    <x v="1"/>
    <x v="4"/>
    <x v="13"/>
    <x v="1"/>
    <x v="1"/>
    <x v="0"/>
    <x v="3"/>
    <x v="7"/>
    <x v="2"/>
    <x v="5"/>
    <x v="5"/>
    <x v="21"/>
    <x v="15"/>
    <x v="492"/>
    <x v="482"/>
    <x v="1121"/>
    <x v="770"/>
  </r>
  <r>
    <x v="1324"/>
    <x v="365"/>
    <x v="1"/>
    <x v="0"/>
    <x v="1"/>
    <x v="4"/>
    <x v="13"/>
    <x v="1"/>
    <x v="1"/>
    <x v="1"/>
    <x v="3"/>
    <x v="7"/>
    <x v="5"/>
    <x v="11"/>
    <x v="6"/>
    <x v="27"/>
    <x v="19"/>
    <x v="817"/>
    <x v="741"/>
    <x v="1063"/>
    <x v="1456"/>
  </r>
  <r>
    <x v="1325"/>
    <x v="372"/>
    <x v="1"/>
    <x v="0"/>
    <x v="1"/>
    <x v="4"/>
    <x v="13"/>
    <x v="1"/>
    <x v="1"/>
    <x v="0"/>
    <x v="3"/>
    <x v="7"/>
    <x v="5"/>
    <x v="11"/>
    <x v="4"/>
    <x v="27"/>
    <x v="19"/>
    <x v="791"/>
    <x v="726"/>
    <x v="1300"/>
    <x v="1251"/>
  </r>
  <r>
    <x v="1326"/>
    <x v="352"/>
    <x v="1"/>
    <x v="0"/>
    <x v="1"/>
    <x v="4"/>
    <x v="13"/>
    <x v="1"/>
    <x v="1"/>
    <x v="1"/>
    <x v="0"/>
    <x v="1"/>
    <x v="3"/>
    <x v="7"/>
    <x v="44"/>
    <x v="1"/>
    <x v="1"/>
    <x v="208"/>
    <x v="167"/>
    <x v="140"/>
    <x v="552"/>
  </r>
  <r>
    <x v="1327"/>
    <x v="359"/>
    <x v="1"/>
    <x v="0"/>
    <x v="1"/>
    <x v="4"/>
    <x v="13"/>
    <x v="1"/>
    <x v="1"/>
    <x v="0"/>
    <x v="0"/>
    <x v="1"/>
    <x v="3"/>
    <x v="7"/>
    <x v="23"/>
    <x v="1"/>
    <x v="1"/>
    <x v="71"/>
    <x v="58"/>
    <x v="546"/>
    <x v="176"/>
  </r>
  <r>
    <x v="1328"/>
    <x v="366"/>
    <x v="1"/>
    <x v="0"/>
    <x v="1"/>
    <x v="4"/>
    <x v="13"/>
    <x v="1"/>
    <x v="1"/>
    <x v="1"/>
    <x v="0"/>
    <x v="1"/>
    <x v="8"/>
    <x v="17"/>
    <x v="41"/>
    <x v="13"/>
    <x v="8"/>
    <x v="589"/>
    <x v="508"/>
    <x v="603"/>
    <x v="1238"/>
  </r>
  <r>
    <x v="1329"/>
    <x v="373"/>
    <x v="1"/>
    <x v="0"/>
    <x v="1"/>
    <x v="4"/>
    <x v="13"/>
    <x v="1"/>
    <x v="1"/>
    <x v="0"/>
    <x v="0"/>
    <x v="1"/>
    <x v="8"/>
    <x v="17"/>
    <x v="32"/>
    <x v="13"/>
    <x v="8"/>
    <x v="514"/>
    <x v="439"/>
    <x v="1133"/>
    <x v="1038"/>
  </r>
  <r>
    <x v="1330"/>
    <x v="353"/>
    <x v="1"/>
    <x v="0"/>
    <x v="1"/>
    <x v="4"/>
    <x v="13"/>
    <x v="1"/>
    <x v="1"/>
    <x v="1"/>
    <x v="0"/>
    <x v="1"/>
    <x v="9"/>
    <x v="19"/>
    <x v="44"/>
    <x v="7"/>
    <x v="5"/>
    <x v="487"/>
    <x v="437"/>
    <x v="443"/>
    <x v="1003"/>
  </r>
  <r>
    <x v="1331"/>
    <x v="360"/>
    <x v="1"/>
    <x v="0"/>
    <x v="1"/>
    <x v="4"/>
    <x v="13"/>
    <x v="1"/>
    <x v="1"/>
    <x v="0"/>
    <x v="0"/>
    <x v="1"/>
    <x v="9"/>
    <x v="19"/>
    <x v="25"/>
    <x v="7"/>
    <x v="5"/>
    <x v="311"/>
    <x v="277"/>
    <x v="951"/>
    <x v="571"/>
  </r>
  <r>
    <x v="1332"/>
    <x v="367"/>
    <x v="1"/>
    <x v="0"/>
    <x v="1"/>
    <x v="4"/>
    <x v="13"/>
    <x v="1"/>
    <x v="1"/>
    <x v="1"/>
    <x v="2"/>
    <x v="5"/>
    <x v="0"/>
    <x v="1"/>
    <x v="21"/>
    <x v="16"/>
    <x v="11"/>
    <x v="459"/>
    <x v="408"/>
    <x v="406"/>
    <x v="978"/>
  </r>
  <r>
    <x v="1333"/>
    <x v="374"/>
    <x v="1"/>
    <x v="0"/>
    <x v="1"/>
    <x v="4"/>
    <x v="13"/>
    <x v="1"/>
    <x v="1"/>
    <x v="0"/>
    <x v="2"/>
    <x v="5"/>
    <x v="0"/>
    <x v="1"/>
    <x v="13"/>
    <x v="16"/>
    <x v="11"/>
    <x v="321"/>
    <x v="276"/>
    <x v="963"/>
    <x v="605"/>
  </r>
  <r>
    <x v="1334"/>
    <x v="354"/>
    <x v="1"/>
    <x v="0"/>
    <x v="1"/>
    <x v="4"/>
    <x v="13"/>
    <x v="1"/>
    <x v="1"/>
    <x v="1"/>
    <x v="2"/>
    <x v="5"/>
    <x v="4"/>
    <x v="9"/>
    <x v="16"/>
    <x v="10"/>
    <x v="9"/>
    <x v="261"/>
    <x v="254"/>
    <x v="185"/>
    <x v="543"/>
  </r>
  <r>
    <x v="1335"/>
    <x v="361"/>
    <x v="1"/>
    <x v="0"/>
    <x v="1"/>
    <x v="4"/>
    <x v="13"/>
    <x v="1"/>
    <x v="1"/>
    <x v="0"/>
    <x v="2"/>
    <x v="5"/>
    <x v="4"/>
    <x v="9"/>
    <x v="13"/>
    <x v="10"/>
    <x v="9"/>
    <x v="206"/>
    <x v="202"/>
    <x v="816"/>
    <x v="338"/>
  </r>
  <r>
    <x v="1336"/>
    <x v="368"/>
    <x v="1"/>
    <x v="0"/>
    <x v="1"/>
    <x v="4"/>
    <x v="13"/>
    <x v="1"/>
    <x v="1"/>
    <x v="1"/>
    <x v="1"/>
    <x v="3"/>
    <x v="7"/>
    <x v="15"/>
    <x v="22"/>
    <x v="19"/>
    <x v="13"/>
    <x v="503"/>
    <x v="474"/>
    <x v="466"/>
    <x v="963"/>
  </r>
  <r>
    <x v="1337"/>
    <x v="375"/>
    <x v="1"/>
    <x v="0"/>
    <x v="1"/>
    <x v="4"/>
    <x v="13"/>
    <x v="1"/>
    <x v="1"/>
    <x v="0"/>
    <x v="1"/>
    <x v="3"/>
    <x v="7"/>
    <x v="15"/>
    <x v="18"/>
    <x v="19"/>
    <x v="13"/>
    <x v="431"/>
    <x v="415"/>
    <x v="1078"/>
    <x v="750"/>
  </r>
  <r>
    <x v="1338"/>
    <x v="355"/>
    <x v="1"/>
    <x v="0"/>
    <x v="1"/>
    <x v="4"/>
    <x v="13"/>
    <x v="1"/>
    <x v="1"/>
    <x v="1"/>
    <x v="1"/>
    <x v="3"/>
    <x v="6"/>
    <x v="13"/>
    <x v="25"/>
    <x v="4"/>
    <x v="3"/>
    <x v="129"/>
    <x v="113"/>
    <x v="76"/>
    <x v="328"/>
  </r>
  <r>
    <x v="1339"/>
    <x v="362"/>
    <x v="1"/>
    <x v="0"/>
    <x v="1"/>
    <x v="4"/>
    <x v="13"/>
    <x v="1"/>
    <x v="1"/>
    <x v="0"/>
    <x v="1"/>
    <x v="3"/>
    <x v="6"/>
    <x v="13"/>
    <x v="15"/>
    <x v="4"/>
    <x v="3"/>
    <x v="51"/>
    <x v="48"/>
    <x v="464"/>
    <x v="96"/>
  </r>
  <r>
    <x v="1340"/>
    <x v="369"/>
    <x v="1"/>
    <x v="0"/>
    <x v="1"/>
    <x v="4"/>
    <x v="13"/>
    <x v="3"/>
    <x v="3"/>
    <x v="1"/>
    <x v="3"/>
    <x v="7"/>
    <x v="1"/>
    <x v="3"/>
    <x v="5"/>
    <x v="24"/>
    <x v="17"/>
    <x v="761"/>
    <x v="702"/>
    <x v="888"/>
    <x v="1380"/>
  </r>
  <r>
    <x v="1341"/>
    <x v="376"/>
    <x v="1"/>
    <x v="0"/>
    <x v="1"/>
    <x v="4"/>
    <x v="13"/>
    <x v="3"/>
    <x v="3"/>
    <x v="0"/>
    <x v="3"/>
    <x v="7"/>
    <x v="1"/>
    <x v="3"/>
    <x v="3"/>
    <x v="24"/>
    <x v="17"/>
    <x v="693"/>
    <x v="653"/>
    <x v="1244"/>
    <x v="1150"/>
  </r>
  <r>
    <x v="1342"/>
    <x v="356"/>
    <x v="1"/>
    <x v="0"/>
    <x v="1"/>
    <x v="4"/>
    <x v="13"/>
    <x v="3"/>
    <x v="3"/>
    <x v="1"/>
    <x v="3"/>
    <x v="7"/>
    <x v="2"/>
    <x v="5"/>
    <x v="5"/>
    <x v="21"/>
    <x v="15"/>
    <x v="492"/>
    <x v="482"/>
    <x v="449"/>
    <x v="885"/>
  </r>
  <r>
    <x v="1343"/>
    <x v="363"/>
    <x v="1"/>
    <x v="0"/>
    <x v="1"/>
    <x v="4"/>
    <x v="13"/>
    <x v="3"/>
    <x v="3"/>
    <x v="0"/>
    <x v="3"/>
    <x v="7"/>
    <x v="2"/>
    <x v="5"/>
    <x v="3"/>
    <x v="21"/>
    <x v="15"/>
    <x v="374"/>
    <x v="385"/>
    <x v="1029"/>
    <x v="548"/>
  </r>
  <r>
    <x v="1344"/>
    <x v="370"/>
    <x v="1"/>
    <x v="0"/>
    <x v="1"/>
    <x v="4"/>
    <x v="13"/>
    <x v="3"/>
    <x v="3"/>
    <x v="1"/>
    <x v="3"/>
    <x v="7"/>
    <x v="5"/>
    <x v="11"/>
    <x v="4"/>
    <x v="27"/>
    <x v="19"/>
    <x v="791"/>
    <x v="726"/>
    <x v="973"/>
    <x v="1356"/>
  </r>
  <r>
    <x v="1345"/>
    <x v="377"/>
    <x v="1"/>
    <x v="0"/>
    <x v="1"/>
    <x v="4"/>
    <x v="13"/>
    <x v="3"/>
    <x v="3"/>
    <x v="0"/>
    <x v="3"/>
    <x v="7"/>
    <x v="5"/>
    <x v="11"/>
    <x v="2"/>
    <x v="27"/>
    <x v="19"/>
    <x v="717"/>
    <x v="681"/>
    <x v="1259"/>
    <x v="1030"/>
  </r>
  <r>
    <x v="1346"/>
    <x v="357"/>
    <x v="1"/>
    <x v="0"/>
    <x v="1"/>
    <x v="4"/>
    <x v="13"/>
    <x v="3"/>
    <x v="3"/>
    <x v="1"/>
    <x v="0"/>
    <x v="1"/>
    <x v="3"/>
    <x v="7"/>
    <x v="33"/>
    <x v="1"/>
    <x v="1"/>
    <x v="139"/>
    <x v="110"/>
    <x v="82"/>
    <x v="393"/>
  </r>
  <r>
    <x v="1347"/>
    <x v="364"/>
    <x v="1"/>
    <x v="0"/>
    <x v="1"/>
    <x v="4"/>
    <x v="13"/>
    <x v="3"/>
    <x v="3"/>
    <x v="0"/>
    <x v="0"/>
    <x v="1"/>
    <x v="3"/>
    <x v="7"/>
    <x v="22"/>
    <x v="1"/>
    <x v="1"/>
    <x v="67"/>
    <x v="54"/>
    <x v="527"/>
    <x v="157"/>
  </r>
  <r>
    <x v="1348"/>
    <x v="371"/>
    <x v="1"/>
    <x v="0"/>
    <x v="1"/>
    <x v="4"/>
    <x v="13"/>
    <x v="3"/>
    <x v="3"/>
    <x v="1"/>
    <x v="0"/>
    <x v="1"/>
    <x v="8"/>
    <x v="17"/>
    <x v="25"/>
    <x v="13"/>
    <x v="8"/>
    <x v="430"/>
    <x v="366"/>
    <x v="376"/>
    <x v="966"/>
  </r>
  <r>
    <x v="1349"/>
    <x v="351"/>
    <x v="1"/>
    <x v="0"/>
    <x v="1"/>
    <x v="4"/>
    <x v="13"/>
    <x v="3"/>
    <x v="3"/>
    <x v="0"/>
    <x v="0"/>
    <x v="1"/>
    <x v="8"/>
    <x v="17"/>
    <x v="16"/>
    <x v="13"/>
    <x v="8"/>
    <x v="304"/>
    <x v="252"/>
    <x v="942"/>
    <x v="618"/>
  </r>
  <r>
    <x v="1350"/>
    <x v="358"/>
    <x v="1"/>
    <x v="0"/>
    <x v="1"/>
    <x v="4"/>
    <x v="13"/>
    <x v="3"/>
    <x v="3"/>
    <x v="1"/>
    <x v="0"/>
    <x v="1"/>
    <x v="9"/>
    <x v="19"/>
    <x v="25"/>
    <x v="7"/>
    <x v="5"/>
    <x v="311"/>
    <x v="277"/>
    <x v="216"/>
    <x v="662"/>
  </r>
  <r>
    <x v="1351"/>
    <x v="365"/>
    <x v="1"/>
    <x v="0"/>
    <x v="1"/>
    <x v="4"/>
    <x v="13"/>
    <x v="3"/>
    <x v="3"/>
    <x v="0"/>
    <x v="0"/>
    <x v="1"/>
    <x v="9"/>
    <x v="19"/>
    <x v="22"/>
    <x v="7"/>
    <x v="5"/>
    <x v="266"/>
    <x v="248"/>
    <x v="893"/>
    <x v="493"/>
  </r>
  <r>
    <x v="1352"/>
    <x v="372"/>
    <x v="1"/>
    <x v="0"/>
    <x v="1"/>
    <x v="4"/>
    <x v="13"/>
    <x v="3"/>
    <x v="3"/>
    <x v="1"/>
    <x v="2"/>
    <x v="5"/>
    <x v="0"/>
    <x v="1"/>
    <x v="14"/>
    <x v="16"/>
    <x v="11"/>
    <x v="341"/>
    <x v="292"/>
    <x v="243"/>
    <x v="745"/>
  </r>
  <r>
    <x v="1353"/>
    <x v="352"/>
    <x v="1"/>
    <x v="0"/>
    <x v="1"/>
    <x v="4"/>
    <x v="13"/>
    <x v="3"/>
    <x v="3"/>
    <x v="0"/>
    <x v="2"/>
    <x v="5"/>
    <x v="0"/>
    <x v="1"/>
    <x v="9"/>
    <x v="16"/>
    <x v="11"/>
    <x v="218"/>
    <x v="199"/>
    <x v="831"/>
    <x v="429"/>
  </r>
  <r>
    <x v="1354"/>
    <x v="359"/>
    <x v="1"/>
    <x v="0"/>
    <x v="1"/>
    <x v="4"/>
    <x v="13"/>
    <x v="3"/>
    <x v="3"/>
    <x v="1"/>
    <x v="2"/>
    <x v="5"/>
    <x v="4"/>
    <x v="9"/>
    <x v="13"/>
    <x v="10"/>
    <x v="9"/>
    <x v="206"/>
    <x v="202"/>
    <x v="138"/>
    <x v="435"/>
  </r>
  <r>
    <x v="1355"/>
    <x v="366"/>
    <x v="1"/>
    <x v="0"/>
    <x v="1"/>
    <x v="4"/>
    <x v="13"/>
    <x v="3"/>
    <x v="3"/>
    <x v="0"/>
    <x v="2"/>
    <x v="5"/>
    <x v="4"/>
    <x v="9"/>
    <x v="9"/>
    <x v="10"/>
    <x v="9"/>
    <x v="125"/>
    <x v="131"/>
    <x v="675"/>
    <x v="204"/>
  </r>
  <r>
    <x v="1356"/>
    <x v="373"/>
    <x v="1"/>
    <x v="0"/>
    <x v="1"/>
    <x v="4"/>
    <x v="13"/>
    <x v="3"/>
    <x v="3"/>
    <x v="1"/>
    <x v="1"/>
    <x v="3"/>
    <x v="7"/>
    <x v="15"/>
    <x v="16"/>
    <x v="19"/>
    <x v="13"/>
    <x v="402"/>
    <x v="386"/>
    <x v="330"/>
    <x v="786"/>
  </r>
  <r>
    <x v="1357"/>
    <x v="353"/>
    <x v="1"/>
    <x v="0"/>
    <x v="1"/>
    <x v="4"/>
    <x v="13"/>
    <x v="3"/>
    <x v="3"/>
    <x v="0"/>
    <x v="1"/>
    <x v="3"/>
    <x v="7"/>
    <x v="15"/>
    <x v="9"/>
    <x v="19"/>
    <x v="13"/>
    <x v="242"/>
    <x v="243"/>
    <x v="858"/>
    <x v="382"/>
  </r>
  <r>
    <x v="1358"/>
    <x v="360"/>
    <x v="1"/>
    <x v="0"/>
    <x v="1"/>
    <x v="4"/>
    <x v="13"/>
    <x v="3"/>
    <x v="3"/>
    <x v="1"/>
    <x v="1"/>
    <x v="3"/>
    <x v="6"/>
    <x v="13"/>
    <x v="15"/>
    <x v="4"/>
    <x v="3"/>
    <x v="51"/>
    <x v="48"/>
    <x v="19"/>
    <x v="130"/>
  </r>
  <r>
    <x v="1359"/>
    <x v="367"/>
    <x v="1"/>
    <x v="0"/>
    <x v="1"/>
    <x v="4"/>
    <x v="13"/>
    <x v="3"/>
    <x v="3"/>
    <x v="0"/>
    <x v="1"/>
    <x v="3"/>
    <x v="6"/>
    <x v="13"/>
    <x v="9"/>
    <x v="4"/>
    <x v="3"/>
    <x v="14"/>
    <x v="18"/>
    <x v="264"/>
    <x v="32"/>
  </r>
  <r>
    <x v="1360"/>
    <x v="374"/>
    <x v="1"/>
    <x v="0"/>
    <x v="1"/>
    <x v="4"/>
    <x v="13"/>
    <x v="2"/>
    <x v="2"/>
    <x v="1"/>
    <x v="3"/>
    <x v="7"/>
    <x v="1"/>
    <x v="3"/>
    <x v="3"/>
    <x v="24"/>
    <x v="17"/>
    <x v="693"/>
    <x v="653"/>
    <x v="749"/>
    <x v="1233"/>
  </r>
  <r>
    <x v="1361"/>
    <x v="354"/>
    <x v="1"/>
    <x v="0"/>
    <x v="1"/>
    <x v="4"/>
    <x v="13"/>
    <x v="2"/>
    <x v="2"/>
    <x v="0"/>
    <x v="3"/>
    <x v="7"/>
    <x v="1"/>
    <x v="3"/>
    <x v="2"/>
    <x v="24"/>
    <x v="17"/>
    <x v="628"/>
    <x v="600"/>
    <x v="1206"/>
    <x v="996"/>
  </r>
  <r>
    <x v="1362"/>
    <x v="361"/>
    <x v="1"/>
    <x v="0"/>
    <x v="1"/>
    <x v="4"/>
    <x v="13"/>
    <x v="2"/>
    <x v="2"/>
    <x v="1"/>
    <x v="3"/>
    <x v="7"/>
    <x v="2"/>
    <x v="5"/>
    <x v="4"/>
    <x v="21"/>
    <x v="15"/>
    <x v="434"/>
    <x v="442"/>
    <x v="381"/>
    <x v="785"/>
  </r>
  <r>
    <x v="1363"/>
    <x v="368"/>
    <x v="1"/>
    <x v="0"/>
    <x v="1"/>
    <x v="4"/>
    <x v="13"/>
    <x v="2"/>
    <x v="2"/>
    <x v="0"/>
    <x v="3"/>
    <x v="7"/>
    <x v="2"/>
    <x v="5"/>
    <x v="1"/>
    <x v="21"/>
    <x v="15"/>
    <x v="213"/>
    <x v="236"/>
    <x v="829"/>
    <x v="252"/>
  </r>
  <r>
    <x v="1364"/>
    <x v="375"/>
    <x v="1"/>
    <x v="0"/>
    <x v="1"/>
    <x v="4"/>
    <x v="13"/>
    <x v="2"/>
    <x v="2"/>
    <x v="1"/>
    <x v="3"/>
    <x v="7"/>
    <x v="5"/>
    <x v="11"/>
    <x v="3"/>
    <x v="27"/>
    <x v="19"/>
    <x v="758"/>
    <x v="709"/>
    <x v="883"/>
    <x v="1272"/>
  </r>
  <r>
    <x v="1365"/>
    <x v="355"/>
    <x v="1"/>
    <x v="0"/>
    <x v="1"/>
    <x v="4"/>
    <x v="13"/>
    <x v="2"/>
    <x v="2"/>
    <x v="0"/>
    <x v="3"/>
    <x v="7"/>
    <x v="5"/>
    <x v="11"/>
    <x v="2"/>
    <x v="27"/>
    <x v="19"/>
    <x v="717"/>
    <x v="681"/>
    <x v="1259"/>
    <x v="1030"/>
  </r>
  <r>
    <x v="1366"/>
    <x v="362"/>
    <x v="1"/>
    <x v="0"/>
    <x v="1"/>
    <x v="4"/>
    <x v="13"/>
    <x v="2"/>
    <x v="2"/>
    <x v="1"/>
    <x v="0"/>
    <x v="1"/>
    <x v="3"/>
    <x v="7"/>
    <x v="26"/>
    <x v="1"/>
    <x v="1"/>
    <x v="93"/>
    <x v="73"/>
    <x v="48"/>
    <x v="272"/>
  </r>
  <r>
    <x v="1367"/>
    <x v="369"/>
    <x v="1"/>
    <x v="0"/>
    <x v="1"/>
    <x v="4"/>
    <x v="13"/>
    <x v="2"/>
    <x v="2"/>
    <x v="0"/>
    <x v="0"/>
    <x v="1"/>
    <x v="3"/>
    <x v="7"/>
    <x v="13"/>
    <x v="1"/>
    <x v="1"/>
    <x v="19"/>
    <x v="19"/>
    <x v="307"/>
    <x v="51"/>
  </r>
  <r>
    <x v="1368"/>
    <x v="376"/>
    <x v="1"/>
    <x v="0"/>
    <x v="1"/>
    <x v="4"/>
    <x v="13"/>
    <x v="2"/>
    <x v="2"/>
    <x v="1"/>
    <x v="0"/>
    <x v="1"/>
    <x v="8"/>
    <x v="17"/>
    <x v="22"/>
    <x v="13"/>
    <x v="8"/>
    <x v="393"/>
    <x v="331"/>
    <x v="319"/>
    <x v="896"/>
  </r>
  <r>
    <x v="1369"/>
    <x v="356"/>
    <x v="1"/>
    <x v="0"/>
    <x v="1"/>
    <x v="4"/>
    <x v="13"/>
    <x v="2"/>
    <x v="2"/>
    <x v="0"/>
    <x v="0"/>
    <x v="1"/>
    <x v="8"/>
    <x v="17"/>
    <x v="15"/>
    <x v="13"/>
    <x v="8"/>
    <x v="279"/>
    <x v="234"/>
    <x v="915"/>
    <x v="584"/>
  </r>
  <r>
    <x v="1370"/>
    <x v="363"/>
    <x v="1"/>
    <x v="0"/>
    <x v="1"/>
    <x v="4"/>
    <x v="13"/>
    <x v="2"/>
    <x v="2"/>
    <x v="1"/>
    <x v="0"/>
    <x v="1"/>
    <x v="9"/>
    <x v="19"/>
    <x v="21"/>
    <x v="7"/>
    <x v="5"/>
    <x v="257"/>
    <x v="233"/>
    <x v="182"/>
    <x v="553"/>
  </r>
  <r>
    <x v="1371"/>
    <x v="370"/>
    <x v="1"/>
    <x v="0"/>
    <x v="1"/>
    <x v="4"/>
    <x v="13"/>
    <x v="2"/>
    <x v="2"/>
    <x v="0"/>
    <x v="0"/>
    <x v="1"/>
    <x v="9"/>
    <x v="19"/>
    <x v="16"/>
    <x v="7"/>
    <x v="5"/>
    <x v="181"/>
    <x v="173"/>
    <x v="773"/>
    <x v="324"/>
  </r>
  <r>
    <x v="1372"/>
    <x v="377"/>
    <x v="1"/>
    <x v="0"/>
    <x v="1"/>
    <x v="4"/>
    <x v="13"/>
    <x v="2"/>
    <x v="2"/>
    <x v="1"/>
    <x v="2"/>
    <x v="5"/>
    <x v="0"/>
    <x v="1"/>
    <x v="10"/>
    <x v="16"/>
    <x v="11"/>
    <x v="245"/>
    <x v="219"/>
    <x v="167"/>
    <x v="551"/>
  </r>
  <r>
    <x v="1373"/>
    <x v="357"/>
    <x v="1"/>
    <x v="0"/>
    <x v="1"/>
    <x v="4"/>
    <x v="13"/>
    <x v="2"/>
    <x v="2"/>
    <x v="0"/>
    <x v="2"/>
    <x v="5"/>
    <x v="0"/>
    <x v="1"/>
    <x v="6"/>
    <x v="16"/>
    <x v="11"/>
    <x v="133"/>
    <x v="121"/>
    <x v="685"/>
    <x v="245"/>
  </r>
  <r>
    <x v="1374"/>
    <x v="364"/>
    <x v="1"/>
    <x v="0"/>
    <x v="1"/>
    <x v="4"/>
    <x v="13"/>
    <x v="2"/>
    <x v="2"/>
    <x v="1"/>
    <x v="2"/>
    <x v="5"/>
    <x v="4"/>
    <x v="9"/>
    <x v="7"/>
    <x v="10"/>
    <x v="9"/>
    <x v="88"/>
    <x v="94"/>
    <x v="44"/>
    <x v="180"/>
  </r>
  <r>
    <x v="1375"/>
    <x v="371"/>
    <x v="1"/>
    <x v="0"/>
    <x v="1"/>
    <x v="4"/>
    <x v="13"/>
    <x v="2"/>
    <x v="2"/>
    <x v="0"/>
    <x v="2"/>
    <x v="5"/>
    <x v="4"/>
    <x v="9"/>
    <x v="6"/>
    <x v="10"/>
    <x v="9"/>
    <x v="69"/>
    <x v="77"/>
    <x v="533"/>
    <x v="93"/>
  </r>
  <r>
    <x v="1376"/>
    <x v="351"/>
    <x v="1"/>
    <x v="0"/>
    <x v="1"/>
    <x v="4"/>
    <x v="13"/>
    <x v="2"/>
    <x v="2"/>
    <x v="1"/>
    <x v="1"/>
    <x v="3"/>
    <x v="7"/>
    <x v="15"/>
    <x v="14"/>
    <x v="19"/>
    <x v="13"/>
    <x v="362"/>
    <x v="348"/>
    <x v="281"/>
    <x v="711"/>
  </r>
  <r>
    <x v="1377"/>
    <x v="358"/>
    <x v="1"/>
    <x v="0"/>
    <x v="1"/>
    <x v="4"/>
    <x v="13"/>
    <x v="2"/>
    <x v="2"/>
    <x v="0"/>
    <x v="1"/>
    <x v="3"/>
    <x v="7"/>
    <x v="15"/>
    <x v="6"/>
    <x v="19"/>
    <x v="13"/>
    <x v="156"/>
    <x v="165"/>
    <x v="716"/>
    <x v="218"/>
  </r>
  <r>
    <x v="1378"/>
    <x v="365"/>
    <x v="1"/>
    <x v="0"/>
    <x v="1"/>
    <x v="4"/>
    <x v="13"/>
    <x v="2"/>
    <x v="2"/>
    <x v="1"/>
    <x v="1"/>
    <x v="3"/>
    <x v="6"/>
    <x v="13"/>
    <x v="14"/>
    <x v="4"/>
    <x v="3"/>
    <x v="44"/>
    <x v="43"/>
    <x v="10"/>
    <x v="119"/>
  </r>
  <r>
    <x v="1379"/>
    <x v="372"/>
    <x v="1"/>
    <x v="0"/>
    <x v="1"/>
    <x v="4"/>
    <x v="13"/>
    <x v="2"/>
    <x v="2"/>
    <x v="0"/>
    <x v="1"/>
    <x v="3"/>
    <x v="6"/>
    <x v="13"/>
    <x v="8"/>
    <x v="4"/>
    <x v="3"/>
    <x v="11"/>
    <x v="12"/>
    <x v="232"/>
    <x v="22"/>
  </r>
  <r>
    <x v="1380"/>
    <x v="352"/>
    <x v="1"/>
    <x v="0"/>
    <x v="1"/>
    <x v="4"/>
    <x v="13"/>
    <x v="4"/>
    <x v="4"/>
    <x v="1"/>
    <x v="3"/>
    <x v="7"/>
    <x v="1"/>
    <x v="3"/>
    <x v="3"/>
    <x v="24"/>
    <x v="17"/>
    <x v="693"/>
    <x v="653"/>
    <x v="749"/>
    <x v="1233"/>
  </r>
  <r>
    <x v="1381"/>
    <x v="359"/>
    <x v="1"/>
    <x v="0"/>
    <x v="1"/>
    <x v="4"/>
    <x v="13"/>
    <x v="4"/>
    <x v="4"/>
    <x v="0"/>
    <x v="3"/>
    <x v="7"/>
    <x v="1"/>
    <x v="3"/>
    <x v="1"/>
    <x v="24"/>
    <x v="17"/>
    <x v="542"/>
    <x v="530"/>
    <x v="1153"/>
    <x v="818"/>
  </r>
  <r>
    <x v="1382"/>
    <x v="366"/>
    <x v="1"/>
    <x v="0"/>
    <x v="1"/>
    <x v="4"/>
    <x v="13"/>
    <x v="4"/>
    <x v="4"/>
    <x v="1"/>
    <x v="3"/>
    <x v="7"/>
    <x v="2"/>
    <x v="5"/>
    <x v="4"/>
    <x v="21"/>
    <x v="15"/>
    <x v="434"/>
    <x v="442"/>
    <x v="381"/>
    <x v="785"/>
  </r>
  <r>
    <x v="1383"/>
    <x v="373"/>
    <x v="1"/>
    <x v="0"/>
    <x v="1"/>
    <x v="4"/>
    <x v="13"/>
    <x v="4"/>
    <x v="4"/>
    <x v="0"/>
    <x v="3"/>
    <x v="7"/>
    <x v="2"/>
    <x v="5"/>
    <x v="2"/>
    <x v="21"/>
    <x v="15"/>
    <x v="309"/>
    <x v="313"/>
    <x v="950"/>
    <x v="420"/>
  </r>
  <r>
    <x v="1384"/>
    <x v="353"/>
    <x v="1"/>
    <x v="0"/>
    <x v="1"/>
    <x v="4"/>
    <x v="13"/>
    <x v="4"/>
    <x v="4"/>
    <x v="1"/>
    <x v="3"/>
    <x v="7"/>
    <x v="5"/>
    <x v="11"/>
    <x v="3"/>
    <x v="27"/>
    <x v="19"/>
    <x v="758"/>
    <x v="709"/>
    <x v="883"/>
    <x v="1272"/>
  </r>
  <r>
    <x v="1385"/>
    <x v="360"/>
    <x v="1"/>
    <x v="0"/>
    <x v="1"/>
    <x v="4"/>
    <x v="13"/>
    <x v="4"/>
    <x v="4"/>
    <x v="0"/>
    <x v="3"/>
    <x v="7"/>
    <x v="5"/>
    <x v="11"/>
    <x v="2"/>
    <x v="27"/>
    <x v="19"/>
    <x v="717"/>
    <x v="681"/>
    <x v="1259"/>
    <x v="1030"/>
  </r>
  <r>
    <x v="1386"/>
    <x v="367"/>
    <x v="1"/>
    <x v="0"/>
    <x v="1"/>
    <x v="4"/>
    <x v="13"/>
    <x v="4"/>
    <x v="4"/>
    <x v="1"/>
    <x v="0"/>
    <x v="1"/>
    <x v="3"/>
    <x v="7"/>
    <x v="23"/>
    <x v="1"/>
    <x v="1"/>
    <x v="71"/>
    <x v="58"/>
    <x v="32"/>
    <x v="221"/>
  </r>
  <r>
    <x v="1387"/>
    <x v="374"/>
    <x v="1"/>
    <x v="0"/>
    <x v="1"/>
    <x v="4"/>
    <x v="13"/>
    <x v="4"/>
    <x v="4"/>
    <x v="0"/>
    <x v="0"/>
    <x v="1"/>
    <x v="3"/>
    <x v="7"/>
    <x v="12"/>
    <x v="1"/>
    <x v="1"/>
    <x v="16"/>
    <x v="15"/>
    <x v="274"/>
    <x v="43"/>
  </r>
  <r>
    <x v="1388"/>
    <x v="354"/>
    <x v="1"/>
    <x v="0"/>
    <x v="1"/>
    <x v="4"/>
    <x v="13"/>
    <x v="4"/>
    <x v="4"/>
    <x v="1"/>
    <x v="0"/>
    <x v="1"/>
    <x v="8"/>
    <x v="17"/>
    <x v="20"/>
    <x v="13"/>
    <x v="8"/>
    <x v="363"/>
    <x v="301"/>
    <x v="283"/>
    <x v="840"/>
  </r>
  <r>
    <x v="1389"/>
    <x v="361"/>
    <x v="1"/>
    <x v="0"/>
    <x v="1"/>
    <x v="4"/>
    <x v="13"/>
    <x v="4"/>
    <x v="4"/>
    <x v="0"/>
    <x v="0"/>
    <x v="1"/>
    <x v="8"/>
    <x v="17"/>
    <x v="13"/>
    <x v="13"/>
    <x v="8"/>
    <x v="238"/>
    <x v="201"/>
    <x v="857"/>
    <x v="504"/>
  </r>
  <r>
    <x v="1390"/>
    <x v="368"/>
    <x v="1"/>
    <x v="0"/>
    <x v="1"/>
    <x v="4"/>
    <x v="13"/>
    <x v="4"/>
    <x v="4"/>
    <x v="1"/>
    <x v="0"/>
    <x v="1"/>
    <x v="9"/>
    <x v="19"/>
    <x v="21"/>
    <x v="7"/>
    <x v="5"/>
    <x v="257"/>
    <x v="233"/>
    <x v="182"/>
    <x v="553"/>
  </r>
  <r>
    <x v="1391"/>
    <x v="375"/>
    <x v="1"/>
    <x v="0"/>
    <x v="1"/>
    <x v="4"/>
    <x v="13"/>
    <x v="4"/>
    <x v="4"/>
    <x v="0"/>
    <x v="0"/>
    <x v="1"/>
    <x v="9"/>
    <x v="19"/>
    <x v="13"/>
    <x v="7"/>
    <x v="5"/>
    <x v="138"/>
    <x v="133"/>
    <x v="690"/>
    <x v="236"/>
  </r>
  <r>
    <x v="1392"/>
    <x v="355"/>
    <x v="1"/>
    <x v="0"/>
    <x v="1"/>
    <x v="4"/>
    <x v="13"/>
    <x v="4"/>
    <x v="4"/>
    <x v="1"/>
    <x v="2"/>
    <x v="5"/>
    <x v="0"/>
    <x v="1"/>
    <x v="9"/>
    <x v="16"/>
    <x v="11"/>
    <x v="218"/>
    <x v="199"/>
    <x v="145"/>
    <x v="498"/>
  </r>
  <r>
    <x v="1393"/>
    <x v="362"/>
    <x v="1"/>
    <x v="0"/>
    <x v="1"/>
    <x v="4"/>
    <x v="13"/>
    <x v="4"/>
    <x v="4"/>
    <x v="0"/>
    <x v="2"/>
    <x v="5"/>
    <x v="0"/>
    <x v="1"/>
    <x v="5"/>
    <x v="16"/>
    <x v="11"/>
    <x v="103"/>
    <x v="99"/>
    <x v="634"/>
    <x v="199"/>
  </r>
  <r>
    <x v="1394"/>
    <x v="369"/>
    <x v="1"/>
    <x v="0"/>
    <x v="1"/>
    <x v="4"/>
    <x v="13"/>
    <x v="4"/>
    <x v="4"/>
    <x v="1"/>
    <x v="2"/>
    <x v="5"/>
    <x v="4"/>
    <x v="9"/>
    <x v="9"/>
    <x v="10"/>
    <x v="9"/>
    <x v="125"/>
    <x v="131"/>
    <x v="74"/>
    <x v="256"/>
  </r>
  <r>
    <x v="1395"/>
    <x v="376"/>
    <x v="1"/>
    <x v="0"/>
    <x v="1"/>
    <x v="4"/>
    <x v="13"/>
    <x v="4"/>
    <x v="4"/>
    <x v="0"/>
    <x v="2"/>
    <x v="5"/>
    <x v="4"/>
    <x v="9"/>
    <x v="5"/>
    <x v="10"/>
    <x v="9"/>
    <x v="50"/>
    <x v="59"/>
    <x v="463"/>
    <x v="64"/>
  </r>
  <r>
    <x v="1396"/>
    <x v="356"/>
    <x v="1"/>
    <x v="0"/>
    <x v="1"/>
    <x v="4"/>
    <x v="13"/>
    <x v="4"/>
    <x v="4"/>
    <x v="1"/>
    <x v="1"/>
    <x v="3"/>
    <x v="7"/>
    <x v="15"/>
    <x v="11"/>
    <x v="19"/>
    <x v="13"/>
    <x v="295"/>
    <x v="288"/>
    <x v="205"/>
    <x v="570"/>
  </r>
  <r>
    <x v="1397"/>
    <x v="363"/>
    <x v="1"/>
    <x v="0"/>
    <x v="1"/>
    <x v="4"/>
    <x v="13"/>
    <x v="4"/>
    <x v="4"/>
    <x v="0"/>
    <x v="1"/>
    <x v="3"/>
    <x v="7"/>
    <x v="15"/>
    <x v="8"/>
    <x v="19"/>
    <x v="13"/>
    <x v="211"/>
    <x v="218"/>
    <x v="823"/>
    <x v="320"/>
  </r>
  <r>
    <x v="1398"/>
    <x v="370"/>
    <x v="1"/>
    <x v="0"/>
    <x v="1"/>
    <x v="4"/>
    <x v="13"/>
    <x v="4"/>
    <x v="4"/>
    <x v="1"/>
    <x v="1"/>
    <x v="3"/>
    <x v="6"/>
    <x v="13"/>
    <x v="12"/>
    <x v="4"/>
    <x v="3"/>
    <x v="31"/>
    <x v="34"/>
    <x v="4"/>
    <x v="84"/>
  </r>
  <r>
    <x v="1399"/>
    <x v="377"/>
    <x v="1"/>
    <x v="0"/>
    <x v="1"/>
    <x v="4"/>
    <x v="13"/>
    <x v="4"/>
    <x v="4"/>
    <x v="0"/>
    <x v="1"/>
    <x v="3"/>
    <x v="6"/>
    <x v="13"/>
    <x v="8"/>
    <x v="4"/>
    <x v="3"/>
    <x v="11"/>
    <x v="12"/>
    <x v="232"/>
    <x v="22"/>
  </r>
  <r>
    <x v="1400"/>
    <x v="384"/>
    <x v="1"/>
    <x v="0"/>
    <x v="2"/>
    <x v="7"/>
    <x v="14"/>
    <x v="0"/>
    <x v="0"/>
    <x v="1"/>
    <x v="3"/>
    <x v="7"/>
    <x v="1"/>
    <x v="3"/>
    <x v="17"/>
    <x v="24"/>
    <x v="17"/>
    <x v="854"/>
    <x v="761"/>
    <x v="1189"/>
    <x v="1582"/>
  </r>
  <r>
    <x v="1401"/>
    <x v="391"/>
    <x v="1"/>
    <x v="0"/>
    <x v="2"/>
    <x v="7"/>
    <x v="14"/>
    <x v="0"/>
    <x v="0"/>
    <x v="0"/>
    <x v="3"/>
    <x v="7"/>
    <x v="1"/>
    <x v="3"/>
    <x v="10"/>
    <x v="24"/>
    <x v="17"/>
    <x v="823"/>
    <x v="740"/>
    <x v="1319"/>
    <x v="1490"/>
  </r>
  <r>
    <x v="1402"/>
    <x v="398"/>
    <x v="1"/>
    <x v="0"/>
    <x v="2"/>
    <x v="7"/>
    <x v="14"/>
    <x v="0"/>
    <x v="0"/>
    <x v="1"/>
    <x v="3"/>
    <x v="7"/>
    <x v="2"/>
    <x v="5"/>
    <x v="21"/>
    <x v="21"/>
    <x v="15"/>
    <x v="797"/>
    <x v="719"/>
    <x v="994"/>
    <x v="1470"/>
  </r>
  <r>
    <x v="1403"/>
    <x v="378"/>
    <x v="1"/>
    <x v="0"/>
    <x v="2"/>
    <x v="7"/>
    <x v="14"/>
    <x v="0"/>
    <x v="0"/>
    <x v="0"/>
    <x v="3"/>
    <x v="7"/>
    <x v="2"/>
    <x v="5"/>
    <x v="14"/>
    <x v="21"/>
    <x v="15"/>
    <x v="736"/>
    <x v="672"/>
    <x v="1270"/>
    <x v="1256"/>
  </r>
  <r>
    <x v="1404"/>
    <x v="385"/>
    <x v="1"/>
    <x v="0"/>
    <x v="2"/>
    <x v="7"/>
    <x v="14"/>
    <x v="0"/>
    <x v="0"/>
    <x v="1"/>
    <x v="3"/>
    <x v="7"/>
    <x v="5"/>
    <x v="11"/>
    <x v="18"/>
    <x v="27"/>
    <x v="19"/>
    <x v="876"/>
    <x v="783"/>
    <x v="1253"/>
    <x v="1598"/>
  </r>
  <r>
    <x v="1405"/>
    <x v="392"/>
    <x v="1"/>
    <x v="0"/>
    <x v="2"/>
    <x v="7"/>
    <x v="14"/>
    <x v="0"/>
    <x v="0"/>
    <x v="0"/>
    <x v="3"/>
    <x v="7"/>
    <x v="5"/>
    <x v="11"/>
    <x v="13"/>
    <x v="27"/>
    <x v="19"/>
    <x v="860"/>
    <x v="771"/>
    <x v="1335"/>
    <x v="1546"/>
  </r>
  <r>
    <x v="1406"/>
    <x v="399"/>
    <x v="1"/>
    <x v="0"/>
    <x v="2"/>
    <x v="7"/>
    <x v="14"/>
    <x v="0"/>
    <x v="0"/>
    <x v="1"/>
    <x v="0"/>
    <x v="1"/>
    <x v="3"/>
    <x v="7"/>
    <x v="73"/>
    <x v="1"/>
    <x v="1"/>
    <x v="370"/>
    <x v="299"/>
    <x v="295"/>
    <x v="894"/>
  </r>
  <r>
    <x v="1407"/>
    <x v="379"/>
    <x v="1"/>
    <x v="0"/>
    <x v="2"/>
    <x v="7"/>
    <x v="14"/>
    <x v="0"/>
    <x v="0"/>
    <x v="0"/>
    <x v="0"/>
    <x v="1"/>
    <x v="3"/>
    <x v="7"/>
    <x v="55"/>
    <x v="1"/>
    <x v="1"/>
    <x v="275"/>
    <x v="220"/>
    <x v="908"/>
    <x v="613"/>
  </r>
  <r>
    <x v="1408"/>
    <x v="386"/>
    <x v="1"/>
    <x v="0"/>
    <x v="2"/>
    <x v="7"/>
    <x v="14"/>
    <x v="0"/>
    <x v="0"/>
    <x v="1"/>
    <x v="0"/>
    <x v="1"/>
    <x v="8"/>
    <x v="17"/>
    <x v="74"/>
    <x v="13"/>
    <x v="8"/>
    <x v="748"/>
    <x v="655"/>
    <x v="855"/>
    <x v="1471"/>
  </r>
  <r>
    <x v="1409"/>
    <x v="393"/>
    <x v="1"/>
    <x v="0"/>
    <x v="2"/>
    <x v="7"/>
    <x v="14"/>
    <x v="0"/>
    <x v="0"/>
    <x v="0"/>
    <x v="0"/>
    <x v="1"/>
    <x v="8"/>
    <x v="17"/>
    <x v="62"/>
    <x v="13"/>
    <x v="8"/>
    <x v="702"/>
    <x v="608"/>
    <x v="1252"/>
    <x v="1355"/>
  </r>
  <r>
    <x v="1410"/>
    <x v="400"/>
    <x v="1"/>
    <x v="0"/>
    <x v="2"/>
    <x v="7"/>
    <x v="14"/>
    <x v="0"/>
    <x v="0"/>
    <x v="1"/>
    <x v="0"/>
    <x v="1"/>
    <x v="9"/>
    <x v="19"/>
    <x v="90"/>
    <x v="7"/>
    <x v="5"/>
    <x v="705"/>
    <x v="626"/>
    <x v="772"/>
    <x v="1372"/>
  </r>
  <r>
    <x v="1411"/>
    <x v="380"/>
    <x v="1"/>
    <x v="0"/>
    <x v="2"/>
    <x v="7"/>
    <x v="14"/>
    <x v="0"/>
    <x v="0"/>
    <x v="0"/>
    <x v="0"/>
    <x v="1"/>
    <x v="9"/>
    <x v="19"/>
    <x v="54"/>
    <x v="7"/>
    <x v="5"/>
    <x v="556"/>
    <x v="496"/>
    <x v="1162"/>
    <x v="1052"/>
  </r>
  <r>
    <x v="1412"/>
    <x v="387"/>
    <x v="1"/>
    <x v="0"/>
    <x v="2"/>
    <x v="7"/>
    <x v="14"/>
    <x v="0"/>
    <x v="0"/>
    <x v="1"/>
    <x v="2"/>
    <x v="5"/>
    <x v="0"/>
    <x v="1"/>
    <x v="36"/>
    <x v="16"/>
    <x v="11"/>
    <x v="625"/>
    <x v="552"/>
    <x v="652"/>
    <x v="1260"/>
  </r>
  <r>
    <x v="1413"/>
    <x v="394"/>
    <x v="1"/>
    <x v="0"/>
    <x v="2"/>
    <x v="7"/>
    <x v="14"/>
    <x v="0"/>
    <x v="0"/>
    <x v="0"/>
    <x v="2"/>
    <x v="5"/>
    <x v="0"/>
    <x v="1"/>
    <x v="29"/>
    <x v="16"/>
    <x v="11"/>
    <x v="563"/>
    <x v="493"/>
    <x v="1165"/>
    <x v="1083"/>
  </r>
  <r>
    <x v="1414"/>
    <x v="401"/>
    <x v="1"/>
    <x v="0"/>
    <x v="2"/>
    <x v="7"/>
    <x v="14"/>
    <x v="0"/>
    <x v="0"/>
    <x v="1"/>
    <x v="2"/>
    <x v="5"/>
    <x v="4"/>
    <x v="9"/>
    <x v="34"/>
    <x v="10"/>
    <x v="9"/>
    <x v="493"/>
    <x v="459"/>
    <x v="452"/>
    <x v="986"/>
  </r>
  <r>
    <x v="1415"/>
    <x v="381"/>
    <x v="1"/>
    <x v="0"/>
    <x v="2"/>
    <x v="7"/>
    <x v="14"/>
    <x v="0"/>
    <x v="0"/>
    <x v="0"/>
    <x v="2"/>
    <x v="5"/>
    <x v="4"/>
    <x v="9"/>
    <x v="27"/>
    <x v="10"/>
    <x v="9"/>
    <x v="416"/>
    <x v="392"/>
    <x v="1064"/>
    <x v="760"/>
  </r>
  <r>
    <x v="1416"/>
    <x v="388"/>
    <x v="1"/>
    <x v="0"/>
    <x v="2"/>
    <x v="7"/>
    <x v="14"/>
    <x v="0"/>
    <x v="0"/>
    <x v="1"/>
    <x v="1"/>
    <x v="3"/>
    <x v="7"/>
    <x v="15"/>
    <x v="58"/>
    <x v="19"/>
    <x v="13"/>
    <x v="754"/>
    <x v="686"/>
    <x v="873"/>
    <x v="1428"/>
  </r>
  <r>
    <x v="1417"/>
    <x v="395"/>
    <x v="1"/>
    <x v="0"/>
    <x v="2"/>
    <x v="7"/>
    <x v="14"/>
    <x v="0"/>
    <x v="0"/>
    <x v="0"/>
    <x v="1"/>
    <x v="3"/>
    <x v="7"/>
    <x v="15"/>
    <x v="32"/>
    <x v="19"/>
    <x v="13"/>
    <x v="619"/>
    <x v="565"/>
    <x v="1197"/>
    <x v="1090"/>
  </r>
  <r>
    <x v="1418"/>
    <x v="402"/>
    <x v="1"/>
    <x v="0"/>
    <x v="2"/>
    <x v="7"/>
    <x v="14"/>
    <x v="0"/>
    <x v="0"/>
    <x v="1"/>
    <x v="1"/>
    <x v="3"/>
    <x v="6"/>
    <x v="13"/>
    <x v="42"/>
    <x v="4"/>
    <x v="3"/>
    <x v="263"/>
    <x v="224"/>
    <x v="187"/>
    <x v="627"/>
  </r>
  <r>
    <x v="1419"/>
    <x v="382"/>
    <x v="1"/>
    <x v="0"/>
    <x v="2"/>
    <x v="7"/>
    <x v="14"/>
    <x v="0"/>
    <x v="0"/>
    <x v="0"/>
    <x v="1"/>
    <x v="3"/>
    <x v="6"/>
    <x v="13"/>
    <x v="32"/>
    <x v="4"/>
    <x v="3"/>
    <x v="189"/>
    <x v="164"/>
    <x v="783"/>
    <x v="395"/>
  </r>
  <r>
    <x v="1420"/>
    <x v="389"/>
    <x v="1"/>
    <x v="0"/>
    <x v="2"/>
    <x v="7"/>
    <x v="14"/>
    <x v="1"/>
    <x v="1"/>
    <x v="1"/>
    <x v="3"/>
    <x v="7"/>
    <x v="1"/>
    <x v="3"/>
    <x v="8"/>
    <x v="24"/>
    <x v="17"/>
    <x v="809"/>
    <x v="729"/>
    <x v="1039"/>
    <x v="1493"/>
  </r>
  <r>
    <x v="1421"/>
    <x v="396"/>
    <x v="1"/>
    <x v="0"/>
    <x v="2"/>
    <x v="7"/>
    <x v="14"/>
    <x v="1"/>
    <x v="1"/>
    <x v="0"/>
    <x v="3"/>
    <x v="7"/>
    <x v="1"/>
    <x v="3"/>
    <x v="5"/>
    <x v="24"/>
    <x v="17"/>
    <x v="761"/>
    <x v="702"/>
    <x v="1290"/>
    <x v="1294"/>
  </r>
  <r>
    <x v="1422"/>
    <x v="403"/>
    <x v="1"/>
    <x v="0"/>
    <x v="2"/>
    <x v="7"/>
    <x v="14"/>
    <x v="1"/>
    <x v="1"/>
    <x v="1"/>
    <x v="3"/>
    <x v="7"/>
    <x v="2"/>
    <x v="5"/>
    <x v="9"/>
    <x v="21"/>
    <x v="15"/>
    <x v="638"/>
    <x v="603"/>
    <x v="667"/>
    <x v="1168"/>
  </r>
  <r>
    <x v="1423"/>
    <x v="383"/>
    <x v="1"/>
    <x v="0"/>
    <x v="2"/>
    <x v="7"/>
    <x v="14"/>
    <x v="1"/>
    <x v="1"/>
    <x v="0"/>
    <x v="3"/>
    <x v="7"/>
    <x v="2"/>
    <x v="5"/>
    <x v="6"/>
    <x v="21"/>
    <x v="15"/>
    <x v="543"/>
    <x v="520"/>
    <x v="1153"/>
    <x v="856"/>
  </r>
  <r>
    <x v="1424"/>
    <x v="390"/>
    <x v="1"/>
    <x v="0"/>
    <x v="2"/>
    <x v="7"/>
    <x v="14"/>
    <x v="1"/>
    <x v="1"/>
    <x v="1"/>
    <x v="3"/>
    <x v="7"/>
    <x v="5"/>
    <x v="11"/>
    <x v="7"/>
    <x v="27"/>
    <x v="19"/>
    <x v="827"/>
    <x v="745"/>
    <x v="1092"/>
    <x v="1489"/>
  </r>
  <r>
    <x v="1425"/>
    <x v="397"/>
    <x v="1"/>
    <x v="0"/>
    <x v="2"/>
    <x v="7"/>
    <x v="14"/>
    <x v="1"/>
    <x v="1"/>
    <x v="0"/>
    <x v="3"/>
    <x v="7"/>
    <x v="5"/>
    <x v="11"/>
    <x v="7"/>
    <x v="27"/>
    <x v="19"/>
    <x v="827"/>
    <x v="745"/>
    <x v="1321"/>
    <x v="1421"/>
  </r>
  <r>
    <x v="1426"/>
    <x v="404"/>
    <x v="1"/>
    <x v="0"/>
    <x v="2"/>
    <x v="7"/>
    <x v="14"/>
    <x v="1"/>
    <x v="1"/>
    <x v="1"/>
    <x v="0"/>
    <x v="1"/>
    <x v="3"/>
    <x v="7"/>
    <x v="49"/>
    <x v="1"/>
    <x v="1"/>
    <x v="240"/>
    <x v="192"/>
    <x v="164"/>
    <x v="621"/>
  </r>
  <r>
    <x v="1427"/>
    <x v="384"/>
    <x v="1"/>
    <x v="0"/>
    <x v="2"/>
    <x v="7"/>
    <x v="14"/>
    <x v="1"/>
    <x v="1"/>
    <x v="0"/>
    <x v="0"/>
    <x v="1"/>
    <x v="3"/>
    <x v="7"/>
    <x v="38"/>
    <x v="1"/>
    <x v="1"/>
    <x v="172"/>
    <x v="137"/>
    <x v="755"/>
    <x v="407"/>
  </r>
  <r>
    <x v="1428"/>
    <x v="391"/>
    <x v="1"/>
    <x v="0"/>
    <x v="2"/>
    <x v="7"/>
    <x v="14"/>
    <x v="1"/>
    <x v="1"/>
    <x v="1"/>
    <x v="0"/>
    <x v="1"/>
    <x v="8"/>
    <x v="17"/>
    <x v="58"/>
    <x v="13"/>
    <x v="8"/>
    <x v="688"/>
    <x v="591"/>
    <x v="741"/>
    <x v="1381"/>
  </r>
  <r>
    <x v="1429"/>
    <x v="398"/>
    <x v="1"/>
    <x v="0"/>
    <x v="2"/>
    <x v="7"/>
    <x v="14"/>
    <x v="1"/>
    <x v="1"/>
    <x v="0"/>
    <x v="0"/>
    <x v="1"/>
    <x v="8"/>
    <x v="17"/>
    <x v="35"/>
    <x v="13"/>
    <x v="8"/>
    <x v="546"/>
    <x v="466"/>
    <x v="1157"/>
    <x v="1088"/>
  </r>
  <r>
    <x v="1430"/>
    <x v="378"/>
    <x v="1"/>
    <x v="0"/>
    <x v="2"/>
    <x v="7"/>
    <x v="14"/>
    <x v="1"/>
    <x v="1"/>
    <x v="1"/>
    <x v="0"/>
    <x v="1"/>
    <x v="9"/>
    <x v="19"/>
    <x v="57"/>
    <x v="7"/>
    <x v="5"/>
    <x v="573"/>
    <x v="510"/>
    <x v="576"/>
    <x v="1163"/>
  </r>
  <r>
    <x v="1431"/>
    <x v="385"/>
    <x v="1"/>
    <x v="0"/>
    <x v="2"/>
    <x v="7"/>
    <x v="14"/>
    <x v="1"/>
    <x v="1"/>
    <x v="0"/>
    <x v="0"/>
    <x v="1"/>
    <x v="9"/>
    <x v="19"/>
    <x v="28"/>
    <x v="7"/>
    <x v="5"/>
    <x v="346"/>
    <x v="306"/>
    <x v="998"/>
    <x v="635"/>
  </r>
  <r>
    <x v="1432"/>
    <x v="392"/>
    <x v="1"/>
    <x v="0"/>
    <x v="2"/>
    <x v="7"/>
    <x v="14"/>
    <x v="1"/>
    <x v="1"/>
    <x v="1"/>
    <x v="2"/>
    <x v="5"/>
    <x v="0"/>
    <x v="1"/>
    <x v="21"/>
    <x v="16"/>
    <x v="11"/>
    <x v="459"/>
    <x v="408"/>
    <x v="406"/>
    <x v="978"/>
  </r>
  <r>
    <x v="1433"/>
    <x v="399"/>
    <x v="1"/>
    <x v="0"/>
    <x v="2"/>
    <x v="7"/>
    <x v="14"/>
    <x v="1"/>
    <x v="1"/>
    <x v="0"/>
    <x v="2"/>
    <x v="5"/>
    <x v="0"/>
    <x v="1"/>
    <x v="13"/>
    <x v="16"/>
    <x v="11"/>
    <x v="321"/>
    <x v="276"/>
    <x v="963"/>
    <x v="605"/>
  </r>
  <r>
    <x v="1434"/>
    <x v="379"/>
    <x v="1"/>
    <x v="0"/>
    <x v="2"/>
    <x v="7"/>
    <x v="14"/>
    <x v="1"/>
    <x v="1"/>
    <x v="1"/>
    <x v="2"/>
    <x v="5"/>
    <x v="4"/>
    <x v="9"/>
    <x v="18"/>
    <x v="10"/>
    <x v="9"/>
    <x v="300"/>
    <x v="280"/>
    <x v="208"/>
    <x v="595"/>
  </r>
  <r>
    <x v="1435"/>
    <x v="386"/>
    <x v="1"/>
    <x v="0"/>
    <x v="2"/>
    <x v="7"/>
    <x v="14"/>
    <x v="1"/>
    <x v="1"/>
    <x v="0"/>
    <x v="2"/>
    <x v="5"/>
    <x v="4"/>
    <x v="9"/>
    <x v="14"/>
    <x v="10"/>
    <x v="9"/>
    <x v="226"/>
    <x v="221"/>
    <x v="840"/>
    <x v="388"/>
  </r>
  <r>
    <x v="1436"/>
    <x v="393"/>
    <x v="1"/>
    <x v="0"/>
    <x v="2"/>
    <x v="7"/>
    <x v="14"/>
    <x v="1"/>
    <x v="1"/>
    <x v="1"/>
    <x v="1"/>
    <x v="3"/>
    <x v="7"/>
    <x v="15"/>
    <x v="27"/>
    <x v="19"/>
    <x v="13"/>
    <x v="568"/>
    <x v="525"/>
    <x v="564"/>
    <x v="1087"/>
  </r>
  <r>
    <x v="1437"/>
    <x v="400"/>
    <x v="1"/>
    <x v="0"/>
    <x v="2"/>
    <x v="7"/>
    <x v="14"/>
    <x v="1"/>
    <x v="1"/>
    <x v="0"/>
    <x v="1"/>
    <x v="3"/>
    <x v="7"/>
    <x v="15"/>
    <x v="21"/>
    <x v="19"/>
    <x v="13"/>
    <x v="488"/>
    <x v="461"/>
    <x v="1115"/>
    <x v="846"/>
  </r>
  <r>
    <x v="1438"/>
    <x v="380"/>
    <x v="1"/>
    <x v="0"/>
    <x v="2"/>
    <x v="7"/>
    <x v="14"/>
    <x v="1"/>
    <x v="1"/>
    <x v="1"/>
    <x v="1"/>
    <x v="3"/>
    <x v="6"/>
    <x v="13"/>
    <x v="29"/>
    <x v="4"/>
    <x v="3"/>
    <x v="164"/>
    <x v="141"/>
    <x v="102"/>
    <x v="423"/>
  </r>
  <r>
    <x v="1439"/>
    <x v="387"/>
    <x v="1"/>
    <x v="0"/>
    <x v="2"/>
    <x v="7"/>
    <x v="14"/>
    <x v="1"/>
    <x v="1"/>
    <x v="0"/>
    <x v="1"/>
    <x v="3"/>
    <x v="6"/>
    <x v="13"/>
    <x v="18"/>
    <x v="4"/>
    <x v="3"/>
    <x v="72"/>
    <x v="66"/>
    <x v="547"/>
    <x v="142"/>
  </r>
  <r>
    <x v="1440"/>
    <x v="394"/>
    <x v="1"/>
    <x v="0"/>
    <x v="2"/>
    <x v="7"/>
    <x v="14"/>
    <x v="3"/>
    <x v="3"/>
    <x v="1"/>
    <x v="3"/>
    <x v="7"/>
    <x v="1"/>
    <x v="3"/>
    <x v="6"/>
    <x v="24"/>
    <x v="17"/>
    <x v="786"/>
    <x v="715"/>
    <x v="956"/>
    <x v="1434"/>
  </r>
  <r>
    <x v="1441"/>
    <x v="401"/>
    <x v="1"/>
    <x v="0"/>
    <x v="2"/>
    <x v="7"/>
    <x v="14"/>
    <x v="3"/>
    <x v="3"/>
    <x v="0"/>
    <x v="3"/>
    <x v="7"/>
    <x v="1"/>
    <x v="3"/>
    <x v="4"/>
    <x v="24"/>
    <x v="17"/>
    <x v="735"/>
    <x v="679"/>
    <x v="1269"/>
    <x v="1231"/>
  </r>
  <r>
    <x v="1442"/>
    <x v="381"/>
    <x v="1"/>
    <x v="0"/>
    <x v="2"/>
    <x v="7"/>
    <x v="14"/>
    <x v="3"/>
    <x v="3"/>
    <x v="1"/>
    <x v="3"/>
    <x v="7"/>
    <x v="2"/>
    <x v="5"/>
    <x v="7"/>
    <x v="21"/>
    <x v="15"/>
    <x v="579"/>
    <x v="556"/>
    <x v="585"/>
    <x v="1051"/>
  </r>
  <r>
    <x v="1443"/>
    <x v="388"/>
    <x v="1"/>
    <x v="0"/>
    <x v="2"/>
    <x v="7"/>
    <x v="14"/>
    <x v="3"/>
    <x v="3"/>
    <x v="0"/>
    <x v="3"/>
    <x v="7"/>
    <x v="2"/>
    <x v="5"/>
    <x v="3"/>
    <x v="21"/>
    <x v="15"/>
    <x v="374"/>
    <x v="385"/>
    <x v="1029"/>
    <x v="548"/>
  </r>
  <r>
    <x v="1444"/>
    <x v="395"/>
    <x v="1"/>
    <x v="0"/>
    <x v="2"/>
    <x v="7"/>
    <x v="14"/>
    <x v="3"/>
    <x v="3"/>
    <x v="1"/>
    <x v="3"/>
    <x v="7"/>
    <x v="5"/>
    <x v="11"/>
    <x v="5"/>
    <x v="27"/>
    <x v="19"/>
    <x v="807"/>
    <x v="732"/>
    <x v="1026"/>
    <x v="1416"/>
  </r>
  <r>
    <x v="1445"/>
    <x v="402"/>
    <x v="1"/>
    <x v="0"/>
    <x v="2"/>
    <x v="7"/>
    <x v="14"/>
    <x v="3"/>
    <x v="3"/>
    <x v="0"/>
    <x v="3"/>
    <x v="7"/>
    <x v="5"/>
    <x v="11"/>
    <x v="4"/>
    <x v="27"/>
    <x v="19"/>
    <x v="791"/>
    <x v="726"/>
    <x v="1300"/>
    <x v="1251"/>
  </r>
  <r>
    <x v="1446"/>
    <x v="382"/>
    <x v="1"/>
    <x v="0"/>
    <x v="2"/>
    <x v="7"/>
    <x v="14"/>
    <x v="3"/>
    <x v="3"/>
    <x v="1"/>
    <x v="0"/>
    <x v="1"/>
    <x v="3"/>
    <x v="7"/>
    <x v="41"/>
    <x v="1"/>
    <x v="1"/>
    <x v="192"/>
    <x v="152"/>
    <x v="127"/>
    <x v="519"/>
  </r>
  <r>
    <x v="1447"/>
    <x v="389"/>
    <x v="1"/>
    <x v="0"/>
    <x v="2"/>
    <x v="7"/>
    <x v="14"/>
    <x v="3"/>
    <x v="3"/>
    <x v="0"/>
    <x v="0"/>
    <x v="1"/>
    <x v="3"/>
    <x v="7"/>
    <x v="28"/>
    <x v="1"/>
    <x v="1"/>
    <x v="102"/>
    <x v="82"/>
    <x v="634"/>
    <x v="243"/>
  </r>
  <r>
    <x v="1448"/>
    <x v="396"/>
    <x v="1"/>
    <x v="0"/>
    <x v="2"/>
    <x v="7"/>
    <x v="14"/>
    <x v="3"/>
    <x v="3"/>
    <x v="1"/>
    <x v="0"/>
    <x v="1"/>
    <x v="8"/>
    <x v="17"/>
    <x v="38"/>
    <x v="13"/>
    <x v="8"/>
    <x v="571"/>
    <x v="487"/>
    <x v="572"/>
    <x v="1212"/>
  </r>
  <r>
    <x v="1449"/>
    <x v="403"/>
    <x v="1"/>
    <x v="0"/>
    <x v="2"/>
    <x v="7"/>
    <x v="14"/>
    <x v="3"/>
    <x v="3"/>
    <x v="0"/>
    <x v="0"/>
    <x v="1"/>
    <x v="8"/>
    <x v="17"/>
    <x v="26"/>
    <x v="13"/>
    <x v="8"/>
    <x v="443"/>
    <x v="380"/>
    <x v="1084"/>
    <x v="908"/>
  </r>
  <r>
    <x v="1450"/>
    <x v="383"/>
    <x v="1"/>
    <x v="0"/>
    <x v="2"/>
    <x v="7"/>
    <x v="14"/>
    <x v="3"/>
    <x v="3"/>
    <x v="1"/>
    <x v="0"/>
    <x v="1"/>
    <x v="9"/>
    <x v="19"/>
    <x v="33"/>
    <x v="7"/>
    <x v="5"/>
    <x v="391"/>
    <x v="352"/>
    <x v="317"/>
    <x v="834"/>
  </r>
  <r>
    <x v="1451"/>
    <x v="390"/>
    <x v="1"/>
    <x v="0"/>
    <x v="2"/>
    <x v="7"/>
    <x v="14"/>
    <x v="3"/>
    <x v="3"/>
    <x v="0"/>
    <x v="0"/>
    <x v="1"/>
    <x v="9"/>
    <x v="19"/>
    <x v="24"/>
    <x v="7"/>
    <x v="5"/>
    <x v="294"/>
    <x v="270"/>
    <x v="937"/>
    <x v="547"/>
  </r>
  <r>
    <x v="1452"/>
    <x v="397"/>
    <x v="1"/>
    <x v="0"/>
    <x v="2"/>
    <x v="7"/>
    <x v="14"/>
    <x v="3"/>
    <x v="3"/>
    <x v="1"/>
    <x v="2"/>
    <x v="5"/>
    <x v="0"/>
    <x v="1"/>
    <x v="16"/>
    <x v="16"/>
    <x v="11"/>
    <x v="371"/>
    <x v="330"/>
    <x v="296"/>
    <x v="825"/>
  </r>
  <r>
    <x v="1453"/>
    <x v="404"/>
    <x v="1"/>
    <x v="0"/>
    <x v="2"/>
    <x v="7"/>
    <x v="14"/>
    <x v="3"/>
    <x v="3"/>
    <x v="0"/>
    <x v="2"/>
    <x v="5"/>
    <x v="0"/>
    <x v="1"/>
    <x v="8"/>
    <x v="16"/>
    <x v="11"/>
    <x v="190"/>
    <x v="172"/>
    <x v="790"/>
    <x v="371"/>
  </r>
  <r>
    <x v="1454"/>
    <x v="384"/>
    <x v="1"/>
    <x v="0"/>
    <x v="2"/>
    <x v="7"/>
    <x v="14"/>
    <x v="3"/>
    <x v="3"/>
    <x v="1"/>
    <x v="2"/>
    <x v="5"/>
    <x v="4"/>
    <x v="9"/>
    <x v="13"/>
    <x v="10"/>
    <x v="9"/>
    <x v="206"/>
    <x v="202"/>
    <x v="138"/>
    <x v="435"/>
  </r>
  <r>
    <x v="1455"/>
    <x v="391"/>
    <x v="1"/>
    <x v="0"/>
    <x v="2"/>
    <x v="7"/>
    <x v="14"/>
    <x v="3"/>
    <x v="3"/>
    <x v="0"/>
    <x v="2"/>
    <x v="5"/>
    <x v="4"/>
    <x v="9"/>
    <x v="8"/>
    <x v="10"/>
    <x v="9"/>
    <x v="108"/>
    <x v="111"/>
    <x v="641"/>
    <x v="162"/>
  </r>
  <r>
    <x v="1456"/>
    <x v="398"/>
    <x v="1"/>
    <x v="0"/>
    <x v="2"/>
    <x v="7"/>
    <x v="14"/>
    <x v="3"/>
    <x v="3"/>
    <x v="1"/>
    <x v="1"/>
    <x v="3"/>
    <x v="7"/>
    <x v="15"/>
    <x v="24"/>
    <x v="19"/>
    <x v="13"/>
    <x v="533"/>
    <x v="495"/>
    <x v="508"/>
    <x v="1021"/>
  </r>
  <r>
    <x v="1457"/>
    <x v="378"/>
    <x v="1"/>
    <x v="0"/>
    <x v="2"/>
    <x v="7"/>
    <x v="14"/>
    <x v="3"/>
    <x v="3"/>
    <x v="0"/>
    <x v="1"/>
    <x v="3"/>
    <x v="7"/>
    <x v="15"/>
    <x v="16"/>
    <x v="19"/>
    <x v="13"/>
    <x v="402"/>
    <x v="386"/>
    <x v="1053"/>
    <x v="687"/>
  </r>
  <r>
    <x v="1458"/>
    <x v="385"/>
    <x v="1"/>
    <x v="0"/>
    <x v="2"/>
    <x v="7"/>
    <x v="14"/>
    <x v="3"/>
    <x v="3"/>
    <x v="1"/>
    <x v="1"/>
    <x v="3"/>
    <x v="6"/>
    <x v="13"/>
    <x v="23"/>
    <x v="4"/>
    <x v="3"/>
    <x v="112"/>
    <x v="100"/>
    <x v="63"/>
    <x v="288"/>
  </r>
  <r>
    <x v="1459"/>
    <x v="392"/>
    <x v="1"/>
    <x v="0"/>
    <x v="2"/>
    <x v="7"/>
    <x v="14"/>
    <x v="3"/>
    <x v="3"/>
    <x v="0"/>
    <x v="1"/>
    <x v="3"/>
    <x v="6"/>
    <x v="13"/>
    <x v="11"/>
    <x v="4"/>
    <x v="3"/>
    <x v="25"/>
    <x v="27"/>
    <x v="339"/>
    <x v="52"/>
  </r>
  <r>
    <x v="1460"/>
    <x v="399"/>
    <x v="1"/>
    <x v="0"/>
    <x v="2"/>
    <x v="7"/>
    <x v="14"/>
    <x v="2"/>
    <x v="2"/>
    <x v="1"/>
    <x v="3"/>
    <x v="7"/>
    <x v="1"/>
    <x v="3"/>
    <x v="3"/>
    <x v="24"/>
    <x v="17"/>
    <x v="693"/>
    <x v="653"/>
    <x v="749"/>
    <x v="1233"/>
  </r>
  <r>
    <x v="1461"/>
    <x v="379"/>
    <x v="1"/>
    <x v="0"/>
    <x v="2"/>
    <x v="7"/>
    <x v="14"/>
    <x v="2"/>
    <x v="2"/>
    <x v="0"/>
    <x v="3"/>
    <x v="7"/>
    <x v="1"/>
    <x v="3"/>
    <x v="3"/>
    <x v="24"/>
    <x v="17"/>
    <x v="693"/>
    <x v="653"/>
    <x v="1244"/>
    <x v="1150"/>
  </r>
  <r>
    <x v="1462"/>
    <x v="386"/>
    <x v="1"/>
    <x v="0"/>
    <x v="2"/>
    <x v="7"/>
    <x v="14"/>
    <x v="2"/>
    <x v="2"/>
    <x v="1"/>
    <x v="3"/>
    <x v="7"/>
    <x v="2"/>
    <x v="5"/>
    <x v="4"/>
    <x v="21"/>
    <x v="15"/>
    <x v="434"/>
    <x v="442"/>
    <x v="381"/>
    <x v="785"/>
  </r>
  <r>
    <x v="1463"/>
    <x v="393"/>
    <x v="1"/>
    <x v="0"/>
    <x v="2"/>
    <x v="7"/>
    <x v="14"/>
    <x v="2"/>
    <x v="2"/>
    <x v="0"/>
    <x v="3"/>
    <x v="7"/>
    <x v="2"/>
    <x v="5"/>
    <x v="2"/>
    <x v="21"/>
    <x v="15"/>
    <x v="309"/>
    <x v="313"/>
    <x v="950"/>
    <x v="420"/>
  </r>
  <r>
    <x v="1464"/>
    <x v="400"/>
    <x v="1"/>
    <x v="0"/>
    <x v="2"/>
    <x v="7"/>
    <x v="14"/>
    <x v="2"/>
    <x v="2"/>
    <x v="1"/>
    <x v="3"/>
    <x v="7"/>
    <x v="5"/>
    <x v="11"/>
    <x v="4"/>
    <x v="27"/>
    <x v="19"/>
    <x v="791"/>
    <x v="726"/>
    <x v="973"/>
    <x v="1356"/>
  </r>
  <r>
    <x v="1465"/>
    <x v="380"/>
    <x v="1"/>
    <x v="0"/>
    <x v="2"/>
    <x v="7"/>
    <x v="14"/>
    <x v="2"/>
    <x v="2"/>
    <x v="0"/>
    <x v="3"/>
    <x v="7"/>
    <x v="5"/>
    <x v="11"/>
    <x v="2"/>
    <x v="27"/>
    <x v="19"/>
    <x v="717"/>
    <x v="681"/>
    <x v="1259"/>
    <x v="1030"/>
  </r>
  <r>
    <x v="1466"/>
    <x v="387"/>
    <x v="1"/>
    <x v="0"/>
    <x v="2"/>
    <x v="7"/>
    <x v="14"/>
    <x v="2"/>
    <x v="2"/>
    <x v="1"/>
    <x v="0"/>
    <x v="1"/>
    <x v="3"/>
    <x v="7"/>
    <x v="21"/>
    <x v="1"/>
    <x v="1"/>
    <x v="60"/>
    <x v="50"/>
    <x v="27"/>
    <x v="188"/>
  </r>
  <r>
    <x v="1467"/>
    <x v="394"/>
    <x v="1"/>
    <x v="0"/>
    <x v="2"/>
    <x v="7"/>
    <x v="14"/>
    <x v="2"/>
    <x v="2"/>
    <x v="0"/>
    <x v="0"/>
    <x v="1"/>
    <x v="3"/>
    <x v="7"/>
    <x v="18"/>
    <x v="1"/>
    <x v="1"/>
    <x v="43"/>
    <x v="39"/>
    <x v="433"/>
    <x v="102"/>
  </r>
  <r>
    <x v="1468"/>
    <x v="401"/>
    <x v="1"/>
    <x v="0"/>
    <x v="2"/>
    <x v="7"/>
    <x v="14"/>
    <x v="2"/>
    <x v="2"/>
    <x v="1"/>
    <x v="0"/>
    <x v="1"/>
    <x v="8"/>
    <x v="17"/>
    <x v="28"/>
    <x v="13"/>
    <x v="8"/>
    <x v="472"/>
    <x v="401"/>
    <x v="423"/>
    <x v="1041"/>
  </r>
  <r>
    <x v="1469"/>
    <x v="381"/>
    <x v="1"/>
    <x v="0"/>
    <x v="2"/>
    <x v="7"/>
    <x v="14"/>
    <x v="2"/>
    <x v="2"/>
    <x v="0"/>
    <x v="0"/>
    <x v="1"/>
    <x v="8"/>
    <x v="17"/>
    <x v="21"/>
    <x v="13"/>
    <x v="8"/>
    <x v="377"/>
    <x v="318"/>
    <x v="1030"/>
    <x v="789"/>
  </r>
  <r>
    <x v="1470"/>
    <x v="388"/>
    <x v="1"/>
    <x v="0"/>
    <x v="2"/>
    <x v="7"/>
    <x v="14"/>
    <x v="2"/>
    <x v="2"/>
    <x v="1"/>
    <x v="0"/>
    <x v="1"/>
    <x v="9"/>
    <x v="19"/>
    <x v="29"/>
    <x v="7"/>
    <x v="5"/>
    <x v="352"/>
    <x v="315"/>
    <x v="265"/>
    <x v="755"/>
  </r>
  <r>
    <x v="1471"/>
    <x v="395"/>
    <x v="1"/>
    <x v="0"/>
    <x v="2"/>
    <x v="7"/>
    <x v="14"/>
    <x v="2"/>
    <x v="2"/>
    <x v="0"/>
    <x v="0"/>
    <x v="1"/>
    <x v="9"/>
    <x v="19"/>
    <x v="18"/>
    <x v="7"/>
    <x v="5"/>
    <x v="210"/>
    <x v="200"/>
    <x v="822"/>
    <x v="392"/>
  </r>
  <r>
    <x v="1472"/>
    <x v="402"/>
    <x v="1"/>
    <x v="0"/>
    <x v="2"/>
    <x v="7"/>
    <x v="14"/>
    <x v="2"/>
    <x v="2"/>
    <x v="1"/>
    <x v="2"/>
    <x v="5"/>
    <x v="0"/>
    <x v="1"/>
    <x v="10"/>
    <x v="16"/>
    <x v="11"/>
    <x v="245"/>
    <x v="219"/>
    <x v="167"/>
    <x v="551"/>
  </r>
  <r>
    <x v="1473"/>
    <x v="382"/>
    <x v="1"/>
    <x v="0"/>
    <x v="2"/>
    <x v="7"/>
    <x v="14"/>
    <x v="2"/>
    <x v="2"/>
    <x v="0"/>
    <x v="2"/>
    <x v="5"/>
    <x v="0"/>
    <x v="1"/>
    <x v="6"/>
    <x v="16"/>
    <x v="11"/>
    <x v="133"/>
    <x v="121"/>
    <x v="685"/>
    <x v="245"/>
  </r>
  <r>
    <x v="1474"/>
    <x v="389"/>
    <x v="1"/>
    <x v="0"/>
    <x v="2"/>
    <x v="7"/>
    <x v="14"/>
    <x v="2"/>
    <x v="2"/>
    <x v="1"/>
    <x v="2"/>
    <x v="5"/>
    <x v="4"/>
    <x v="9"/>
    <x v="11"/>
    <x v="10"/>
    <x v="9"/>
    <x v="170"/>
    <x v="169"/>
    <x v="108"/>
    <x v="343"/>
  </r>
  <r>
    <x v="1475"/>
    <x v="396"/>
    <x v="1"/>
    <x v="0"/>
    <x v="2"/>
    <x v="7"/>
    <x v="14"/>
    <x v="2"/>
    <x v="2"/>
    <x v="0"/>
    <x v="2"/>
    <x v="5"/>
    <x v="4"/>
    <x v="9"/>
    <x v="8"/>
    <x v="10"/>
    <x v="9"/>
    <x v="108"/>
    <x v="111"/>
    <x v="641"/>
    <x v="162"/>
  </r>
  <r>
    <x v="1476"/>
    <x v="403"/>
    <x v="1"/>
    <x v="0"/>
    <x v="2"/>
    <x v="7"/>
    <x v="14"/>
    <x v="2"/>
    <x v="2"/>
    <x v="1"/>
    <x v="1"/>
    <x v="3"/>
    <x v="7"/>
    <x v="15"/>
    <x v="17"/>
    <x v="19"/>
    <x v="13"/>
    <x v="417"/>
    <x v="406"/>
    <x v="355"/>
    <x v="821"/>
  </r>
  <r>
    <x v="1477"/>
    <x v="383"/>
    <x v="1"/>
    <x v="0"/>
    <x v="2"/>
    <x v="7"/>
    <x v="14"/>
    <x v="2"/>
    <x v="2"/>
    <x v="0"/>
    <x v="1"/>
    <x v="3"/>
    <x v="7"/>
    <x v="15"/>
    <x v="8"/>
    <x v="19"/>
    <x v="13"/>
    <x v="211"/>
    <x v="218"/>
    <x v="823"/>
    <x v="320"/>
  </r>
  <r>
    <x v="1478"/>
    <x v="390"/>
    <x v="1"/>
    <x v="0"/>
    <x v="2"/>
    <x v="7"/>
    <x v="14"/>
    <x v="2"/>
    <x v="2"/>
    <x v="1"/>
    <x v="1"/>
    <x v="3"/>
    <x v="6"/>
    <x v="13"/>
    <x v="14"/>
    <x v="4"/>
    <x v="3"/>
    <x v="44"/>
    <x v="43"/>
    <x v="10"/>
    <x v="119"/>
  </r>
  <r>
    <x v="1479"/>
    <x v="397"/>
    <x v="1"/>
    <x v="0"/>
    <x v="2"/>
    <x v="7"/>
    <x v="14"/>
    <x v="2"/>
    <x v="2"/>
    <x v="0"/>
    <x v="1"/>
    <x v="3"/>
    <x v="6"/>
    <x v="13"/>
    <x v="8"/>
    <x v="4"/>
    <x v="3"/>
    <x v="11"/>
    <x v="12"/>
    <x v="232"/>
    <x v="22"/>
  </r>
  <r>
    <x v="1480"/>
    <x v="404"/>
    <x v="1"/>
    <x v="0"/>
    <x v="2"/>
    <x v="7"/>
    <x v="14"/>
    <x v="4"/>
    <x v="4"/>
    <x v="1"/>
    <x v="3"/>
    <x v="7"/>
    <x v="1"/>
    <x v="3"/>
    <x v="5"/>
    <x v="24"/>
    <x v="17"/>
    <x v="761"/>
    <x v="702"/>
    <x v="888"/>
    <x v="1380"/>
  </r>
  <r>
    <x v="1481"/>
    <x v="384"/>
    <x v="1"/>
    <x v="0"/>
    <x v="2"/>
    <x v="7"/>
    <x v="14"/>
    <x v="4"/>
    <x v="4"/>
    <x v="0"/>
    <x v="3"/>
    <x v="7"/>
    <x v="1"/>
    <x v="3"/>
    <x v="3"/>
    <x v="24"/>
    <x v="17"/>
    <x v="693"/>
    <x v="653"/>
    <x v="1244"/>
    <x v="1150"/>
  </r>
  <r>
    <x v="1482"/>
    <x v="391"/>
    <x v="1"/>
    <x v="0"/>
    <x v="2"/>
    <x v="7"/>
    <x v="14"/>
    <x v="4"/>
    <x v="4"/>
    <x v="1"/>
    <x v="3"/>
    <x v="7"/>
    <x v="2"/>
    <x v="5"/>
    <x v="5"/>
    <x v="21"/>
    <x v="15"/>
    <x v="492"/>
    <x v="482"/>
    <x v="449"/>
    <x v="885"/>
  </r>
  <r>
    <x v="1483"/>
    <x v="398"/>
    <x v="1"/>
    <x v="0"/>
    <x v="2"/>
    <x v="7"/>
    <x v="14"/>
    <x v="4"/>
    <x v="4"/>
    <x v="0"/>
    <x v="3"/>
    <x v="7"/>
    <x v="2"/>
    <x v="5"/>
    <x v="3"/>
    <x v="21"/>
    <x v="15"/>
    <x v="374"/>
    <x v="385"/>
    <x v="1029"/>
    <x v="548"/>
  </r>
  <r>
    <x v="1484"/>
    <x v="378"/>
    <x v="1"/>
    <x v="0"/>
    <x v="2"/>
    <x v="7"/>
    <x v="14"/>
    <x v="4"/>
    <x v="4"/>
    <x v="1"/>
    <x v="3"/>
    <x v="7"/>
    <x v="5"/>
    <x v="11"/>
    <x v="4"/>
    <x v="27"/>
    <x v="19"/>
    <x v="791"/>
    <x v="726"/>
    <x v="973"/>
    <x v="1356"/>
  </r>
  <r>
    <x v="1485"/>
    <x v="385"/>
    <x v="1"/>
    <x v="0"/>
    <x v="2"/>
    <x v="7"/>
    <x v="14"/>
    <x v="4"/>
    <x v="4"/>
    <x v="0"/>
    <x v="3"/>
    <x v="7"/>
    <x v="5"/>
    <x v="11"/>
    <x v="2"/>
    <x v="27"/>
    <x v="19"/>
    <x v="717"/>
    <x v="681"/>
    <x v="1259"/>
    <x v="1030"/>
  </r>
  <r>
    <x v="1486"/>
    <x v="392"/>
    <x v="1"/>
    <x v="0"/>
    <x v="2"/>
    <x v="7"/>
    <x v="14"/>
    <x v="4"/>
    <x v="4"/>
    <x v="1"/>
    <x v="0"/>
    <x v="1"/>
    <x v="3"/>
    <x v="7"/>
    <x v="23"/>
    <x v="1"/>
    <x v="1"/>
    <x v="71"/>
    <x v="58"/>
    <x v="32"/>
    <x v="221"/>
  </r>
  <r>
    <x v="1487"/>
    <x v="399"/>
    <x v="1"/>
    <x v="0"/>
    <x v="2"/>
    <x v="7"/>
    <x v="14"/>
    <x v="4"/>
    <x v="4"/>
    <x v="0"/>
    <x v="0"/>
    <x v="1"/>
    <x v="3"/>
    <x v="7"/>
    <x v="15"/>
    <x v="1"/>
    <x v="1"/>
    <x v="29"/>
    <x v="26"/>
    <x v="359"/>
    <x v="65"/>
  </r>
  <r>
    <x v="1488"/>
    <x v="379"/>
    <x v="1"/>
    <x v="0"/>
    <x v="2"/>
    <x v="7"/>
    <x v="14"/>
    <x v="4"/>
    <x v="4"/>
    <x v="1"/>
    <x v="0"/>
    <x v="1"/>
    <x v="8"/>
    <x v="17"/>
    <x v="26"/>
    <x v="13"/>
    <x v="8"/>
    <x v="443"/>
    <x v="380"/>
    <x v="388"/>
    <x v="988"/>
  </r>
  <r>
    <x v="1489"/>
    <x v="386"/>
    <x v="1"/>
    <x v="0"/>
    <x v="2"/>
    <x v="7"/>
    <x v="14"/>
    <x v="4"/>
    <x v="4"/>
    <x v="0"/>
    <x v="0"/>
    <x v="1"/>
    <x v="8"/>
    <x v="17"/>
    <x v="17"/>
    <x v="13"/>
    <x v="8"/>
    <x v="323"/>
    <x v="266"/>
    <x v="965"/>
    <x v="654"/>
  </r>
  <r>
    <x v="1490"/>
    <x v="393"/>
    <x v="1"/>
    <x v="0"/>
    <x v="2"/>
    <x v="7"/>
    <x v="14"/>
    <x v="4"/>
    <x v="4"/>
    <x v="1"/>
    <x v="0"/>
    <x v="1"/>
    <x v="9"/>
    <x v="19"/>
    <x v="28"/>
    <x v="7"/>
    <x v="5"/>
    <x v="346"/>
    <x v="306"/>
    <x v="251"/>
    <x v="731"/>
  </r>
  <r>
    <x v="1491"/>
    <x v="400"/>
    <x v="1"/>
    <x v="0"/>
    <x v="2"/>
    <x v="7"/>
    <x v="14"/>
    <x v="4"/>
    <x v="4"/>
    <x v="0"/>
    <x v="0"/>
    <x v="1"/>
    <x v="9"/>
    <x v="19"/>
    <x v="19"/>
    <x v="7"/>
    <x v="5"/>
    <x v="227"/>
    <x v="210"/>
    <x v="841"/>
    <x v="426"/>
  </r>
  <r>
    <x v="1492"/>
    <x v="380"/>
    <x v="1"/>
    <x v="0"/>
    <x v="2"/>
    <x v="7"/>
    <x v="14"/>
    <x v="4"/>
    <x v="4"/>
    <x v="1"/>
    <x v="2"/>
    <x v="5"/>
    <x v="0"/>
    <x v="1"/>
    <x v="10"/>
    <x v="16"/>
    <x v="11"/>
    <x v="245"/>
    <x v="219"/>
    <x v="167"/>
    <x v="551"/>
  </r>
  <r>
    <x v="1493"/>
    <x v="387"/>
    <x v="1"/>
    <x v="0"/>
    <x v="2"/>
    <x v="7"/>
    <x v="14"/>
    <x v="4"/>
    <x v="4"/>
    <x v="0"/>
    <x v="2"/>
    <x v="5"/>
    <x v="0"/>
    <x v="1"/>
    <x v="7"/>
    <x v="16"/>
    <x v="11"/>
    <x v="163"/>
    <x v="149"/>
    <x v="736"/>
    <x v="312"/>
  </r>
  <r>
    <x v="1494"/>
    <x v="394"/>
    <x v="1"/>
    <x v="0"/>
    <x v="2"/>
    <x v="7"/>
    <x v="14"/>
    <x v="4"/>
    <x v="4"/>
    <x v="1"/>
    <x v="2"/>
    <x v="5"/>
    <x v="4"/>
    <x v="9"/>
    <x v="11"/>
    <x v="10"/>
    <x v="9"/>
    <x v="170"/>
    <x v="169"/>
    <x v="108"/>
    <x v="343"/>
  </r>
  <r>
    <x v="1495"/>
    <x v="401"/>
    <x v="1"/>
    <x v="0"/>
    <x v="2"/>
    <x v="7"/>
    <x v="14"/>
    <x v="4"/>
    <x v="4"/>
    <x v="0"/>
    <x v="2"/>
    <x v="5"/>
    <x v="4"/>
    <x v="9"/>
    <x v="6"/>
    <x v="10"/>
    <x v="9"/>
    <x v="69"/>
    <x v="77"/>
    <x v="533"/>
    <x v="93"/>
  </r>
  <r>
    <x v="1496"/>
    <x v="381"/>
    <x v="1"/>
    <x v="0"/>
    <x v="2"/>
    <x v="7"/>
    <x v="14"/>
    <x v="4"/>
    <x v="4"/>
    <x v="1"/>
    <x v="1"/>
    <x v="3"/>
    <x v="7"/>
    <x v="15"/>
    <x v="16"/>
    <x v="19"/>
    <x v="13"/>
    <x v="402"/>
    <x v="386"/>
    <x v="330"/>
    <x v="786"/>
  </r>
  <r>
    <x v="1497"/>
    <x v="388"/>
    <x v="1"/>
    <x v="0"/>
    <x v="2"/>
    <x v="7"/>
    <x v="14"/>
    <x v="4"/>
    <x v="4"/>
    <x v="0"/>
    <x v="1"/>
    <x v="3"/>
    <x v="7"/>
    <x v="15"/>
    <x v="9"/>
    <x v="19"/>
    <x v="13"/>
    <x v="242"/>
    <x v="243"/>
    <x v="858"/>
    <x v="382"/>
  </r>
  <r>
    <x v="1498"/>
    <x v="395"/>
    <x v="1"/>
    <x v="0"/>
    <x v="2"/>
    <x v="7"/>
    <x v="14"/>
    <x v="4"/>
    <x v="4"/>
    <x v="1"/>
    <x v="1"/>
    <x v="3"/>
    <x v="6"/>
    <x v="13"/>
    <x v="14"/>
    <x v="4"/>
    <x v="3"/>
    <x v="44"/>
    <x v="43"/>
    <x v="10"/>
    <x v="119"/>
  </r>
  <r>
    <x v="1499"/>
    <x v="402"/>
    <x v="1"/>
    <x v="0"/>
    <x v="2"/>
    <x v="7"/>
    <x v="14"/>
    <x v="4"/>
    <x v="4"/>
    <x v="0"/>
    <x v="1"/>
    <x v="3"/>
    <x v="6"/>
    <x v="13"/>
    <x v="8"/>
    <x v="4"/>
    <x v="3"/>
    <x v="11"/>
    <x v="12"/>
    <x v="232"/>
    <x v="22"/>
  </r>
  <r>
    <x v="1500"/>
    <x v="409"/>
    <x v="1"/>
    <x v="1"/>
    <x v="3"/>
    <x v="0"/>
    <x v="15"/>
    <x v="0"/>
    <x v="0"/>
    <x v="1"/>
    <x v="3"/>
    <x v="7"/>
    <x v="1"/>
    <x v="3"/>
    <x v="17"/>
    <x v="24"/>
    <x v="17"/>
    <x v="854"/>
    <x v="761"/>
    <x v="1201"/>
    <x v="1580"/>
  </r>
  <r>
    <x v="1501"/>
    <x v="416"/>
    <x v="1"/>
    <x v="1"/>
    <x v="3"/>
    <x v="0"/>
    <x v="15"/>
    <x v="0"/>
    <x v="0"/>
    <x v="0"/>
    <x v="3"/>
    <x v="7"/>
    <x v="1"/>
    <x v="3"/>
    <x v="9"/>
    <x v="24"/>
    <x v="17"/>
    <x v="816"/>
    <x v="734"/>
    <x v="1318"/>
    <x v="1462"/>
  </r>
  <r>
    <x v="1502"/>
    <x v="423"/>
    <x v="1"/>
    <x v="1"/>
    <x v="3"/>
    <x v="0"/>
    <x v="15"/>
    <x v="0"/>
    <x v="0"/>
    <x v="1"/>
    <x v="3"/>
    <x v="7"/>
    <x v="2"/>
    <x v="5"/>
    <x v="14"/>
    <x v="21"/>
    <x v="15"/>
    <x v="736"/>
    <x v="672"/>
    <x v="860"/>
    <x v="1329"/>
  </r>
  <r>
    <x v="1503"/>
    <x v="430"/>
    <x v="1"/>
    <x v="1"/>
    <x v="3"/>
    <x v="0"/>
    <x v="15"/>
    <x v="0"/>
    <x v="0"/>
    <x v="0"/>
    <x v="3"/>
    <x v="7"/>
    <x v="2"/>
    <x v="5"/>
    <x v="10"/>
    <x v="21"/>
    <x v="15"/>
    <x v="661"/>
    <x v="622"/>
    <x v="1239"/>
    <x v="1099"/>
  </r>
  <r>
    <x v="1504"/>
    <x v="410"/>
    <x v="1"/>
    <x v="1"/>
    <x v="3"/>
    <x v="0"/>
    <x v="15"/>
    <x v="0"/>
    <x v="0"/>
    <x v="1"/>
    <x v="3"/>
    <x v="7"/>
    <x v="5"/>
    <x v="11"/>
    <x v="19"/>
    <x v="27"/>
    <x v="19"/>
    <x v="878"/>
    <x v="786"/>
    <x v="1266"/>
    <x v="1603"/>
  </r>
  <r>
    <x v="1505"/>
    <x v="417"/>
    <x v="1"/>
    <x v="1"/>
    <x v="3"/>
    <x v="0"/>
    <x v="15"/>
    <x v="0"/>
    <x v="0"/>
    <x v="0"/>
    <x v="3"/>
    <x v="7"/>
    <x v="5"/>
    <x v="11"/>
    <x v="9"/>
    <x v="27"/>
    <x v="19"/>
    <x v="841"/>
    <x v="754"/>
    <x v="1330"/>
    <x v="1475"/>
  </r>
  <r>
    <x v="1506"/>
    <x v="424"/>
    <x v="1"/>
    <x v="1"/>
    <x v="3"/>
    <x v="0"/>
    <x v="15"/>
    <x v="0"/>
    <x v="0"/>
    <x v="1"/>
    <x v="0"/>
    <x v="1"/>
    <x v="3"/>
    <x v="7"/>
    <x v="78"/>
    <x v="1"/>
    <x v="1"/>
    <x v="396"/>
    <x v="317"/>
    <x v="356"/>
    <x v="922"/>
  </r>
  <r>
    <x v="1507"/>
    <x v="431"/>
    <x v="1"/>
    <x v="1"/>
    <x v="3"/>
    <x v="0"/>
    <x v="15"/>
    <x v="0"/>
    <x v="0"/>
    <x v="0"/>
    <x v="0"/>
    <x v="1"/>
    <x v="3"/>
    <x v="7"/>
    <x v="55"/>
    <x v="1"/>
    <x v="1"/>
    <x v="275"/>
    <x v="220"/>
    <x v="946"/>
    <x v="597"/>
  </r>
  <r>
    <x v="1508"/>
    <x v="411"/>
    <x v="1"/>
    <x v="1"/>
    <x v="3"/>
    <x v="0"/>
    <x v="15"/>
    <x v="0"/>
    <x v="0"/>
    <x v="1"/>
    <x v="0"/>
    <x v="1"/>
    <x v="8"/>
    <x v="17"/>
    <x v="91"/>
    <x v="13"/>
    <x v="8"/>
    <x v="782"/>
    <x v="685"/>
    <x v="980"/>
    <x v="1518"/>
  </r>
  <r>
    <x v="1509"/>
    <x v="418"/>
    <x v="1"/>
    <x v="1"/>
    <x v="3"/>
    <x v="0"/>
    <x v="15"/>
    <x v="0"/>
    <x v="0"/>
    <x v="0"/>
    <x v="0"/>
    <x v="1"/>
    <x v="8"/>
    <x v="17"/>
    <x v="68"/>
    <x v="13"/>
    <x v="8"/>
    <x v="723"/>
    <x v="628"/>
    <x v="1275"/>
    <x v="1387"/>
  </r>
  <r>
    <x v="1510"/>
    <x v="425"/>
    <x v="1"/>
    <x v="1"/>
    <x v="3"/>
    <x v="0"/>
    <x v="15"/>
    <x v="0"/>
    <x v="0"/>
    <x v="1"/>
    <x v="0"/>
    <x v="1"/>
    <x v="9"/>
    <x v="19"/>
    <x v="82"/>
    <x v="7"/>
    <x v="5"/>
    <x v="683"/>
    <x v="607"/>
    <x v="763"/>
    <x v="1326"/>
  </r>
  <r>
    <x v="1511"/>
    <x v="405"/>
    <x v="1"/>
    <x v="1"/>
    <x v="3"/>
    <x v="0"/>
    <x v="15"/>
    <x v="0"/>
    <x v="0"/>
    <x v="0"/>
    <x v="0"/>
    <x v="1"/>
    <x v="9"/>
    <x v="19"/>
    <x v="60"/>
    <x v="7"/>
    <x v="5"/>
    <x v="586"/>
    <x v="523"/>
    <x v="1194"/>
    <x v="1098"/>
  </r>
  <r>
    <x v="1512"/>
    <x v="412"/>
    <x v="1"/>
    <x v="1"/>
    <x v="3"/>
    <x v="0"/>
    <x v="15"/>
    <x v="0"/>
    <x v="0"/>
    <x v="1"/>
    <x v="2"/>
    <x v="5"/>
    <x v="0"/>
    <x v="1"/>
    <x v="43"/>
    <x v="16"/>
    <x v="11"/>
    <x v="669"/>
    <x v="590"/>
    <x v="750"/>
    <x v="1328"/>
  </r>
  <r>
    <x v="1513"/>
    <x v="419"/>
    <x v="1"/>
    <x v="1"/>
    <x v="3"/>
    <x v="0"/>
    <x v="15"/>
    <x v="0"/>
    <x v="0"/>
    <x v="0"/>
    <x v="2"/>
    <x v="5"/>
    <x v="0"/>
    <x v="1"/>
    <x v="24"/>
    <x v="16"/>
    <x v="11"/>
    <x v="502"/>
    <x v="444"/>
    <x v="1146"/>
    <x v="953"/>
  </r>
  <r>
    <x v="1514"/>
    <x v="426"/>
    <x v="1"/>
    <x v="1"/>
    <x v="3"/>
    <x v="0"/>
    <x v="15"/>
    <x v="0"/>
    <x v="0"/>
    <x v="1"/>
    <x v="2"/>
    <x v="5"/>
    <x v="4"/>
    <x v="9"/>
    <x v="42"/>
    <x v="10"/>
    <x v="9"/>
    <x v="564"/>
    <x v="513"/>
    <x v="598"/>
    <x v="1118"/>
  </r>
  <r>
    <x v="1515"/>
    <x v="406"/>
    <x v="1"/>
    <x v="1"/>
    <x v="3"/>
    <x v="0"/>
    <x v="15"/>
    <x v="0"/>
    <x v="0"/>
    <x v="0"/>
    <x v="2"/>
    <x v="5"/>
    <x v="4"/>
    <x v="9"/>
    <x v="24"/>
    <x v="10"/>
    <x v="9"/>
    <x v="382"/>
    <x v="354"/>
    <x v="1058"/>
    <x v="675"/>
  </r>
  <r>
    <x v="1516"/>
    <x v="413"/>
    <x v="1"/>
    <x v="1"/>
    <x v="3"/>
    <x v="0"/>
    <x v="15"/>
    <x v="0"/>
    <x v="0"/>
    <x v="1"/>
    <x v="1"/>
    <x v="3"/>
    <x v="7"/>
    <x v="15"/>
    <x v="43"/>
    <x v="19"/>
    <x v="13"/>
    <x v="695"/>
    <x v="634"/>
    <x v="795"/>
    <x v="1297"/>
  </r>
  <r>
    <x v="1517"/>
    <x v="420"/>
    <x v="1"/>
    <x v="1"/>
    <x v="3"/>
    <x v="0"/>
    <x v="15"/>
    <x v="0"/>
    <x v="0"/>
    <x v="0"/>
    <x v="1"/>
    <x v="3"/>
    <x v="7"/>
    <x v="15"/>
    <x v="36"/>
    <x v="19"/>
    <x v="13"/>
    <x v="645"/>
    <x v="593"/>
    <x v="1230"/>
    <x v="1155"/>
  </r>
  <r>
    <x v="1518"/>
    <x v="427"/>
    <x v="1"/>
    <x v="1"/>
    <x v="3"/>
    <x v="0"/>
    <x v="15"/>
    <x v="0"/>
    <x v="0"/>
    <x v="1"/>
    <x v="1"/>
    <x v="3"/>
    <x v="6"/>
    <x v="13"/>
    <x v="45"/>
    <x v="4"/>
    <x v="3"/>
    <x v="285"/>
    <x v="245"/>
    <x v="221"/>
    <x v="677"/>
  </r>
  <r>
    <x v="1519"/>
    <x v="407"/>
    <x v="1"/>
    <x v="1"/>
    <x v="3"/>
    <x v="0"/>
    <x v="15"/>
    <x v="0"/>
    <x v="0"/>
    <x v="0"/>
    <x v="1"/>
    <x v="3"/>
    <x v="6"/>
    <x v="13"/>
    <x v="36"/>
    <x v="4"/>
    <x v="3"/>
    <x v="219"/>
    <x v="188"/>
    <x v="866"/>
    <x v="448"/>
  </r>
  <r>
    <x v="1520"/>
    <x v="414"/>
    <x v="1"/>
    <x v="1"/>
    <x v="3"/>
    <x v="0"/>
    <x v="15"/>
    <x v="1"/>
    <x v="1"/>
    <x v="1"/>
    <x v="3"/>
    <x v="7"/>
    <x v="1"/>
    <x v="3"/>
    <x v="9"/>
    <x v="24"/>
    <x v="17"/>
    <x v="816"/>
    <x v="734"/>
    <x v="1082"/>
    <x v="1515"/>
  </r>
  <r>
    <x v="1521"/>
    <x v="421"/>
    <x v="1"/>
    <x v="1"/>
    <x v="3"/>
    <x v="0"/>
    <x v="15"/>
    <x v="1"/>
    <x v="1"/>
    <x v="0"/>
    <x v="3"/>
    <x v="7"/>
    <x v="1"/>
    <x v="3"/>
    <x v="5"/>
    <x v="24"/>
    <x v="17"/>
    <x v="761"/>
    <x v="702"/>
    <x v="1296"/>
    <x v="1289"/>
  </r>
  <r>
    <x v="1522"/>
    <x v="428"/>
    <x v="1"/>
    <x v="1"/>
    <x v="3"/>
    <x v="0"/>
    <x v="15"/>
    <x v="1"/>
    <x v="1"/>
    <x v="1"/>
    <x v="3"/>
    <x v="7"/>
    <x v="2"/>
    <x v="5"/>
    <x v="7"/>
    <x v="21"/>
    <x v="15"/>
    <x v="579"/>
    <x v="556"/>
    <x v="616"/>
    <x v="1046"/>
  </r>
  <r>
    <x v="1523"/>
    <x v="408"/>
    <x v="1"/>
    <x v="1"/>
    <x v="3"/>
    <x v="0"/>
    <x v="15"/>
    <x v="1"/>
    <x v="1"/>
    <x v="0"/>
    <x v="3"/>
    <x v="7"/>
    <x v="2"/>
    <x v="5"/>
    <x v="6"/>
    <x v="21"/>
    <x v="15"/>
    <x v="543"/>
    <x v="520"/>
    <x v="1168"/>
    <x v="844"/>
  </r>
  <r>
    <x v="1524"/>
    <x v="415"/>
    <x v="1"/>
    <x v="1"/>
    <x v="3"/>
    <x v="0"/>
    <x v="15"/>
    <x v="1"/>
    <x v="1"/>
    <x v="1"/>
    <x v="3"/>
    <x v="7"/>
    <x v="5"/>
    <x v="11"/>
    <x v="8"/>
    <x v="27"/>
    <x v="19"/>
    <x v="834"/>
    <x v="750"/>
    <x v="1139"/>
    <x v="1516"/>
  </r>
  <r>
    <x v="1525"/>
    <x v="422"/>
    <x v="1"/>
    <x v="1"/>
    <x v="3"/>
    <x v="0"/>
    <x v="15"/>
    <x v="1"/>
    <x v="1"/>
    <x v="0"/>
    <x v="3"/>
    <x v="7"/>
    <x v="5"/>
    <x v="11"/>
    <x v="6"/>
    <x v="27"/>
    <x v="19"/>
    <x v="817"/>
    <x v="741"/>
    <x v="1318"/>
    <x v="1366"/>
  </r>
  <r>
    <x v="1526"/>
    <x v="429"/>
    <x v="1"/>
    <x v="1"/>
    <x v="3"/>
    <x v="0"/>
    <x v="15"/>
    <x v="1"/>
    <x v="1"/>
    <x v="1"/>
    <x v="0"/>
    <x v="1"/>
    <x v="3"/>
    <x v="7"/>
    <x v="48"/>
    <x v="1"/>
    <x v="1"/>
    <x v="232"/>
    <x v="185"/>
    <x v="183"/>
    <x v="598"/>
  </r>
  <r>
    <x v="1527"/>
    <x v="409"/>
    <x v="1"/>
    <x v="1"/>
    <x v="3"/>
    <x v="0"/>
    <x v="15"/>
    <x v="1"/>
    <x v="1"/>
    <x v="0"/>
    <x v="0"/>
    <x v="1"/>
    <x v="3"/>
    <x v="7"/>
    <x v="30"/>
    <x v="1"/>
    <x v="1"/>
    <x v="117"/>
    <x v="91"/>
    <x v="691"/>
    <x v="273"/>
  </r>
  <r>
    <x v="1528"/>
    <x v="416"/>
    <x v="1"/>
    <x v="1"/>
    <x v="3"/>
    <x v="0"/>
    <x v="15"/>
    <x v="1"/>
    <x v="1"/>
    <x v="1"/>
    <x v="0"/>
    <x v="1"/>
    <x v="8"/>
    <x v="17"/>
    <x v="52"/>
    <x v="13"/>
    <x v="8"/>
    <x v="655"/>
    <x v="567"/>
    <x v="724"/>
    <x v="1332"/>
  </r>
  <r>
    <x v="1529"/>
    <x v="423"/>
    <x v="1"/>
    <x v="1"/>
    <x v="3"/>
    <x v="0"/>
    <x v="15"/>
    <x v="1"/>
    <x v="1"/>
    <x v="0"/>
    <x v="0"/>
    <x v="1"/>
    <x v="8"/>
    <x v="17"/>
    <x v="38"/>
    <x v="13"/>
    <x v="8"/>
    <x v="571"/>
    <x v="487"/>
    <x v="1183"/>
    <x v="1138"/>
  </r>
  <r>
    <x v="1530"/>
    <x v="430"/>
    <x v="1"/>
    <x v="1"/>
    <x v="3"/>
    <x v="0"/>
    <x v="15"/>
    <x v="1"/>
    <x v="1"/>
    <x v="1"/>
    <x v="0"/>
    <x v="1"/>
    <x v="9"/>
    <x v="19"/>
    <x v="52"/>
    <x v="7"/>
    <x v="5"/>
    <x v="544"/>
    <x v="486"/>
    <x v="566"/>
    <x v="1107"/>
  </r>
  <r>
    <x v="1531"/>
    <x v="410"/>
    <x v="1"/>
    <x v="1"/>
    <x v="3"/>
    <x v="0"/>
    <x v="15"/>
    <x v="1"/>
    <x v="1"/>
    <x v="0"/>
    <x v="0"/>
    <x v="1"/>
    <x v="9"/>
    <x v="19"/>
    <x v="29"/>
    <x v="7"/>
    <x v="5"/>
    <x v="352"/>
    <x v="315"/>
    <x v="1031"/>
    <x v="642"/>
  </r>
  <r>
    <x v="1532"/>
    <x v="417"/>
    <x v="1"/>
    <x v="1"/>
    <x v="3"/>
    <x v="0"/>
    <x v="15"/>
    <x v="1"/>
    <x v="1"/>
    <x v="1"/>
    <x v="2"/>
    <x v="5"/>
    <x v="0"/>
    <x v="1"/>
    <x v="18"/>
    <x v="16"/>
    <x v="11"/>
    <x v="410"/>
    <x v="360"/>
    <x v="378"/>
    <x v="888"/>
  </r>
  <r>
    <x v="1533"/>
    <x v="424"/>
    <x v="1"/>
    <x v="1"/>
    <x v="3"/>
    <x v="0"/>
    <x v="15"/>
    <x v="1"/>
    <x v="1"/>
    <x v="0"/>
    <x v="2"/>
    <x v="5"/>
    <x v="0"/>
    <x v="1"/>
    <x v="12"/>
    <x v="16"/>
    <x v="11"/>
    <x v="291"/>
    <x v="260"/>
    <x v="972"/>
    <x v="557"/>
  </r>
  <r>
    <x v="1534"/>
    <x v="431"/>
    <x v="1"/>
    <x v="1"/>
    <x v="3"/>
    <x v="0"/>
    <x v="15"/>
    <x v="1"/>
    <x v="1"/>
    <x v="1"/>
    <x v="2"/>
    <x v="5"/>
    <x v="4"/>
    <x v="9"/>
    <x v="19"/>
    <x v="10"/>
    <x v="9"/>
    <x v="318"/>
    <x v="291"/>
    <x v="244"/>
    <x v="632"/>
  </r>
  <r>
    <x v="1535"/>
    <x v="411"/>
    <x v="1"/>
    <x v="1"/>
    <x v="3"/>
    <x v="0"/>
    <x v="15"/>
    <x v="1"/>
    <x v="1"/>
    <x v="0"/>
    <x v="2"/>
    <x v="5"/>
    <x v="4"/>
    <x v="9"/>
    <x v="11"/>
    <x v="10"/>
    <x v="9"/>
    <x v="170"/>
    <x v="169"/>
    <x v="793"/>
    <x v="259"/>
  </r>
  <r>
    <x v="1536"/>
    <x v="418"/>
    <x v="1"/>
    <x v="1"/>
    <x v="3"/>
    <x v="0"/>
    <x v="15"/>
    <x v="1"/>
    <x v="1"/>
    <x v="1"/>
    <x v="1"/>
    <x v="3"/>
    <x v="7"/>
    <x v="15"/>
    <x v="25"/>
    <x v="19"/>
    <x v="13"/>
    <x v="545"/>
    <x v="506"/>
    <x v="567"/>
    <x v="1050"/>
  </r>
  <r>
    <x v="1537"/>
    <x v="425"/>
    <x v="1"/>
    <x v="1"/>
    <x v="3"/>
    <x v="0"/>
    <x v="15"/>
    <x v="1"/>
    <x v="1"/>
    <x v="0"/>
    <x v="1"/>
    <x v="3"/>
    <x v="7"/>
    <x v="15"/>
    <x v="22"/>
    <x v="19"/>
    <x v="13"/>
    <x v="503"/>
    <x v="474"/>
    <x v="1147"/>
    <x v="860"/>
  </r>
  <r>
    <x v="1538"/>
    <x v="405"/>
    <x v="1"/>
    <x v="1"/>
    <x v="3"/>
    <x v="0"/>
    <x v="15"/>
    <x v="1"/>
    <x v="1"/>
    <x v="1"/>
    <x v="1"/>
    <x v="3"/>
    <x v="6"/>
    <x v="13"/>
    <x v="27"/>
    <x v="4"/>
    <x v="3"/>
    <x v="146"/>
    <x v="127"/>
    <x v="105"/>
    <x v="380"/>
  </r>
  <r>
    <x v="1539"/>
    <x v="412"/>
    <x v="1"/>
    <x v="1"/>
    <x v="3"/>
    <x v="0"/>
    <x v="15"/>
    <x v="1"/>
    <x v="1"/>
    <x v="0"/>
    <x v="1"/>
    <x v="3"/>
    <x v="6"/>
    <x v="13"/>
    <x v="21"/>
    <x v="4"/>
    <x v="3"/>
    <x v="96"/>
    <x v="83"/>
    <x v="653"/>
    <x v="195"/>
  </r>
  <r>
    <x v="1540"/>
    <x v="419"/>
    <x v="1"/>
    <x v="1"/>
    <x v="3"/>
    <x v="0"/>
    <x v="15"/>
    <x v="3"/>
    <x v="3"/>
    <x v="1"/>
    <x v="3"/>
    <x v="7"/>
    <x v="1"/>
    <x v="3"/>
    <x v="5"/>
    <x v="24"/>
    <x v="17"/>
    <x v="761"/>
    <x v="702"/>
    <x v="934"/>
    <x v="1377"/>
  </r>
  <r>
    <x v="1541"/>
    <x v="426"/>
    <x v="1"/>
    <x v="1"/>
    <x v="3"/>
    <x v="0"/>
    <x v="15"/>
    <x v="3"/>
    <x v="3"/>
    <x v="0"/>
    <x v="3"/>
    <x v="7"/>
    <x v="1"/>
    <x v="3"/>
    <x v="4"/>
    <x v="24"/>
    <x v="17"/>
    <x v="735"/>
    <x v="679"/>
    <x v="1281"/>
    <x v="1224"/>
  </r>
  <r>
    <x v="1542"/>
    <x v="406"/>
    <x v="1"/>
    <x v="1"/>
    <x v="3"/>
    <x v="0"/>
    <x v="15"/>
    <x v="3"/>
    <x v="3"/>
    <x v="1"/>
    <x v="3"/>
    <x v="7"/>
    <x v="2"/>
    <x v="5"/>
    <x v="4"/>
    <x v="21"/>
    <x v="15"/>
    <x v="434"/>
    <x v="442"/>
    <x v="418"/>
    <x v="782"/>
  </r>
  <r>
    <x v="1543"/>
    <x v="413"/>
    <x v="1"/>
    <x v="1"/>
    <x v="3"/>
    <x v="0"/>
    <x v="15"/>
    <x v="3"/>
    <x v="3"/>
    <x v="0"/>
    <x v="3"/>
    <x v="7"/>
    <x v="2"/>
    <x v="5"/>
    <x v="4"/>
    <x v="21"/>
    <x v="15"/>
    <x v="434"/>
    <x v="442"/>
    <x v="1101"/>
    <x v="645"/>
  </r>
  <r>
    <x v="1544"/>
    <x v="420"/>
    <x v="1"/>
    <x v="1"/>
    <x v="3"/>
    <x v="0"/>
    <x v="15"/>
    <x v="3"/>
    <x v="3"/>
    <x v="1"/>
    <x v="3"/>
    <x v="7"/>
    <x v="5"/>
    <x v="11"/>
    <x v="6"/>
    <x v="27"/>
    <x v="19"/>
    <x v="817"/>
    <x v="741"/>
    <x v="1082"/>
    <x v="1455"/>
  </r>
  <r>
    <x v="1545"/>
    <x v="427"/>
    <x v="1"/>
    <x v="1"/>
    <x v="3"/>
    <x v="0"/>
    <x v="15"/>
    <x v="3"/>
    <x v="3"/>
    <x v="0"/>
    <x v="3"/>
    <x v="7"/>
    <x v="5"/>
    <x v="11"/>
    <x v="3"/>
    <x v="27"/>
    <x v="19"/>
    <x v="758"/>
    <x v="709"/>
    <x v="1294"/>
    <x v="1157"/>
  </r>
  <r>
    <x v="1546"/>
    <x v="407"/>
    <x v="1"/>
    <x v="1"/>
    <x v="3"/>
    <x v="0"/>
    <x v="15"/>
    <x v="3"/>
    <x v="3"/>
    <x v="1"/>
    <x v="0"/>
    <x v="1"/>
    <x v="3"/>
    <x v="7"/>
    <x v="34"/>
    <x v="1"/>
    <x v="1"/>
    <x v="145"/>
    <x v="114"/>
    <x v="102"/>
    <x v="415"/>
  </r>
  <r>
    <x v="1547"/>
    <x v="414"/>
    <x v="1"/>
    <x v="1"/>
    <x v="3"/>
    <x v="0"/>
    <x v="15"/>
    <x v="3"/>
    <x v="3"/>
    <x v="0"/>
    <x v="0"/>
    <x v="1"/>
    <x v="3"/>
    <x v="7"/>
    <x v="23"/>
    <x v="1"/>
    <x v="1"/>
    <x v="71"/>
    <x v="58"/>
    <x v="594"/>
    <x v="169"/>
  </r>
  <r>
    <x v="1548"/>
    <x v="421"/>
    <x v="1"/>
    <x v="1"/>
    <x v="3"/>
    <x v="0"/>
    <x v="15"/>
    <x v="3"/>
    <x v="3"/>
    <x v="1"/>
    <x v="0"/>
    <x v="1"/>
    <x v="8"/>
    <x v="17"/>
    <x v="32"/>
    <x v="13"/>
    <x v="8"/>
    <x v="514"/>
    <x v="439"/>
    <x v="522"/>
    <x v="1116"/>
  </r>
  <r>
    <x v="1549"/>
    <x v="428"/>
    <x v="1"/>
    <x v="1"/>
    <x v="3"/>
    <x v="0"/>
    <x v="15"/>
    <x v="3"/>
    <x v="3"/>
    <x v="0"/>
    <x v="0"/>
    <x v="1"/>
    <x v="8"/>
    <x v="17"/>
    <x v="26"/>
    <x v="13"/>
    <x v="8"/>
    <x v="443"/>
    <x v="380"/>
    <x v="1107"/>
    <x v="904"/>
  </r>
  <r>
    <x v="1550"/>
    <x v="408"/>
    <x v="1"/>
    <x v="1"/>
    <x v="3"/>
    <x v="0"/>
    <x v="15"/>
    <x v="3"/>
    <x v="3"/>
    <x v="1"/>
    <x v="0"/>
    <x v="1"/>
    <x v="9"/>
    <x v="19"/>
    <x v="33"/>
    <x v="7"/>
    <x v="5"/>
    <x v="391"/>
    <x v="352"/>
    <x v="351"/>
    <x v="833"/>
  </r>
  <r>
    <x v="1551"/>
    <x v="415"/>
    <x v="1"/>
    <x v="1"/>
    <x v="3"/>
    <x v="0"/>
    <x v="15"/>
    <x v="3"/>
    <x v="3"/>
    <x v="0"/>
    <x v="0"/>
    <x v="1"/>
    <x v="9"/>
    <x v="19"/>
    <x v="19"/>
    <x v="7"/>
    <x v="5"/>
    <x v="227"/>
    <x v="210"/>
    <x v="871"/>
    <x v="416"/>
  </r>
  <r>
    <x v="1552"/>
    <x v="422"/>
    <x v="1"/>
    <x v="1"/>
    <x v="3"/>
    <x v="0"/>
    <x v="15"/>
    <x v="3"/>
    <x v="3"/>
    <x v="1"/>
    <x v="2"/>
    <x v="5"/>
    <x v="0"/>
    <x v="1"/>
    <x v="18"/>
    <x v="16"/>
    <x v="11"/>
    <x v="410"/>
    <x v="360"/>
    <x v="378"/>
    <x v="888"/>
  </r>
  <r>
    <x v="1553"/>
    <x v="429"/>
    <x v="1"/>
    <x v="1"/>
    <x v="3"/>
    <x v="0"/>
    <x v="15"/>
    <x v="3"/>
    <x v="3"/>
    <x v="0"/>
    <x v="2"/>
    <x v="5"/>
    <x v="0"/>
    <x v="1"/>
    <x v="10"/>
    <x v="16"/>
    <x v="11"/>
    <x v="245"/>
    <x v="219"/>
    <x v="898"/>
    <x v="469"/>
  </r>
  <r>
    <x v="1554"/>
    <x v="409"/>
    <x v="1"/>
    <x v="1"/>
    <x v="3"/>
    <x v="0"/>
    <x v="15"/>
    <x v="3"/>
    <x v="3"/>
    <x v="1"/>
    <x v="2"/>
    <x v="5"/>
    <x v="4"/>
    <x v="9"/>
    <x v="13"/>
    <x v="10"/>
    <x v="9"/>
    <x v="206"/>
    <x v="202"/>
    <x v="152"/>
    <x v="434"/>
  </r>
  <r>
    <x v="1555"/>
    <x v="416"/>
    <x v="1"/>
    <x v="1"/>
    <x v="3"/>
    <x v="0"/>
    <x v="15"/>
    <x v="3"/>
    <x v="3"/>
    <x v="0"/>
    <x v="2"/>
    <x v="5"/>
    <x v="4"/>
    <x v="9"/>
    <x v="9"/>
    <x v="10"/>
    <x v="9"/>
    <x v="125"/>
    <x v="131"/>
    <x v="707"/>
    <x v="192"/>
  </r>
  <r>
    <x v="1556"/>
    <x v="423"/>
    <x v="1"/>
    <x v="1"/>
    <x v="3"/>
    <x v="0"/>
    <x v="15"/>
    <x v="3"/>
    <x v="3"/>
    <x v="1"/>
    <x v="1"/>
    <x v="3"/>
    <x v="7"/>
    <x v="15"/>
    <x v="18"/>
    <x v="19"/>
    <x v="13"/>
    <x v="431"/>
    <x v="415"/>
    <x v="412"/>
    <x v="853"/>
  </r>
  <r>
    <x v="1557"/>
    <x v="430"/>
    <x v="1"/>
    <x v="1"/>
    <x v="3"/>
    <x v="0"/>
    <x v="15"/>
    <x v="3"/>
    <x v="3"/>
    <x v="0"/>
    <x v="1"/>
    <x v="3"/>
    <x v="7"/>
    <x v="15"/>
    <x v="12"/>
    <x v="19"/>
    <x v="13"/>
    <x v="328"/>
    <x v="307"/>
    <x v="1004"/>
    <x v="503"/>
  </r>
  <r>
    <x v="1558"/>
    <x v="410"/>
    <x v="1"/>
    <x v="1"/>
    <x v="3"/>
    <x v="0"/>
    <x v="15"/>
    <x v="3"/>
    <x v="3"/>
    <x v="1"/>
    <x v="1"/>
    <x v="3"/>
    <x v="6"/>
    <x v="13"/>
    <x v="21"/>
    <x v="4"/>
    <x v="3"/>
    <x v="96"/>
    <x v="83"/>
    <x v="62"/>
    <x v="246"/>
  </r>
  <r>
    <x v="1559"/>
    <x v="417"/>
    <x v="1"/>
    <x v="1"/>
    <x v="3"/>
    <x v="0"/>
    <x v="15"/>
    <x v="3"/>
    <x v="3"/>
    <x v="0"/>
    <x v="1"/>
    <x v="3"/>
    <x v="6"/>
    <x v="13"/>
    <x v="15"/>
    <x v="4"/>
    <x v="3"/>
    <x v="51"/>
    <x v="48"/>
    <x v="509"/>
    <x v="94"/>
  </r>
  <r>
    <x v="1560"/>
    <x v="424"/>
    <x v="1"/>
    <x v="1"/>
    <x v="3"/>
    <x v="0"/>
    <x v="15"/>
    <x v="2"/>
    <x v="2"/>
    <x v="1"/>
    <x v="3"/>
    <x v="7"/>
    <x v="1"/>
    <x v="3"/>
    <x v="3"/>
    <x v="24"/>
    <x v="17"/>
    <x v="693"/>
    <x v="653"/>
    <x v="787"/>
    <x v="1232"/>
  </r>
  <r>
    <x v="1561"/>
    <x v="431"/>
    <x v="1"/>
    <x v="1"/>
    <x v="3"/>
    <x v="0"/>
    <x v="15"/>
    <x v="2"/>
    <x v="2"/>
    <x v="0"/>
    <x v="3"/>
    <x v="7"/>
    <x v="1"/>
    <x v="3"/>
    <x v="2"/>
    <x v="24"/>
    <x v="17"/>
    <x v="628"/>
    <x v="600"/>
    <x v="1218"/>
    <x v="985"/>
  </r>
  <r>
    <x v="1562"/>
    <x v="411"/>
    <x v="1"/>
    <x v="1"/>
    <x v="3"/>
    <x v="0"/>
    <x v="15"/>
    <x v="2"/>
    <x v="2"/>
    <x v="1"/>
    <x v="3"/>
    <x v="7"/>
    <x v="2"/>
    <x v="5"/>
    <x v="3"/>
    <x v="21"/>
    <x v="15"/>
    <x v="374"/>
    <x v="385"/>
    <x v="332"/>
    <x v="655"/>
  </r>
  <r>
    <x v="1563"/>
    <x v="418"/>
    <x v="1"/>
    <x v="1"/>
    <x v="3"/>
    <x v="0"/>
    <x v="15"/>
    <x v="2"/>
    <x v="2"/>
    <x v="0"/>
    <x v="3"/>
    <x v="7"/>
    <x v="2"/>
    <x v="5"/>
    <x v="2"/>
    <x v="21"/>
    <x v="15"/>
    <x v="309"/>
    <x v="313"/>
    <x v="988"/>
    <x v="406"/>
  </r>
  <r>
    <x v="1564"/>
    <x v="425"/>
    <x v="1"/>
    <x v="1"/>
    <x v="3"/>
    <x v="0"/>
    <x v="15"/>
    <x v="2"/>
    <x v="2"/>
    <x v="1"/>
    <x v="3"/>
    <x v="7"/>
    <x v="5"/>
    <x v="11"/>
    <x v="3"/>
    <x v="27"/>
    <x v="19"/>
    <x v="758"/>
    <x v="709"/>
    <x v="922"/>
    <x v="1270"/>
  </r>
  <r>
    <x v="1565"/>
    <x v="405"/>
    <x v="1"/>
    <x v="1"/>
    <x v="3"/>
    <x v="0"/>
    <x v="15"/>
    <x v="2"/>
    <x v="2"/>
    <x v="0"/>
    <x v="3"/>
    <x v="7"/>
    <x v="5"/>
    <x v="11"/>
    <x v="3"/>
    <x v="27"/>
    <x v="19"/>
    <x v="758"/>
    <x v="709"/>
    <x v="1294"/>
    <x v="1157"/>
  </r>
  <r>
    <x v="1566"/>
    <x v="412"/>
    <x v="1"/>
    <x v="1"/>
    <x v="3"/>
    <x v="0"/>
    <x v="15"/>
    <x v="2"/>
    <x v="2"/>
    <x v="1"/>
    <x v="0"/>
    <x v="1"/>
    <x v="3"/>
    <x v="7"/>
    <x v="28"/>
    <x v="1"/>
    <x v="1"/>
    <x v="102"/>
    <x v="82"/>
    <x v="67"/>
    <x v="302"/>
  </r>
  <r>
    <x v="1567"/>
    <x v="419"/>
    <x v="1"/>
    <x v="1"/>
    <x v="3"/>
    <x v="0"/>
    <x v="15"/>
    <x v="2"/>
    <x v="2"/>
    <x v="0"/>
    <x v="0"/>
    <x v="1"/>
    <x v="3"/>
    <x v="7"/>
    <x v="16"/>
    <x v="1"/>
    <x v="1"/>
    <x v="35"/>
    <x v="30"/>
    <x v="427"/>
    <x v="75"/>
  </r>
  <r>
    <x v="1568"/>
    <x v="426"/>
    <x v="1"/>
    <x v="1"/>
    <x v="3"/>
    <x v="0"/>
    <x v="15"/>
    <x v="2"/>
    <x v="2"/>
    <x v="1"/>
    <x v="0"/>
    <x v="1"/>
    <x v="8"/>
    <x v="17"/>
    <x v="22"/>
    <x v="13"/>
    <x v="8"/>
    <x v="393"/>
    <x v="331"/>
    <x v="353"/>
    <x v="893"/>
  </r>
  <r>
    <x v="1569"/>
    <x v="406"/>
    <x v="1"/>
    <x v="1"/>
    <x v="3"/>
    <x v="0"/>
    <x v="15"/>
    <x v="2"/>
    <x v="2"/>
    <x v="0"/>
    <x v="0"/>
    <x v="1"/>
    <x v="8"/>
    <x v="17"/>
    <x v="15"/>
    <x v="13"/>
    <x v="8"/>
    <x v="279"/>
    <x v="234"/>
    <x v="952"/>
    <x v="576"/>
  </r>
  <r>
    <x v="1570"/>
    <x v="413"/>
    <x v="1"/>
    <x v="1"/>
    <x v="3"/>
    <x v="0"/>
    <x v="15"/>
    <x v="2"/>
    <x v="2"/>
    <x v="1"/>
    <x v="0"/>
    <x v="1"/>
    <x v="9"/>
    <x v="19"/>
    <x v="27"/>
    <x v="7"/>
    <x v="5"/>
    <x v="335"/>
    <x v="296"/>
    <x v="267"/>
    <x v="714"/>
  </r>
  <r>
    <x v="1571"/>
    <x v="420"/>
    <x v="1"/>
    <x v="1"/>
    <x v="3"/>
    <x v="0"/>
    <x v="15"/>
    <x v="2"/>
    <x v="2"/>
    <x v="0"/>
    <x v="0"/>
    <x v="1"/>
    <x v="9"/>
    <x v="19"/>
    <x v="19"/>
    <x v="7"/>
    <x v="5"/>
    <x v="227"/>
    <x v="210"/>
    <x v="871"/>
    <x v="416"/>
  </r>
  <r>
    <x v="1572"/>
    <x v="427"/>
    <x v="1"/>
    <x v="1"/>
    <x v="3"/>
    <x v="0"/>
    <x v="15"/>
    <x v="2"/>
    <x v="2"/>
    <x v="1"/>
    <x v="2"/>
    <x v="5"/>
    <x v="0"/>
    <x v="1"/>
    <x v="11"/>
    <x v="16"/>
    <x v="11"/>
    <x v="267"/>
    <x v="240"/>
    <x v="203"/>
    <x v="594"/>
  </r>
  <r>
    <x v="1573"/>
    <x v="407"/>
    <x v="1"/>
    <x v="1"/>
    <x v="3"/>
    <x v="0"/>
    <x v="15"/>
    <x v="2"/>
    <x v="2"/>
    <x v="0"/>
    <x v="2"/>
    <x v="5"/>
    <x v="0"/>
    <x v="1"/>
    <x v="8"/>
    <x v="16"/>
    <x v="11"/>
    <x v="190"/>
    <x v="172"/>
    <x v="827"/>
    <x v="356"/>
  </r>
  <r>
    <x v="1574"/>
    <x v="414"/>
    <x v="1"/>
    <x v="1"/>
    <x v="3"/>
    <x v="0"/>
    <x v="15"/>
    <x v="2"/>
    <x v="2"/>
    <x v="1"/>
    <x v="2"/>
    <x v="5"/>
    <x v="4"/>
    <x v="9"/>
    <x v="10"/>
    <x v="10"/>
    <x v="9"/>
    <x v="148"/>
    <x v="151"/>
    <x v="106"/>
    <x v="297"/>
  </r>
  <r>
    <x v="1575"/>
    <x v="421"/>
    <x v="1"/>
    <x v="1"/>
    <x v="3"/>
    <x v="0"/>
    <x v="15"/>
    <x v="2"/>
    <x v="2"/>
    <x v="0"/>
    <x v="2"/>
    <x v="5"/>
    <x v="4"/>
    <x v="9"/>
    <x v="7"/>
    <x v="10"/>
    <x v="9"/>
    <x v="88"/>
    <x v="94"/>
    <x v="627"/>
    <x v="123"/>
  </r>
  <r>
    <x v="1576"/>
    <x v="428"/>
    <x v="1"/>
    <x v="1"/>
    <x v="3"/>
    <x v="0"/>
    <x v="15"/>
    <x v="2"/>
    <x v="2"/>
    <x v="1"/>
    <x v="1"/>
    <x v="3"/>
    <x v="7"/>
    <x v="15"/>
    <x v="15"/>
    <x v="19"/>
    <x v="13"/>
    <x v="381"/>
    <x v="365"/>
    <x v="338"/>
    <x v="741"/>
  </r>
  <r>
    <x v="1577"/>
    <x v="408"/>
    <x v="1"/>
    <x v="1"/>
    <x v="3"/>
    <x v="0"/>
    <x v="15"/>
    <x v="2"/>
    <x v="2"/>
    <x v="0"/>
    <x v="1"/>
    <x v="3"/>
    <x v="7"/>
    <x v="15"/>
    <x v="11"/>
    <x v="19"/>
    <x v="13"/>
    <x v="295"/>
    <x v="288"/>
    <x v="976"/>
    <x v="465"/>
  </r>
  <r>
    <x v="1578"/>
    <x v="415"/>
    <x v="1"/>
    <x v="1"/>
    <x v="3"/>
    <x v="0"/>
    <x v="15"/>
    <x v="2"/>
    <x v="2"/>
    <x v="1"/>
    <x v="1"/>
    <x v="3"/>
    <x v="6"/>
    <x v="13"/>
    <x v="16"/>
    <x v="4"/>
    <x v="3"/>
    <x v="56"/>
    <x v="53"/>
    <x v="30"/>
    <x v="153"/>
  </r>
  <r>
    <x v="1579"/>
    <x v="422"/>
    <x v="1"/>
    <x v="1"/>
    <x v="3"/>
    <x v="0"/>
    <x v="15"/>
    <x v="2"/>
    <x v="2"/>
    <x v="0"/>
    <x v="1"/>
    <x v="3"/>
    <x v="6"/>
    <x v="13"/>
    <x v="8"/>
    <x v="4"/>
    <x v="3"/>
    <x v="11"/>
    <x v="12"/>
    <x v="259"/>
    <x v="20"/>
  </r>
  <r>
    <x v="1580"/>
    <x v="429"/>
    <x v="1"/>
    <x v="1"/>
    <x v="3"/>
    <x v="0"/>
    <x v="15"/>
    <x v="4"/>
    <x v="4"/>
    <x v="1"/>
    <x v="3"/>
    <x v="7"/>
    <x v="1"/>
    <x v="3"/>
    <x v="3"/>
    <x v="24"/>
    <x v="17"/>
    <x v="693"/>
    <x v="653"/>
    <x v="787"/>
    <x v="1232"/>
  </r>
  <r>
    <x v="1581"/>
    <x v="409"/>
    <x v="1"/>
    <x v="1"/>
    <x v="3"/>
    <x v="0"/>
    <x v="15"/>
    <x v="4"/>
    <x v="4"/>
    <x v="0"/>
    <x v="3"/>
    <x v="7"/>
    <x v="1"/>
    <x v="3"/>
    <x v="1"/>
    <x v="24"/>
    <x v="17"/>
    <x v="542"/>
    <x v="530"/>
    <x v="1168"/>
    <x v="806"/>
  </r>
  <r>
    <x v="1582"/>
    <x v="416"/>
    <x v="1"/>
    <x v="1"/>
    <x v="3"/>
    <x v="0"/>
    <x v="15"/>
    <x v="4"/>
    <x v="4"/>
    <x v="1"/>
    <x v="3"/>
    <x v="7"/>
    <x v="2"/>
    <x v="5"/>
    <x v="4"/>
    <x v="21"/>
    <x v="15"/>
    <x v="434"/>
    <x v="442"/>
    <x v="418"/>
    <x v="782"/>
  </r>
  <r>
    <x v="1583"/>
    <x v="423"/>
    <x v="1"/>
    <x v="1"/>
    <x v="3"/>
    <x v="0"/>
    <x v="15"/>
    <x v="4"/>
    <x v="4"/>
    <x v="0"/>
    <x v="3"/>
    <x v="7"/>
    <x v="2"/>
    <x v="5"/>
    <x v="2"/>
    <x v="21"/>
    <x v="15"/>
    <x v="309"/>
    <x v="313"/>
    <x v="988"/>
    <x v="406"/>
  </r>
  <r>
    <x v="1584"/>
    <x v="430"/>
    <x v="1"/>
    <x v="1"/>
    <x v="3"/>
    <x v="0"/>
    <x v="15"/>
    <x v="4"/>
    <x v="4"/>
    <x v="1"/>
    <x v="3"/>
    <x v="7"/>
    <x v="5"/>
    <x v="11"/>
    <x v="3"/>
    <x v="27"/>
    <x v="19"/>
    <x v="758"/>
    <x v="709"/>
    <x v="922"/>
    <x v="1270"/>
  </r>
  <r>
    <x v="1585"/>
    <x v="410"/>
    <x v="1"/>
    <x v="1"/>
    <x v="3"/>
    <x v="0"/>
    <x v="15"/>
    <x v="4"/>
    <x v="4"/>
    <x v="0"/>
    <x v="3"/>
    <x v="7"/>
    <x v="5"/>
    <x v="11"/>
    <x v="2"/>
    <x v="27"/>
    <x v="19"/>
    <x v="717"/>
    <x v="681"/>
    <x v="1268"/>
    <x v="1006"/>
  </r>
  <r>
    <x v="1586"/>
    <x v="417"/>
    <x v="1"/>
    <x v="1"/>
    <x v="3"/>
    <x v="0"/>
    <x v="15"/>
    <x v="4"/>
    <x v="4"/>
    <x v="1"/>
    <x v="0"/>
    <x v="1"/>
    <x v="3"/>
    <x v="7"/>
    <x v="26"/>
    <x v="1"/>
    <x v="1"/>
    <x v="93"/>
    <x v="73"/>
    <x v="58"/>
    <x v="270"/>
  </r>
  <r>
    <x v="1587"/>
    <x v="424"/>
    <x v="1"/>
    <x v="1"/>
    <x v="3"/>
    <x v="0"/>
    <x v="15"/>
    <x v="4"/>
    <x v="4"/>
    <x v="0"/>
    <x v="0"/>
    <x v="1"/>
    <x v="3"/>
    <x v="7"/>
    <x v="14"/>
    <x v="1"/>
    <x v="1"/>
    <x v="23"/>
    <x v="23"/>
    <x v="373"/>
    <x v="57"/>
  </r>
  <r>
    <x v="1588"/>
    <x v="431"/>
    <x v="1"/>
    <x v="1"/>
    <x v="3"/>
    <x v="0"/>
    <x v="15"/>
    <x v="4"/>
    <x v="4"/>
    <x v="1"/>
    <x v="0"/>
    <x v="1"/>
    <x v="8"/>
    <x v="17"/>
    <x v="28"/>
    <x v="13"/>
    <x v="8"/>
    <x v="472"/>
    <x v="401"/>
    <x v="453"/>
    <x v="1037"/>
  </r>
  <r>
    <x v="1589"/>
    <x v="411"/>
    <x v="1"/>
    <x v="1"/>
    <x v="3"/>
    <x v="0"/>
    <x v="15"/>
    <x v="4"/>
    <x v="4"/>
    <x v="0"/>
    <x v="0"/>
    <x v="1"/>
    <x v="8"/>
    <x v="17"/>
    <x v="20"/>
    <x v="13"/>
    <x v="8"/>
    <x v="363"/>
    <x v="301"/>
    <x v="1047"/>
    <x v="746"/>
  </r>
  <r>
    <x v="1590"/>
    <x v="418"/>
    <x v="1"/>
    <x v="1"/>
    <x v="3"/>
    <x v="0"/>
    <x v="15"/>
    <x v="4"/>
    <x v="4"/>
    <x v="1"/>
    <x v="0"/>
    <x v="1"/>
    <x v="9"/>
    <x v="19"/>
    <x v="29"/>
    <x v="7"/>
    <x v="5"/>
    <x v="352"/>
    <x v="315"/>
    <x v="300"/>
    <x v="753"/>
  </r>
  <r>
    <x v="1591"/>
    <x v="425"/>
    <x v="1"/>
    <x v="1"/>
    <x v="3"/>
    <x v="0"/>
    <x v="15"/>
    <x v="4"/>
    <x v="4"/>
    <x v="0"/>
    <x v="0"/>
    <x v="1"/>
    <x v="9"/>
    <x v="19"/>
    <x v="19"/>
    <x v="7"/>
    <x v="5"/>
    <x v="227"/>
    <x v="210"/>
    <x v="871"/>
    <x v="416"/>
  </r>
  <r>
    <x v="1592"/>
    <x v="405"/>
    <x v="1"/>
    <x v="1"/>
    <x v="3"/>
    <x v="0"/>
    <x v="15"/>
    <x v="4"/>
    <x v="4"/>
    <x v="1"/>
    <x v="2"/>
    <x v="5"/>
    <x v="0"/>
    <x v="1"/>
    <x v="12"/>
    <x v="16"/>
    <x v="11"/>
    <x v="291"/>
    <x v="260"/>
    <x v="227"/>
    <x v="647"/>
  </r>
  <r>
    <x v="1593"/>
    <x v="412"/>
    <x v="1"/>
    <x v="1"/>
    <x v="3"/>
    <x v="0"/>
    <x v="15"/>
    <x v="4"/>
    <x v="4"/>
    <x v="0"/>
    <x v="2"/>
    <x v="5"/>
    <x v="0"/>
    <x v="1"/>
    <x v="6"/>
    <x v="16"/>
    <x v="11"/>
    <x v="133"/>
    <x v="121"/>
    <x v="721"/>
    <x v="241"/>
  </r>
  <r>
    <x v="1594"/>
    <x v="419"/>
    <x v="1"/>
    <x v="1"/>
    <x v="3"/>
    <x v="0"/>
    <x v="15"/>
    <x v="4"/>
    <x v="4"/>
    <x v="1"/>
    <x v="2"/>
    <x v="5"/>
    <x v="4"/>
    <x v="9"/>
    <x v="11"/>
    <x v="10"/>
    <x v="9"/>
    <x v="170"/>
    <x v="169"/>
    <x v="123"/>
    <x v="340"/>
  </r>
  <r>
    <x v="1595"/>
    <x v="426"/>
    <x v="1"/>
    <x v="1"/>
    <x v="3"/>
    <x v="0"/>
    <x v="15"/>
    <x v="4"/>
    <x v="4"/>
    <x v="0"/>
    <x v="2"/>
    <x v="5"/>
    <x v="4"/>
    <x v="9"/>
    <x v="6"/>
    <x v="10"/>
    <x v="9"/>
    <x v="69"/>
    <x v="77"/>
    <x v="580"/>
    <x v="90"/>
  </r>
  <r>
    <x v="1596"/>
    <x v="406"/>
    <x v="1"/>
    <x v="1"/>
    <x v="3"/>
    <x v="0"/>
    <x v="15"/>
    <x v="4"/>
    <x v="4"/>
    <x v="1"/>
    <x v="1"/>
    <x v="3"/>
    <x v="7"/>
    <x v="15"/>
    <x v="12"/>
    <x v="19"/>
    <x v="13"/>
    <x v="328"/>
    <x v="307"/>
    <x v="254"/>
    <x v="609"/>
  </r>
  <r>
    <x v="1597"/>
    <x v="413"/>
    <x v="1"/>
    <x v="1"/>
    <x v="3"/>
    <x v="0"/>
    <x v="15"/>
    <x v="4"/>
    <x v="4"/>
    <x v="0"/>
    <x v="1"/>
    <x v="3"/>
    <x v="7"/>
    <x v="15"/>
    <x v="9"/>
    <x v="19"/>
    <x v="13"/>
    <x v="242"/>
    <x v="243"/>
    <x v="889"/>
    <x v="369"/>
  </r>
  <r>
    <x v="1598"/>
    <x v="420"/>
    <x v="1"/>
    <x v="1"/>
    <x v="3"/>
    <x v="0"/>
    <x v="15"/>
    <x v="4"/>
    <x v="4"/>
    <x v="1"/>
    <x v="1"/>
    <x v="3"/>
    <x v="6"/>
    <x v="13"/>
    <x v="14"/>
    <x v="4"/>
    <x v="3"/>
    <x v="44"/>
    <x v="43"/>
    <x v="21"/>
    <x v="117"/>
  </r>
  <r>
    <x v="1599"/>
    <x v="427"/>
    <x v="1"/>
    <x v="1"/>
    <x v="3"/>
    <x v="0"/>
    <x v="15"/>
    <x v="4"/>
    <x v="4"/>
    <x v="0"/>
    <x v="1"/>
    <x v="3"/>
    <x v="6"/>
    <x v="13"/>
    <x v="8"/>
    <x v="4"/>
    <x v="3"/>
    <x v="11"/>
    <x v="12"/>
    <x v="259"/>
    <x v="20"/>
  </r>
  <r>
    <x v="1600"/>
    <x v="434"/>
    <x v="1"/>
    <x v="1"/>
    <x v="4"/>
    <x v="8"/>
    <x v="16"/>
    <x v="0"/>
    <x v="0"/>
    <x v="1"/>
    <x v="3"/>
    <x v="7"/>
    <x v="1"/>
    <x v="3"/>
    <x v="21"/>
    <x v="24"/>
    <x v="17"/>
    <x v="866"/>
    <x v="772"/>
    <x v="1234"/>
    <x v="1602"/>
  </r>
  <r>
    <x v="1601"/>
    <x v="441"/>
    <x v="1"/>
    <x v="1"/>
    <x v="4"/>
    <x v="8"/>
    <x v="16"/>
    <x v="0"/>
    <x v="0"/>
    <x v="0"/>
    <x v="3"/>
    <x v="7"/>
    <x v="1"/>
    <x v="3"/>
    <x v="13"/>
    <x v="24"/>
    <x v="17"/>
    <x v="840"/>
    <x v="749"/>
    <x v="1328"/>
    <x v="1534"/>
  </r>
  <r>
    <x v="1602"/>
    <x v="448"/>
    <x v="1"/>
    <x v="1"/>
    <x v="4"/>
    <x v="8"/>
    <x v="16"/>
    <x v="0"/>
    <x v="0"/>
    <x v="1"/>
    <x v="3"/>
    <x v="7"/>
    <x v="2"/>
    <x v="5"/>
    <x v="18"/>
    <x v="21"/>
    <x v="15"/>
    <x v="777"/>
    <x v="706"/>
    <x v="961"/>
    <x v="1423"/>
  </r>
  <r>
    <x v="1603"/>
    <x v="455"/>
    <x v="1"/>
    <x v="1"/>
    <x v="4"/>
    <x v="8"/>
    <x v="16"/>
    <x v="0"/>
    <x v="0"/>
    <x v="0"/>
    <x v="3"/>
    <x v="7"/>
    <x v="2"/>
    <x v="5"/>
    <x v="14"/>
    <x v="21"/>
    <x v="15"/>
    <x v="736"/>
    <x v="672"/>
    <x v="1281"/>
    <x v="1248"/>
  </r>
  <r>
    <x v="1604"/>
    <x v="435"/>
    <x v="1"/>
    <x v="1"/>
    <x v="4"/>
    <x v="8"/>
    <x v="16"/>
    <x v="0"/>
    <x v="0"/>
    <x v="1"/>
    <x v="3"/>
    <x v="7"/>
    <x v="5"/>
    <x v="11"/>
    <x v="18"/>
    <x v="27"/>
    <x v="19"/>
    <x v="876"/>
    <x v="783"/>
    <x v="1262"/>
    <x v="1597"/>
  </r>
  <r>
    <x v="1605"/>
    <x v="442"/>
    <x v="1"/>
    <x v="1"/>
    <x v="4"/>
    <x v="8"/>
    <x v="16"/>
    <x v="0"/>
    <x v="0"/>
    <x v="0"/>
    <x v="3"/>
    <x v="7"/>
    <x v="5"/>
    <x v="11"/>
    <x v="11"/>
    <x v="27"/>
    <x v="19"/>
    <x v="850"/>
    <x v="764"/>
    <x v="1334"/>
    <x v="1514"/>
  </r>
  <r>
    <x v="1606"/>
    <x v="449"/>
    <x v="1"/>
    <x v="1"/>
    <x v="4"/>
    <x v="8"/>
    <x v="16"/>
    <x v="0"/>
    <x v="0"/>
    <x v="1"/>
    <x v="0"/>
    <x v="1"/>
    <x v="3"/>
    <x v="7"/>
    <x v="101"/>
    <x v="1"/>
    <x v="1"/>
    <x v="484"/>
    <x v="400"/>
    <x v="479"/>
    <x v="1095"/>
  </r>
  <r>
    <x v="1607"/>
    <x v="456"/>
    <x v="1"/>
    <x v="1"/>
    <x v="4"/>
    <x v="8"/>
    <x v="16"/>
    <x v="0"/>
    <x v="0"/>
    <x v="0"/>
    <x v="0"/>
    <x v="1"/>
    <x v="3"/>
    <x v="7"/>
    <x v="59"/>
    <x v="1"/>
    <x v="1"/>
    <x v="303"/>
    <x v="237"/>
    <x v="981"/>
    <x v="646"/>
  </r>
  <r>
    <x v="1608"/>
    <x v="436"/>
    <x v="1"/>
    <x v="1"/>
    <x v="4"/>
    <x v="8"/>
    <x v="16"/>
    <x v="0"/>
    <x v="0"/>
    <x v="1"/>
    <x v="0"/>
    <x v="1"/>
    <x v="8"/>
    <x v="17"/>
    <x v="79"/>
    <x v="13"/>
    <x v="8"/>
    <x v="755"/>
    <x v="661"/>
    <x v="919"/>
    <x v="1484"/>
  </r>
  <r>
    <x v="1609"/>
    <x v="443"/>
    <x v="1"/>
    <x v="1"/>
    <x v="4"/>
    <x v="8"/>
    <x v="16"/>
    <x v="0"/>
    <x v="0"/>
    <x v="0"/>
    <x v="0"/>
    <x v="1"/>
    <x v="8"/>
    <x v="17"/>
    <x v="69"/>
    <x v="13"/>
    <x v="8"/>
    <x v="728"/>
    <x v="633"/>
    <x v="1276"/>
    <x v="1393"/>
  </r>
  <r>
    <x v="1610"/>
    <x v="450"/>
    <x v="1"/>
    <x v="1"/>
    <x v="4"/>
    <x v="8"/>
    <x v="16"/>
    <x v="0"/>
    <x v="0"/>
    <x v="1"/>
    <x v="0"/>
    <x v="1"/>
    <x v="9"/>
    <x v="19"/>
    <x v="73"/>
    <x v="7"/>
    <x v="5"/>
    <x v="650"/>
    <x v="578"/>
    <x v="714"/>
    <x v="1282"/>
  </r>
  <r>
    <x v="1611"/>
    <x v="457"/>
    <x v="1"/>
    <x v="1"/>
    <x v="4"/>
    <x v="8"/>
    <x v="16"/>
    <x v="0"/>
    <x v="0"/>
    <x v="0"/>
    <x v="0"/>
    <x v="1"/>
    <x v="9"/>
    <x v="19"/>
    <x v="70"/>
    <x v="7"/>
    <x v="5"/>
    <x v="629"/>
    <x v="562"/>
    <x v="1219"/>
    <x v="1186"/>
  </r>
  <r>
    <x v="1612"/>
    <x v="437"/>
    <x v="1"/>
    <x v="1"/>
    <x v="4"/>
    <x v="8"/>
    <x v="16"/>
    <x v="0"/>
    <x v="0"/>
    <x v="1"/>
    <x v="2"/>
    <x v="5"/>
    <x v="0"/>
    <x v="1"/>
    <x v="41"/>
    <x v="16"/>
    <x v="11"/>
    <x v="657"/>
    <x v="581"/>
    <x v="728"/>
    <x v="1307"/>
  </r>
  <r>
    <x v="1613"/>
    <x v="444"/>
    <x v="1"/>
    <x v="1"/>
    <x v="4"/>
    <x v="8"/>
    <x v="16"/>
    <x v="0"/>
    <x v="0"/>
    <x v="0"/>
    <x v="2"/>
    <x v="5"/>
    <x v="0"/>
    <x v="1"/>
    <x v="23"/>
    <x v="16"/>
    <x v="11"/>
    <x v="489"/>
    <x v="430"/>
    <x v="1137"/>
    <x v="928"/>
  </r>
  <r>
    <x v="1614"/>
    <x v="451"/>
    <x v="1"/>
    <x v="1"/>
    <x v="4"/>
    <x v="8"/>
    <x v="16"/>
    <x v="0"/>
    <x v="0"/>
    <x v="1"/>
    <x v="2"/>
    <x v="5"/>
    <x v="4"/>
    <x v="9"/>
    <x v="33"/>
    <x v="10"/>
    <x v="9"/>
    <x v="485"/>
    <x v="450"/>
    <x v="481"/>
    <x v="969"/>
  </r>
  <r>
    <x v="1615"/>
    <x v="458"/>
    <x v="1"/>
    <x v="1"/>
    <x v="4"/>
    <x v="8"/>
    <x v="16"/>
    <x v="0"/>
    <x v="0"/>
    <x v="0"/>
    <x v="2"/>
    <x v="5"/>
    <x v="4"/>
    <x v="9"/>
    <x v="29"/>
    <x v="10"/>
    <x v="9"/>
    <x v="440"/>
    <x v="414"/>
    <x v="1103"/>
    <x v="792"/>
  </r>
  <r>
    <x v="1616"/>
    <x v="438"/>
    <x v="1"/>
    <x v="1"/>
    <x v="4"/>
    <x v="8"/>
    <x v="16"/>
    <x v="0"/>
    <x v="0"/>
    <x v="1"/>
    <x v="1"/>
    <x v="3"/>
    <x v="7"/>
    <x v="15"/>
    <x v="56"/>
    <x v="19"/>
    <x v="13"/>
    <x v="750"/>
    <x v="676"/>
    <x v="887"/>
    <x v="1405"/>
  </r>
  <r>
    <x v="1617"/>
    <x v="445"/>
    <x v="1"/>
    <x v="1"/>
    <x v="4"/>
    <x v="8"/>
    <x v="16"/>
    <x v="0"/>
    <x v="0"/>
    <x v="0"/>
    <x v="1"/>
    <x v="3"/>
    <x v="7"/>
    <x v="15"/>
    <x v="35"/>
    <x v="19"/>
    <x v="13"/>
    <x v="640"/>
    <x v="586"/>
    <x v="1226"/>
    <x v="1144"/>
  </r>
  <r>
    <x v="1618"/>
    <x v="452"/>
    <x v="1"/>
    <x v="1"/>
    <x v="4"/>
    <x v="8"/>
    <x v="16"/>
    <x v="0"/>
    <x v="0"/>
    <x v="1"/>
    <x v="1"/>
    <x v="3"/>
    <x v="6"/>
    <x v="13"/>
    <x v="61"/>
    <x v="4"/>
    <x v="3"/>
    <x v="378"/>
    <x v="324"/>
    <x v="336"/>
    <x v="864"/>
  </r>
  <r>
    <x v="1619"/>
    <x v="432"/>
    <x v="1"/>
    <x v="1"/>
    <x v="4"/>
    <x v="8"/>
    <x v="16"/>
    <x v="0"/>
    <x v="0"/>
    <x v="0"/>
    <x v="1"/>
    <x v="3"/>
    <x v="6"/>
    <x v="13"/>
    <x v="40"/>
    <x v="4"/>
    <x v="3"/>
    <x v="253"/>
    <x v="214"/>
    <x v="911"/>
    <x v="509"/>
  </r>
  <r>
    <x v="1620"/>
    <x v="439"/>
    <x v="1"/>
    <x v="1"/>
    <x v="4"/>
    <x v="8"/>
    <x v="16"/>
    <x v="1"/>
    <x v="1"/>
    <x v="1"/>
    <x v="3"/>
    <x v="7"/>
    <x v="1"/>
    <x v="3"/>
    <x v="12"/>
    <x v="24"/>
    <x v="17"/>
    <x v="836"/>
    <x v="747"/>
    <x v="1143"/>
    <x v="1557"/>
  </r>
  <r>
    <x v="1621"/>
    <x v="446"/>
    <x v="1"/>
    <x v="1"/>
    <x v="4"/>
    <x v="8"/>
    <x v="16"/>
    <x v="1"/>
    <x v="1"/>
    <x v="0"/>
    <x v="3"/>
    <x v="7"/>
    <x v="1"/>
    <x v="3"/>
    <x v="6"/>
    <x v="24"/>
    <x v="17"/>
    <x v="786"/>
    <x v="715"/>
    <x v="1302"/>
    <x v="1343"/>
  </r>
  <r>
    <x v="1622"/>
    <x v="453"/>
    <x v="1"/>
    <x v="1"/>
    <x v="4"/>
    <x v="8"/>
    <x v="16"/>
    <x v="1"/>
    <x v="1"/>
    <x v="1"/>
    <x v="3"/>
    <x v="7"/>
    <x v="2"/>
    <x v="5"/>
    <x v="9"/>
    <x v="21"/>
    <x v="15"/>
    <x v="638"/>
    <x v="603"/>
    <x v="697"/>
    <x v="1165"/>
  </r>
  <r>
    <x v="1623"/>
    <x v="433"/>
    <x v="1"/>
    <x v="1"/>
    <x v="4"/>
    <x v="8"/>
    <x v="16"/>
    <x v="1"/>
    <x v="1"/>
    <x v="0"/>
    <x v="3"/>
    <x v="7"/>
    <x v="2"/>
    <x v="5"/>
    <x v="7"/>
    <x v="21"/>
    <x v="15"/>
    <x v="579"/>
    <x v="556"/>
    <x v="1191"/>
    <x v="910"/>
  </r>
  <r>
    <x v="1624"/>
    <x v="440"/>
    <x v="1"/>
    <x v="1"/>
    <x v="4"/>
    <x v="8"/>
    <x v="16"/>
    <x v="1"/>
    <x v="1"/>
    <x v="1"/>
    <x v="3"/>
    <x v="7"/>
    <x v="5"/>
    <x v="11"/>
    <x v="9"/>
    <x v="27"/>
    <x v="19"/>
    <x v="841"/>
    <x v="754"/>
    <x v="1160"/>
    <x v="1532"/>
  </r>
  <r>
    <x v="1625"/>
    <x v="447"/>
    <x v="1"/>
    <x v="1"/>
    <x v="4"/>
    <x v="8"/>
    <x v="16"/>
    <x v="1"/>
    <x v="1"/>
    <x v="0"/>
    <x v="3"/>
    <x v="7"/>
    <x v="5"/>
    <x v="11"/>
    <x v="7"/>
    <x v="27"/>
    <x v="19"/>
    <x v="827"/>
    <x v="745"/>
    <x v="1324"/>
    <x v="1404"/>
  </r>
  <r>
    <x v="1626"/>
    <x v="454"/>
    <x v="1"/>
    <x v="1"/>
    <x v="4"/>
    <x v="8"/>
    <x v="16"/>
    <x v="1"/>
    <x v="1"/>
    <x v="1"/>
    <x v="0"/>
    <x v="1"/>
    <x v="3"/>
    <x v="7"/>
    <x v="46"/>
    <x v="1"/>
    <x v="1"/>
    <x v="223"/>
    <x v="176"/>
    <x v="168"/>
    <x v="580"/>
  </r>
  <r>
    <x v="1627"/>
    <x v="434"/>
    <x v="1"/>
    <x v="1"/>
    <x v="4"/>
    <x v="8"/>
    <x v="16"/>
    <x v="1"/>
    <x v="1"/>
    <x v="0"/>
    <x v="0"/>
    <x v="1"/>
    <x v="3"/>
    <x v="7"/>
    <x v="37"/>
    <x v="1"/>
    <x v="1"/>
    <x v="167"/>
    <x v="130"/>
    <x v="780"/>
    <x v="385"/>
  </r>
  <r>
    <x v="1628"/>
    <x v="441"/>
    <x v="1"/>
    <x v="1"/>
    <x v="4"/>
    <x v="8"/>
    <x v="16"/>
    <x v="1"/>
    <x v="1"/>
    <x v="1"/>
    <x v="0"/>
    <x v="1"/>
    <x v="8"/>
    <x v="17"/>
    <x v="44"/>
    <x v="13"/>
    <x v="8"/>
    <x v="615"/>
    <x v="526"/>
    <x v="657"/>
    <x v="1264"/>
  </r>
  <r>
    <x v="1629"/>
    <x v="448"/>
    <x v="1"/>
    <x v="1"/>
    <x v="4"/>
    <x v="8"/>
    <x v="16"/>
    <x v="1"/>
    <x v="1"/>
    <x v="0"/>
    <x v="0"/>
    <x v="1"/>
    <x v="8"/>
    <x v="17"/>
    <x v="32"/>
    <x v="13"/>
    <x v="8"/>
    <x v="514"/>
    <x v="439"/>
    <x v="1157"/>
    <x v="1028"/>
  </r>
  <r>
    <x v="1630"/>
    <x v="455"/>
    <x v="1"/>
    <x v="1"/>
    <x v="4"/>
    <x v="8"/>
    <x v="16"/>
    <x v="1"/>
    <x v="1"/>
    <x v="1"/>
    <x v="0"/>
    <x v="1"/>
    <x v="9"/>
    <x v="19"/>
    <x v="47"/>
    <x v="7"/>
    <x v="5"/>
    <x v="509"/>
    <x v="460"/>
    <x v="514"/>
    <x v="1055"/>
  </r>
  <r>
    <x v="1631"/>
    <x v="435"/>
    <x v="1"/>
    <x v="1"/>
    <x v="4"/>
    <x v="8"/>
    <x v="16"/>
    <x v="1"/>
    <x v="1"/>
    <x v="0"/>
    <x v="0"/>
    <x v="1"/>
    <x v="9"/>
    <x v="19"/>
    <x v="29"/>
    <x v="7"/>
    <x v="5"/>
    <x v="352"/>
    <x v="315"/>
    <x v="1031"/>
    <x v="642"/>
  </r>
  <r>
    <x v="1632"/>
    <x v="442"/>
    <x v="1"/>
    <x v="1"/>
    <x v="4"/>
    <x v="8"/>
    <x v="16"/>
    <x v="1"/>
    <x v="1"/>
    <x v="1"/>
    <x v="2"/>
    <x v="5"/>
    <x v="0"/>
    <x v="1"/>
    <x v="23"/>
    <x v="16"/>
    <x v="11"/>
    <x v="489"/>
    <x v="430"/>
    <x v="485"/>
    <x v="1032"/>
  </r>
  <r>
    <x v="1633"/>
    <x v="449"/>
    <x v="1"/>
    <x v="1"/>
    <x v="4"/>
    <x v="8"/>
    <x v="16"/>
    <x v="1"/>
    <x v="1"/>
    <x v="0"/>
    <x v="2"/>
    <x v="5"/>
    <x v="0"/>
    <x v="1"/>
    <x v="14"/>
    <x v="16"/>
    <x v="11"/>
    <x v="341"/>
    <x v="292"/>
    <x v="1021"/>
    <x v="640"/>
  </r>
  <r>
    <x v="1634"/>
    <x v="456"/>
    <x v="1"/>
    <x v="1"/>
    <x v="4"/>
    <x v="8"/>
    <x v="16"/>
    <x v="1"/>
    <x v="1"/>
    <x v="1"/>
    <x v="2"/>
    <x v="5"/>
    <x v="4"/>
    <x v="9"/>
    <x v="20"/>
    <x v="10"/>
    <x v="9"/>
    <x v="333"/>
    <x v="302"/>
    <x v="263"/>
    <x v="671"/>
  </r>
  <r>
    <x v="1635"/>
    <x v="436"/>
    <x v="1"/>
    <x v="1"/>
    <x v="4"/>
    <x v="8"/>
    <x v="16"/>
    <x v="1"/>
    <x v="1"/>
    <x v="0"/>
    <x v="2"/>
    <x v="5"/>
    <x v="4"/>
    <x v="9"/>
    <x v="16"/>
    <x v="10"/>
    <x v="9"/>
    <x v="261"/>
    <x v="254"/>
    <x v="930"/>
    <x v="442"/>
  </r>
  <r>
    <x v="1636"/>
    <x v="443"/>
    <x v="1"/>
    <x v="1"/>
    <x v="4"/>
    <x v="8"/>
    <x v="16"/>
    <x v="1"/>
    <x v="1"/>
    <x v="1"/>
    <x v="1"/>
    <x v="3"/>
    <x v="7"/>
    <x v="15"/>
    <x v="29"/>
    <x v="19"/>
    <x v="13"/>
    <x v="587"/>
    <x v="544"/>
    <x v="626"/>
    <x v="1139"/>
  </r>
  <r>
    <x v="1637"/>
    <x v="450"/>
    <x v="1"/>
    <x v="1"/>
    <x v="4"/>
    <x v="8"/>
    <x v="16"/>
    <x v="1"/>
    <x v="1"/>
    <x v="0"/>
    <x v="1"/>
    <x v="3"/>
    <x v="7"/>
    <x v="15"/>
    <x v="22"/>
    <x v="19"/>
    <x v="13"/>
    <x v="503"/>
    <x v="474"/>
    <x v="1147"/>
    <x v="860"/>
  </r>
  <r>
    <x v="1638"/>
    <x v="457"/>
    <x v="1"/>
    <x v="1"/>
    <x v="4"/>
    <x v="8"/>
    <x v="16"/>
    <x v="1"/>
    <x v="1"/>
    <x v="1"/>
    <x v="1"/>
    <x v="3"/>
    <x v="6"/>
    <x v="13"/>
    <x v="33"/>
    <x v="4"/>
    <x v="3"/>
    <x v="197"/>
    <x v="170"/>
    <x v="144"/>
    <x v="484"/>
  </r>
  <r>
    <x v="1639"/>
    <x v="437"/>
    <x v="1"/>
    <x v="1"/>
    <x v="4"/>
    <x v="8"/>
    <x v="16"/>
    <x v="1"/>
    <x v="1"/>
    <x v="0"/>
    <x v="1"/>
    <x v="3"/>
    <x v="6"/>
    <x v="13"/>
    <x v="22"/>
    <x v="4"/>
    <x v="3"/>
    <x v="104"/>
    <x v="90"/>
    <x v="665"/>
    <x v="213"/>
  </r>
  <r>
    <x v="1640"/>
    <x v="444"/>
    <x v="1"/>
    <x v="1"/>
    <x v="4"/>
    <x v="8"/>
    <x v="16"/>
    <x v="3"/>
    <x v="3"/>
    <x v="1"/>
    <x v="3"/>
    <x v="7"/>
    <x v="1"/>
    <x v="3"/>
    <x v="5"/>
    <x v="24"/>
    <x v="17"/>
    <x v="761"/>
    <x v="702"/>
    <x v="934"/>
    <x v="1377"/>
  </r>
  <r>
    <x v="1641"/>
    <x v="451"/>
    <x v="1"/>
    <x v="1"/>
    <x v="4"/>
    <x v="8"/>
    <x v="16"/>
    <x v="3"/>
    <x v="3"/>
    <x v="0"/>
    <x v="3"/>
    <x v="7"/>
    <x v="1"/>
    <x v="3"/>
    <x v="4"/>
    <x v="24"/>
    <x v="17"/>
    <x v="735"/>
    <x v="679"/>
    <x v="1281"/>
    <x v="1224"/>
  </r>
  <r>
    <x v="1642"/>
    <x v="458"/>
    <x v="1"/>
    <x v="1"/>
    <x v="4"/>
    <x v="8"/>
    <x v="16"/>
    <x v="3"/>
    <x v="3"/>
    <x v="1"/>
    <x v="3"/>
    <x v="7"/>
    <x v="2"/>
    <x v="5"/>
    <x v="6"/>
    <x v="21"/>
    <x v="15"/>
    <x v="543"/>
    <x v="520"/>
    <x v="562"/>
    <x v="958"/>
  </r>
  <r>
    <x v="1643"/>
    <x v="438"/>
    <x v="1"/>
    <x v="1"/>
    <x v="4"/>
    <x v="8"/>
    <x v="16"/>
    <x v="3"/>
    <x v="3"/>
    <x v="0"/>
    <x v="3"/>
    <x v="7"/>
    <x v="2"/>
    <x v="5"/>
    <x v="4"/>
    <x v="21"/>
    <x v="15"/>
    <x v="434"/>
    <x v="442"/>
    <x v="1101"/>
    <x v="645"/>
  </r>
  <r>
    <x v="1644"/>
    <x v="445"/>
    <x v="1"/>
    <x v="1"/>
    <x v="4"/>
    <x v="8"/>
    <x v="16"/>
    <x v="3"/>
    <x v="3"/>
    <x v="1"/>
    <x v="3"/>
    <x v="7"/>
    <x v="5"/>
    <x v="11"/>
    <x v="7"/>
    <x v="27"/>
    <x v="19"/>
    <x v="827"/>
    <x v="745"/>
    <x v="1112"/>
    <x v="1488"/>
  </r>
  <r>
    <x v="1645"/>
    <x v="452"/>
    <x v="1"/>
    <x v="1"/>
    <x v="4"/>
    <x v="8"/>
    <x v="16"/>
    <x v="3"/>
    <x v="3"/>
    <x v="0"/>
    <x v="3"/>
    <x v="7"/>
    <x v="5"/>
    <x v="11"/>
    <x v="5"/>
    <x v="27"/>
    <x v="19"/>
    <x v="807"/>
    <x v="732"/>
    <x v="1313"/>
    <x v="1296"/>
  </r>
  <r>
    <x v="1646"/>
    <x v="432"/>
    <x v="1"/>
    <x v="1"/>
    <x v="4"/>
    <x v="8"/>
    <x v="16"/>
    <x v="3"/>
    <x v="3"/>
    <x v="1"/>
    <x v="0"/>
    <x v="1"/>
    <x v="3"/>
    <x v="7"/>
    <x v="36"/>
    <x v="1"/>
    <x v="1"/>
    <x v="159"/>
    <x v="122"/>
    <x v="114"/>
    <x v="441"/>
  </r>
  <r>
    <x v="1647"/>
    <x v="439"/>
    <x v="1"/>
    <x v="1"/>
    <x v="4"/>
    <x v="8"/>
    <x v="16"/>
    <x v="3"/>
    <x v="3"/>
    <x v="0"/>
    <x v="0"/>
    <x v="1"/>
    <x v="3"/>
    <x v="7"/>
    <x v="23"/>
    <x v="1"/>
    <x v="1"/>
    <x v="71"/>
    <x v="58"/>
    <x v="594"/>
    <x v="169"/>
  </r>
  <r>
    <x v="1648"/>
    <x v="446"/>
    <x v="1"/>
    <x v="1"/>
    <x v="4"/>
    <x v="8"/>
    <x v="16"/>
    <x v="3"/>
    <x v="3"/>
    <x v="1"/>
    <x v="0"/>
    <x v="1"/>
    <x v="8"/>
    <x v="17"/>
    <x v="35"/>
    <x v="13"/>
    <x v="8"/>
    <x v="546"/>
    <x v="466"/>
    <x v="569"/>
    <x v="1166"/>
  </r>
  <r>
    <x v="1649"/>
    <x v="453"/>
    <x v="1"/>
    <x v="1"/>
    <x v="4"/>
    <x v="8"/>
    <x v="16"/>
    <x v="3"/>
    <x v="3"/>
    <x v="0"/>
    <x v="0"/>
    <x v="1"/>
    <x v="8"/>
    <x v="17"/>
    <x v="25"/>
    <x v="13"/>
    <x v="8"/>
    <x v="430"/>
    <x v="366"/>
    <x v="1096"/>
    <x v="879"/>
  </r>
  <r>
    <x v="1650"/>
    <x v="433"/>
    <x v="1"/>
    <x v="1"/>
    <x v="4"/>
    <x v="8"/>
    <x v="16"/>
    <x v="3"/>
    <x v="3"/>
    <x v="1"/>
    <x v="0"/>
    <x v="1"/>
    <x v="9"/>
    <x v="19"/>
    <x v="42"/>
    <x v="7"/>
    <x v="5"/>
    <x v="473"/>
    <x v="422"/>
    <x v="456"/>
    <x v="976"/>
  </r>
  <r>
    <x v="1651"/>
    <x v="440"/>
    <x v="1"/>
    <x v="1"/>
    <x v="4"/>
    <x v="8"/>
    <x v="16"/>
    <x v="3"/>
    <x v="3"/>
    <x v="0"/>
    <x v="0"/>
    <x v="1"/>
    <x v="9"/>
    <x v="19"/>
    <x v="24"/>
    <x v="7"/>
    <x v="5"/>
    <x v="294"/>
    <x v="270"/>
    <x v="975"/>
    <x v="540"/>
  </r>
  <r>
    <x v="1652"/>
    <x v="447"/>
    <x v="1"/>
    <x v="1"/>
    <x v="4"/>
    <x v="8"/>
    <x v="16"/>
    <x v="3"/>
    <x v="3"/>
    <x v="1"/>
    <x v="2"/>
    <x v="5"/>
    <x v="0"/>
    <x v="1"/>
    <x v="13"/>
    <x v="16"/>
    <x v="11"/>
    <x v="321"/>
    <x v="276"/>
    <x v="250"/>
    <x v="705"/>
  </r>
  <r>
    <x v="1653"/>
    <x v="454"/>
    <x v="1"/>
    <x v="1"/>
    <x v="4"/>
    <x v="8"/>
    <x v="16"/>
    <x v="3"/>
    <x v="3"/>
    <x v="0"/>
    <x v="2"/>
    <x v="5"/>
    <x v="0"/>
    <x v="1"/>
    <x v="13"/>
    <x v="16"/>
    <x v="11"/>
    <x v="321"/>
    <x v="276"/>
    <x v="1000"/>
    <x v="591"/>
  </r>
  <r>
    <x v="1654"/>
    <x v="434"/>
    <x v="1"/>
    <x v="1"/>
    <x v="4"/>
    <x v="8"/>
    <x v="16"/>
    <x v="3"/>
    <x v="3"/>
    <x v="1"/>
    <x v="2"/>
    <x v="5"/>
    <x v="4"/>
    <x v="9"/>
    <x v="18"/>
    <x v="10"/>
    <x v="9"/>
    <x v="300"/>
    <x v="280"/>
    <x v="232"/>
    <x v="593"/>
  </r>
  <r>
    <x v="1655"/>
    <x v="441"/>
    <x v="1"/>
    <x v="1"/>
    <x v="4"/>
    <x v="8"/>
    <x v="16"/>
    <x v="3"/>
    <x v="3"/>
    <x v="0"/>
    <x v="2"/>
    <x v="5"/>
    <x v="4"/>
    <x v="9"/>
    <x v="11"/>
    <x v="10"/>
    <x v="9"/>
    <x v="170"/>
    <x v="169"/>
    <x v="793"/>
    <x v="259"/>
  </r>
  <r>
    <x v="1656"/>
    <x v="448"/>
    <x v="1"/>
    <x v="1"/>
    <x v="4"/>
    <x v="8"/>
    <x v="16"/>
    <x v="3"/>
    <x v="3"/>
    <x v="1"/>
    <x v="1"/>
    <x v="3"/>
    <x v="7"/>
    <x v="15"/>
    <x v="18"/>
    <x v="19"/>
    <x v="13"/>
    <x v="431"/>
    <x v="415"/>
    <x v="412"/>
    <x v="853"/>
  </r>
  <r>
    <x v="1657"/>
    <x v="455"/>
    <x v="1"/>
    <x v="1"/>
    <x v="4"/>
    <x v="8"/>
    <x v="16"/>
    <x v="3"/>
    <x v="3"/>
    <x v="0"/>
    <x v="1"/>
    <x v="3"/>
    <x v="7"/>
    <x v="15"/>
    <x v="16"/>
    <x v="19"/>
    <x v="13"/>
    <x v="402"/>
    <x v="386"/>
    <x v="1073"/>
    <x v="670"/>
  </r>
  <r>
    <x v="1658"/>
    <x v="435"/>
    <x v="1"/>
    <x v="1"/>
    <x v="4"/>
    <x v="8"/>
    <x v="16"/>
    <x v="3"/>
    <x v="3"/>
    <x v="1"/>
    <x v="1"/>
    <x v="3"/>
    <x v="6"/>
    <x v="13"/>
    <x v="25"/>
    <x v="4"/>
    <x v="3"/>
    <x v="129"/>
    <x v="113"/>
    <x v="88"/>
    <x v="327"/>
  </r>
  <r>
    <x v="1659"/>
    <x v="442"/>
    <x v="1"/>
    <x v="1"/>
    <x v="4"/>
    <x v="8"/>
    <x v="16"/>
    <x v="3"/>
    <x v="3"/>
    <x v="0"/>
    <x v="1"/>
    <x v="3"/>
    <x v="6"/>
    <x v="13"/>
    <x v="13"/>
    <x v="4"/>
    <x v="3"/>
    <x v="39"/>
    <x v="38"/>
    <x v="442"/>
    <x v="69"/>
  </r>
  <r>
    <x v="1660"/>
    <x v="449"/>
    <x v="1"/>
    <x v="1"/>
    <x v="4"/>
    <x v="8"/>
    <x v="16"/>
    <x v="2"/>
    <x v="2"/>
    <x v="1"/>
    <x v="3"/>
    <x v="7"/>
    <x v="1"/>
    <x v="3"/>
    <x v="5"/>
    <x v="24"/>
    <x v="17"/>
    <x v="761"/>
    <x v="702"/>
    <x v="934"/>
    <x v="1377"/>
  </r>
  <r>
    <x v="1661"/>
    <x v="456"/>
    <x v="1"/>
    <x v="1"/>
    <x v="4"/>
    <x v="8"/>
    <x v="16"/>
    <x v="2"/>
    <x v="2"/>
    <x v="0"/>
    <x v="3"/>
    <x v="7"/>
    <x v="1"/>
    <x v="3"/>
    <x v="3"/>
    <x v="24"/>
    <x v="17"/>
    <x v="693"/>
    <x v="653"/>
    <x v="1256"/>
    <x v="1136"/>
  </r>
  <r>
    <x v="1662"/>
    <x v="436"/>
    <x v="1"/>
    <x v="1"/>
    <x v="4"/>
    <x v="8"/>
    <x v="16"/>
    <x v="2"/>
    <x v="2"/>
    <x v="1"/>
    <x v="3"/>
    <x v="7"/>
    <x v="2"/>
    <x v="5"/>
    <x v="4"/>
    <x v="21"/>
    <x v="15"/>
    <x v="434"/>
    <x v="442"/>
    <x v="418"/>
    <x v="782"/>
  </r>
  <r>
    <x v="1663"/>
    <x v="443"/>
    <x v="1"/>
    <x v="1"/>
    <x v="4"/>
    <x v="8"/>
    <x v="16"/>
    <x v="2"/>
    <x v="2"/>
    <x v="0"/>
    <x v="3"/>
    <x v="7"/>
    <x v="2"/>
    <x v="5"/>
    <x v="2"/>
    <x v="21"/>
    <x v="15"/>
    <x v="309"/>
    <x v="313"/>
    <x v="988"/>
    <x v="406"/>
  </r>
  <r>
    <x v="1664"/>
    <x v="450"/>
    <x v="1"/>
    <x v="1"/>
    <x v="4"/>
    <x v="8"/>
    <x v="16"/>
    <x v="2"/>
    <x v="2"/>
    <x v="1"/>
    <x v="3"/>
    <x v="7"/>
    <x v="5"/>
    <x v="11"/>
    <x v="5"/>
    <x v="27"/>
    <x v="19"/>
    <x v="807"/>
    <x v="732"/>
    <x v="1051"/>
    <x v="1414"/>
  </r>
  <r>
    <x v="1665"/>
    <x v="457"/>
    <x v="1"/>
    <x v="1"/>
    <x v="4"/>
    <x v="8"/>
    <x v="16"/>
    <x v="2"/>
    <x v="2"/>
    <x v="0"/>
    <x v="3"/>
    <x v="7"/>
    <x v="5"/>
    <x v="11"/>
    <x v="3"/>
    <x v="27"/>
    <x v="19"/>
    <x v="758"/>
    <x v="709"/>
    <x v="1294"/>
    <x v="1157"/>
  </r>
  <r>
    <x v="1666"/>
    <x v="437"/>
    <x v="1"/>
    <x v="1"/>
    <x v="4"/>
    <x v="8"/>
    <x v="16"/>
    <x v="2"/>
    <x v="2"/>
    <x v="1"/>
    <x v="0"/>
    <x v="1"/>
    <x v="3"/>
    <x v="7"/>
    <x v="29"/>
    <x v="1"/>
    <x v="1"/>
    <x v="111"/>
    <x v="86"/>
    <x v="73"/>
    <x v="321"/>
  </r>
  <r>
    <x v="1667"/>
    <x v="444"/>
    <x v="1"/>
    <x v="1"/>
    <x v="4"/>
    <x v="8"/>
    <x v="16"/>
    <x v="2"/>
    <x v="2"/>
    <x v="0"/>
    <x v="0"/>
    <x v="1"/>
    <x v="3"/>
    <x v="7"/>
    <x v="16"/>
    <x v="1"/>
    <x v="1"/>
    <x v="35"/>
    <x v="30"/>
    <x v="427"/>
    <x v="75"/>
  </r>
  <r>
    <x v="1668"/>
    <x v="451"/>
    <x v="1"/>
    <x v="1"/>
    <x v="4"/>
    <x v="8"/>
    <x v="16"/>
    <x v="2"/>
    <x v="2"/>
    <x v="1"/>
    <x v="0"/>
    <x v="1"/>
    <x v="8"/>
    <x v="17"/>
    <x v="22"/>
    <x v="13"/>
    <x v="8"/>
    <x v="393"/>
    <x v="331"/>
    <x v="353"/>
    <x v="893"/>
  </r>
  <r>
    <x v="1669"/>
    <x v="458"/>
    <x v="1"/>
    <x v="1"/>
    <x v="4"/>
    <x v="8"/>
    <x v="16"/>
    <x v="2"/>
    <x v="2"/>
    <x v="0"/>
    <x v="0"/>
    <x v="1"/>
    <x v="8"/>
    <x v="17"/>
    <x v="22"/>
    <x v="13"/>
    <x v="8"/>
    <x v="393"/>
    <x v="331"/>
    <x v="1066"/>
    <x v="807"/>
  </r>
  <r>
    <x v="1670"/>
    <x v="438"/>
    <x v="1"/>
    <x v="1"/>
    <x v="4"/>
    <x v="8"/>
    <x v="16"/>
    <x v="2"/>
    <x v="2"/>
    <x v="1"/>
    <x v="0"/>
    <x v="1"/>
    <x v="9"/>
    <x v="19"/>
    <x v="24"/>
    <x v="7"/>
    <x v="5"/>
    <x v="294"/>
    <x v="270"/>
    <x v="230"/>
    <x v="631"/>
  </r>
  <r>
    <x v="1671"/>
    <x v="445"/>
    <x v="1"/>
    <x v="1"/>
    <x v="4"/>
    <x v="8"/>
    <x v="16"/>
    <x v="2"/>
    <x v="2"/>
    <x v="0"/>
    <x v="0"/>
    <x v="1"/>
    <x v="9"/>
    <x v="19"/>
    <x v="17"/>
    <x v="7"/>
    <x v="5"/>
    <x v="198"/>
    <x v="187"/>
    <x v="835"/>
    <x v="347"/>
  </r>
  <r>
    <x v="1672"/>
    <x v="452"/>
    <x v="1"/>
    <x v="1"/>
    <x v="4"/>
    <x v="8"/>
    <x v="16"/>
    <x v="2"/>
    <x v="2"/>
    <x v="1"/>
    <x v="2"/>
    <x v="5"/>
    <x v="0"/>
    <x v="1"/>
    <x v="13"/>
    <x v="16"/>
    <x v="11"/>
    <x v="321"/>
    <x v="276"/>
    <x v="250"/>
    <x v="705"/>
  </r>
  <r>
    <x v="1673"/>
    <x v="432"/>
    <x v="1"/>
    <x v="1"/>
    <x v="4"/>
    <x v="8"/>
    <x v="16"/>
    <x v="2"/>
    <x v="2"/>
    <x v="0"/>
    <x v="2"/>
    <x v="5"/>
    <x v="0"/>
    <x v="1"/>
    <x v="8"/>
    <x v="16"/>
    <x v="11"/>
    <x v="190"/>
    <x v="172"/>
    <x v="827"/>
    <x v="356"/>
  </r>
  <r>
    <x v="1674"/>
    <x v="439"/>
    <x v="1"/>
    <x v="1"/>
    <x v="4"/>
    <x v="8"/>
    <x v="16"/>
    <x v="2"/>
    <x v="2"/>
    <x v="1"/>
    <x v="2"/>
    <x v="5"/>
    <x v="4"/>
    <x v="9"/>
    <x v="13"/>
    <x v="10"/>
    <x v="9"/>
    <x v="206"/>
    <x v="202"/>
    <x v="152"/>
    <x v="434"/>
  </r>
  <r>
    <x v="1675"/>
    <x v="446"/>
    <x v="1"/>
    <x v="1"/>
    <x v="4"/>
    <x v="8"/>
    <x v="16"/>
    <x v="2"/>
    <x v="2"/>
    <x v="0"/>
    <x v="2"/>
    <x v="5"/>
    <x v="4"/>
    <x v="9"/>
    <x v="9"/>
    <x v="10"/>
    <x v="9"/>
    <x v="125"/>
    <x v="131"/>
    <x v="707"/>
    <x v="192"/>
  </r>
  <r>
    <x v="1676"/>
    <x v="453"/>
    <x v="1"/>
    <x v="1"/>
    <x v="4"/>
    <x v="8"/>
    <x v="16"/>
    <x v="2"/>
    <x v="2"/>
    <x v="1"/>
    <x v="1"/>
    <x v="3"/>
    <x v="7"/>
    <x v="15"/>
    <x v="13"/>
    <x v="19"/>
    <x v="13"/>
    <x v="347"/>
    <x v="328"/>
    <x v="287"/>
    <x v="659"/>
  </r>
  <r>
    <x v="1677"/>
    <x v="433"/>
    <x v="1"/>
    <x v="1"/>
    <x v="4"/>
    <x v="8"/>
    <x v="16"/>
    <x v="2"/>
    <x v="2"/>
    <x v="0"/>
    <x v="1"/>
    <x v="3"/>
    <x v="7"/>
    <x v="15"/>
    <x v="9"/>
    <x v="19"/>
    <x v="13"/>
    <x v="242"/>
    <x v="243"/>
    <x v="889"/>
    <x v="369"/>
  </r>
  <r>
    <x v="1678"/>
    <x v="440"/>
    <x v="1"/>
    <x v="1"/>
    <x v="4"/>
    <x v="8"/>
    <x v="16"/>
    <x v="2"/>
    <x v="2"/>
    <x v="1"/>
    <x v="1"/>
    <x v="3"/>
    <x v="6"/>
    <x v="13"/>
    <x v="14"/>
    <x v="4"/>
    <x v="3"/>
    <x v="44"/>
    <x v="43"/>
    <x v="21"/>
    <x v="117"/>
  </r>
  <r>
    <x v="1679"/>
    <x v="447"/>
    <x v="1"/>
    <x v="1"/>
    <x v="4"/>
    <x v="8"/>
    <x v="16"/>
    <x v="2"/>
    <x v="2"/>
    <x v="0"/>
    <x v="1"/>
    <x v="3"/>
    <x v="6"/>
    <x v="13"/>
    <x v="9"/>
    <x v="4"/>
    <x v="3"/>
    <x v="14"/>
    <x v="18"/>
    <x v="305"/>
    <x v="27"/>
  </r>
  <r>
    <x v="1680"/>
    <x v="454"/>
    <x v="1"/>
    <x v="1"/>
    <x v="4"/>
    <x v="8"/>
    <x v="16"/>
    <x v="4"/>
    <x v="4"/>
    <x v="1"/>
    <x v="3"/>
    <x v="7"/>
    <x v="1"/>
    <x v="3"/>
    <x v="4"/>
    <x v="24"/>
    <x v="17"/>
    <x v="735"/>
    <x v="679"/>
    <x v="860"/>
    <x v="1304"/>
  </r>
  <r>
    <x v="1681"/>
    <x v="434"/>
    <x v="1"/>
    <x v="1"/>
    <x v="4"/>
    <x v="8"/>
    <x v="16"/>
    <x v="4"/>
    <x v="4"/>
    <x v="0"/>
    <x v="3"/>
    <x v="7"/>
    <x v="1"/>
    <x v="3"/>
    <x v="2"/>
    <x v="24"/>
    <x v="17"/>
    <x v="628"/>
    <x v="600"/>
    <x v="1218"/>
    <x v="985"/>
  </r>
  <r>
    <x v="1682"/>
    <x v="441"/>
    <x v="1"/>
    <x v="1"/>
    <x v="4"/>
    <x v="8"/>
    <x v="16"/>
    <x v="4"/>
    <x v="4"/>
    <x v="1"/>
    <x v="3"/>
    <x v="7"/>
    <x v="2"/>
    <x v="5"/>
    <x v="4"/>
    <x v="21"/>
    <x v="15"/>
    <x v="434"/>
    <x v="442"/>
    <x v="418"/>
    <x v="782"/>
  </r>
  <r>
    <x v="1683"/>
    <x v="448"/>
    <x v="1"/>
    <x v="1"/>
    <x v="4"/>
    <x v="8"/>
    <x v="16"/>
    <x v="4"/>
    <x v="4"/>
    <x v="0"/>
    <x v="3"/>
    <x v="7"/>
    <x v="2"/>
    <x v="5"/>
    <x v="3"/>
    <x v="21"/>
    <x v="15"/>
    <x v="374"/>
    <x v="385"/>
    <x v="1055"/>
    <x v="536"/>
  </r>
  <r>
    <x v="1684"/>
    <x v="455"/>
    <x v="1"/>
    <x v="1"/>
    <x v="4"/>
    <x v="8"/>
    <x v="16"/>
    <x v="4"/>
    <x v="4"/>
    <x v="1"/>
    <x v="3"/>
    <x v="7"/>
    <x v="5"/>
    <x v="11"/>
    <x v="4"/>
    <x v="27"/>
    <x v="19"/>
    <x v="791"/>
    <x v="726"/>
    <x v="1003"/>
    <x v="1353"/>
  </r>
  <r>
    <x v="1685"/>
    <x v="435"/>
    <x v="1"/>
    <x v="1"/>
    <x v="4"/>
    <x v="8"/>
    <x v="16"/>
    <x v="4"/>
    <x v="4"/>
    <x v="0"/>
    <x v="3"/>
    <x v="7"/>
    <x v="5"/>
    <x v="11"/>
    <x v="3"/>
    <x v="27"/>
    <x v="19"/>
    <x v="758"/>
    <x v="709"/>
    <x v="1294"/>
    <x v="1157"/>
  </r>
  <r>
    <x v="1686"/>
    <x v="442"/>
    <x v="1"/>
    <x v="1"/>
    <x v="4"/>
    <x v="8"/>
    <x v="16"/>
    <x v="4"/>
    <x v="4"/>
    <x v="1"/>
    <x v="0"/>
    <x v="1"/>
    <x v="3"/>
    <x v="7"/>
    <x v="32"/>
    <x v="1"/>
    <x v="1"/>
    <x v="131"/>
    <x v="104"/>
    <x v="91"/>
    <x v="381"/>
  </r>
  <r>
    <x v="1687"/>
    <x v="449"/>
    <x v="1"/>
    <x v="1"/>
    <x v="4"/>
    <x v="8"/>
    <x v="16"/>
    <x v="4"/>
    <x v="4"/>
    <x v="0"/>
    <x v="0"/>
    <x v="1"/>
    <x v="3"/>
    <x v="7"/>
    <x v="18"/>
    <x v="1"/>
    <x v="1"/>
    <x v="43"/>
    <x v="39"/>
    <x v="477"/>
    <x v="97"/>
  </r>
  <r>
    <x v="1688"/>
    <x v="456"/>
    <x v="1"/>
    <x v="1"/>
    <x v="4"/>
    <x v="8"/>
    <x v="16"/>
    <x v="4"/>
    <x v="4"/>
    <x v="1"/>
    <x v="0"/>
    <x v="1"/>
    <x v="8"/>
    <x v="17"/>
    <x v="25"/>
    <x v="13"/>
    <x v="8"/>
    <x v="430"/>
    <x v="366"/>
    <x v="408"/>
    <x v="962"/>
  </r>
  <r>
    <x v="1689"/>
    <x v="436"/>
    <x v="1"/>
    <x v="1"/>
    <x v="4"/>
    <x v="8"/>
    <x v="16"/>
    <x v="4"/>
    <x v="4"/>
    <x v="0"/>
    <x v="0"/>
    <x v="1"/>
    <x v="8"/>
    <x v="17"/>
    <x v="17"/>
    <x v="13"/>
    <x v="8"/>
    <x v="323"/>
    <x v="266"/>
    <x v="1001"/>
    <x v="641"/>
  </r>
  <r>
    <x v="1690"/>
    <x v="443"/>
    <x v="1"/>
    <x v="1"/>
    <x v="4"/>
    <x v="8"/>
    <x v="16"/>
    <x v="4"/>
    <x v="4"/>
    <x v="1"/>
    <x v="0"/>
    <x v="1"/>
    <x v="9"/>
    <x v="19"/>
    <x v="29"/>
    <x v="7"/>
    <x v="5"/>
    <x v="352"/>
    <x v="315"/>
    <x v="300"/>
    <x v="753"/>
  </r>
  <r>
    <x v="1691"/>
    <x v="450"/>
    <x v="1"/>
    <x v="1"/>
    <x v="4"/>
    <x v="8"/>
    <x v="16"/>
    <x v="4"/>
    <x v="4"/>
    <x v="0"/>
    <x v="0"/>
    <x v="1"/>
    <x v="9"/>
    <x v="19"/>
    <x v="20"/>
    <x v="7"/>
    <x v="5"/>
    <x v="241"/>
    <x v="223"/>
    <x v="889"/>
    <x v="438"/>
  </r>
  <r>
    <x v="1692"/>
    <x v="457"/>
    <x v="1"/>
    <x v="1"/>
    <x v="4"/>
    <x v="8"/>
    <x v="16"/>
    <x v="4"/>
    <x v="4"/>
    <x v="1"/>
    <x v="2"/>
    <x v="5"/>
    <x v="0"/>
    <x v="1"/>
    <x v="11"/>
    <x v="16"/>
    <x v="11"/>
    <x v="267"/>
    <x v="240"/>
    <x v="203"/>
    <x v="594"/>
  </r>
  <r>
    <x v="1693"/>
    <x v="437"/>
    <x v="1"/>
    <x v="1"/>
    <x v="4"/>
    <x v="8"/>
    <x v="16"/>
    <x v="4"/>
    <x v="4"/>
    <x v="0"/>
    <x v="2"/>
    <x v="5"/>
    <x v="0"/>
    <x v="1"/>
    <x v="6"/>
    <x v="16"/>
    <x v="11"/>
    <x v="133"/>
    <x v="121"/>
    <x v="721"/>
    <x v="241"/>
  </r>
  <r>
    <x v="1694"/>
    <x v="444"/>
    <x v="1"/>
    <x v="1"/>
    <x v="4"/>
    <x v="8"/>
    <x v="16"/>
    <x v="4"/>
    <x v="4"/>
    <x v="1"/>
    <x v="2"/>
    <x v="5"/>
    <x v="4"/>
    <x v="9"/>
    <x v="11"/>
    <x v="10"/>
    <x v="9"/>
    <x v="170"/>
    <x v="169"/>
    <x v="123"/>
    <x v="340"/>
  </r>
  <r>
    <x v="1695"/>
    <x v="451"/>
    <x v="1"/>
    <x v="1"/>
    <x v="4"/>
    <x v="8"/>
    <x v="16"/>
    <x v="4"/>
    <x v="4"/>
    <x v="0"/>
    <x v="2"/>
    <x v="5"/>
    <x v="4"/>
    <x v="9"/>
    <x v="7"/>
    <x v="10"/>
    <x v="9"/>
    <x v="88"/>
    <x v="94"/>
    <x v="627"/>
    <x v="123"/>
  </r>
  <r>
    <x v="1696"/>
    <x v="458"/>
    <x v="1"/>
    <x v="1"/>
    <x v="4"/>
    <x v="8"/>
    <x v="16"/>
    <x v="4"/>
    <x v="4"/>
    <x v="1"/>
    <x v="1"/>
    <x v="3"/>
    <x v="7"/>
    <x v="15"/>
    <x v="16"/>
    <x v="19"/>
    <x v="13"/>
    <x v="402"/>
    <x v="386"/>
    <x v="368"/>
    <x v="784"/>
  </r>
  <r>
    <x v="1697"/>
    <x v="438"/>
    <x v="1"/>
    <x v="1"/>
    <x v="4"/>
    <x v="8"/>
    <x v="16"/>
    <x v="4"/>
    <x v="4"/>
    <x v="0"/>
    <x v="1"/>
    <x v="3"/>
    <x v="7"/>
    <x v="15"/>
    <x v="10"/>
    <x v="19"/>
    <x v="13"/>
    <x v="268"/>
    <x v="267"/>
    <x v="939"/>
    <x v="424"/>
  </r>
  <r>
    <x v="1698"/>
    <x v="445"/>
    <x v="1"/>
    <x v="1"/>
    <x v="4"/>
    <x v="8"/>
    <x v="16"/>
    <x v="4"/>
    <x v="4"/>
    <x v="1"/>
    <x v="1"/>
    <x v="3"/>
    <x v="6"/>
    <x v="13"/>
    <x v="13"/>
    <x v="4"/>
    <x v="3"/>
    <x v="39"/>
    <x v="38"/>
    <x v="12"/>
    <x v="98"/>
  </r>
  <r>
    <x v="1699"/>
    <x v="452"/>
    <x v="1"/>
    <x v="1"/>
    <x v="4"/>
    <x v="8"/>
    <x v="16"/>
    <x v="4"/>
    <x v="4"/>
    <x v="0"/>
    <x v="1"/>
    <x v="3"/>
    <x v="6"/>
    <x v="13"/>
    <x v="8"/>
    <x v="4"/>
    <x v="3"/>
    <x v="11"/>
    <x v="12"/>
    <x v="259"/>
    <x v="20"/>
  </r>
  <r>
    <x v="1700"/>
    <x v="459"/>
    <x v="1"/>
    <x v="1"/>
    <x v="5"/>
    <x v="6"/>
    <x v="17"/>
    <x v="0"/>
    <x v="0"/>
    <x v="1"/>
    <x v="3"/>
    <x v="7"/>
    <x v="1"/>
    <x v="3"/>
    <x v="21"/>
    <x v="24"/>
    <x v="17"/>
    <x v="866"/>
    <x v="772"/>
    <x v="1234"/>
    <x v="1602"/>
  </r>
  <r>
    <x v="1701"/>
    <x v="466"/>
    <x v="1"/>
    <x v="1"/>
    <x v="5"/>
    <x v="6"/>
    <x v="17"/>
    <x v="0"/>
    <x v="0"/>
    <x v="0"/>
    <x v="3"/>
    <x v="7"/>
    <x v="1"/>
    <x v="3"/>
    <x v="13"/>
    <x v="24"/>
    <x v="17"/>
    <x v="840"/>
    <x v="749"/>
    <x v="1328"/>
    <x v="1534"/>
  </r>
  <r>
    <x v="1702"/>
    <x v="473"/>
    <x v="1"/>
    <x v="1"/>
    <x v="5"/>
    <x v="6"/>
    <x v="17"/>
    <x v="0"/>
    <x v="0"/>
    <x v="1"/>
    <x v="3"/>
    <x v="7"/>
    <x v="2"/>
    <x v="5"/>
    <x v="17"/>
    <x v="21"/>
    <x v="15"/>
    <x v="767"/>
    <x v="701"/>
    <x v="941"/>
    <x v="1399"/>
  </r>
  <r>
    <x v="1703"/>
    <x v="480"/>
    <x v="1"/>
    <x v="1"/>
    <x v="5"/>
    <x v="6"/>
    <x v="17"/>
    <x v="0"/>
    <x v="0"/>
    <x v="0"/>
    <x v="3"/>
    <x v="7"/>
    <x v="2"/>
    <x v="5"/>
    <x v="13"/>
    <x v="21"/>
    <x v="15"/>
    <x v="722"/>
    <x v="663"/>
    <x v="1272"/>
    <x v="1223"/>
  </r>
  <r>
    <x v="1704"/>
    <x v="460"/>
    <x v="1"/>
    <x v="1"/>
    <x v="5"/>
    <x v="6"/>
    <x v="17"/>
    <x v="0"/>
    <x v="0"/>
    <x v="1"/>
    <x v="3"/>
    <x v="7"/>
    <x v="5"/>
    <x v="11"/>
    <x v="22"/>
    <x v="27"/>
    <x v="19"/>
    <x v="886"/>
    <x v="791"/>
    <x v="1284"/>
    <x v="1612"/>
  </r>
  <r>
    <x v="1705"/>
    <x v="467"/>
    <x v="1"/>
    <x v="1"/>
    <x v="5"/>
    <x v="6"/>
    <x v="17"/>
    <x v="0"/>
    <x v="0"/>
    <x v="0"/>
    <x v="3"/>
    <x v="7"/>
    <x v="5"/>
    <x v="11"/>
    <x v="11"/>
    <x v="27"/>
    <x v="19"/>
    <x v="850"/>
    <x v="764"/>
    <x v="1334"/>
    <x v="1514"/>
  </r>
  <r>
    <x v="1706"/>
    <x v="474"/>
    <x v="1"/>
    <x v="1"/>
    <x v="5"/>
    <x v="6"/>
    <x v="17"/>
    <x v="0"/>
    <x v="0"/>
    <x v="1"/>
    <x v="0"/>
    <x v="1"/>
    <x v="3"/>
    <x v="7"/>
    <x v="79"/>
    <x v="1"/>
    <x v="1"/>
    <x v="401"/>
    <x v="322"/>
    <x v="363"/>
    <x v="931"/>
  </r>
  <r>
    <x v="1707"/>
    <x v="481"/>
    <x v="1"/>
    <x v="1"/>
    <x v="5"/>
    <x v="6"/>
    <x v="17"/>
    <x v="0"/>
    <x v="0"/>
    <x v="0"/>
    <x v="0"/>
    <x v="1"/>
    <x v="3"/>
    <x v="7"/>
    <x v="75"/>
    <x v="1"/>
    <x v="1"/>
    <x v="383"/>
    <x v="305"/>
    <x v="1059"/>
    <x v="827"/>
  </r>
  <r>
    <x v="1708"/>
    <x v="461"/>
    <x v="1"/>
    <x v="1"/>
    <x v="5"/>
    <x v="6"/>
    <x v="17"/>
    <x v="0"/>
    <x v="0"/>
    <x v="1"/>
    <x v="0"/>
    <x v="1"/>
    <x v="8"/>
    <x v="17"/>
    <x v="102"/>
    <x v="13"/>
    <x v="8"/>
    <x v="798"/>
    <x v="700"/>
    <x v="1023"/>
    <x v="1540"/>
  </r>
  <r>
    <x v="1709"/>
    <x v="468"/>
    <x v="1"/>
    <x v="1"/>
    <x v="5"/>
    <x v="6"/>
    <x v="17"/>
    <x v="0"/>
    <x v="0"/>
    <x v="0"/>
    <x v="0"/>
    <x v="1"/>
    <x v="8"/>
    <x v="17"/>
    <x v="70"/>
    <x v="13"/>
    <x v="8"/>
    <x v="732"/>
    <x v="636"/>
    <x v="1278"/>
    <x v="1395"/>
  </r>
  <r>
    <x v="1710"/>
    <x v="475"/>
    <x v="1"/>
    <x v="1"/>
    <x v="5"/>
    <x v="6"/>
    <x v="17"/>
    <x v="0"/>
    <x v="0"/>
    <x v="1"/>
    <x v="0"/>
    <x v="1"/>
    <x v="9"/>
    <x v="19"/>
    <x v="83"/>
    <x v="7"/>
    <x v="5"/>
    <x v="685"/>
    <x v="610"/>
    <x v="770"/>
    <x v="1334"/>
  </r>
  <r>
    <x v="1711"/>
    <x v="482"/>
    <x v="1"/>
    <x v="1"/>
    <x v="5"/>
    <x v="6"/>
    <x v="17"/>
    <x v="0"/>
    <x v="0"/>
    <x v="0"/>
    <x v="0"/>
    <x v="1"/>
    <x v="9"/>
    <x v="19"/>
    <x v="63"/>
    <x v="7"/>
    <x v="5"/>
    <x v="604"/>
    <x v="540"/>
    <x v="1204"/>
    <x v="1135"/>
  </r>
  <r>
    <x v="1712"/>
    <x v="462"/>
    <x v="1"/>
    <x v="1"/>
    <x v="5"/>
    <x v="6"/>
    <x v="17"/>
    <x v="0"/>
    <x v="0"/>
    <x v="1"/>
    <x v="2"/>
    <x v="5"/>
    <x v="0"/>
    <x v="1"/>
    <x v="45"/>
    <x v="16"/>
    <x v="11"/>
    <x v="684"/>
    <x v="601"/>
    <x v="768"/>
    <x v="1348"/>
  </r>
  <r>
    <x v="1713"/>
    <x v="469"/>
    <x v="1"/>
    <x v="1"/>
    <x v="5"/>
    <x v="6"/>
    <x v="17"/>
    <x v="0"/>
    <x v="0"/>
    <x v="0"/>
    <x v="2"/>
    <x v="5"/>
    <x v="0"/>
    <x v="1"/>
    <x v="34"/>
    <x v="16"/>
    <x v="11"/>
    <x v="611"/>
    <x v="539"/>
    <x v="1209"/>
    <x v="1167"/>
  </r>
  <r>
    <x v="1714"/>
    <x v="476"/>
    <x v="1"/>
    <x v="1"/>
    <x v="5"/>
    <x v="6"/>
    <x v="17"/>
    <x v="0"/>
    <x v="0"/>
    <x v="1"/>
    <x v="2"/>
    <x v="5"/>
    <x v="4"/>
    <x v="9"/>
    <x v="36"/>
    <x v="10"/>
    <x v="9"/>
    <x v="515"/>
    <x v="473"/>
    <x v="522"/>
    <x v="1026"/>
  </r>
  <r>
    <x v="1715"/>
    <x v="483"/>
    <x v="1"/>
    <x v="1"/>
    <x v="5"/>
    <x v="6"/>
    <x v="17"/>
    <x v="0"/>
    <x v="0"/>
    <x v="0"/>
    <x v="2"/>
    <x v="5"/>
    <x v="4"/>
    <x v="9"/>
    <x v="32"/>
    <x v="10"/>
    <x v="9"/>
    <x v="477"/>
    <x v="441"/>
    <x v="1127"/>
    <x v="851"/>
  </r>
  <r>
    <x v="1716"/>
    <x v="463"/>
    <x v="1"/>
    <x v="1"/>
    <x v="5"/>
    <x v="6"/>
    <x v="17"/>
    <x v="0"/>
    <x v="0"/>
    <x v="1"/>
    <x v="1"/>
    <x v="3"/>
    <x v="7"/>
    <x v="15"/>
    <x v="46"/>
    <x v="19"/>
    <x v="13"/>
    <x v="712"/>
    <x v="647"/>
    <x v="818"/>
    <x v="1331"/>
  </r>
  <r>
    <x v="1717"/>
    <x v="470"/>
    <x v="1"/>
    <x v="1"/>
    <x v="5"/>
    <x v="6"/>
    <x v="17"/>
    <x v="0"/>
    <x v="0"/>
    <x v="0"/>
    <x v="1"/>
    <x v="3"/>
    <x v="7"/>
    <x v="15"/>
    <x v="34"/>
    <x v="19"/>
    <x v="13"/>
    <x v="630"/>
    <x v="582"/>
    <x v="1220"/>
    <x v="1117"/>
  </r>
  <r>
    <x v="1718"/>
    <x v="477"/>
    <x v="1"/>
    <x v="1"/>
    <x v="5"/>
    <x v="6"/>
    <x v="17"/>
    <x v="0"/>
    <x v="0"/>
    <x v="1"/>
    <x v="1"/>
    <x v="3"/>
    <x v="6"/>
    <x v="13"/>
    <x v="46"/>
    <x v="4"/>
    <x v="3"/>
    <x v="292"/>
    <x v="249"/>
    <x v="227"/>
    <x v="691"/>
  </r>
  <r>
    <x v="1719"/>
    <x v="484"/>
    <x v="1"/>
    <x v="1"/>
    <x v="5"/>
    <x v="6"/>
    <x v="17"/>
    <x v="0"/>
    <x v="0"/>
    <x v="0"/>
    <x v="1"/>
    <x v="3"/>
    <x v="6"/>
    <x v="13"/>
    <x v="39"/>
    <x v="4"/>
    <x v="3"/>
    <x v="243"/>
    <x v="205"/>
    <x v="894"/>
    <x v="491"/>
  </r>
  <r>
    <x v="1720"/>
    <x v="464"/>
    <x v="1"/>
    <x v="1"/>
    <x v="5"/>
    <x v="6"/>
    <x v="17"/>
    <x v="1"/>
    <x v="1"/>
    <x v="1"/>
    <x v="3"/>
    <x v="7"/>
    <x v="1"/>
    <x v="3"/>
    <x v="9"/>
    <x v="24"/>
    <x v="17"/>
    <x v="816"/>
    <x v="734"/>
    <x v="1082"/>
    <x v="1515"/>
  </r>
  <r>
    <x v="1721"/>
    <x v="471"/>
    <x v="1"/>
    <x v="1"/>
    <x v="5"/>
    <x v="6"/>
    <x v="17"/>
    <x v="1"/>
    <x v="1"/>
    <x v="0"/>
    <x v="3"/>
    <x v="7"/>
    <x v="1"/>
    <x v="3"/>
    <x v="6"/>
    <x v="24"/>
    <x v="17"/>
    <x v="786"/>
    <x v="715"/>
    <x v="1302"/>
    <x v="1343"/>
  </r>
  <r>
    <x v="1722"/>
    <x v="478"/>
    <x v="1"/>
    <x v="1"/>
    <x v="5"/>
    <x v="6"/>
    <x v="17"/>
    <x v="1"/>
    <x v="1"/>
    <x v="1"/>
    <x v="3"/>
    <x v="7"/>
    <x v="2"/>
    <x v="5"/>
    <x v="12"/>
    <x v="21"/>
    <x v="15"/>
    <x v="704"/>
    <x v="656"/>
    <x v="810"/>
    <x v="1271"/>
  </r>
  <r>
    <x v="1723"/>
    <x v="485"/>
    <x v="1"/>
    <x v="1"/>
    <x v="5"/>
    <x v="6"/>
    <x v="17"/>
    <x v="1"/>
    <x v="1"/>
    <x v="0"/>
    <x v="3"/>
    <x v="7"/>
    <x v="2"/>
    <x v="5"/>
    <x v="8"/>
    <x v="21"/>
    <x v="15"/>
    <x v="612"/>
    <x v="577"/>
    <x v="1211"/>
    <x v="981"/>
  </r>
  <r>
    <x v="1724"/>
    <x v="465"/>
    <x v="1"/>
    <x v="1"/>
    <x v="5"/>
    <x v="6"/>
    <x v="17"/>
    <x v="1"/>
    <x v="1"/>
    <x v="1"/>
    <x v="3"/>
    <x v="7"/>
    <x v="5"/>
    <x v="11"/>
    <x v="8"/>
    <x v="27"/>
    <x v="19"/>
    <x v="834"/>
    <x v="750"/>
    <x v="1139"/>
    <x v="1516"/>
  </r>
  <r>
    <x v="1725"/>
    <x v="472"/>
    <x v="1"/>
    <x v="1"/>
    <x v="5"/>
    <x v="6"/>
    <x v="17"/>
    <x v="1"/>
    <x v="1"/>
    <x v="0"/>
    <x v="3"/>
    <x v="7"/>
    <x v="5"/>
    <x v="11"/>
    <x v="5"/>
    <x v="27"/>
    <x v="19"/>
    <x v="807"/>
    <x v="732"/>
    <x v="1313"/>
    <x v="1296"/>
  </r>
  <r>
    <x v="1726"/>
    <x v="479"/>
    <x v="1"/>
    <x v="1"/>
    <x v="5"/>
    <x v="6"/>
    <x v="17"/>
    <x v="1"/>
    <x v="1"/>
    <x v="1"/>
    <x v="0"/>
    <x v="1"/>
    <x v="3"/>
    <x v="7"/>
    <x v="62"/>
    <x v="1"/>
    <x v="1"/>
    <x v="319"/>
    <x v="251"/>
    <x v="247"/>
    <x v="775"/>
  </r>
  <r>
    <x v="1727"/>
    <x v="459"/>
    <x v="1"/>
    <x v="1"/>
    <x v="5"/>
    <x v="6"/>
    <x v="17"/>
    <x v="1"/>
    <x v="1"/>
    <x v="0"/>
    <x v="0"/>
    <x v="1"/>
    <x v="3"/>
    <x v="7"/>
    <x v="35"/>
    <x v="1"/>
    <x v="1"/>
    <x v="154"/>
    <x v="118"/>
    <x v="756"/>
    <x v="344"/>
  </r>
  <r>
    <x v="1728"/>
    <x v="466"/>
    <x v="1"/>
    <x v="1"/>
    <x v="5"/>
    <x v="6"/>
    <x v="17"/>
    <x v="1"/>
    <x v="1"/>
    <x v="1"/>
    <x v="0"/>
    <x v="1"/>
    <x v="8"/>
    <x v="17"/>
    <x v="56"/>
    <x v="13"/>
    <x v="8"/>
    <x v="677"/>
    <x v="583"/>
    <x v="759"/>
    <x v="1368"/>
  </r>
  <r>
    <x v="1729"/>
    <x v="473"/>
    <x v="1"/>
    <x v="1"/>
    <x v="5"/>
    <x v="6"/>
    <x v="17"/>
    <x v="1"/>
    <x v="1"/>
    <x v="0"/>
    <x v="0"/>
    <x v="1"/>
    <x v="8"/>
    <x v="17"/>
    <x v="44"/>
    <x v="13"/>
    <x v="8"/>
    <x v="615"/>
    <x v="526"/>
    <x v="1212"/>
    <x v="1209"/>
  </r>
  <r>
    <x v="1730"/>
    <x v="480"/>
    <x v="1"/>
    <x v="1"/>
    <x v="5"/>
    <x v="6"/>
    <x v="17"/>
    <x v="1"/>
    <x v="1"/>
    <x v="1"/>
    <x v="0"/>
    <x v="1"/>
    <x v="9"/>
    <x v="19"/>
    <x v="62"/>
    <x v="7"/>
    <x v="5"/>
    <x v="596"/>
    <x v="533"/>
    <x v="643"/>
    <x v="1207"/>
  </r>
  <r>
    <x v="1731"/>
    <x v="460"/>
    <x v="1"/>
    <x v="1"/>
    <x v="5"/>
    <x v="6"/>
    <x v="17"/>
    <x v="1"/>
    <x v="1"/>
    <x v="0"/>
    <x v="0"/>
    <x v="1"/>
    <x v="9"/>
    <x v="19"/>
    <x v="41"/>
    <x v="7"/>
    <x v="5"/>
    <x v="463"/>
    <x v="416"/>
    <x v="1119"/>
    <x v="865"/>
  </r>
  <r>
    <x v="1732"/>
    <x v="467"/>
    <x v="1"/>
    <x v="1"/>
    <x v="5"/>
    <x v="6"/>
    <x v="17"/>
    <x v="1"/>
    <x v="1"/>
    <x v="1"/>
    <x v="2"/>
    <x v="5"/>
    <x v="0"/>
    <x v="1"/>
    <x v="26"/>
    <x v="16"/>
    <x v="11"/>
    <x v="529"/>
    <x v="467"/>
    <x v="538"/>
    <x v="1104"/>
  </r>
  <r>
    <x v="1733"/>
    <x v="474"/>
    <x v="1"/>
    <x v="1"/>
    <x v="5"/>
    <x v="6"/>
    <x v="17"/>
    <x v="1"/>
    <x v="1"/>
    <x v="0"/>
    <x v="2"/>
    <x v="5"/>
    <x v="0"/>
    <x v="1"/>
    <x v="14"/>
    <x v="16"/>
    <x v="11"/>
    <x v="341"/>
    <x v="292"/>
    <x v="1021"/>
    <x v="640"/>
  </r>
  <r>
    <x v="1734"/>
    <x v="481"/>
    <x v="1"/>
    <x v="1"/>
    <x v="5"/>
    <x v="6"/>
    <x v="17"/>
    <x v="1"/>
    <x v="1"/>
    <x v="1"/>
    <x v="2"/>
    <x v="5"/>
    <x v="4"/>
    <x v="9"/>
    <x v="28"/>
    <x v="10"/>
    <x v="9"/>
    <x v="427"/>
    <x v="402"/>
    <x v="401"/>
    <x v="872"/>
  </r>
  <r>
    <x v="1735"/>
    <x v="461"/>
    <x v="1"/>
    <x v="1"/>
    <x v="5"/>
    <x v="6"/>
    <x v="17"/>
    <x v="1"/>
    <x v="1"/>
    <x v="0"/>
    <x v="2"/>
    <x v="5"/>
    <x v="4"/>
    <x v="9"/>
    <x v="18"/>
    <x v="10"/>
    <x v="9"/>
    <x v="300"/>
    <x v="280"/>
    <x v="977"/>
    <x v="500"/>
  </r>
  <r>
    <x v="1736"/>
    <x v="468"/>
    <x v="1"/>
    <x v="1"/>
    <x v="5"/>
    <x v="6"/>
    <x v="17"/>
    <x v="1"/>
    <x v="1"/>
    <x v="1"/>
    <x v="1"/>
    <x v="3"/>
    <x v="7"/>
    <x v="15"/>
    <x v="33"/>
    <x v="19"/>
    <x v="13"/>
    <x v="624"/>
    <x v="575"/>
    <x v="676"/>
    <x v="1202"/>
  </r>
  <r>
    <x v="1737"/>
    <x v="475"/>
    <x v="1"/>
    <x v="1"/>
    <x v="5"/>
    <x v="6"/>
    <x v="17"/>
    <x v="1"/>
    <x v="1"/>
    <x v="0"/>
    <x v="1"/>
    <x v="3"/>
    <x v="7"/>
    <x v="15"/>
    <x v="19"/>
    <x v="19"/>
    <x v="13"/>
    <x v="455"/>
    <x v="432"/>
    <x v="1113"/>
    <x v="773"/>
  </r>
  <r>
    <x v="1738"/>
    <x v="482"/>
    <x v="1"/>
    <x v="1"/>
    <x v="5"/>
    <x v="6"/>
    <x v="17"/>
    <x v="1"/>
    <x v="1"/>
    <x v="1"/>
    <x v="1"/>
    <x v="3"/>
    <x v="6"/>
    <x v="13"/>
    <x v="36"/>
    <x v="4"/>
    <x v="3"/>
    <x v="219"/>
    <x v="188"/>
    <x v="165"/>
    <x v="537"/>
  </r>
  <r>
    <x v="1739"/>
    <x v="462"/>
    <x v="1"/>
    <x v="1"/>
    <x v="5"/>
    <x v="6"/>
    <x v="17"/>
    <x v="1"/>
    <x v="1"/>
    <x v="0"/>
    <x v="1"/>
    <x v="3"/>
    <x v="6"/>
    <x v="13"/>
    <x v="21"/>
    <x v="4"/>
    <x v="3"/>
    <x v="96"/>
    <x v="83"/>
    <x v="653"/>
    <x v="195"/>
  </r>
  <r>
    <x v="1740"/>
    <x v="469"/>
    <x v="1"/>
    <x v="1"/>
    <x v="5"/>
    <x v="6"/>
    <x v="17"/>
    <x v="3"/>
    <x v="3"/>
    <x v="1"/>
    <x v="3"/>
    <x v="7"/>
    <x v="1"/>
    <x v="3"/>
    <x v="6"/>
    <x v="24"/>
    <x v="17"/>
    <x v="786"/>
    <x v="715"/>
    <x v="993"/>
    <x v="1433"/>
  </r>
  <r>
    <x v="1741"/>
    <x v="476"/>
    <x v="1"/>
    <x v="1"/>
    <x v="5"/>
    <x v="6"/>
    <x v="17"/>
    <x v="3"/>
    <x v="3"/>
    <x v="0"/>
    <x v="3"/>
    <x v="7"/>
    <x v="1"/>
    <x v="3"/>
    <x v="4"/>
    <x v="24"/>
    <x v="17"/>
    <x v="735"/>
    <x v="679"/>
    <x v="1281"/>
    <x v="1224"/>
  </r>
  <r>
    <x v="1742"/>
    <x v="483"/>
    <x v="1"/>
    <x v="1"/>
    <x v="5"/>
    <x v="6"/>
    <x v="17"/>
    <x v="3"/>
    <x v="3"/>
    <x v="1"/>
    <x v="3"/>
    <x v="7"/>
    <x v="2"/>
    <x v="5"/>
    <x v="6"/>
    <x v="21"/>
    <x v="15"/>
    <x v="543"/>
    <x v="520"/>
    <x v="562"/>
    <x v="958"/>
  </r>
  <r>
    <x v="1743"/>
    <x v="463"/>
    <x v="1"/>
    <x v="1"/>
    <x v="5"/>
    <x v="6"/>
    <x v="17"/>
    <x v="3"/>
    <x v="3"/>
    <x v="0"/>
    <x v="3"/>
    <x v="7"/>
    <x v="2"/>
    <x v="5"/>
    <x v="4"/>
    <x v="21"/>
    <x v="15"/>
    <x v="434"/>
    <x v="442"/>
    <x v="1101"/>
    <x v="645"/>
  </r>
  <r>
    <x v="1744"/>
    <x v="470"/>
    <x v="1"/>
    <x v="1"/>
    <x v="5"/>
    <x v="6"/>
    <x v="17"/>
    <x v="3"/>
    <x v="3"/>
    <x v="1"/>
    <x v="3"/>
    <x v="7"/>
    <x v="5"/>
    <x v="11"/>
    <x v="8"/>
    <x v="27"/>
    <x v="19"/>
    <x v="834"/>
    <x v="750"/>
    <x v="1139"/>
    <x v="1516"/>
  </r>
  <r>
    <x v="1745"/>
    <x v="477"/>
    <x v="1"/>
    <x v="1"/>
    <x v="5"/>
    <x v="6"/>
    <x v="17"/>
    <x v="3"/>
    <x v="3"/>
    <x v="0"/>
    <x v="3"/>
    <x v="7"/>
    <x v="5"/>
    <x v="11"/>
    <x v="5"/>
    <x v="27"/>
    <x v="19"/>
    <x v="807"/>
    <x v="732"/>
    <x v="1313"/>
    <x v="1296"/>
  </r>
  <r>
    <x v="1746"/>
    <x v="484"/>
    <x v="1"/>
    <x v="1"/>
    <x v="5"/>
    <x v="6"/>
    <x v="17"/>
    <x v="3"/>
    <x v="3"/>
    <x v="1"/>
    <x v="0"/>
    <x v="1"/>
    <x v="3"/>
    <x v="7"/>
    <x v="45"/>
    <x v="1"/>
    <x v="1"/>
    <x v="217"/>
    <x v="171"/>
    <x v="160"/>
    <x v="569"/>
  </r>
  <r>
    <x v="1747"/>
    <x v="464"/>
    <x v="1"/>
    <x v="1"/>
    <x v="5"/>
    <x v="6"/>
    <x v="17"/>
    <x v="3"/>
    <x v="3"/>
    <x v="0"/>
    <x v="0"/>
    <x v="1"/>
    <x v="3"/>
    <x v="7"/>
    <x v="25"/>
    <x v="1"/>
    <x v="1"/>
    <x v="85"/>
    <x v="67"/>
    <x v="622"/>
    <x v="205"/>
  </r>
  <r>
    <x v="1748"/>
    <x v="471"/>
    <x v="1"/>
    <x v="1"/>
    <x v="5"/>
    <x v="6"/>
    <x v="17"/>
    <x v="3"/>
    <x v="3"/>
    <x v="1"/>
    <x v="0"/>
    <x v="1"/>
    <x v="8"/>
    <x v="17"/>
    <x v="42"/>
    <x v="13"/>
    <x v="8"/>
    <x v="598"/>
    <x v="512"/>
    <x v="647"/>
    <x v="1245"/>
  </r>
  <r>
    <x v="1749"/>
    <x v="478"/>
    <x v="1"/>
    <x v="1"/>
    <x v="5"/>
    <x v="6"/>
    <x v="17"/>
    <x v="3"/>
    <x v="3"/>
    <x v="0"/>
    <x v="0"/>
    <x v="1"/>
    <x v="8"/>
    <x v="17"/>
    <x v="22"/>
    <x v="13"/>
    <x v="8"/>
    <x v="393"/>
    <x v="331"/>
    <x v="1066"/>
    <x v="807"/>
  </r>
  <r>
    <x v="1750"/>
    <x v="485"/>
    <x v="1"/>
    <x v="1"/>
    <x v="5"/>
    <x v="6"/>
    <x v="17"/>
    <x v="3"/>
    <x v="3"/>
    <x v="1"/>
    <x v="0"/>
    <x v="1"/>
    <x v="9"/>
    <x v="19"/>
    <x v="33"/>
    <x v="7"/>
    <x v="5"/>
    <x v="391"/>
    <x v="352"/>
    <x v="351"/>
    <x v="833"/>
  </r>
  <r>
    <x v="1751"/>
    <x v="465"/>
    <x v="1"/>
    <x v="1"/>
    <x v="5"/>
    <x v="6"/>
    <x v="17"/>
    <x v="3"/>
    <x v="3"/>
    <x v="0"/>
    <x v="0"/>
    <x v="1"/>
    <x v="9"/>
    <x v="19"/>
    <x v="27"/>
    <x v="7"/>
    <x v="5"/>
    <x v="335"/>
    <x v="296"/>
    <x v="1015"/>
    <x v="592"/>
  </r>
  <r>
    <x v="1752"/>
    <x v="472"/>
    <x v="1"/>
    <x v="1"/>
    <x v="5"/>
    <x v="6"/>
    <x v="17"/>
    <x v="3"/>
    <x v="3"/>
    <x v="1"/>
    <x v="2"/>
    <x v="5"/>
    <x v="0"/>
    <x v="1"/>
    <x v="16"/>
    <x v="16"/>
    <x v="11"/>
    <x v="371"/>
    <x v="330"/>
    <x v="327"/>
    <x v="823"/>
  </r>
  <r>
    <x v="1753"/>
    <x v="479"/>
    <x v="1"/>
    <x v="1"/>
    <x v="5"/>
    <x v="6"/>
    <x v="17"/>
    <x v="3"/>
    <x v="3"/>
    <x v="0"/>
    <x v="2"/>
    <x v="5"/>
    <x v="0"/>
    <x v="1"/>
    <x v="12"/>
    <x v="16"/>
    <x v="11"/>
    <x v="291"/>
    <x v="260"/>
    <x v="972"/>
    <x v="557"/>
  </r>
  <r>
    <x v="1754"/>
    <x v="459"/>
    <x v="1"/>
    <x v="1"/>
    <x v="5"/>
    <x v="6"/>
    <x v="17"/>
    <x v="3"/>
    <x v="3"/>
    <x v="1"/>
    <x v="2"/>
    <x v="5"/>
    <x v="4"/>
    <x v="9"/>
    <x v="14"/>
    <x v="10"/>
    <x v="9"/>
    <x v="226"/>
    <x v="221"/>
    <x v="174"/>
    <x v="470"/>
  </r>
  <r>
    <x v="1755"/>
    <x v="466"/>
    <x v="1"/>
    <x v="1"/>
    <x v="5"/>
    <x v="6"/>
    <x v="17"/>
    <x v="3"/>
    <x v="3"/>
    <x v="0"/>
    <x v="2"/>
    <x v="5"/>
    <x v="4"/>
    <x v="9"/>
    <x v="12"/>
    <x v="10"/>
    <x v="9"/>
    <x v="188"/>
    <x v="186"/>
    <x v="820"/>
    <x v="292"/>
  </r>
  <r>
    <x v="1756"/>
    <x v="473"/>
    <x v="1"/>
    <x v="1"/>
    <x v="5"/>
    <x v="6"/>
    <x v="17"/>
    <x v="3"/>
    <x v="3"/>
    <x v="1"/>
    <x v="1"/>
    <x v="3"/>
    <x v="7"/>
    <x v="15"/>
    <x v="22"/>
    <x v="19"/>
    <x v="13"/>
    <x v="503"/>
    <x v="474"/>
    <x v="504"/>
    <x v="960"/>
  </r>
  <r>
    <x v="1757"/>
    <x v="480"/>
    <x v="1"/>
    <x v="1"/>
    <x v="5"/>
    <x v="6"/>
    <x v="17"/>
    <x v="3"/>
    <x v="3"/>
    <x v="0"/>
    <x v="1"/>
    <x v="3"/>
    <x v="7"/>
    <x v="15"/>
    <x v="15"/>
    <x v="19"/>
    <x v="13"/>
    <x v="381"/>
    <x v="365"/>
    <x v="1058"/>
    <x v="629"/>
  </r>
  <r>
    <x v="1758"/>
    <x v="460"/>
    <x v="1"/>
    <x v="1"/>
    <x v="5"/>
    <x v="6"/>
    <x v="17"/>
    <x v="3"/>
    <x v="3"/>
    <x v="1"/>
    <x v="1"/>
    <x v="3"/>
    <x v="6"/>
    <x v="13"/>
    <x v="26"/>
    <x v="4"/>
    <x v="3"/>
    <x v="140"/>
    <x v="119"/>
    <x v="96"/>
    <x v="350"/>
  </r>
  <r>
    <x v="1759"/>
    <x v="467"/>
    <x v="1"/>
    <x v="1"/>
    <x v="5"/>
    <x v="6"/>
    <x v="17"/>
    <x v="3"/>
    <x v="3"/>
    <x v="0"/>
    <x v="1"/>
    <x v="3"/>
    <x v="6"/>
    <x v="13"/>
    <x v="14"/>
    <x v="4"/>
    <x v="3"/>
    <x v="44"/>
    <x v="43"/>
    <x v="478"/>
    <x v="81"/>
  </r>
  <r>
    <x v="1760"/>
    <x v="474"/>
    <x v="1"/>
    <x v="1"/>
    <x v="5"/>
    <x v="6"/>
    <x v="17"/>
    <x v="2"/>
    <x v="2"/>
    <x v="1"/>
    <x v="3"/>
    <x v="7"/>
    <x v="1"/>
    <x v="3"/>
    <x v="5"/>
    <x v="24"/>
    <x v="17"/>
    <x v="761"/>
    <x v="702"/>
    <x v="934"/>
    <x v="1377"/>
  </r>
  <r>
    <x v="1761"/>
    <x v="481"/>
    <x v="1"/>
    <x v="1"/>
    <x v="5"/>
    <x v="6"/>
    <x v="17"/>
    <x v="2"/>
    <x v="2"/>
    <x v="0"/>
    <x v="3"/>
    <x v="7"/>
    <x v="1"/>
    <x v="3"/>
    <x v="3"/>
    <x v="24"/>
    <x v="17"/>
    <x v="693"/>
    <x v="653"/>
    <x v="1256"/>
    <x v="1136"/>
  </r>
  <r>
    <x v="1762"/>
    <x v="461"/>
    <x v="1"/>
    <x v="1"/>
    <x v="5"/>
    <x v="6"/>
    <x v="17"/>
    <x v="2"/>
    <x v="2"/>
    <x v="1"/>
    <x v="3"/>
    <x v="7"/>
    <x v="2"/>
    <x v="5"/>
    <x v="5"/>
    <x v="21"/>
    <x v="15"/>
    <x v="492"/>
    <x v="482"/>
    <x v="493"/>
    <x v="882"/>
  </r>
  <r>
    <x v="1763"/>
    <x v="468"/>
    <x v="1"/>
    <x v="1"/>
    <x v="5"/>
    <x v="6"/>
    <x v="17"/>
    <x v="2"/>
    <x v="2"/>
    <x v="0"/>
    <x v="3"/>
    <x v="7"/>
    <x v="2"/>
    <x v="5"/>
    <x v="3"/>
    <x v="21"/>
    <x v="15"/>
    <x v="374"/>
    <x v="385"/>
    <x v="1055"/>
    <x v="536"/>
  </r>
  <r>
    <x v="1764"/>
    <x v="475"/>
    <x v="1"/>
    <x v="1"/>
    <x v="5"/>
    <x v="6"/>
    <x v="17"/>
    <x v="2"/>
    <x v="2"/>
    <x v="1"/>
    <x v="3"/>
    <x v="7"/>
    <x v="5"/>
    <x v="11"/>
    <x v="6"/>
    <x v="27"/>
    <x v="19"/>
    <x v="817"/>
    <x v="741"/>
    <x v="1082"/>
    <x v="1455"/>
  </r>
  <r>
    <x v="1765"/>
    <x v="482"/>
    <x v="1"/>
    <x v="1"/>
    <x v="5"/>
    <x v="6"/>
    <x v="17"/>
    <x v="2"/>
    <x v="2"/>
    <x v="0"/>
    <x v="3"/>
    <x v="7"/>
    <x v="5"/>
    <x v="11"/>
    <x v="2"/>
    <x v="27"/>
    <x v="19"/>
    <x v="717"/>
    <x v="681"/>
    <x v="1268"/>
    <x v="1006"/>
  </r>
  <r>
    <x v="1766"/>
    <x v="462"/>
    <x v="1"/>
    <x v="1"/>
    <x v="5"/>
    <x v="6"/>
    <x v="17"/>
    <x v="2"/>
    <x v="2"/>
    <x v="1"/>
    <x v="0"/>
    <x v="1"/>
    <x v="3"/>
    <x v="7"/>
    <x v="28"/>
    <x v="1"/>
    <x v="1"/>
    <x v="102"/>
    <x v="82"/>
    <x v="67"/>
    <x v="302"/>
  </r>
  <r>
    <x v="1767"/>
    <x v="469"/>
    <x v="1"/>
    <x v="1"/>
    <x v="5"/>
    <x v="6"/>
    <x v="17"/>
    <x v="2"/>
    <x v="2"/>
    <x v="0"/>
    <x v="0"/>
    <x v="1"/>
    <x v="3"/>
    <x v="7"/>
    <x v="19"/>
    <x v="1"/>
    <x v="1"/>
    <x v="47"/>
    <x v="42"/>
    <x v="501"/>
    <x v="110"/>
  </r>
  <r>
    <x v="1768"/>
    <x v="476"/>
    <x v="1"/>
    <x v="1"/>
    <x v="5"/>
    <x v="6"/>
    <x v="17"/>
    <x v="2"/>
    <x v="2"/>
    <x v="1"/>
    <x v="0"/>
    <x v="1"/>
    <x v="8"/>
    <x v="17"/>
    <x v="26"/>
    <x v="13"/>
    <x v="8"/>
    <x v="443"/>
    <x v="380"/>
    <x v="425"/>
    <x v="987"/>
  </r>
  <r>
    <x v="1769"/>
    <x v="483"/>
    <x v="1"/>
    <x v="1"/>
    <x v="5"/>
    <x v="6"/>
    <x v="17"/>
    <x v="2"/>
    <x v="2"/>
    <x v="0"/>
    <x v="0"/>
    <x v="1"/>
    <x v="8"/>
    <x v="17"/>
    <x v="17"/>
    <x v="13"/>
    <x v="8"/>
    <x v="323"/>
    <x v="266"/>
    <x v="1001"/>
    <x v="641"/>
  </r>
  <r>
    <x v="1770"/>
    <x v="463"/>
    <x v="1"/>
    <x v="1"/>
    <x v="5"/>
    <x v="6"/>
    <x v="17"/>
    <x v="2"/>
    <x v="2"/>
    <x v="1"/>
    <x v="0"/>
    <x v="1"/>
    <x v="9"/>
    <x v="19"/>
    <x v="28"/>
    <x v="7"/>
    <x v="5"/>
    <x v="346"/>
    <x v="306"/>
    <x v="286"/>
    <x v="728"/>
  </r>
  <r>
    <x v="1771"/>
    <x v="470"/>
    <x v="1"/>
    <x v="1"/>
    <x v="5"/>
    <x v="6"/>
    <x v="17"/>
    <x v="2"/>
    <x v="2"/>
    <x v="0"/>
    <x v="0"/>
    <x v="1"/>
    <x v="9"/>
    <x v="19"/>
    <x v="20"/>
    <x v="7"/>
    <x v="5"/>
    <x v="241"/>
    <x v="223"/>
    <x v="889"/>
    <x v="438"/>
  </r>
  <r>
    <x v="1772"/>
    <x v="477"/>
    <x v="1"/>
    <x v="1"/>
    <x v="5"/>
    <x v="6"/>
    <x v="17"/>
    <x v="2"/>
    <x v="2"/>
    <x v="1"/>
    <x v="2"/>
    <x v="5"/>
    <x v="0"/>
    <x v="1"/>
    <x v="12"/>
    <x v="16"/>
    <x v="11"/>
    <x v="291"/>
    <x v="260"/>
    <x v="227"/>
    <x v="647"/>
  </r>
  <r>
    <x v="1773"/>
    <x v="484"/>
    <x v="1"/>
    <x v="1"/>
    <x v="5"/>
    <x v="6"/>
    <x v="17"/>
    <x v="2"/>
    <x v="2"/>
    <x v="0"/>
    <x v="2"/>
    <x v="5"/>
    <x v="0"/>
    <x v="1"/>
    <x v="7"/>
    <x v="16"/>
    <x v="11"/>
    <x v="163"/>
    <x v="149"/>
    <x v="775"/>
    <x v="294"/>
  </r>
  <r>
    <x v="1774"/>
    <x v="464"/>
    <x v="1"/>
    <x v="1"/>
    <x v="5"/>
    <x v="6"/>
    <x v="17"/>
    <x v="2"/>
    <x v="2"/>
    <x v="1"/>
    <x v="2"/>
    <x v="5"/>
    <x v="4"/>
    <x v="9"/>
    <x v="14"/>
    <x v="10"/>
    <x v="9"/>
    <x v="226"/>
    <x v="221"/>
    <x v="174"/>
    <x v="470"/>
  </r>
  <r>
    <x v="1775"/>
    <x v="471"/>
    <x v="1"/>
    <x v="1"/>
    <x v="5"/>
    <x v="6"/>
    <x v="17"/>
    <x v="2"/>
    <x v="2"/>
    <x v="0"/>
    <x v="2"/>
    <x v="5"/>
    <x v="4"/>
    <x v="9"/>
    <x v="8"/>
    <x v="10"/>
    <x v="9"/>
    <x v="108"/>
    <x v="111"/>
    <x v="672"/>
    <x v="154"/>
  </r>
  <r>
    <x v="1776"/>
    <x v="478"/>
    <x v="1"/>
    <x v="1"/>
    <x v="5"/>
    <x v="6"/>
    <x v="17"/>
    <x v="2"/>
    <x v="2"/>
    <x v="1"/>
    <x v="1"/>
    <x v="3"/>
    <x v="7"/>
    <x v="15"/>
    <x v="17"/>
    <x v="19"/>
    <x v="13"/>
    <x v="417"/>
    <x v="406"/>
    <x v="388"/>
    <x v="819"/>
  </r>
  <r>
    <x v="1777"/>
    <x v="485"/>
    <x v="1"/>
    <x v="1"/>
    <x v="5"/>
    <x v="6"/>
    <x v="17"/>
    <x v="2"/>
    <x v="2"/>
    <x v="0"/>
    <x v="1"/>
    <x v="3"/>
    <x v="7"/>
    <x v="15"/>
    <x v="8"/>
    <x v="19"/>
    <x v="13"/>
    <x v="211"/>
    <x v="218"/>
    <x v="854"/>
    <x v="316"/>
  </r>
  <r>
    <x v="1778"/>
    <x v="465"/>
    <x v="1"/>
    <x v="1"/>
    <x v="5"/>
    <x v="6"/>
    <x v="17"/>
    <x v="2"/>
    <x v="2"/>
    <x v="1"/>
    <x v="1"/>
    <x v="3"/>
    <x v="6"/>
    <x v="13"/>
    <x v="19"/>
    <x v="4"/>
    <x v="3"/>
    <x v="80"/>
    <x v="72"/>
    <x v="49"/>
    <x v="216"/>
  </r>
  <r>
    <x v="1779"/>
    <x v="472"/>
    <x v="1"/>
    <x v="1"/>
    <x v="5"/>
    <x v="6"/>
    <x v="17"/>
    <x v="2"/>
    <x v="2"/>
    <x v="0"/>
    <x v="1"/>
    <x v="3"/>
    <x v="6"/>
    <x v="13"/>
    <x v="10"/>
    <x v="4"/>
    <x v="3"/>
    <x v="20"/>
    <x v="22"/>
    <x v="341"/>
    <x v="42"/>
  </r>
  <r>
    <x v="1780"/>
    <x v="479"/>
    <x v="1"/>
    <x v="1"/>
    <x v="5"/>
    <x v="6"/>
    <x v="17"/>
    <x v="4"/>
    <x v="4"/>
    <x v="1"/>
    <x v="3"/>
    <x v="7"/>
    <x v="1"/>
    <x v="3"/>
    <x v="6"/>
    <x v="24"/>
    <x v="17"/>
    <x v="786"/>
    <x v="715"/>
    <x v="993"/>
    <x v="1433"/>
  </r>
  <r>
    <x v="1781"/>
    <x v="459"/>
    <x v="1"/>
    <x v="1"/>
    <x v="5"/>
    <x v="6"/>
    <x v="17"/>
    <x v="4"/>
    <x v="4"/>
    <x v="0"/>
    <x v="3"/>
    <x v="7"/>
    <x v="1"/>
    <x v="3"/>
    <x v="2"/>
    <x v="24"/>
    <x v="17"/>
    <x v="628"/>
    <x v="600"/>
    <x v="1218"/>
    <x v="985"/>
  </r>
  <r>
    <x v="1782"/>
    <x v="466"/>
    <x v="1"/>
    <x v="1"/>
    <x v="5"/>
    <x v="6"/>
    <x v="17"/>
    <x v="4"/>
    <x v="4"/>
    <x v="1"/>
    <x v="3"/>
    <x v="7"/>
    <x v="2"/>
    <x v="5"/>
    <x v="5"/>
    <x v="21"/>
    <x v="15"/>
    <x v="492"/>
    <x v="482"/>
    <x v="493"/>
    <x v="882"/>
  </r>
  <r>
    <x v="1783"/>
    <x v="473"/>
    <x v="1"/>
    <x v="1"/>
    <x v="5"/>
    <x v="6"/>
    <x v="17"/>
    <x v="4"/>
    <x v="4"/>
    <x v="0"/>
    <x v="3"/>
    <x v="7"/>
    <x v="2"/>
    <x v="5"/>
    <x v="2"/>
    <x v="21"/>
    <x v="15"/>
    <x v="309"/>
    <x v="313"/>
    <x v="988"/>
    <x v="406"/>
  </r>
  <r>
    <x v="1784"/>
    <x v="480"/>
    <x v="1"/>
    <x v="1"/>
    <x v="5"/>
    <x v="6"/>
    <x v="17"/>
    <x v="4"/>
    <x v="4"/>
    <x v="1"/>
    <x v="3"/>
    <x v="7"/>
    <x v="5"/>
    <x v="11"/>
    <x v="5"/>
    <x v="27"/>
    <x v="19"/>
    <x v="807"/>
    <x v="732"/>
    <x v="1051"/>
    <x v="1414"/>
  </r>
  <r>
    <x v="1785"/>
    <x v="460"/>
    <x v="1"/>
    <x v="1"/>
    <x v="5"/>
    <x v="6"/>
    <x v="17"/>
    <x v="4"/>
    <x v="4"/>
    <x v="0"/>
    <x v="3"/>
    <x v="7"/>
    <x v="5"/>
    <x v="11"/>
    <x v="3"/>
    <x v="27"/>
    <x v="19"/>
    <x v="758"/>
    <x v="709"/>
    <x v="1294"/>
    <x v="1157"/>
  </r>
  <r>
    <x v="1786"/>
    <x v="467"/>
    <x v="1"/>
    <x v="1"/>
    <x v="5"/>
    <x v="6"/>
    <x v="17"/>
    <x v="4"/>
    <x v="4"/>
    <x v="1"/>
    <x v="0"/>
    <x v="1"/>
    <x v="3"/>
    <x v="7"/>
    <x v="34"/>
    <x v="1"/>
    <x v="1"/>
    <x v="145"/>
    <x v="114"/>
    <x v="102"/>
    <x v="415"/>
  </r>
  <r>
    <x v="1787"/>
    <x v="474"/>
    <x v="1"/>
    <x v="1"/>
    <x v="5"/>
    <x v="6"/>
    <x v="17"/>
    <x v="4"/>
    <x v="4"/>
    <x v="0"/>
    <x v="0"/>
    <x v="1"/>
    <x v="3"/>
    <x v="7"/>
    <x v="21"/>
    <x v="1"/>
    <x v="1"/>
    <x v="60"/>
    <x v="50"/>
    <x v="548"/>
    <x v="134"/>
  </r>
  <r>
    <x v="1788"/>
    <x v="481"/>
    <x v="1"/>
    <x v="1"/>
    <x v="5"/>
    <x v="6"/>
    <x v="17"/>
    <x v="4"/>
    <x v="4"/>
    <x v="1"/>
    <x v="0"/>
    <x v="1"/>
    <x v="8"/>
    <x v="17"/>
    <x v="30"/>
    <x v="13"/>
    <x v="8"/>
    <x v="491"/>
    <x v="418"/>
    <x v="490"/>
    <x v="1078"/>
  </r>
  <r>
    <x v="1789"/>
    <x v="461"/>
    <x v="1"/>
    <x v="1"/>
    <x v="5"/>
    <x v="6"/>
    <x v="17"/>
    <x v="4"/>
    <x v="4"/>
    <x v="0"/>
    <x v="0"/>
    <x v="1"/>
    <x v="8"/>
    <x v="17"/>
    <x v="22"/>
    <x v="13"/>
    <x v="8"/>
    <x v="393"/>
    <x v="331"/>
    <x v="1066"/>
    <x v="807"/>
  </r>
  <r>
    <x v="1790"/>
    <x v="468"/>
    <x v="1"/>
    <x v="1"/>
    <x v="5"/>
    <x v="6"/>
    <x v="17"/>
    <x v="4"/>
    <x v="4"/>
    <x v="1"/>
    <x v="0"/>
    <x v="1"/>
    <x v="9"/>
    <x v="19"/>
    <x v="27"/>
    <x v="7"/>
    <x v="5"/>
    <x v="335"/>
    <x v="296"/>
    <x v="267"/>
    <x v="714"/>
  </r>
  <r>
    <x v="1791"/>
    <x v="475"/>
    <x v="1"/>
    <x v="1"/>
    <x v="5"/>
    <x v="6"/>
    <x v="17"/>
    <x v="4"/>
    <x v="4"/>
    <x v="0"/>
    <x v="0"/>
    <x v="1"/>
    <x v="9"/>
    <x v="19"/>
    <x v="18"/>
    <x v="7"/>
    <x v="5"/>
    <x v="210"/>
    <x v="200"/>
    <x v="853"/>
    <x v="386"/>
  </r>
  <r>
    <x v="1792"/>
    <x v="482"/>
    <x v="1"/>
    <x v="1"/>
    <x v="5"/>
    <x v="6"/>
    <x v="17"/>
    <x v="4"/>
    <x v="4"/>
    <x v="1"/>
    <x v="2"/>
    <x v="5"/>
    <x v="0"/>
    <x v="1"/>
    <x v="13"/>
    <x v="16"/>
    <x v="11"/>
    <x v="321"/>
    <x v="276"/>
    <x v="250"/>
    <x v="705"/>
  </r>
  <r>
    <x v="1793"/>
    <x v="462"/>
    <x v="1"/>
    <x v="1"/>
    <x v="5"/>
    <x v="6"/>
    <x v="17"/>
    <x v="4"/>
    <x v="4"/>
    <x v="0"/>
    <x v="2"/>
    <x v="5"/>
    <x v="0"/>
    <x v="1"/>
    <x v="9"/>
    <x v="16"/>
    <x v="11"/>
    <x v="218"/>
    <x v="199"/>
    <x v="861"/>
    <x v="422"/>
  </r>
  <r>
    <x v="1794"/>
    <x v="469"/>
    <x v="1"/>
    <x v="1"/>
    <x v="5"/>
    <x v="6"/>
    <x v="17"/>
    <x v="4"/>
    <x v="4"/>
    <x v="1"/>
    <x v="2"/>
    <x v="5"/>
    <x v="4"/>
    <x v="9"/>
    <x v="14"/>
    <x v="10"/>
    <x v="9"/>
    <x v="226"/>
    <x v="221"/>
    <x v="174"/>
    <x v="470"/>
  </r>
  <r>
    <x v="1795"/>
    <x v="476"/>
    <x v="1"/>
    <x v="1"/>
    <x v="5"/>
    <x v="6"/>
    <x v="17"/>
    <x v="4"/>
    <x v="4"/>
    <x v="0"/>
    <x v="2"/>
    <x v="5"/>
    <x v="4"/>
    <x v="9"/>
    <x v="9"/>
    <x v="10"/>
    <x v="9"/>
    <x v="125"/>
    <x v="131"/>
    <x v="707"/>
    <x v="192"/>
  </r>
  <r>
    <x v="1796"/>
    <x v="483"/>
    <x v="1"/>
    <x v="1"/>
    <x v="5"/>
    <x v="6"/>
    <x v="17"/>
    <x v="4"/>
    <x v="4"/>
    <x v="1"/>
    <x v="1"/>
    <x v="3"/>
    <x v="7"/>
    <x v="15"/>
    <x v="17"/>
    <x v="19"/>
    <x v="13"/>
    <x v="417"/>
    <x v="406"/>
    <x v="388"/>
    <x v="819"/>
  </r>
  <r>
    <x v="1797"/>
    <x v="463"/>
    <x v="1"/>
    <x v="1"/>
    <x v="5"/>
    <x v="6"/>
    <x v="17"/>
    <x v="4"/>
    <x v="4"/>
    <x v="0"/>
    <x v="1"/>
    <x v="3"/>
    <x v="7"/>
    <x v="15"/>
    <x v="10"/>
    <x v="19"/>
    <x v="13"/>
    <x v="268"/>
    <x v="267"/>
    <x v="939"/>
    <x v="424"/>
  </r>
  <r>
    <x v="1798"/>
    <x v="470"/>
    <x v="1"/>
    <x v="1"/>
    <x v="5"/>
    <x v="6"/>
    <x v="17"/>
    <x v="4"/>
    <x v="4"/>
    <x v="1"/>
    <x v="1"/>
    <x v="3"/>
    <x v="6"/>
    <x v="13"/>
    <x v="17"/>
    <x v="4"/>
    <x v="3"/>
    <x v="64"/>
    <x v="60"/>
    <x v="36"/>
    <x v="175"/>
  </r>
  <r>
    <x v="1799"/>
    <x v="477"/>
    <x v="1"/>
    <x v="1"/>
    <x v="5"/>
    <x v="6"/>
    <x v="17"/>
    <x v="4"/>
    <x v="4"/>
    <x v="0"/>
    <x v="1"/>
    <x v="3"/>
    <x v="6"/>
    <x v="13"/>
    <x v="13"/>
    <x v="4"/>
    <x v="3"/>
    <x v="39"/>
    <x v="38"/>
    <x v="442"/>
    <x v="69"/>
  </r>
  <r>
    <x v="1800"/>
    <x v="511"/>
    <x v="1"/>
    <x v="2"/>
    <x v="6"/>
    <x v="5"/>
    <x v="18"/>
    <x v="0"/>
    <x v="0"/>
    <x v="1"/>
    <x v="3"/>
    <x v="7"/>
    <x v="1"/>
    <x v="3"/>
    <x v="18"/>
    <x v="26"/>
    <x v="17"/>
    <x v="861"/>
    <x v="765"/>
    <x v="1205"/>
    <x v="1600"/>
  </r>
  <r>
    <x v="1801"/>
    <x v="491"/>
    <x v="1"/>
    <x v="2"/>
    <x v="6"/>
    <x v="5"/>
    <x v="18"/>
    <x v="0"/>
    <x v="0"/>
    <x v="0"/>
    <x v="3"/>
    <x v="7"/>
    <x v="1"/>
    <x v="3"/>
    <x v="11"/>
    <x v="26"/>
    <x v="17"/>
    <x v="833"/>
    <x v="743"/>
    <x v="1316"/>
    <x v="1544"/>
  </r>
  <r>
    <x v="1802"/>
    <x v="498"/>
    <x v="1"/>
    <x v="2"/>
    <x v="6"/>
    <x v="5"/>
    <x v="18"/>
    <x v="0"/>
    <x v="0"/>
    <x v="1"/>
    <x v="3"/>
    <x v="7"/>
    <x v="2"/>
    <x v="5"/>
    <x v="20"/>
    <x v="23"/>
    <x v="15"/>
    <x v="796"/>
    <x v="717"/>
    <x v="992"/>
    <x v="1486"/>
  </r>
  <r>
    <x v="1803"/>
    <x v="505"/>
    <x v="1"/>
    <x v="2"/>
    <x v="6"/>
    <x v="5"/>
    <x v="18"/>
    <x v="0"/>
    <x v="0"/>
    <x v="0"/>
    <x v="3"/>
    <x v="7"/>
    <x v="2"/>
    <x v="5"/>
    <x v="15"/>
    <x v="23"/>
    <x v="15"/>
    <x v="752"/>
    <x v="687"/>
    <x v="1257"/>
    <x v="1359"/>
  </r>
  <r>
    <x v="1804"/>
    <x v="512"/>
    <x v="1"/>
    <x v="2"/>
    <x v="6"/>
    <x v="5"/>
    <x v="18"/>
    <x v="0"/>
    <x v="0"/>
    <x v="1"/>
    <x v="3"/>
    <x v="7"/>
    <x v="5"/>
    <x v="11"/>
    <x v="20"/>
    <x v="29"/>
    <x v="19"/>
    <x v="883"/>
    <x v="788"/>
    <x v="1271"/>
    <x v="1615"/>
  </r>
  <r>
    <x v="1805"/>
    <x v="492"/>
    <x v="1"/>
    <x v="2"/>
    <x v="6"/>
    <x v="5"/>
    <x v="18"/>
    <x v="0"/>
    <x v="0"/>
    <x v="0"/>
    <x v="3"/>
    <x v="7"/>
    <x v="5"/>
    <x v="11"/>
    <x v="16"/>
    <x v="29"/>
    <x v="19"/>
    <x v="871"/>
    <x v="778"/>
    <x v="1336"/>
    <x v="1586"/>
  </r>
  <r>
    <x v="1806"/>
    <x v="499"/>
    <x v="1"/>
    <x v="2"/>
    <x v="6"/>
    <x v="5"/>
    <x v="18"/>
    <x v="0"/>
    <x v="0"/>
    <x v="1"/>
    <x v="0"/>
    <x v="1"/>
    <x v="3"/>
    <x v="7"/>
    <x v="91"/>
    <x v="2"/>
    <x v="1"/>
    <x v="447"/>
    <x v="363"/>
    <x v="393"/>
    <x v="1049"/>
  </r>
  <r>
    <x v="1807"/>
    <x v="506"/>
    <x v="1"/>
    <x v="2"/>
    <x v="6"/>
    <x v="5"/>
    <x v="18"/>
    <x v="0"/>
    <x v="0"/>
    <x v="0"/>
    <x v="0"/>
    <x v="1"/>
    <x v="3"/>
    <x v="7"/>
    <x v="77"/>
    <x v="2"/>
    <x v="1"/>
    <x v="394"/>
    <x v="312"/>
    <x v="986"/>
    <x v="883"/>
  </r>
  <r>
    <x v="1808"/>
    <x v="486"/>
    <x v="1"/>
    <x v="2"/>
    <x v="6"/>
    <x v="5"/>
    <x v="18"/>
    <x v="0"/>
    <x v="0"/>
    <x v="1"/>
    <x v="0"/>
    <x v="1"/>
    <x v="8"/>
    <x v="17"/>
    <x v="88"/>
    <x v="14"/>
    <x v="8"/>
    <x v="780"/>
    <x v="677"/>
    <x v="936"/>
    <x v="1517"/>
  </r>
  <r>
    <x v="1809"/>
    <x v="493"/>
    <x v="1"/>
    <x v="2"/>
    <x v="6"/>
    <x v="5"/>
    <x v="18"/>
    <x v="0"/>
    <x v="0"/>
    <x v="0"/>
    <x v="0"/>
    <x v="1"/>
    <x v="8"/>
    <x v="17"/>
    <x v="58"/>
    <x v="14"/>
    <x v="8"/>
    <x v="690"/>
    <x v="591"/>
    <x v="1210"/>
    <x v="1345"/>
  </r>
  <r>
    <x v="1810"/>
    <x v="500"/>
    <x v="1"/>
    <x v="2"/>
    <x v="6"/>
    <x v="5"/>
    <x v="18"/>
    <x v="0"/>
    <x v="0"/>
    <x v="1"/>
    <x v="0"/>
    <x v="1"/>
    <x v="9"/>
    <x v="19"/>
    <x v="84"/>
    <x v="8"/>
    <x v="5"/>
    <x v="692"/>
    <x v="612"/>
    <x v="746"/>
    <x v="1350"/>
  </r>
  <r>
    <x v="1811"/>
    <x v="507"/>
    <x v="1"/>
    <x v="2"/>
    <x v="6"/>
    <x v="5"/>
    <x v="18"/>
    <x v="0"/>
    <x v="0"/>
    <x v="0"/>
    <x v="0"/>
    <x v="1"/>
    <x v="9"/>
    <x v="19"/>
    <x v="65"/>
    <x v="8"/>
    <x v="5"/>
    <x v="617"/>
    <x v="546"/>
    <x v="1161"/>
    <x v="1190"/>
  </r>
  <r>
    <x v="1812"/>
    <x v="487"/>
    <x v="1"/>
    <x v="2"/>
    <x v="6"/>
    <x v="5"/>
    <x v="18"/>
    <x v="0"/>
    <x v="0"/>
    <x v="1"/>
    <x v="2"/>
    <x v="5"/>
    <x v="0"/>
    <x v="1"/>
    <x v="42"/>
    <x v="17"/>
    <x v="11"/>
    <x v="666"/>
    <x v="585"/>
    <x v="709"/>
    <x v="1330"/>
  </r>
  <r>
    <x v="1813"/>
    <x v="494"/>
    <x v="1"/>
    <x v="2"/>
    <x v="6"/>
    <x v="5"/>
    <x v="18"/>
    <x v="0"/>
    <x v="0"/>
    <x v="0"/>
    <x v="2"/>
    <x v="5"/>
    <x v="0"/>
    <x v="1"/>
    <x v="33"/>
    <x v="17"/>
    <x v="11"/>
    <x v="606"/>
    <x v="529"/>
    <x v="1154"/>
    <x v="1192"/>
  </r>
  <r>
    <x v="1814"/>
    <x v="501"/>
    <x v="1"/>
    <x v="2"/>
    <x v="6"/>
    <x v="5"/>
    <x v="18"/>
    <x v="0"/>
    <x v="0"/>
    <x v="1"/>
    <x v="2"/>
    <x v="5"/>
    <x v="4"/>
    <x v="9"/>
    <x v="48"/>
    <x v="11"/>
    <x v="9"/>
    <x v="608"/>
    <x v="550"/>
    <x v="619"/>
    <x v="1205"/>
  </r>
  <r>
    <x v="1815"/>
    <x v="508"/>
    <x v="1"/>
    <x v="2"/>
    <x v="6"/>
    <x v="5"/>
    <x v="18"/>
    <x v="0"/>
    <x v="0"/>
    <x v="0"/>
    <x v="2"/>
    <x v="5"/>
    <x v="4"/>
    <x v="9"/>
    <x v="29"/>
    <x v="11"/>
    <x v="9"/>
    <x v="444"/>
    <x v="414"/>
    <x v="1031"/>
    <x v="843"/>
  </r>
  <r>
    <x v="1816"/>
    <x v="488"/>
    <x v="1"/>
    <x v="2"/>
    <x v="6"/>
    <x v="5"/>
    <x v="18"/>
    <x v="0"/>
    <x v="0"/>
    <x v="1"/>
    <x v="1"/>
    <x v="3"/>
    <x v="7"/>
    <x v="15"/>
    <x v="53"/>
    <x v="20"/>
    <x v="13"/>
    <x v="741"/>
    <x v="665"/>
    <x v="845"/>
    <x v="1398"/>
  </r>
  <r>
    <x v="1817"/>
    <x v="495"/>
    <x v="1"/>
    <x v="2"/>
    <x v="6"/>
    <x v="5"/>
    <x v="18"/>
    <x v="0"/>
    <x v="0"/>
    <x v="0"/>
    <x v="1"/>
    <x v="3"/>
    <x v="7"/>
    <x v="15"/>
    <x v="37"/>
    <x v="20"/>
    <x v="13"/>
    <x v="654"/>
    <x v="598"/>
    <x v="1188"/>
    <x v="1211"/>
  </r>
  <r>
    <x v="1818"/>
    <x v="502"/>
    <x v="1"/>
    <x v="2"/>
    <x v="6"/>
    <x v="5"/>
    <x v="18"/>
    <x v="0"/>
    <x v="0"/>
    <x v="1"/>
    <x v="1"/>
    <x v="3"/>
    <x v="6"/>
    <x v="13"/>
    <x v="50"/>
    <x v="5"/>
    <x v="3"/>
    <x v="331"/>
    <x v="272"/>
    <x v="234"/>
    <x v="758"/>
  </r>
  <r>
    <x v="1819"/>
    <x v="509"/>
    <x v="1"/>
    <x v="2"/>
    <x v="6"/>
    <x v="5"/>
    <x v="18"/>
    <x v="0"/>
    <x v="0"/>
    <x v="0"/>
    <x v="1"/>
    <x v="3"/>
    <x v="6"/>
    <x v="13"/>
    <x v="44"/>
    <x v="5"/>
    <x v="3"/>
    <x v="281"/>
    <x v="238"/>
    <x v="834"/>
    <x v="599"/>
  </r>
  <r>
    <x v="1820"/>
    <x v="489"/>
    <x v="1"/>
    <x v="2"/>
    <x v="6"/>
    <x v="5"/>
    <x v="18"/>
    <x v="1"/>
    <x v="1"/>
    <x v="1"/>
    <x v="3"/>
    <x v="7"/>
    <x v="1"/>
    <x v="3"/>
    <x v="12"/>
    <x v="26"/>
    <x v="17"/>
    <x v="839"/>
    <x v="747"/>
    <x v="1136"/>
    <x v="1568"/>
  </r>
  <r>
    <x v="1821"/>
    <x v="496"/>
    <x v="1"/>
    <x v="2"/>
    <x v="6"/>
    <x v="5"/>
    <x v="18"/>
    <x v="1"/>
    <x v="1"/>
    <x v="0"/>
    <x v="3"/>
    <x v="7"/>
    <x v="1"/>
    <x v="3"/>
    <x v="6"/>
    <x v="26"/>
    <x v="17"/>
    <x v="792"/>
    <x v="715"/>
    <x v="1286"/>
    <x v="1431"/>
  </r>
  <r>
    <x v="1822"/>
    <x v="503"/>
    <x v="1"/>
    <x v="2"/>
    <x v="6"/>
    <x v="5"/>
    <x v="18"/>
    <x v="1"/>
    <x v="1"/>
    <x v="1"/>
    <x v="3"/>
    <x v="7"/>
    <x v="2"/>
    <x v="5"/>
    <x v="13"/>
    <x v="23"/>
    <x v="15"/>
    <x v="731"/>
    <x v="663"/>
    <x v="824"/>
    <x v="1358"/>
  </r>
  <r>
    <x v="1823"/>
    <x v="510"/>
    <x v="1"/>
    <x v="2"/>
    <x v="6"/>
    <x v="5"/>
    <x v="18"/>
    <x v="1"/>
    <x v="1"/>
    <x v="0"/>
    <x v="3"/>
    <x v="7"/>
    <x v="2"/>
    <x v="5"/>
    <x v="7"/>
    <x v="23"/>
    <x v="15"/>
    <x v="590"/>
    <x v="556"/>
    <x v="1145"/>
    <x v="1042"/>
  </r>
  <r>
    <x v="1824"/>
    <x v="490"/>
    <x v="1"/>
    <x v="2"/>
    <x v="6"/>
    <x v="5"/>
    <x v="18"/>
    <x v="1"/>
    <x v="1"/>
    <x v="1"/>
    <x v="3"/>
    <x v="7"/>
    <x v="5"/>
    <x v="11"/>
    <x v="12"/>
    <x v="29"/>
    <x v="19"/>
    <x v="858"/>
    <x v="768"/>
    <x v="1198"/>
    <x v="1578"/>
  </r>
  <r>
    <x v="1825"/>
    <x v="497"/>
    <x v="1"/>
    <x v="2"/>
    <x v="6"/>
    <x v="5"/>
    <x v="18"/>
    <x v="1"/>
    <x v="1"/>
    <x v="0"/>
    <x v="3"/>
    <x v="7"/>
    <x v="5"/>
    <x v="11"/>
    <x v="6"/>
    <x v="29"/>
    <x v="19"/>
    <x v="821"/>
    <x v="741"/>
    <x v="1308"/>
    <x v="1453"/>
  </r>
  <r>
    <x v="1826"/>
    <x v="504"/>
    <x v="1"/>
    <x v="2"/>
    <x v="6"/>
    <x v="5"/>
    <x v="18"/>
    <x v="1"/>
    <x v="1"/>
    <x v="1"/>
    <x v="0"/>
    <x v="1"/>
    <x v="3"/>
    <x v="7"/>
    <x v="47"/>
    <x v="2"/>
    <x v="1"/>
    <x v="231"/>
    <x v="181"/>
    <x v="156"/>
    <x v="601"/>
  </r>
  <r>
    <x v="1827"/>
    <x v="511"/>
    <x v="1"/>
    <x v="2"/>
    <x v="6"/>
    <x v="5"/>
    <x v="18"/>
    <x v="1"/>
    <x v="1"/>
    <x v="0"/>
    <x v="0"/>
    <x v="1"/>
    <x v="3"/>
    <x v="7"/>
    <x v="40"/>
    <x v="2"/>
    <x v="1"/>
    <x v="187"/>
    <x v="146"/>
    <x v="694"/>
    <x v="459"/>
  </r>
  <r>
    <x v="1828"/>
    <x v="491"/>
    <x v="1"/>
    <x v="2"/>
    <x v="6"/>
    <x v="5"/>
    <x v="18"/>
    <x v="1"/>
    <x v="1"/>
    <x v="1"/>
    <x v="0"/>
    <x v="1"/>
    <x v="8"/>
    <x v="17"/>
    <x v="62"/>
    <x v="14"/>
    <x v="8"/>
    <x v="706"/>
    <x v="608"/>
    <x v="774"/>
    <x v="1413"/>
  </r>
  <r>
    <x v="1829"/>
    <x v="498"/>
    <x v="1"/>
    <x v="2"/>
    <x v="6"/>
    <x v="5"/>
    <x v="18"/>
    <x v="1"/>
    <x v="1"/>
    <x v="0"/>
    <x v="0"/>
    <x v="1"/>
    <x v="8"/>
    <x v="17"/>
    <x v="35"/>
    <x v="14"/>
    <x v="8"/>
    <x v="549"/>
    <x v="466"/>
    <x v="1109"/>
    <x v="1129"/>
  </r>
  <r>
    <x v="1830"/>
    <x v="505"/>
    <x v="1"/>
    <x v="2"/>
    <x v="6"/>
    <x v="5"/>
    <x v="18"/>
    <x v="1"/>
    <x v="1"/>
    <x v="1"/>
    <x v="0"/>
    <x v="1"/>
    <x v="9"/>
    <x v="19"/>
    <x v="48"/>
    <x v="8"/>
    <x v="5"/>
    <x v="522"/>
    <x v="463"/>
    <x v="492"/>
    <x v="1077"/>
  </r>
  <r>
    <x v="1831"/>
    <x v="512"/>
    <x v="1"/>
    <x v="2"/>
    <x v="6"/>
    <x v="5"/>
    <x v="18"/>
    <x v="1"/>
    <x v="1"/>
    <x v="0"/>
    <x v="0"/>
    <x v="1"/>
    <x v="9"/>
    <x v="19"/>
    <x v="46"/>
    <x v="8"/>
    <x v="5"/>
    <x v="506"/>
    <x v="452"/>
    <x v="1077"/>
    <x v="980"/>
  </r>
  <r>
    <x v="1832"/>
    <x v="492"/>
    <x v="1"/>
    <x v="2"/>
    <x v="6"/>
    <x v="5"/>
    <x v="18"/>
    <x v="1"/>
    <x v="1"/>
    <x v="1"/>
    <x v="2"/>
    <x v="5"/>
    <x v="0"/>
    <x v="1"/>
    <x v="22"/>
    <x v="17"/>
    <x v="11"/>
    <x v="480"/>
    <x v="417"/>
    <x v="430"/>
    <x v="1025"/>
  </r>
  <r>
    <x v="1833"/>
    <x v="499"/>
    <x v="1"/>
    <x v="2"/>
    <x v="6"/>
    <x v="5"/>
    <x v="18"/>
    <x v="1"/>
    <x v="1"/>
    <x v="0"/>
    <x v="2"/>
    <x v="5"/>
    <x v="0"/>
    <x v="1"/>
    <x v="16"/>
    <x v="17"/>
    <x v="11"/>
    <x v="376"/>
    <x v="330"/>
    <x v="962"/>
    <x v="774"/>
  </r>
  <r>
    <x v="1834"/>
    <x v="506"/>
    <x v="1"/>
    <x v="2"/>
    <x v="6"/>
    <x v="5"/>
    <x v="18"/>
    <x v="1"/>
    <x v="1"/>
    <x v="1"/>
    <x v="2"/>
    <x v="5"/>
    <x v="4"/>
    <x v="9"/>
    <x v="22"/>
    <x v="11"/>
    <x v="9"/>
    <x v="360"/>
    <x v="332"/>
    <x v="278"/>
    <x v="743"/>
  </r>
  <r>
    <x v="1835"/>
    <x v="486"/>
    <x v="1"/>
    <x v="2"/>
    <x v="6"/>
    <x v="5"/>
    <x v="18"/>
    <x v="1"/>
    <x v="1"/>
    <x v="0"/>
    <x v="2"/>
    <x v="5"/>
    <x v="4"/>
    <x v="9"/>
    <x v="19"/>
    <x v="11"/>
    <x v="9"/>
    <x v="322"/>
    <x v="291"/>
    <x v="871"/>
    <x v="581"/>
  </r>
  <r>
    <x v="1836"/>
    <x v="493"/>
    <x v="1"/>
    <x v="2"/>
    <x v="6"/>
    <x v="5"/>
    <x v="18"/>
    <x v="1"/>
    <x v="1"/>
    <x v="1"/>
    <x v="1"/>
    <x v="3"/>
    <x v="7"/>
    <x v="15"/>
    <x v="36"/>
    <x v="20"/>
    <x v="13"/>
    <x v="648"/>
    <x v="593"/>
    <x v="682"/>
    <x v="1244"/>
  </r>
  <r>
    <x v="1837"/>
    <x v="500"/>
    <x v="1"/>
    <x v="2"/>
    <x v="6"/>
    <x v="5"/>
    <x v="18"/>
    <x v="1"/>
    <x v="1"/>
    <x v="0"/>
    <x v="1"/>
    <x v="3"/>
    <x v="7"/>
    <x v="15"/>
    <x v="23"/>
    <x v="20"/>
    <x v="13"/>
    <x v="521"/>
    <x v="481"/>
    <x v="1088"/>
    <x v="927"/>
  </r>
  <r>
    <x v="1838"/>
    <x v="507"/>
    <x v="1"/>
    <x v="2"/>
    <x v="6"/>
    <x v="5"/>
    <x v="18"/>
    <x v="1"/>
    <x v="1"/>
    <x v="1"/>
    <x v="1"/>
    <x v="3"/>
    <x v="6"/>
    <x v="13"/>
    <x v="37"/>
    <x v="5"/>
    <x v="3"/>
    <x v="229"/>
    <x v="196"/>
    <x v="154"/>
    <x v="567"/>
  </r>
  <r>
    <x v="1839"/>
    <x v="487"/>
    <x v="1"/>
    <x v="2"/>
    <x v="6"/>
    <x v="5"/>
    <x v="18"/>
    <x v="1"/>
    <x v="1"/>
    <x v="0"/>
    <x v="1"/>
    <x v="3"/>
    <x v="6"/>
    <x v="13"/>
    <x v="24"/>
    <x v="5"/>
    <x v="3"/>
    <x v="120"/>
    <x v="105"/>
    <x v="591"/>
    <x v="278"/>
  </r>
  <r>
    <x v="1840"/>
    <x v="494"/>
    <x v="1"/>
    <x v="2"/>
    <x v="6"/>
    <x v="5"/>
    <x v="18"/>
    <x v="3"/>
    <x v="3"/>
    <x v="1"/>
    <x v="3"/>
    <x v="7"/>
    <x v="1"/>
    <x v="3"/>
    <x v="9"/>
    <x v="26"/>
    <x v="17"/>
    <x v="820"/>
    <x v="734"/>
    <x v="1074"/>
    <x v="1539"/>
  </r>
  <r>
    <x v="1841"/>
    <x v="501"/>
    <x v="1"/>
    <x v="2"/>
    <x v="6"/>
    <x v="5"/>
    <x v="18"/>
    <x v="3"/>
    <x v="3"/>
    <x v="0"/>
    <x v="3"/>
    <x v="7"/>
    <x v="1"/>
    <x v="3"/>
    <x v="6"/>
    <x v="26"/>
    <x v="17"/>
    <x v="792"/>
    <x v="715"/>
    <x v="1286"/>
    <x v="1431"/>
  </r>
  <r>
    <x v="1842"/>
    <x v="508"/>
    <x v="1"/>
    <x v="2"/>
    <x v="6"/>
    <x v="5"/>
    <x v="18"/>
    <x v="3"/>
    <x v="3"/>
    <x v="1"/>
    <x v="3"/>
    <x v="7"/>
    <x v="2"/>
    <x v="5"/>
    <x v="6"/>
    <x v="23"/>
    <x v="15"/>
    <x v="555"/>
    <x v="520"/>
    <x v="540"/>
    <x v="1051"/>
  </r>
  <r>
    <x v="1843"/>
    <x v="488"/>
    <x v="1"/>
    <x v="2"/>
    <x v="6"/>
    <x v="5"/>
    <x v="18"/>
    <x v="3"/>
    <x v="3"/>
    <x v="0"/>
    <x v="3"/>
    <x v="7"/>
    <x v="2"/>
    <x v="5"/>
    <x v="5"/>
    <x v="23"/>
    <x v="15"/>
    <x v="508"/>
    <x v="482"/>
    <x v="1080"/>
    <x v="878"/>
  </r>
  <r>
    <x v="1844"/>
    <x v="495"/>
    <x v="1"/>
    <x v="2"/>
    <x v="6"/>
    <x v="5"/>
    <x v="18"/>
    <x v="3"/>
    <x v="3"/>
    <x v="1"/>
    <x v="3"/>
    <x v="7"/>
    <x v="5"/>
    <x v="11"/>
    <x v="9"/>
    <x v="29"/>
    <x v="19"/>
    <x v="844"/>
    <x v="754"/>
    <x v="1155"/>
    <x v="1559"/>
  </r>
  <r>
    <x v="1845"/>
    <x v="502"/>
    <x v="1"/>
    <x v="2"/>
    <x v="6"/>
    <x v="5"/>
    <x v="18"/>
    <x v="3"/>
    <x v="3"/>
    <x v="0"/>
    <x v="3"/>
    <x v="7"/>
    <x v="5"/>
    <x v="11"/>
    <x v="3"/>
    <x v="29"/>
    <x v="19"/>
    <x v="770"/>
    <x v="709"/>
    <x v="1264"/>
    <x v="1269"/>
  </r>
  <r>
    <x v="1846"/>
    <x v="509"/>
    <x v="1"/>
    <x v="2"/>
    <x v="6"/>
    <x v="5"/>
    <x v="18"/>
    <x v="3"/>
    <x v="3"/>
    <x v="1"/>
    <x v="0"/>
    <x v="1"/>
    <x v="3"/>
    <x v="7"/>
    <x v="34"/>
    <x v="2"/>
    <x v="1"/>
    <x v="147"/>
    <x v="114"/>
    <x v="89"/>
    <x v="428"/>
  </r>
  <r>
    <x v="1847"/>
    <x v="489"/>
    <x v="1"/>
    <x v="2"/>
    <x v="6"/>
    <x v="5"/>
    <x v="18"/>
    <x v="3"/>
    <x v="3"/>
    <x v="0"/>
    <x v="0"/>
    <x v="1"/>
    <x v="3"/>
    <x v="7"/>
    <x v="28"/>
    <x v="2"/>
    <x v="1"/>
    <x v="106"/>
    <x v="82"/>
    <x v="544"/>
    <x v="271"/>
  </r>
  <r>
    <x v="1848"/>
    <x v="496"/>
    <x v="1"/>
    <x v="2"/>
    <x v="6"/>
    <x v="5"/>
    <x v="18"/>
    <x v="3"/>
    <x v="3"/>
    <x v="1"/>
    <x v="0"/>
    <x v="1"/>
    <x v="8"/>
    <x v="17"/>
    <x v="35"/>
    <x v="14"/>
    <x v="8"/>
    <x v="549"/>
    <x v="466"/>
    <x v="532"/>
    <x v="1180"/>
  </r>
  <r>
    <x v="1849"/>
    <x v="503"/>
    <x v="1"/>
    <x v="2"/>
    <x v="6"/>
    <x v="5"/>
    <x v="18"/>
    <x v="3"/>
    <x v="3"/>
    <x v="0"/>
    <x v="0"/>
    <x v="1"/>
    <x v="8"/>
    <x v="17"/>
    <x v="30"/>
    <x v="14"/>
    <x v="8"/>
    <x v="494"/>
    <x v="418"/>
    <x v="1072"/>
    <x v="1031"/>
  </r>
  <r>
    <x v="1850"/>
    <x v="510"/>
    <x v="1"/>
    <x v="2"/>
    <x v="6"/>
    <x v="5"/>
    <x v="18"/>
    <x v="3"/>
    <x v="3"/>
    <x v="1"/>
    <x v="0"/>
    <x v="1"/>
    <x v="9"/>
    <x v="19"/>
    <x v="45"/>
    <x v="8"/>
    <x v="5"/>
    <x v="496"/>
    <x v="445"/>
    <x v="457"/>
    <x v="1040"/>
  </r>
  <r>
    <x v="1851"/>
    <x v="490"/>
    <x v="1"/>
    <x v="2"/>
    <x v="6"/>
    <x v="5"/>
    <x v="18"/>
    <x v="3"/>
    <x v="3"/>
    <x v="0"/>
    <x v="0"/>
    <x v="1"/>
    <x v="9"/>
    <x v="19"/>
    <x v="29"/>
    <x v="8"/>
    <x v="5"/>
    <x v="354"/>
    <x v="315"/>
    <x v="935"/>
    <x v="702"/>
  </r>
  <r>
    <x v="1852"/>
    <x v="497"/>
    <x v="1"/>
    <x v="2"/>
    <x v="6"/>
    <x v="5"/>
    <x v="18"/>
    <x v="3"/>
    <x v="3"/>
    <x v="1"/>
    <x v="2"/>
    <x v="5"/>
    <x v="0"/>
    <x v="1"/>
    <x v="20"/>
    <x v="17"/>
    <x v="11"/>
    <x v="446"/>
    <x v="395"/>
    <x v="390"/>
    <x v="959"/>
  </r>
  <r>
    <x v="1853"/>
    <x v="504"/>
    <x v="1"/>
    <x v="2"/>
    <x v="6"/>
    <x v="5"/>
    <x v="18"/>
    <x v="3"/>
    <x v="3"/>
    <x v="0"/>
    <x v="2"/>
    <x v="5"/>
    <x v="0"/>
    <x v="1"/>
    <x v="10"/>
    <x v="17"/>
    <x v="11"/>
    <x v="250"/>
    <x v="219"/>
    <x v="788"/>
    <x v="506"/>
  </r>
  <r>
    <x v="1854"/>
    <x v="511"/>
    <x v="1"/>
    <x v="2"/>
    <x v="6"/>
    <x v="5"/>
    <x v="18"/>
    <x v="3"/>
    <x v="3"/>
    <x v="1"/>
    <x v="2"/>
    <x v="5"/>
    <x v="4"/>
    <x v="9"/>
    <x v="20"/>
    <x v="11"/>
    <x v="9"/>
    <x v="336"/>
    <x v="302"/>
    <x v="238"/>
    <x v="692"/>
  </r>
  <r>
    <x v="1855"/>
    <x v="491"/>
    <x v="1"/>
    <x v="2"/>
    <x v="6"/>
    <x v="5"/>
    <x v="18"/>
    <x v="3"/>
    <x v="3"/>
    <x v="0"/>
    <x v="2"/>
    <x v="5"/>
    <x v="4"/>
    <x v="9"/>
    <x v="11"/>
    <x v="11"/>
    <x v="9"/>
    <x v="171"/>
    <x v="169"/>
    <x v="669"/>
    <x v="295"/>
  </r>
  <r>
    <x v="1856"/>
    <x v="498"/>
    <x v="1"/>
    <x v="2"/>
    <x v="6"/>
    <x v="5"/>
    <x v="18"/>
    <x v="3"/>
    <x v="3"/>
    <x v="1"/>
    <x v="1"/>
    <x v="3"/>
    <x v="7"/>
    <x v="15"/>
    <x v="22"/>
    <x v="20"/>
    <x v="13"/>
    <x v="505"/>
    <x v="474"/>
    <x v="470"/>
    <x v="984"/>
  </r>
  <r>
    <x v="1857"/>
    <x v="505"/>
    <x v="1"/>
    <x v="2"/>
    <x v="6"/>
    <x v="5"/>
    <x v="18"/>
    <x v="3"/>
    <x v="3"/>
    <x v="0"/>
    <x v="1"/>
    <x v="3"/>
    <x v="7"/>
    <x v="15"/>
    <x v="14"/>
    <x v="20"/>
    <x v="13"/>
    <x v="365"/>
    <x v="348"/>
    <x v="945"/>
    <x v="638"/>
  </r>
  <r>
    <x v="1858"/>
    <x v="512"/>
    <x v="1"/>
    <x v="2"/>
    <x v="6"/>
    <x v="5"/>
    <x v="18"/>
    <x v="3"/>
    <x v="3"/>
    <x v="1"/>
    <x v="1"/>
    <x v="3"/>
    <x v="6"/>
    <x v="13"/>
    <x v="27"/>
    <x v="5"/>
    <x v="3"/>
    <x v="149"/>
    <x v="127"/>
    <x v="92"/>
    <x v="390"/>
  </r>
  <r>
    <x v="1859"/>
    <x v="492"/>
    <x v="1"/>
    <x v="2"/>
    <x v="6"/>
    <x v="5"/>
    <x v="18"/>
    <x v="3"/>
    <x v="3"/>
    <x v="0"/>
    <x v="1"/>
    <x v="3"/>
    <x v="6"/>
    <x v="13"/>
    <x v="13"/>
    <x v="5"/>
    <x v="3"/>
    <x v="40"/>
    <x v="38"/>
    <x v="320"/>
    <x v="82"/>
  </r>
  <r>
    <x v="1860"/>
    <x v="499"/>
    <x v="1"/>
    <x v="2"/>
    <x v="6"/>
    <x v="5"/>
    <x v="18"/>
    <x v="2"/>
    <x v="2"/>
    <x v="1"/>
    <x v="3"/>
    <x v="7"/>
    <x v="1"/>
    <x v="3"/>
    <x v="6"/>
    <x v="26"/>
    <x v="17"/>
    <x v="792"/>
    <x v="715"/>
    <x v="979"/>
    <x v="1469"/>
  </r>
  <r>
    <x v="1861"/>
    <x v="506"/>
    <x v="1"/>
    <x v="2"/>
    <x v="6"/>
    <x v="5"/>
    <x v="18"/>
    <x v="2"/>
    <x v="2"/>
    <x v="0"/>
    <x v="3"/>
    <x v="7"/>
    <x v="1"/>
    <x v="3"/>
    <x v="2"/>
    <x v="26"/>
    <x v="17"/>
    <x v="641"/>
    <x v="600"/>
    <x v="1176"/>
    <x v="1115"/>
  </r>
  <r>
    <x v="1862"/>
    <x v="486"/>
    <x v="1"/>
    <x v="2"/>
    <x v="6"/>
    <x v="5"/>
    <x v="18"/>
    <x v="2"/>
    <x v="2"/>
    <x v="1"/>
    <x v="3"/>
    <x v="7"/>
    <x v="2"/>
    <x v="5"/>
    <x v="6"/>
    <x v="23"/>
    <x v="15"/>
    <x v="555"/>
    <x v="520"/>
    <x v="540"/>
    <x v="1051"/>
  </r>
  <r>
    <x v="1863"/>
    <x v="493"/>
    <x v="1"/>
    <x v="2"/>
    <x v="6"/>
    <x v="5"/>
    <x v="18"/>
    <x v="2"/>
    <x v="2"/>
    <x v="0"/>
    <x v="3"/>
    <x v="7"/>
    <x v="2"/>
    <x v="5"/>
    <x v="4"/>
    <x v="23"/>
    <x v="15"/>
    <x v="454"/>
    <x v="442"/>
    <x v="1044"/>
    <x v="779"/>
  </r>
  <r>
    <x v="1864"/>
    <x v="500"/>
    <x v="1"/>
    <x v="2"/>
    <x v="6"/>
    <x v="5"/>
    <x v="18"/>
    <x v="2"/>
    <x v="2"/>
    <x v="1"/>
    <x v="3"/>
    <x v="7"/>
    <x v="5"/>
    <x v="11"/>
    <x v="5"/>
    <x v="29"/>
    <x v="19"/>
    <x v="810"/>
    <x v="732"/>
    <x v="1040"/>
    <x v="1464"/>
  </r>
  <r>
    <x v="1865"/>
    <x v="507"/>
    <x v="1"/>
    <x v="2"/>
    <x v="6"/>
    <x v="5"/>
    <x v="18"/>
    <x v="2"/>
    <x v="2"/>
    <x v="0"/>
    <x v="3"/>
    <x v="7"/>
    <x v="5"/>
    <x v="11"/>
    <x v="3"/>
    <x v="29"/>
    <x v="19"/>
    <x v="770"/>
    <x v="709"/>
    <x v="1264"/>
    <x v="1269"/>
  </r>
  <r>
    <x v="1866"/>
    <x v="487"/>
    <x v="1"/>
    <x v="2"/>
    <x v="6"/>
    <x v="5"/>
    <x v="18"/>
    <x v="2"/>
    <x v="2"/>
    <x v="1"/>
    <x v="0"/>
    <x v="1"/>
    <x v="3"/>
    <x v="7"/>
    <x v="27"/>
    <x v="2"/>
    <x v="1"/>
    <x v="98"/>
    <x v="78"/>
    <x v="54"/>
    <x v="293"/>
  </r>
  <r>
    <x v="1867"/>
    <x v="494"/>
    <x v="1"/>
    <x v="2"/>
    <x v="6"/>
    <x v="5"/>
    <x v="18"/>
    <x v="2"/>
    <x v="2"/>
    <x v="0"/>
    <x v="0"/>
    <x v="1"/>
    <x v="3"/>
    <x v="7"/>
    <x v="23"/>
    <x v="2"/>
    <x v="1"/>
    <x v="74"/>
    <x v="58"/>
    <x v="448"/>
    <x v="194"/>
  </r>
  <r>
    <x v="1868"/>
    <x v="501"/>
    <x v="1"/>
    <x v="2"/>
    <x v="6"/>
    <x v="5"/>
    <x v="18"/>
    <x v="2"/>
    <x v="2"/>
    <x v="1"/>
    <x v="0"/>
    <x v="1"/>
    <x v="8"/>
    <x v="17"/>
    <x v="30"/>
    <x v="14"/>
    <x v="8"/>
    <x v="494"/>
    <x v="418"/>
    <x v="454"/>
    <x v="1091"/>
  </r>
  <r>
    <x v="1869"/>
    <x v="508"/>
    <x v="1"/>
    <x v="2"/>
    <x v="6"/>
    <x v="5"/>
    <x v="18"/>
    <x v="2"/>
    <x v="2"/>
    <x v="0"/>
    <x v="0"/>
    <x v="1"/>
    <x v="8"/>
    <x v="17"/>
    <x v="22"/>
    <x v="14"/>
    <x v="8"/>
    <x v="398"/>
    <x v="331"/>
    <x v="987"/>
    <x v="849"/>
  </r>
  <r>
    <x v="1870"/>
    <x v="488"/>
    <x v="1"/>
    <x v="2"/>
    <x v="6"/>
    <x v="5"/>
    <x v="18"/>
    <x v="2"/>
    <x v="2"/>
    <x v="1"/>
    <x v="0"/>
    <x v="1"/>
    <x v="9"/>
    <x v="19"/>
    <x v="26"/>
    <x v="8"/>
    <x v="5"/>
    <x v="331"/>
    <x v="289"/>
    <x v="234"/>
    <x v="707"/>
  </r>
  <r>
    <x v="1871"/>
    <x v="495"/>
    <x v="1"/>
    <x v="2"/>
    <x v="6"/>
    <x v="5"/>
    <x v="18"/>
    <x v="2"/>
    <x v="2"/>
    <x v="0"/>
    <x v="0"/>
    <x v="1"/>
    <x v="9"/>
    <x v="19"/>
    <x v="23"/>
    <x v="8"/>
    <x v="5"/>
    <x v="284"/>
    <x v="257"/>
    <x v="837"/>
    <x v="555"/>
  </r>
  <r>
    <x v="1872"/>
    <x v="502"/>
    <x v="1"/>
    <x v="2"/>
    <x v="6"/>
    <x v="5"/>
    <x v="18"/>
    <x v="2"/>
    <x v="2"/>
    <x v="1"/>
    <x v="2"/>
    <x v="5"/>
    <x v="0"/>
    <x v="1"/>
    <x v="11"/>
    <x v="17"/>
    <x v="11"/>
    <x v="270"/>
    <x v="240"/>
    <x v="193"/>
    <x v="619"/>
  </r>
  <r>
    <x v="1873"/>
    <x v="509"/>
    <x v="1"/>
    <x v="2"/>
    <x v="6"/>
    <x v="5"/>
    <x v="18"/>
    <x v="2"/>
    <x v="2"/>
    <x v="0"/>
    <x v="2"/>
    <x v="5"/>
    <x v="0"/>
    <x v="1"/>
    <x v="9"/>
    <x v="17"/>
    <x v="11"/>
    <x v="221"/>
    <x v="199"/>
    <x v="744"/>
    <x v="456"/>
  </r>
  <r>
    <x v="1874"/>
    <x v="489"/>
    <x v="1"/>
    <x v="2"/>
    <x v="6"/>
    <x v="5"/>
    <x v="18"/>
    <x v="2"/>
    <x v="2"/>
    <x v="1"/>
    <x v="2"/>
    <x v="5"/>
    <x v="4"/>
    <x v="9"/>
    <x v="12"/>
    <x v="11"/>
    <x v="9"/>
    <x v="191"/>
    <x v="186"/>
    <x v="126"/>
    <x v="411"/>
  </r>
  <r>
    <x v="1875"/>
    <x v="496"/>
    <x v="1"/>
    <x v="2"/>
    <x v="6"/>
    <x v="5"/>
    <x v="18"/>
    <x v="2"/>
    <x v="2"/>
    <x v="0"/>
    <x v="2"/>
    <x v="5"/>
    <x v="4"/>
    <x v="9"/>
    <x v="9"/>
    <x v="11"/>
    <x v="9"/>
    <x v="128"/>
    <x v="131"/>
    <x v="600"/>
    <x v="224"/>
  </r>
  <r>
    <x v="1876"/>
    <x v="503"/>
    <x v="1"/>
    <x v="2"/>
    <x v="6"/>
    <x v="5"/>
    <x v="18"/>
    <x v="2"/>
    <x v="2"/>
    <x v="1"/>
    <x v="1"/>
    <x v="3"/>
    <x v="7"/>
    <x v="15"/>
    <x v="18"/>
    <x v="20"/>
    <x v="13"/>
    <x v="436"/>
    <x v="415"/>
    <x v="383"/>
    <x v="870"/>
  </r>
  <r>
    <x v="1877"/>
    <x v="510"/>
    <x v="1"/>
    <x v="2"/>
    <x v="6"/>
    <x v="5"/>
    <x v="18"/>
    <x v="2"/>
    <x v="2"/>
    <x v="0"/>
    <x v="1"/>
    <x v="3"/>
    <x v="7"/>
    <x v="15"/>
    <x v="9"/>
    <x v="20"/>
    <x v="13"/>
    <x v="246"/>
    <x v="243"/>
    <x v="781"/>
    <x v="421"/>
  </r>
  <r>
    <x v="1878"/>
    <x v="490"/>
    <x v="1"/>
    <x v="2"/>
    <x v="6"/>
    <x v="5"/>
    <x v="18"/>
    <x v="2"/>
    <x v="2"/>
    <x v="1"/>
    <x v="1"/>
    <x v="3"/>
    <x v="6"/>
    <x v="13"/>
    <x v="18"/>
    <x v="5"/>
    <x v="3"/>
    <x v="75"/>
    <x v="66"/>
    <x v="34"/>
    <x v="207"/>
  </r>
  <r>
    <x v="1879"/>
    <x v="497"/>
    <x v="1"/>
    <x v="2"/>
    <x v="6"/>
    <x v="5"/>
    <x v="18"/>
    <x v="2"/>
    <x v="2"/>
    <x v="0"/>
    <x v="1"/>
    <x v="3"/>
    <x v="6"/>
    <x v="13"/>
    <x v="11"/>
    <x v="5"/>
    <x v="3"/>
    <x v="26"/>
    <x v="27"/>
    <x v="258"/>
    <x v="58"/>
  </r>
  <r>
    <x v="1880"/>
    <x v="504"/>
    <x v="1"/>
    <x v="2"/>
    <x v="6"/>
    <x v="5"/>
    <x v="18"/>
    <x v="4"/>
    <x v="4"/>
    <x v="1"/>
    <x v="3"/>
    <x v="7"/>
    <x v="1"/>
    <x v="3"/>
    <x v="6"/>
    <x v="26"/>
    <x v="17"/>
    <x v="792"/>
    <x v="715"/>
    <x v="979"/>
    <x v="1469"/>
  </r>
  <r>
    <x v="1881"/>
    <x v="511"/>
    <x v="1"/>
    <x v="2"/>
    <x v="6"/>
    <x v="5"/>
    <x v="18"/>
    <x v="4"/>
    <x v="4"/>
    <x v="0"/>
    <x v="3"/>
    <x v="7"/>
    <x v="1"/>
    <x v="3"/>
    <x v="3"/>
    <x v="26"/>
    <x v="17"/>
    <x v="701"/>
    <x v="653"/>
    <x v="1215"/>
    <x v="1229"/>
  </r>
  <r>
    <x v="1882"/>
    <x v="491"/>
    <x v="1"/>
    <x v="2"/>
    <x v="6"/>
    <x v="5"/>
    <x v="18"/>
    <x v="4"/>
    <x v="4"/>
    <x v="1"/>
    <x v="3"/>
    <x v="7"/>
    <x v="2"/>
    <x v="5"/>
    <x v="5"/>
    <x v="23"/>
    <x v="15"/>
    <x v="508"/>
    <x v="482"/>
    <x v="474"/>
    <x v="951"/>
  </r>
  <r>
    <x v="1883"/>
    <x v="498"/>
    <x v="1"/>
    <x v="2"/>
    <x v="6"/>
    <x v="5"/>
    <x v="18"/>
    <x v="4"/>
    <x v="4"/>
    <x v="0"/>
    <x v="3"/>
    <x v="7"/>
    <x v="2"/>
    <x v="5"/>
    <x v="2"/>
    <x v="23"/>
    <x v="15"/>
    <x v="326"/>
    <x v="313"/>
    <x v="875"/>
    <x v="516"/>
  </r>
  <r>
    <x v="1884"/>
    <x v="505"/>
    <x v="1"/>
    <x v="2"/>
    <x v="6"/>
    <x v="5"/>
    <x v="18"/>
    <x v="4"/>
    <x v="4"/>
    <x v="1"/>
    <x v="3"/>
    <x v="7"/>
    <x v="5"/>
    <x v="11"/>
    <x v="4"/>
    <x v="29"/>
    <x v="19"/>
    <x v="795"/>
    <x v="726"/>
    <x v="992"/>
    <x v="1415"/>
  </r>
  <r>
    <x v="1885"/>
    <x v="512"/>
    <x v="1"/>
    <x v="2"/>
    <x v="6"/>
    <x v="5"/>
    <x v="18"/>
    <x v="4"/>
    <x v="4"/>
    <x v="0"/>
    <x v="3"/>
    <x v="7"/>
    <x v="5"/>
    <x v="11"/>
    <x v="2"/>
    <x v="29"/>
    <x v="19"/>
    <x v="726"/>
    <x v="681"/>
    <x v="1233"/>
    <x v="1172"/>
  </r>
  <r>
    <x v="1886"/>
    <x v="492"/>
    <x v="1"/>
    <x v="2"/>
    <x v="6"/>
    <x v="5"/>
    <x v="18"/>
    <x v="4"/>
    <x v="4"/>
    <x v="1"/>
    <x v="0"/>
    <x v="1"/>
    <x v="3"/>
    <x v="7"/>
    <x v="31"/>
    <x v="2"/>
    <x v="1"/>
    <x v="124"/>
    <x v="97"/>
    <x v="72"/>
    <x v="375"/>
  </r>
  <r>
    <x v="1887"/>
    <x v="499"/>
    <x v="1"/>
    <x v="2"/>
    <x v="6"/>
    <x v="5"/>
    <x v="18"/>
    <x v="4"/>
    <x v="4"/>
    <x v="0"/>
    <x v="0"/>
    <x v="1"/>
    <x v="3"/>
    <x v="7"/>
    <x v="22"/>
    <x v="2"/>
    <x v="1"/>
    <x v="68"/>
    <x v="54"/>
    <x v="432"/>
    <x v="178"/>
  </r>
  <r>
    <x v="1888"/>
    <x v="506"/>
    <x v="1"/>
    <x v="2"/>
    <x v="6"/>
    <x v="5"/>
    <x v="18"/>
    <x v="4"/>
    <x v="4"/>
    <x v="1"/>
    <x v="0"/>
    <x v="1"/>
    <x v="8"/>
    <x v="17"/>
    <x v="34"/>
    <x v="14"/>
    <x v="8"/>
    <x v="539"/>
    <x v="457"/>
    <x v="518"/>
    <x v="1164"/>
  </r>
  <r>
    <x v="1889"/>
    <x v="486"/>
    <x v="1"/>
    <x v="2"/>
    <x v="6"/>
    <x v="5"/>
    <x v="18"/>
    <x v="4"/>
    <x v="4"/>
    <x v="0"/>
    <x v="0"/>
    <x v="1"/>
    <x v="8"/>
    <x v="17"/>
    <x v="24"/>
    <x v="14"/>
    <x v="8"/>
    <x v="419"/>
    <x v="353"/>
    <x v="1016"/>
    <x v="899"/>
  </r>
  <r>
    <x v="1890"/>
    <x v="493"/>
    <x v="1"/>
    <x v="2"/>
    <x v="6"/>
    <x v="5"/>
    <x v="18"/>
    <x v="4"/>
    <x v="4"/>
    <x v="1"/>
    <x v="0"/>
    <x v="1"/>
    <x v="9"/>
    <x v="19"/>
    <x v="35"/>
    <x v="8"/>
    <x v="5"/>
    <x v="412"/>
    <x v="372"/>
    <x v="346"/>
    <x v="887"/>
  </r>
  <r>
    <x v="1891"/>
    <x v="500"/>
    <x v="1"/>
    <x v="2"/>
    <x v="6"/>
    <x v="5"/>
    <x v="18"/>
    <x v="4"/>
    <x v="4"/>
    <x v="0"/>
    <x v="0"/>
    <x v="1"/>
    <x v="9"/>
    <x v="19"/>
    <x v="24"/>
    <x v="8"/>
    <x v="5"/>
    <x v="302"/>
    <x v="270"/>
    <x v="849"/>
    <x v="582"/>
  </r>
  <r>
    <x v="1892"/>
    <x v="507"/>
    <x v="1"/>
    <x v="2"/>
    <x v="6"/>
    <x v="5"/>
    <x v="18"/>
    <x v="4"/>
    <x v="4"/>
    <x v="1"/>
    <x v="2"/>
    <x v="5"/>
    <x v="0"/>
    <x v="1"/>
    <x v="10"/>
    <x v="17"/>
    <x v="11"/>
    <x v="250"/>
    <x v="219"/>
    <x v="171"/>
    <x v="573"/>
  </r>
  <r>
    <x v="1893"/>
    <x v="487"/>
    <x v="1"/>
    <x v="2"/>
    <x v="6"/>
    <x v="5"/>
    <x v="18"/>
    <x v="4"/>
    <x v="4"/>
    <x v="0"/>
    <x v="2"/>
    <x v="5"/>
    <x v="0"/>
    <x v="1"/>
    <x v="7"/>
    <x v="17"/>
    <x v="11"/>
    <x v="166"/>
    <x v="149"/>
    <x v="656"/>
    <x v="331"/>
  </r>
  <r>
    <x v="1894"/>
    <x v="494"/>
    <x v="1"/>
    <x v="2"/>
    <x v="6"/>
    <x v="5"/>
    <x v="18"/>
    <x v="4"/>
    <x v="4"/>
    <x v="1"/>
    <x v="2"/>
    <x v="5"/>
    <x v="4"/>
    <x v="9"/>
    <x v="13"/>
    <x v="11"/>
    <x v="9"/>
    <x v="209"/>
    <x v="202"/>
    <x v="140"/>
    <x v="445"/>
  </r>
  <r>
    <x v="1895"/>
    <x v="501"/>
    <x v="1"/>
    <x v="2"/>
    <x v="6"/>
    <x v="5"/>
    <x v="18"/>
    <x v="4"/>
    <x v="4"/>
    <x v="0"/>
    <x v="2"/>
    <x v="5"/>
    <x v="4"/>
    <x v="9"/>
    <x v="7"/>
    <x v="11"/>
    <x v="9"/>
    <x v="91"/>
    <x v="94"/>
    <x v="498"/>
    <x v="140"/>
  </r>
  <r>
    <x v="1896"/>
    <x v="508"/>
    <x v="1"/>
    <x v="2"/>
    <x v="6"/>
    <x v="5"/>
    <x v="18"/>
    <x v="4"/>
    <x v="4"/>
    <x v="1"/>
    <x v="1"/>
    <x v="3"/>
    <x v="7"/>
    <x v="15"/>
    <x v="14"/>
    <x v="20"/>
    <x v="13"/>
    <x v="365"/>
    <x v="348"/>
    <x v="288"/>
    <x v="724"/>
  </r>
  <r>
    <x v="1897"/>
    <x v="488"/>
    <x v="1"/>
    <x v="2"/>
    <x v="6"/>
    <x v="5"/>
    <x v="18"/>
    <x v="4"/>
    <x v="4"/>
    <x v="0"/>
    <x v="1"/>
    <x v="3"/>
    <x v="7"/>
    <x v="15"/>
    <x v="10"/>
    <x v="20"/>
    <x v="13"/>
    <x v="271"/>
    <x v="267"/>
    <x v="821"/>
    <x v="468"/>
  </r>
  <r>
    <x v="1898"/>
    <x v="495"/>
    <x v="1"/>
    <x v="2"/>
    <x v="6"/>
    <x v="5"/>
    <x v="18"/>
    <x v="4"/>
    <x v="4"/>
    <x v="1"/>
    <x v="1"/>
    <x v="3"/>
    <x v="6"/>
    <x v="13"/>
    <x v="18"/>
    <x v="5"/>
    <x v="3"/>
    <x v="75"/>
    <x v="66"/>
    <x v="34"/>
    <x v="207"/>
  </r>
  <r>
    <x v="1899"/>
    <x v="502"/>
    <x v="1"/>
    <x v="2"/>
    <x v="6"/>
    <x v="5"/>
    <x v="18"/>
    <x v="4"/>
    <x v="4"/>
    <x v="0"/>
    <x v="1"/>
    <x v="3"/>
    <x v="6"/>
    <x v="13"/>
    <x v="10"/>
    <x v="5"/>
    <x v="3"/>
    <x v="21"/>
    <x v="22"/>
    <x v="231"/>
    <x v="44"/>
  </r>
  <r>
    <x v="1900"/>
    <x v="536"/>
    <x v="1"/>
    <x v="2"/>
    <x v="7"/>
    <x v="1"/>
    <x v="19"/>
    <x v="0"/>
    <x v="0"/>
    <x v="1"/>
    <x v="3"/>
    <x v="7"/>
    <x v="1"/>
    <x v="3"/>
    <x v="18"/>
    <x v="26"/>
    <x v="17"/>
    <x v="861"/>
    <x v="765"/>
    <x v="1205"/>
    <x v="1600"/>
  </r>
  <r>
    <x v="1901"/>
    <x v="516"/>
    <x v="1"/>
    <x v="2"/>
    <x v="7"/>
    <x v="1"/>
    <x v="19"/>
    <x v="0"/>
    <x v="0"/>
    <x v="0"/>
    <x v="3"/>
    <x v="7"/>
    <x v="1"/>
    <x v="3"/>
    <x v="13"/>
    <x v="26"/>
    <x v="17"/>
    <x v="843"/>
    <x v="749"/>
    <x v="1322"/>
    <x v="1565"/>
  </r>
  <r>
    <x v="1902"/>
    <x v="523"/>
    <x v="1"/>
    <x v="2"/>
    <x v="7"/>
    <x v="1"/>
    <x v="19"/>
    <x v="0"/>
    <x v="0"/>
    <x v="1"/>
    <x v="3"/>
    <x v="7"/>
    <x v="2"/>
    <x v="5"/>
    <x v="16"/>
    <x v="23"/>
    <x v="15"/>
    <x v="764"/>
    <x v="693"/>
    <x v="896"/>
    <x v="1432"/>
  </r>
  <r>
    <x v="1903"/>
    <x v="530"/>
    <x v="1"/>
    <x v="2"/>
    <x v="7"/>
    <x v="1"/>
    <x v="19"/>
    <x v="0"/>
    <x v="0"/>
    <x v="0"/>
    <x v="3"/>
    <x v="7"/>
    <x v="2"/>
    <x v="5"/>
    <x v="10"/>
    <x v="23"/>
    <x v="15"/>
    <x v="674"/>
    <x v="622"/>
    <x v="1199"/>
    <x v="1213"/>
  </r>
  <r>
    <x v="1904"/>
    <x v="537"/>
    <x v="1"/>
    <x v="2"/>
    <x v="7"/>
    <x v="1"/>
    <x v="19"/>
    <x v="0"/>
    <x v="0"/>
    <x v="1"/>
    <x v="3"/>
    <x v="7"/>
    <x v="5"/>
    <x v="11"/>
    <x v="14"/>
    <x v="29"/>
    <x v="19"/>
    <x v="865"/>
    <x v="773"/>
    <x v="1221"/>
    <x v="1591"/>
  </r>
  <r>
    <x v="1905"/>
    <x v="517"/>
    <x v="1"/>
    <x v="2"/>
    <x v="7"/>
    <x v="1"/>
    <x v="19"/>
    <x v="0"/>
    <x v="0"/>
    <x v="0"/>
    <x v="3"/>
    <x v="7"/>
    <x v="5"/>
    <x v="11"/>
    <x v="13"/>
    <x v="29"/>
    <x v="19"/>
    <x v="864"/>
    <x v="771"/>
    <x v="1333"/>
    <x v="1571"/>
  </r>
  <r>
    <x v="1906"/>
    <x v="524"/>
    <x v="1"/>
    <x v="2"/>
    <x v="7"/>
    <x v="1"/>
    <x v="19"/>
    <x v="0"/>
    <x v="0"/>
    <x v="1"/>
    <x v="0"/>
    <x v="1"/>
    <x v="3"/>
    <x v="7"/>
    <x v="95"/>
    <x v="2"/>
    <x v="1"/>
    <x v="464"/>
    <x v="376"/>
    <x v="413"/>
    <x v="1071"/>
  </r>
  <r>
    <x v="1907"/>
    <x v="531"/>
    <x v="1"/>
    <x v="2"/>
    <x v="7"/>
    <x v="1"/>
    <x v="19"/>
    <x v="0"/>
    <x v="0"/>
    <x v="0"/>
    <x v="0"/>
    <x v="1"/>
    <x v="3"/>
    <x v="7"/>
    <x v="57"/>
    <x v="2"/>
    <x v="1"/>
    <x v="289"/>
    <x v="228"/>
    <x v="843"/>
    <x v="679"/>
  </r>
  <r>
    <x v="1908"/>
    <x v="538"/>
    <x v="1"/>
    <x v="2"/>
    <x v="7"/>
    <x v="1"/>
    <x v="19"/>
    <x v="0"/>
    <x v="0"/>
    <x v="1"/>
    <x v="0"/>
    <x v="1"/>
    <x v="8"/>
    <x v="17"/>
    <x v="87"/>
    <x v="14"/>
    <x v="8"/>
    <x v="779"/>
    <x v="674"/>
    <x v="932"/>
    <x v="1513"/>
  </r>
  <r>
    <x v="1909"/>
    <x v="518"/>
    <x v="1"/>
    <x v="2"/>
    <x v="7"/>
    <x v="1"/>
    <x v="19"/>
    <x v="0"/>
    <x v="0"/>
    <x v="0"/>
    <x v="0"/>
    <x v="1"/>
    <x v="8"/>
    <x v="17"/>
    <x v="68"/>
    <x v="14"/>
    <x v="8"/>
    <x v="727"/>
    <x v="628"/>
    <x v="1235"/>
    <x v="1407"/>
  </r>
  <r>
    <x v="1910"/>
    <x v="525"/>
    <x v="1"/>
    <x v="2"/>
    <x v="7"/>
    <x v="1"/>
    <x v="19"/>
    <x v="0"/>
    <x v="0"/>
    <x v="1"/>
    <x v="0"/>
    <x v="1"/>
    <x v="9"/>
    <x v="19"/>
    <x v="83"/>
    <x v="8"/>
    <x v="5"/>
    <x v="689"/>
    <x v="610"/>
    <x v="742"/>
    <x v="1344"/>
  </r>
  <r>
    <x v="1911"/>
    <x v="532"/>
    <x v="1"/>
    <x v="2"/>
    <x v="7"/>
    <x v="1"/>
    <x v="19"/>
    <x v="0"/>
    <x v="0"/>
    <x v="0"/>
    <x v="0"/>
    <x v="1"/>
    <x v="9"/>
    <x v="19"/>
    <x v="72"/>
    <x v="8"/>
    <x v="5"/>
    <x v="642"/>
    <x v="570"/>
    <x v="1177"/>
    <x v="1230"/>
  </r>
  <r>
    <x v="1912"/>
    <x v="539"/>
    <x v="1"/>
    <x v="2"/>
    <x v="7"/>
    <x v="1"/>
    <x v="19"/>
    <x v="0"/>
    <x v="0"/>
    <x v="1"/>
    <x v="2"/>
    <x v="5"/>
    <x v="0"/>
    <x v="1"/>
    <x v="42"/>
    <x v="17"/>
    <x v="11"/>
    <x v="666"/>
    <x v="585"/>
    <x v="709"/>
    <x v="1330"/>
  </r>
  <r>
    <x v="1913"/>
    <x v="519"/>
    <x v="1"/>
    <x v="2"/>
    <x v="7"/>
    <x v="1"/>
    <x v="19"/>
    <x v="0"/>
    <x v="0"/>
    <x v="0"/>
    <x v="2"/>
    <x v="5"/>
    <x v="0"/>
    <x v="1"/>
    <x v="30"/>
    <x v="17"/>
    <x v="11"/>
    <x v="577"/>
    <x v="503"/>
    <x v="1130"/>
    <x v="1148"/>
  </r>
  <r>
    <x v="1914"/>
    <x v="526"/>
    <x v="1"/>
    <x v="2"/>
    <x v="7"/>
    <x v="1"/>
    <x v="19"/>
    <x v="0"/>
    <x v="0"/>
    <x v="1"/>
    <x v="2"/>
    <x v="5"/>
    <x v="4"/>
    <x v="9"/>
    <x v="34"/>
    <x v="11"/>
    <x v="9"/>
    <x v="497"/>
    <x v="459"/>
    <x v="458"/>
    <x v="1000"/>
  </r>
  <r>
    <x v="1915"/>
    <x v="533"/>
    <x v="1"/>
    <x v="2"/>
    <x v="7"/>
    <x v="1"/>
    <x v="19"/>
    <x v="0"/>
    <x v="0"/>
    <x v="0"/>
    <x v="2"/>
    <x v="5"/>
    <x v="4"/>
    <x v="9"/>
    <x v="22"/>
    <x v="11"/>
    <x v="9"/>
    <x v="360"/>
    <x v="332"/>
    <x v="939"/>
    <x v="673"/>
  </r>
  <r>
    <x v="1916"/>
    <x v="513"/>
    <x v="1"/>
    <x v="2"/>
    <x v="7"/>
    <x v="1"/>
    <x v="19"/>
    <x v="0"/>
    <x v="0"/>
    <x v="1"/>
    <x v="1"/>
    <x v="3"/>
    <x v="7"/>
    <x v="15"/>
    <x v="61"/>
    <x v="20"/>
    <x v="13"/>
    <x v="766"/>
    <x v="691"/>
    <x v="902"/>
    <x v="1447"/>
  </r>
  <r>
    <x v="1917"/>
    <x v="520"/>
    <x v="1"/>
    <x v="2"/>
    <x v="7"/>
    <x v="1"/>
    <x v="19"/>
    <x v="0"/>
    <x v="0"/>
    <x v="0"/>
    <x v="1"/>
    <x v="3"/>
    <x v="7"/>
    <x v="15"/>
    <x v="32"/>
    <x v="20"/>
    <x v="13"/>
    <x v="621"/>
    <x v="565"/>
    <x v="1163"/>
    <x v="1143"/>
  </r>
  <r>
    <x v="1918"/>
    <x v="527"/>
    <x v="1"/>
    <x v="2"/>
    <x v="7"/>
    <x v="1"/>
    <x v="19"/>
    <x v="0"/>
    <x v="0"/>
    <x v="1"/>
    <x v="1"/>
    <x v="3"/>
    <x v="6"/>
    <x v="13"/>
    <x v="48"/>
    <x v="5"/>
    <x v="3"/>
    <x v="314"/>
    <x v="261"/>
    <x v="220"/>
    <x v="727"/>
  </r>
  <r>
    <x v="1919"/>
    <x v="534"/>
    <x v="1"/>
    <x v="2"/>
    <x v="7"/>
    <x v="1"/>
    <x v="19"/>
    <x v="0"/>
    <x v="0"/>
    <x v="0"/>
    <x v="1"/>
    <x v="3"/>
    <x v="6"/>
    <x v="13"/>
    <x v="29"/>
    <x v="5"/>
    <x v="3"/>
    <x v="168"/>
    <x v="141"/>
    <x v="659"/>
    <x v="374"/>
  </r>
  <r>
    <x v="1920"/>
    <x v="514"/>
    <x v="1"/>
    <x v="2"/>
    <x v="7"/>
    <x v="1"/>
    <x v="19"/>
    <x v="1"/>
    <x v="1"/>
    <x v="1"/>
    <x v="3"/>
    <x v="7"/>
    <x v="1"/>
    <x v="3"/>
    <x v="10"/>
    <x v="26"/>
    <x v="17"/>
    <x v="828"/>
    <x v="740"/>
    <x v="1095"/>
    <x v="1554"/>
  </r>
  <r>
    <x v="1921"/>
    <x v="521"/>
    <x v="1"/>
    <x v="2"/>
    <x v="7"/>
    <x v="1"/>
    <x v="19"/>
    <x v="1"/>
    <x v="1"/>
    <x v="0"/>
    <x v="3"/>
    <x v="7"/>
    <x v="1"/>
    <x v="3"/>
    <x v="6"/>
    <x v="26"/>
    <x v="17"/>
    <x v="792"/>
    <x v="715"/>
    <x v="1286"/>
    <x v="1431"/>
  </r>
  <r>
    <x v="1922"/>
    <x v="528"/>
    <x v="1"/>
    <x v="2"/>
    <x v="7"/>
    <x v="1"/>
    <x v="19"/>
    <x v="1"/>
    <x v="1"/>
    <x v="1"/>
    <x v="3"/>
    <x v="7"/>
    <x v="2"/>
    <x v="5"/>
    <x v="8"/>
    <x v="23"/>
    <x v="15"/>
    <x v="623"/>
    <x v="577"/>
    <x v="650"/>
    <x v="1179"/>
  </r>
  <r>
    <x v="1923"/>
    <x v="535"/>
    <x v="1"/>
    <x v="2"/>
    <x v="7"/>
    <x v="1"/>
    <x v="19"/>
    <x v="1"/>
    <x v="1"/>
    <x v="0"/>
    <x v="3"/>
    <x v="7"/>
    <x v="2"/>
    <x v="5"/>
    <x v="6"/>
    <x v="23"/>
    <x v="15"/>
    <x v="555"/>
    <x v="520"/>
    <x v="1116"/>
    <x v="955"/>
  </r>
  <r>
    <x v="1924"/>
    <x v="515"/>
    <x v="1"/>
    <x v="2"/>
    <x v="7"/>
    <x v="1"/>
    <x v="19"/>
    <x v="1"/>
    <x v="1"/>
    <x v="1"/>
    <x v="3"/>
    <x v="7"/>
    <x v="5"/>
    <x v="11"/>
    <x v="9"/>
    <x v="29"/>
    <x v="19"/>
    <x v="844"/>
    <x v="754"/>
    <x v="1155"/>
    <x v="1559"/>
  </r>
  <r>
    <x v="1925"/>
    <x v="522"/>
    <x v="1"/>
    <x v="2"/>
    <x v="7"/>
    <x v="1"/>
    <x v="19"/>
    <x v="1"/>
    <x v="1"/>
    <x v="0"/>
    <x v="3"/>
    <x v="7"/>
    <x v="5"/>
    <x v="11"/>
    <x v="6"/>
    <x v="29"/>
    <x v="19"/>
    <x v="821"/>
    <x v="741"/>
    <x v="1308"/>
    <x v="1453"/>
  </r>
  <r>
    <x v="1926"/>
    <x v="529"/>
    <x v="1"/>
    <x v="2"/>
    <x v="7"/>
    <x v="1"/>
    <x v="19"/>
    <x v="1"/>
    <x v="1"/>
    <x v="1"/>
    <x v="0"/>
    <x v="1"/>
    <x v="3"/>
    <x v="7"/>
    <x v="60"/>
    <x v="2"/>
    <x v="1"/>
    <x v="310"/>
    <x v="241"/>
    <x v="215"/>
    <x v="769"/>
  </r>
  <r>
    <x v="1927"/>
    <x v="536"/>
    <x v="1"/>
    <x v="2"/>
    <x v="7"/>
    <x v="1"/>
    <x v="19"/>
    <x v="1"/>
    <x v="1"/>
    <x v="0"/>
    <x v="0"/>
    <x v="1"/>
    <x v="3"/>
    <x v="7"/>
    <x v="34"/>
    <x v="2"/>
    <x v="1"/>
    <x v="147"/>
    <x v="114"/>
    <x v="633"/>
    <x v="372"/>
  </r>
  <r>
    <x v="1928"/>
    <x v="516"/>
    <x v="1"/>
    <x v="2"/>
    <x v="7"/>
    <x v="1"/>
    <x v="19"/>
    <x v="1"/>
    <x v="1"/>
    <x v="1"/>
    <x v="0"/>
    <x v="1"/>
    <x v="8"/>
    <x v="17"/>
    <x v="48"/>
    <x v="14"/>
    <x v="8"/>
    <x v="639"/>
    <x v="549"/>
    <x v="668"/>
    <x v="1306"/>
  </r>
  <r>
    <x v="1929"/>
    <x v="523"/>
    <x v="1"/>
    <x v="2"/>
    <x v="7"/>
    <x v="1"/>
    <x v="19"/>
    <x v="1"/>
    <x v="1"/>
    <x v="0"/>
    <x v="0"/>
    <x v="1"/>
    <x v="8"/>
    <x v="17"/>
    <x v="33"/>
    <x v="14"/>
    <x v="8"/>
    <x v="528"/>
    <x v="449"/>
    <x v="1094"/>
    <x v="1085"/>
  </r>
  <r>
    <x v="1930"/>
    <x v="530"/>
    <x v="1"/>
    <x v="2"/>
    <x v="7"/>
    <x v="1"/>
    <x v="19"/>
    <x v="1"/>
    <x v="1"/>
    <x v="1"/>
    <x v="0"/>
    <x v="1"/>
    <x v="9"/>
    <x v="19"/>
    <x v="47"/>
    <x v="8"/>
    <x v="5"/>
    <x v="513"/>
    <x v="460"/>
    <x v="483"/>
    <x v="1069"/>
  </r>
  <r>
    <x v="1931"/>
    <x v="537"/>
    <x v="1"/>
    <x v="2"/>
    <x v="7"/>
    <x v="1"/>
    <x v="19"/>
    <x v="1"/>
    <x v="1"/>
    <x v="0"/>
    <x v="0"/>
    <x v="1"/>
    <x v="9"/>
    <x v="19"/>
    <x v="40"/>
    <x v="8"/>
    <x v="5"/>
    <x v="458"/>
    <x v="413"/>
    <x v="1046"/>
    <x v="897"/>
  </r>
  <r>
    <x v="1932"/>
    <x v="517"/>
    <x v="1"/>
    <x v="2"/>
    <x v="7"/>
    <x v="1"/>
    <x v="19"/>
    <x v="1"/>
    <x v="1"/>
    <x v="1"/>
    <x v="2"/>
    <x v="5"/>
    <x v="0"/>
    <x v="1"/>
    <x v="26"/>
    <x v="17"/>
    <x v="11"/>
    <x v="534"/>
    <x v="467"/>
    <x v="510"/>
    <x v="1125"/>
  </r>
  <r>
    <x v="1933"/>
    <x v="524"/>
    <x v="1"/>
    <x v="2"/>
    <x v="7"/>
    <x v="1"/>
    <x v="19"/>
    <x v="1"/>
    <x v="1"/>
    <x v="0"/>
    <x v="2"/>
    <x v="5"/>
    <x v="0"/>
    <x v="1"/>
    <x v="15"/>
    <x v="17"/>
    <x v="11"/>
    <x v="359"/>
    <x v="310"/>
    <x v="938"/>
    <x v="733"/>
  </r>
  <r>
    <x v="1934"/>
    <x v="531"/>
    <x v="1"/>
    <x v="2"/>
    <x v="7"/>
    <x v="1"/>
    <x v="19"/>
    <x v="1"/>
    <x v="1"/>
    <x v="1"/>
    <x v="2"/>
    <x v="5"/>
    <x v="4"/>
    <x v="9"/>
    <x v="22"/>
    <x v="11"/>
    <x v="9"/>
    <x v="360"/>
    <x v="332"/>
    <x v="278"/>
    <x v="743"/>
  </r>
  <r>
    <x v="1935"/>
    <x v="538"/>
    <x v="1"/>
    <x v="2"/>
    <x v="7"/>
    <x v="1"/>
    <x v="19"/>
    <x v="1"/>
    <x v="1"/>
    <x v="0"/>
    <x v="2"/>
    <x v="5"/>
    <x v="4"/>
    <x v="9"/>
    <x v="13"/>
    <x v="11"/>
    <x v="9"/>
    <x v="209"/>
    <x v="202"/>
    <x v="727"/>
    <x v="387"/>
  </r>
  <r>
    <x v="1936"/>
    <x v="518"/>
    <x v="1"/>
    <x v="2"/>
    <x v="7"/>
    <x v="1"/>
    <x v="19"/>
    <x v="1"/>
    <x v="1"/>
    <x v="1"/>
    <x v="1"/>
    <x v="3"/>
    <x v="7"/>
    <x v="15"/>
    <x v="32"/>
    <x v="20"/>
    <x v="13"/>
    <x v="621"/>
    <x v="565"/>
    <x v="642"/>
    <x v="1203"/>
  </r>
  <r>
    <x v="1937"/>
    <x v="525"/>
    <x v="1"/>
    <x v="2"/>
    <x v="7"/>
    <x v="1"/>
    <x v="19"/>
    <x v="1"/>
    <x v="1"/>
    <x v="0"/>
    <x v="1"/>
    <x v="3"/>
    <x v="7"/>
    <x v="15"/>
    <x v="16"/>
    <x v="20"/>
    <x v="13"/>
    <x v="405"/>
    <x v="386"/>
    <x v="997"/>
    <x v="723"/>
  </r>
  <r>
    <x v="1938"/>
    <x v="532"/>
    <x v="1"/>
    <x v="2"/>
    <x v="7"/>
    <x v="1"/>
    <x v="19"/>
    <x v="1"/>
    <x v="1"/>
    <x v="1"/>
    <x v="1"/>
    <x v="3"/>
    <x v="6"/>
    <x v="13"/>
    <x v="34"/>
    <x v="5"/>
    <x v="3"/>
    <x v="205"/>
    <x v="175"/>
    <x v="136"/>
    <x v="521"/>
  </r>
  <r>
    <x v="1939"/>
    <x v="539"/>
    <x v="1"/>
    <x v="2"/>
    <x v="7"/>
    <x v="1"/>
    <x v="19"/>
    <x v="1"/>
    <x v="1"/>
    <x v="0"/>
    <x v="1"/>
    <x v="3"/>
    <x v="6"/>
    <x v="13"/>
    <x v="23"/>
    <x v="5"/>
    <x v="3"/>
    <x v="115"/>
    <x v="100"/>
    <x v="574"/>
    <x v="251"/>
  </r>
  <r>
    <x v="1940"/>
    <x v="519"/>
    <x v="1"/>
    <x v="2"/>
    <x v="7"/>
    <x v="1"/>
    <x v="19"/>
    <x v="3"/>
    <x v="3"/>
    <x v="1"/>
    <x v="3"/>
    <x v="7"/>
    <x v="1"/>
    <x v="3"/>
    <x v="7"/>
    <x v="26"/>
    <x v="17"/>
    <x v="805"/>
    <x v="725"/>
    <x v="1018"/>
    <x v="1503"/>
  </r>
  <r>
    <x v="1941"/>
    <x v="526"/>
    <x v="1"/>
    <x v="2"/>
    <x v="7"/>
    <x v="1"/>
    <x v="19"/>
    <x v="3"/>
    <x v="3"/>
    <x v="0"/>
    <x v="3"/>
    <x v="7"/>
    <x v="1"/>
    <x v="3"/>
    <x v="4"/>
    <x v="26"/>
    <x v="17"/>
    <x v="742"/>
    <x v="679"/>
    <x v="1249"/>
    <x v="1302"/>
  </r>
  <r>
    <x v="1942"/>
    <x v="533"/>
    <x v="1"/>
    <x v="2"/>
    <x v="7"/>
    <x v="1"/>
    <x v="19"/>
    <x v="3"/>
    <x v="3"/>
    <x v="1"/>
    <x v="3"/>
    <x v="7"/>
    <x v="2"/>
    <x v="5"/>
    <x v="7"/>
    <x v="23"/>
    <x v="15"/>
    <x v="590"/>
    <x v="556"/>
    <x v="604"/>
    <x v="1119"/>
  </r>
  <r>
    <x v="1943"/>
    <x v="513"/>
    <x v="1"/>
    <x v="2"/>
    <x v="7"/>
    <x v="1"/>
    <x v="19"/>
    <x v="3"/>
    <x v="3"/>
    <x v="0"/>
    <x v="3"/>
    <x v="7"/>
    <x v="2"/>
    <x v="5"/>
    <x v="4"/>
    <x v="23"/>
    <x v="15"/>
    <x v="454"/>
    <x v="442"/>
    <x v="1044"/>
    <x v="779"/>
  </r>
  <r>
    <x v="1944"/>
    <x v="520"/>
    <x v="1"/>
    <x v="2"/>
    <x v="7"/>
    <x v="1"/>
    <x v="19"/>
    <x v="3"/>
    <x v="3"/>
    <x v="1"/>
    <x v="3"/>
    <x v="7"/>
    <x v="5"/>
    <x v="11"/>
    <x v="8"/>
    <x v="29"/>
    <x v="19"/>
    <x v="838"/>
    <x v="750"/>
    <x v="1129"/>
    <x v="1543"/>
  </r>
  <r>
    <x v="1945"/>
    <x v="527"/>
    <x v="1"/>
    <x v="2"/>
    <x v="7"/>
    <x v="1"/>
    <x v="19"/>
    <x v="3"/>
    <x v="3"/>
    <x v="0"/>
    <x v="3"/>
    <x v="7"/>
    <x v="5"/>
    <x v="11"/>
    <x v="3"/>
    <x v="29"/>
    <x v="19"/>
    <x v="770"/>
    <x v="709"/>
    <x v="1264"/>
    <x v="1269"/>
  </r>
  <r>
    <x v="1946"/>
    <x v="534"/>
    <x v="1"/>
    <x v="2"/>
    <x v="7"/>
    <x v="1"/>
    <x v="19"/>
    <x v="3"/>
    <x v="3"/>
    <x v="1"/>
    <x v="0"/>
    <x v="1"/>
    <x v="3"/>
    <x v="7"/>
    <x v="34"/>
    <x v="2"/>
    <x v="1"/>
    <x v="147"/>
    <x v="114"/>
    <x v="89"/>
    <x v="428"/>
  </r>
  <r>
    <x v="1947"/>
    <x v="514"/>
    <x v="1"/>
    <x v="2"/>
    <x v="7"/>
    <x v="1"/>
    <x v="19"/>
    <x v="3"/>
    <x v="3"/>
    <x v="0"/>
    <x v="0"/>
    <x v="1"/>
    <x v="3"/>
    <x v="7"/>
    <x v="23"/>
    <x v="2"/>
    <x v="1"/>
    <x v="74"/>
    <x v="58"/>
    <x v="448"/>
    <x v="194"/>
  </r>
  <r>
    <x v="1948"/>
    <x v="521"/>
    <x v="1"/>
    <x v="2"/>
    <x v="7"/>
    <x v="1"/>
    <x v="19"/>
    <x v="3"/>
    <x v="3"/>
    <x v="1"/>
    <x v="0"/>
    <x v="1"/>
    <x v="8"/>
    <x v="17"/>
    <x v="36"/>
    <x v="14"/>
    <x v="8"/>
    <x v="557"/>
    <x v="471"/>
    <x v="542"/>
    <x v="1196"/>
  </r>
  <r>
    <x v="1949"/>
    <x v="528"/>
    <x v="1"/>
    <x v="2"/>
    <x v="7"/>
    <x v="1"/>
    <x v="19"/>
    <x v="3"/>
    <x v="3"/>
    <x v="0"/>
    <x v="0"/>
    <x v="1"/>
    <x v="8"/>
    <x v="17"/>
    <x v="21"/>
    <x v="14"/>
    <x v="8"/>
    <x v="379"/>
    <x v="318"/>
    <x v="968"/>
    <x v="822"/>
  </r>
  <r>
    <x v="1950"/>
    <x v="535"/>
    <x v="1"/>
    <x v="2"/>
    <x v="7"/>
    <x v="1"/>
    <x v="19"/>
    <x v="3"/>
    <x v="3"/>
    <x v="1"/>
    <x v="0"/>
    <x v="1"/>
    <x v="9"/>
    <x v="19"/>
    <x v="32"/>
    <x v="8"/>
    <x v="5"/>
    <x v="386"/>
    <x v="344"/>
    <x v="309"/>
    <x v="832"/>
  </r>
  <r>
    <x v="1951"/>
    <x v="515"/>
    <x v="1"/>
    <x v="2"/>
    <x v="7"/>
    <x v="1"/>
    <x v="19"/>
    <x v="3"/>
    <x v="3"/>
    <x v="0"/>
    <x v="0"/>
    <x v="1"/>
    <x v="9"/>
    <x v="19"/>
    <x v="28"/>
    <x v="8"/>
    <x v="5"/>
    <x v="349"/>
    <x v="306"/>
    <x v="918"/>
    <x v="682"/>
  </r>
  <r>
    <x v="1952"/>
    <x v="522"/>
    <x v="1"/>
    <x v="2"/>
    <x v="7"/>
    <x v="1"/>
    <x v="19"/>
    <x v="3"/>
    <x v="3"/>
    <x v="1"/>
    <x v="2"/>
    <x v="5"/>
    <x v="0"/>
    <x v="1"/>
    <x v="17"/>
    <x v="17"/>
    <x v="11"/>
    <x v="397"/>
    <x v="345"/>
    <x v="322"/>
    <x v="873"/>
  </r>
  <r>
    <x v="1953"/>
    <x v="529"/>
    <x v="1"/>
    <x v="2"/>
    <x v="7"/>
    <x v="1"/>
    <x v="19"/>
    <x v="3"/>
    <x v="3"/>
    <x v="0"/>
    <x v="2"/>
    <x v="5"/>
    <x v="0"/>
    <x v="1"/>
    <x v="9"/>
    <x v="17"/>
    <x v="11"/>
    <x v="221"/>
    <x v="199"/>
    <x v="744"/>
    <x v="456"/>
  </r>
  <r>
    <x v="1954"/>
    <x v="536"/>
    <x v="1"/>
    <x v="2"/>
    <x v="7"/>
    <x v="1"/>
    <x v="19"/>
    <x v="3"/>
    <x v="3"/>
    <x v="1"/>
    <x v="2"/>
    <x v="5"/>
    <x v="4"/>
    <x v="9"/>
    <x v="14"/>
    <x v="11"/>
    <x v="9"/>
    <x v="228"/>
    <x v="221"/>
    <x v="153"/>
    <x v="483"/>
  </r>
  <r>
    <x v="1955"/>
    <x v="516"/>
    <x v="1"/>
    <x v="2"/>
    <x v="7"/>
    <x v="1"/>
    <x v="19"/>
    <x v="3"/>
    <x v="3"/>
    <x v="0"/>
    <x v="2"/>
    <x v="5"/>
    <x v="4"/>
    <x v="9"/>
    <x v="9"/>
    <x v="11"/>
    <x v="9"/>
    <x v="128"/>
    <x v="131"/>
    <x v="600"/>
    <x v="224"/>
  </r>
  <r>
    <x v="1956"/>
    <x v="523"/>
    <x v="1"/>
    <x v="2"/>
    <x v="7"/>
    <x v="1"/>
    <x v="19"/>
    <x v="3"/>
    <x v="3"/>
    <x v="1"/>
    <x v="1"/>
    <x v="3"/>
    <x v="7"/>
    <x v="15"/>
    <x v="18"/>
    <x v="20"/>
    <x v="13"/>
    <x v="436"/>
    <x v="415"/>
    <x v="383"/>
    <x v="870"/>
  </r>
  <r>
    <x v="1957"/>
    <x v="530"/>
    <x v="1"/>
    <x v="2"/>
    <x v="7"/>
    <x v="1"/>
    <x v="19"/>
    <x v="3"/>
    <x v="3"/>
    <x v="0"/>
    <x v="1"/>
    <x v="3"/>
    <x v="7"/>
    <x v="15"/>
    <x v="12"/>
    <x v="20"/>
    <x v="13"/>
    <x v="330"/>
    <x v="307"/>
    <x v="879"/>
    <x v="556"/>
  </r>
  <r>
    <x v="1958"/>
    <x v="537"/>
    <x v="1"/>
    <x v="2"/>
    <x v="7"/>
    <x v="1"/>
    <x v="19"/>
    <x v="3"/>
    <x v="3"/>
    <x v="1"/>
    <x v="1"/>
    <x v="3"/>
    <x v="6"/>
    <x v="13"/>
    <x v="24"/>
    <x v="5"/>
    <x v="3"/>
    <x v="120"/>
    <x v="105"/>
    <x v="69"/>
    <x v="323"/>
  </r>
  <r>
    <x v="1959"/>
    <x v="517"/>
    <x v="1"/>
    <x v="2"/>
    <x v="7"/>
    <x v="1"/>
    <x v="19"/>
    <x v="3"/>
    <x v="3"/>
    <x v="0"/>
    <x v="1"/>
    <x v="3"/>
    <x v="6"/>
    <x v="13"/>
    <x v="16"/>
    <x v="5"/>
    <x v="3"/>
    <x v="58"/>
    <x v="53"/>
    <x v="400"/>
    <x v="126"/>
  </r>
  <r>
    <x v="1960"/>
    <x v="524"/>
    <x v="1"/>
    <x v="2"/>
    <x v="7"/>
    <x v="1"/>
    <x v="19"/>
    <x v="2"/>
    <x v="2"/>
    <x v="1"/>
    <x v="3"/>
    <x v="7"/>
    <x v="1"/>
    <x v="3"/>
    <x v="4"/>
    <x v="26"/>
    <x v="17"/>
    <x v="742"/>
    <x v="679"/>
    <x v="847"/>
    <x v="1369"/>
  </r>
  <r>
    <x v="1961"/>
    <x v="531"/>
    <x v="1"/>
    <x v="2"/>
    <x v="7"/>
    <x v="1"/>
    <x v="19"/>
    <x v="2"/>
    <x v="2"/>
    <x v="0"/>
    <x v="3"/>
    <x v="7"/>
    <x v="1"/>
    <x v="3"/>
    <x v="3"/>
    <x v="26"/>
    <x v="17"/>
    <x v="701"/>
    <x v="653"/>
    <x v="1215"/>
    <x v="1229"/>
  </r>
  <r>
    <x v="1962"/>
    <x v="538"/>
    <x v="1"/>
    <x v="2"/>
    <x v="7"/>
    <x v="1"/>
    <x v="19"/>
    <x v="2"/>
    <x v="2"/>
    <x v="1"/>
    <x v="3"/>
    <x v="7"/>
    <x v="2"/>
    <x v="5"/>
    <x v="3"/>
    <x v="23"/>
    <x v="15"/>
    <x v="390"/>
    <x v="385"/>
    <x v="316"/>
    <x v="739"/>
  </r>
  <r>
    <x v="1963"/>
    <x v="518"/>
    <x v="1"/>
    <x v="2"/>
    <x v="7"/>
    <x v="1"/>
    <x v="19"/>
    <x v="2"/>
    <x v="2"/>
    <x v="0"/>
    <x v="3"/>
    <x v="7"/>
    <x v="2"/>
    <x v="5"/>
    <x v="3"/>
    <x v="23"/>
    <x v="15"/>
    <x v="390"/>
    <x v="385"/>
    <x v="984"/>
    <x v="651"/>
  </r>
  <r>
    <x v="1964"/>
    <x v="525"/>
    <x v="1"/>
    <x v="2"/>
    <x v="7"/>
    <x v="1"/>
    <x v="19"/>
    <x v="2"/>
    <x v="2"/>
    <x v="1"/>
    <x v="3"/>
    <x v="7"/>
    <x v="5"/>
    <x v="11"/>
    <x v="5"/>
    <x v="29"/>
    <x v="19"/>
    <x v="810"/>
    <x v="732"/>
    <x v="1040"/>
    <x v="1464"/>
  </r>
  <r>
    <x v="1965"/>
    <x v="532"/>
    <x v="1"/>
    <x v="2"/>
    <x v="7"/>
    <x v="1"/>
    <x v="19"/>
    <x v="2"/>
    <x v="2"/>
    <x v="0"/>
    <x v="3"/>
    <x v="7"/>
    <x v="5"/>
    <x v="11"/>
    <x v="2"/>
    <x v="29"/>
    <x v="19"/>
    <x v="726"/>
    <x v="681"/>
    <x v="1233"/>
    <x v="1172"/>
  </r>
  <r>
    <x v="1966"/>
    <x v="539"/>
    <x v="1"/>
    <x v="2"/>
    <x v="7"/>
    <x v="1"/>
    <x v="19"/>
    <x v="2"/>
    <x v="2"/>
    <x v="1"/>
    <x v="0"/>
    <x v="1"/>
    <x v="3"/>
    <x v="7"/>
    <x v="25"/>
    <x v="2"/>
    <x v="1"/>
    <x v="87"/>
    <x v="67"/>
    <x v="43"/>
    <x v="262"/>
  </r>
  <r>
    <x v="1967"/>
    <x v="519"/>
    <x v="1"/>
    <x v="2"/>
    <x v="7"/>
    <x v="1"/>
    <x v="19"/>
    <x v="2"/>
    <x v="2"/>
    <x v="0"/>
    <x v="0"/>
    <x v="1"/>
    <x v="3"/>
    <x v="7"/>
    <x v="16"/>
    <x v="2"/>
    <x v="1"/>
    <x v="36"/>
    <x v="30"/>
    <x v="306"/>
    <x v="88"/>
  </r>
  <r>
    <x v="1968"/>
    <x v="526"/>
    <x v="1"/>
    <x v="2"/>
    <x v="7"/>
    <x v="1"/>
    <x v="19"/>
    <x v="2"/>
    <x v="2"/>
    <x v="1"/>
    <x v="0"/>
    <x v="1"/>
    <x v="8"/>
    <x v="17"/>
    <x v="29"/>
    <x v="14"/>
    <x v="8"/>
    <x v="486"/>
    <x v="412"/>
    <x v="441"/>
    <x v="1073"/>
  </r>
  <r>
    <x v="1969"/>
    <x v="533"/>
    <x v="1"/>
    <x v="2"/>
    <x v="7"/>
    <x v="1"/>
    <x v="19"/>
    <x v="2"/>
    <x v="2"/>
    <x v="0"/>
    <x v="0"/>
    <x v="1"/>
    <x v="8"/>
    <x v="17"/>
    <x v="18"/>
    <x v="14"/>
    <x v="8"/>
    <x v="340"/>
    <x v="278"/>
    <x v="901"/>
    <x v="725"/>
  </r>
  <r>
    <x v="1970"/>
    <x v="513"/>
    <x v="1"/>
    <x v="2"/>
    <x v="7"/>
    <x v="1"/>
    <x v="19"/>
    <x v="2"/>
    <x v="2"/>
    <x v="1"/>
    <x v="0"/>
    <x v="1"/>
    <x v="9"/>
    <x v="19"/>
    <x v="32"/>
    <x v="8"/>
    <x v="5"/>
    <x v="386"/>
    <x v="344"/>
    <x v="309"/>
    <x v="832"/>
  </r>
  <r>
    <x v="1971"/>
    <x v="520"/>
    <x v="1"/>
    <x v="2"/>
    <x v="7"/>
    <x v="1"/>
    <x v="19"/>
    <x v="2"/>
    <x v="2"/>
    <x v="0"/>
    <x v="0"/>
    <x v="1"/>
    <x v="9"/>
    <x v="19"/>
    <x v="20"/>
    <x v="8"/>
    <x v="5"/>
    <x v="247"/>
    <x v="223"/>
    <x v="782"/>
    <x v="482"/>
  </r>
  <r>
    <x v="1972"/>
    <x v="527"/>
    <x v="1"/>
    <x v="2"/>
    <x v="7"/>
    <x v="1"/>
    <x v="19"/>
    <x v="2"/>
    <x v="2"/>
    <x v="1"/>
    <x v="2"/>
    <x v="5"/>
    <x v="0"/>
    <x v="1"/>
    <x v="11"/>
    <x v="17"/>
    <x v="11"/>
    <x v="270"/>
    <x v="240"/>
    <x v="193"/>
    <x v="619"/>
  </r>
  <r>
    <x v="1973"/>
    <x v="534"/>
    <x v="1"/>
    <x v="2"/>
    <x v="7"/>
    <x v="1"/>
    <x v="19"/>
    <x v="2"/>
    <x v="2"/>
    <x v="0"/>
    <x v="2"/>
    <x v="5"/>
    <x v="0"/>
    <x v="1"/>
    <x v="6"/>
    <x v="17"/>
    <x v="11"/>
    <x v="137"/>
    <x v="121"/>
    <x v="611"/>
    <x v="281"/>
  </r>
  <r>
    <x v="1974"/>
    <x v="514"/>
    <x v="1"/>
    <x v="2"/>
    <x v="7"/>
    <x v="1"/>
    <x v="19"/>
    <x v="2"/>
    <x v="2"/>
    <x v="1"/>
    <x v="2"/>
    <x v="5"/>
    <x v="4"/>
    <x v="9"/>
    <x v="9"/>
    <x v="11"/>
    <x v="9"/>
    <x v="128"/>
    <x v="131"/>
    <x v="75"/>
    <x v="275"/>
  </r>
  <r>
    <x v="1975"/>
    <x v="521"/>
    <x v="1"/>
    <x v="2"/>
    <x v="7"/>
    <x v="1"/>
    <x v="19"/>
    <x v="2"/>
    <x v="2"/>
    <x v="0"/>
    <x v="2"/>
    <x v="5"/>
    <x v="4"/>
    <x v="9"/>
    <x v="9"/>
    <x v="11"/>
    <x v="9"/>
    <x v="128"/>
    <x v="131"/>
    <x v="600"/>
    <x v="224"/>
  </r>
  <r>
    <x v="1976"/>
    <x v="528"/>
    <x v="1"/>
    <x v="2"/>
    <x v="7"/>
    <x v="1"/>
    <x v="19"/>
    <x v="2"/>
    <x v="2"/>
    <x v="1"/>
    <x v="1"/>
    <x v="3"/>
    <x v="7"/>
    <x v="15"/>
    <x v="12"/>
    <x v="20"/>
    <x v="13"/>
    <x v="330"/>
    <x v="307"/>
    <x v="234"/>
    <x v="630"/>
  </r>
  <r>
    <x v="1977"/>
    <x v="535"/>
    <x v="1"/>
    <x v="2"/>
    <x v="7"/>
    <x v="1"/>
    <x v="19"/>
    <x v="2"/>
    <x v="2"/>
    <x v="0"/>
    <x v="1"/>
    <x v="3"/>
    <x v="7"/>
    <x v="15"/>
    <x v="11"/>
    <x v="20"/>
    <x v="13"/>
    <x v="301"/>
    <x v="288"/>
    <x v="848"/>
    <x v="514"/>
  </r>
  <r>
    <x v="1978"/>
    <x v="515"/>
    <x v="1"/>
    <x v="2"/>
    <x v="7"/>
    <x v="1"/>
    <x v="19"/>
    <x v="2"/>
    <x v="2"/>
    <x v="1"/>
    <x v="1"/>
    <x v="3"/>
    <x v="6"/>
    <x v="13"/>
    <x v="16"/>
    <x v="5"/>
    <x v="3"/>
    <x v="58"/>
    <x v="53"/>
    <x v="25"/>
    <x v="165"/>
  </r>
  <r>
    <x v="1979"/>
    <x v="522"/>
    <x v="1"/>
    <x v="2"/>
    <x v="7"/>
    <x v="1"/>
    <x v="19"/>
    <x v="2"/>
    <x v="2"/>
    <x v="0"/>
    <x v="1"/>
    <x v="3"/>
    <x v="6"/>
    <x v="13"/>
    <x v="11"/>
    <x v="5"/>
    <x v="3"/>
    <x v="26"/>
    <x v="27"/>
    <x v="258"/>
    <x v="58"/>
  </r>
  <r>
    <x v="1980"/>
    <x v="529"/>
    <x v="1"/>
    <x v="2"/>
    <x v="7"/>
    <x v="1"/>
    <x v="19"/>
    <x v="4"/>
    <x v="4"/>
    <x v="1"/>
    <x v="3"/>
    <x v="7"/>
    <x v="1"/>
    <x v="3"/>
    <x v="5"/>
    <x v="26"/>
    <x v="17"/>
    <x v="773"/>
    <x v="702"/>
    <x v="917"/>
    <x v="1430"/>
  </r>
  <r>
    <x v="1981"/>
    <x v="536"/>
    <x v="1"/>
    <x v="2"/>
    <x v="7"/>
    <x v="1"/>
    <x v="19"/>
    <x v="4"/>
    <x v="4"/>
    <x v="0"/>
    <x v="3"/>
    <x v="7"/>
    <x v="1"/>
    <x v="3"/>
    <x v="2"/>
    <x v="26"/>
    <x v="17"/>
    <x v="641"/>
    <x v="600"/>
    <x v="1176"/>
    <x v="1115"/>
  </r>
  <r>
    <x v="1982"/>
    <x v="516"/>
    <x v="1"/>
    <x v="2"/>
    <x v="7"/>
    <x v="1"/>
    <x v="19"/>
    <x v="4"/>
    <x v="4"/>
    <x v="1"/>
    <x v="3"/>
    <x v="7"/>
    <x v="2"/>
    <x v="5"/>
    <x v="5"/>
    <x v="23"/>
    <x v="15"/>
    <x v="508"/>
    <x v="482"/>
    <x v="474"/>
    <x v="951"/>
  </r>
  <r>
    <x v="1983"/>
    <x v="523"/>
    <x v="1"/>
    <x v="2"/>
    <x v="7"/>
    <x v="1"/>
    <x v="19"/>
    <x v="4"/>
    <x v="4"/>
    <x v="0"/>
    <x v="3"/>
    <x v="7"/>
    <x v="2"/>
    <x v="5"/>
    <x v="2"/>
    <x v="23"/>
    <x v="15"/>
    <x v="326"/>
    <x v="313"/>
    <x v="875"/>
    <x v="516"/>
  </r>
  <r>
    <x v="1984"/>
    <x v="530"/>
    <x v="1"/>
    <x v="2"/>
    <x v="7"/>
    <x v="1"/>
    <x v="19"/>
    <x v="4"/>
    <x v="4"/>
    <x v="1"/>
    <x v="3"/>
    <x v="7"/>
    <x v="5"/>
    <x v="11"/>
    <x v="3"/>
    <x v="29"/>
    <x v="19"/>
    <x v="770"/>
    <x v="709"/>
    <x v="907"/>
    <x v="1340"/>
  </r>
  <r>
    <x v="1985"/>
    <x v="537"/>
    <x v="1"/>
    <x v="2"/>
    <x v="7"/>
    <x v="1"/>
    <x v="19"/>
    <x v="4"/>
    <x v="4"/>
    <x v="0"/>
    <x v="3"/>
    <x v="7"/>
    <x v="5"/>
    <x v="11"/>
    <x v="2"/>
    <x v="29"/>
    <x v="19"/>
    <x v="726"/>
    <x v="681"/>
    <x v="1233"/>
    <x v="1172"/>
  </r>
  <r>
    <x v="1986"/>
    <x v="517"/>
    <x v="1"/>
    <x v="2"/>
    <x v="7"/>
    <x v="1"/>
    <x v="19"/>
    <x v="4"/>
    <x v="4"/>
    <x v="1"/>
    <x v="0"/>
    <x v="1"/>
    <x v="3"/>
    <x v="7"/>
    <x v="31"/>
    <x v="2"/>
    <x v="1"/>
    <x v="124"/>
    <x v="97"/>
    <x v="72"/>
    <x v="375"/>
  </r>
  <r>
    <x v="1987"/>
    <x v="524"/>
    <x v="1"/>
    <x v="2"/>
    <x v="7"/>
    <x v="1"/>
    <x v="19"/>
    <x v="4"/>
    <x v="4"/>
    <x v="0"/>
    <x v="0"/>
    <x v="1"/>
    <x v="3"/>
    <x v="7"/>
    <x v="20"/>
    <x v="2"/>
    <x v="1"/>
    <x v="55"/>
    <x v="46"/>
    <x v="392"/>
    <x v="139"/>
  </r>
  <r>
    <x v="1988"/>
    <x v="531"/>
    <x v="1"/>
    <x v="2"/>
    <x v="7"/>
    <x v="1"/>
    <x v="19"/>
    <x v="4"/>
    <x v="4"/>
    <x v="1"/>
    <x v="0"/>
    <x v="1"/>
    <x v="8"/>
    <x v="17"/>
    <x v="26"/>
    <x v="14"/>
    <x v="8"/>
    <x v="448"/>
    <x v="380"/>
    <x v="393"/>
    <x v="1002"/>
  </r>
  <r>
    <x v="1989"/>
    <x v="538"/>
    <x v="1"/>
    <x v="2"/>
    <x v="7"/>
    <x v="1"/>
    <x v="19"/>
    <x v="4"/>
    <x v="4"/>
    <x v="0"/>
    <x v="0"/>
    <x v="1"/>
    <x v="8"/>
    <x v="17"/>
    <x v="15"/>
    <x v="14"/>
    <x v="8"/>
    <x v="283"/>
    <x v="234"/>
    <x v="835"/>
    <x v="614"/>
  </r>
  <r>
    <x v="1990"/>
    <x v="518"/>
    <x v="1"/>
    <x v="2"/>
    <x v="7"/>
    <x v="1"/>
    <x v="19"/>
    <x v="4"/>
    <x v="4"/>
    <x v="1"/>
    <x v="0"/>
    <x v="1"/>
    <x v="9"/>
    <x v="19"/>
    <x v="31"/>
    <x v="8"/>
    <x v="5"/>
    <x v="372"/>
    <x v="336"/>
    <x v="299"/>
    <x v="809"/>
  </r>
  <r>
    <x v="1991"/>
    <x v="525"/>
    <x v="1"/>
    <x v="2"/>
    <x v="7"/>
    <x v="1"/>
    <x v="19"/>
    <x v="4"/>
    <x v="4"/>
    <x v="0"/>
    <x v="0"/>
    <x v="1"/>
    <x v="9"/>
    <x v="19"/>
    <x v="20"/>
    <x v="8"/>
    <x v="5"/>
    <x v="247"/>
    <x v="223"/>
    <x v="782"/>
    <x v="482"/>
  </r>
  <r>
    <x v="1992"/>
    <x v="532"/>
    <x v="1"/>
    <x v="2"/>
    <x v="7"/>
    <x v="1"/>
    <x v="19"/>
    <x v="4"/>
    <x v="4"/>
    <x v="1"/>
    <x v="2"/>
    <x v="5"/>
    <x v="0"/>
    <x v="1"/>
    <x v="10"/>
    <x v="17"/>
    <x v="11"/>
    <x v="250"/>
    <x v="219"/>
    <x v="171"/>
    <x v="573"/>
  </r>
  <r>
    <x v="1993"/>
    <x v="539"/>
    <x v="1"/>
    <x v="2"/>
    <x v="7"/>
    <x v="1"/>
    <x v="19"/>
    <x v="4"/>
    <x v="4"/>
    <x v="0"/>
    <x v="2"/>
    <x v="5"/>
    <x v="0"/>
    <x v="1"/>
    <x v="7"/>
    <x v="17"/>
    <x v="11"/>
    <x v="166"/>
    <x v="149"/>
    <x v="656"/>
    <x v="331"/>
  </r>
  <r>
    <x v="1994"/>
    <x v="519"/>
    <x v="1"/>
    <x v="2"/>
    <x v="7"/>
    <x v="1"/>
    <x v="19"/>
    <x v="4"/>
    <x v="4"/>
    <x v="1"/>
    <x v="2"/>
    <x v="5"/>
    <x v="4"/>
    <x v="9"/>
    <x v="11"/>
    <x v="11"/>
    <x v="9"/>
    <x v="171"/>
    <x v="169"/>
    <x v="110"/>
    <x v="364"/>
  </r>
  <r>
    <x v="1995"/>
    <x v="526"/>
    <x v="1"/>
    <x v="2"/>
    <x v="7"/>
    <x v="1"/>
    <x v="19"/>
    <x v="4"/>
    <x v="4"/>
    <x v="0"/>
    <x v="2"/>
    <x v="5"/>
    <x v="4"/>
    <x v="9"/>
    <x v="8"/>
    <x v="11"/>
    <x v="9"/>
    <x v="109"/>
    <x v="111"/>
    <x v="553"/>
    <x v="185"/>
  </r>
  <r>
    <x v="1996"/>
    <x v="533"/>
    <x v="1"/>
    <x v="2"/>
    <x v="7"/>
    <x v="1"/>
    <x v="19"/>
    <x v="4"/>
    <x v="4"/>
    <x v="1"/>
    <x v="1"/>
    <x v="3"/>
    <x v="7"/>
    <x v="15"/>
    <x v="15"/>
    <x v="20"/>
    <x v="13"/>
    <x v="385"/>
    <x v="365"/>
    <x v="309"/>
    <x v="767"/>
  </r>
  <r>
    <x v="1997"/>
    <x v="513"/>
    <x v="1"/>
    <x v="2"/>
    <x v="7"/>
    <x v="1"/>
    <x v="19"/>
    <x v="4"/>
    <x v="4"/>
    <x v="0"/>
    <x v="1"/>
    <x v="3"/>
    <x v="7"/>
    <x v="15"/>
    <x v="8"/>
    <x v="20"/>
    <x v="13"/>
    <x v="216"/>
    <x v="218"/>
    <x v="737"/>
    <x v="355"/>
  </r>
  <r>
    <x v="1998"/>
    <x v="520"/>
    <x v="1"/>
    <x v="2"/>
    <x v="7"/>
    <x v="1"/>
    <x v="19"/>
    <x v="4"/>
    <x v="4"/>
    <x v="1"/>
    <x v="1"/>
    <x v="3"/>
    <x v="6"/>
    <x v="13"/>
    <x v="13"/>
    <x v="5"/>
    <x v="3"/>
    <x v="40"/>
    <x v="38"/>
    <x v="7"/>
    <x v="107"/>
  </r>
  <r>
    <x v="1999"/>
    <x v="527"/>
    <x v="1"/>
    <x v="2"/>
    <x v="7"/>
    <x v="1"/>
    <x v="19"/>
    <x v="4"/>
    <x v="4"/>
    <x v="0"/>
    <x v="1"/>
    <x v="3"/>
    <x v="6"/>
    <x v="13"/>
    <x v="11"/>
    <x v="5"/>
    <x v="3"/>
    <x v="26"/>
    <x v="27"/>
    <x v="258"/>
    <x v="58"/>
  </r>
  <r>
    <x v="2000"/>
    <x v="561"/>
    <x v="1"/>
    <x v="2"/>
    <x v="8"/>
    <x v="11"/>
    <x v="20"/>
    <x v="0"/>
    <x v="0"/>
    <x v="1"/>
    <x v="3"/>
    <x v="7"/>
    <x v="1"/>
    <x v="3"/>
    <x v="16"/>
    <x v="26"/>
    <x v="17"/>
    <x v="853"/>
    <x v="758"/>
    <x v="1185"/>
    <x v="1590"/>
  </r>
  <r>
    <x v="2001"/>
    <x v="541"/>
    <x v="1"/>
    <x v="2"/>
    <x v="8"/>
    <x v="11"/>
    <x v="20"/>
    <x v="0"/>
    <x v="0"/>
    <x v="0"/>
    <x v="3"/>
    <x v="7"/>
    <x v="1"/>
    <x v="3"/>
    <x v="11"/>
    <x v="26"/>
    <x v="17"/>
    <x v="833"/>
    <x v="743"/>
    <x v="1316"/>
    <x v="1544"/>
  </r>
  <r>
    <x v="2002"/>
    <x v="548"/>
    <x v="1"/>
    <x v="2"/>
    <x v="8"/>
    <x v="11"/>
    <x v="20"/>
    <x v="0"/>
    <x v="0"/>
    <x v="1"/>
    <x v="3"/>
    <x v="7"/>
    <x v="2"/>
    <x v="5"/>
    <x v="15"/>
    <x v="23"/>
    <x v="15"/>
    <x v="752"/>
    <x v="687"/>
    <x v="870"/>
    <x v="1402"/>
  </r>
  <r>
    <x v="2003"/>
    <x v="555"/>
    <x v="1"/>
    <x v="2"/>
    <x v="8"/>
    <x v="11"/>
    <x v="20"/>
    <x v="0"/>
    <x v="0"/>
    <x v="0"/>
    <x v="3"/>
    <x v="7"/>
    <x v="2"/>
    <x v="5"/>
    <x v="14"/>
    <x v="23"/>
    <x v="15"/>
    <x v="743"/>
    <x v="672"/>
    <x v="1249"/>
    <x v="1325"/>
  </r>
  <r>
    <x v="2004"/>
    <x v="562"/>
    <x v="1"/>
    <x v="2"/>
    <x v="8"/>
    <x v="11"/>
    <x v="20"/>
    <x v="0"/>
    <x v="0"/>
    <x v="1"/>
    <x v="3"/>
    <x v="7"/>
    <x v="5"/>
    <x v="11"/>
    <x v="15"/>
    <x v="29"/>
    <x v="19"/>
    <x v="869"/>
    <x v="776"/>
    <x v="1231"/>
    <x v="1596"/>
  </r>
  <r>
    <x v="2005"/>
    <x v="542"/>
    <x v="1"/>
    <x v="2"/>
    <x v="8"/>
    <x v="11"/>
    <x v="20"/>
    <x v="0"/>
    <x v="0"/>
    <x v="0"/>
    <x v="3"/>
    <x v="7"/>
    <x v="5"/>
    <x v="11"/>
    <x v="13"/>
    <x v="29"/>
    <x v="19"/>
    <x v="864"/>
    <x v="771"/>
    <x v="1333"/>
    <x v="1571"/>
  </r>
  <r>
    <x v="2006"/>
    <x v="549"/>
    <x v="1"/>
    <x v="2"/>
    <x v="8"/>
    <x v="11"/>
    <x v="20"/>
    <x v="0"/>
    <x v="0"/>
    <x v="1"/>
    <x v="0"/>
    <x v="1"/>
    <x v="3"/>
    <x v="7"/>
    <x v="80"/>
    <x v="2"/>
    <x v="1"/>
    <x v="409"/>
    <x v="325"/>
    <x v="337"/>
    <x v="954"/>
  </r>
  <r>
    <x v="2007"/>
    <x v="556"/>
    <x v="1"/>
    <x v="2"/>
    <x v="8"/>
    <x v="11"/>
    <x v="20"/>
    <x v="0"/>
    <x v="0"/>
    <x v="0"/>
    <x v="0"/>
    <x v="1"/>
    <x v="3"/>
    <x v="7"/>
    <x v="54"/>
    <x v="2"/>
    <x v="1"/>
    <x v="273"/>
    <x v="215"/>
    <x v="825"/>
    <x v="636"/>
  </r>
  <r>
    <x v="2008"/>
    <x v="563"/>
    <x v="1"/>
    <x v="2"/>
    <x v="8"/>
    <x v="11"/>
    <x v="20"/>
    <x v="0"/>
    <x v="0"/>
    <x v="1"/>
    <x v="0"/>
    <x v="1"/>
    <x v="8"/>
    <x v="17"/>
    <x v="91"/>
    <x v="14"/>
    <x v="8"/>
    <x v="785"/>
    <x v="685"/>
    <x v="949"/>
    <x v="1525"/>
  </r>
  <r>
    <x v="2009"/>
    <x v="543"/>
    <x v="1"/>
    <x v="2"/>
    <x v="8"/>
    <x v="11"/>
    <x v="20"/>
    <x v="0"/>
    <x v="0"/>
    <x v="0"/>
    <x v="0"/>
    <x v="1"/>
    <x v="8"/>
    <x v="17"/>
    <x v="55"/>
    <x v="14"/>
    <x v="8"/>
    <x v="676"/>
    <x v="580"/>
    <x v="1200"/>
    <x v="1322"/>
  </r>
  <r>
    <x v="2010"/>
    <x v="550"/>
    <x v="1"/>
    <x v="2"/>
    <x v="8"/>
    <x v="11"/>
    <x v="20"/>
    <x v="0"/>
    <x v="0"/>
    <x v="1"/>
    <x v="0"/>
    <x v="1"/>
    <x v="9"/>
    <x v="19"/>
    <x v="87"/>
    <x v="8"/>
    <x v="5"/>
    <x v="698"/>
    <x v="619"/>
    <x v="761"/>
    <x v="1370"/>
  </r>
  <r>
    <x v="2011"/>
    <x v="557"/>
    <x v="1"/>
    <x v="2"/>
    <x v="8"/>
    <x v="11"/>
    <x v="20"/>
    <x v="0"/>
    <x v="0"/>
    <x v="0"/>
    <x v="0"/>
    <x v="1"/>
    <x v="9"/>
    <x v="19"/>
    <x v="62"/>
    <x v="8"/>
    <x v="5"/>
    <x v="601"/>
    <x v="533"/>
    <x v="1151"/>
    <x v="1162"/>
  </r>
  <r>
    <x v="2012"/>
    <x v="564"/>
    <x v="1"/>
    <x v="2"/>
    <x v="8"/>
    <x v="11"/>
    <x v="20"/>
    <x v="0"/>
    <x v="0"/>
    <x v="1"/>
    <x v="2"/>
    <x v="5"/>
    <x v="0"/>
    <x v="1"/>
    <x v="44"/>
    <x v="17"/>
    <x v="11"/>
    <x v="681"/>
    <x v="594"/>
    <x v="732"/>
    <x v="1349"/>
  </r>
  <r>
    <x v="2013"/>
    <x v="544"/>
    <x v="1"/>
    <x v="2"/>
    <x v="8"/>
    <x v="11"/>
    <x v="20"/>
    <x v="0"/>
    <x v="0"/>
    <x v="0"/>
    <x v="2"/>
    <x v="5"/>
    <x v="0"/>
    <x v="1"/>
    <x v="29"/>
    <x v="17"/>
    <x v="11"/>
    <x v="567"/>
    <x v="493"/>
    <x v="1123"/>
    <x v="1124"/>
  </r>
  <r>
    <x v="2014"/>
    <x v="551"/>
    <x v="1"/>
    <x v="2"/>
    <x v="8"/>
    <x v="11"/>
    <x v="20"/>
    <x v="0"/>
    <x v="0"/>
    <x v="1"/>
    <x v="2"/>
    <x v="5"/>
    <x v="4"/>
    <x v="9"/>
    <x v="34"/>
    <x v="11"/>
    <x v="9"/>
    <x v="497"/>
    <x v="459"/>
    <x v="458"/>
    <x v="1000"/>
  </r>
  <r>
    <x v="2015"/>
    <x v="558"/>
    <x v="1"/>
    <x v="2"/>
    <x v="8"/>
    <x v="11"/>
    <x v="20"/>
    <x v="0"/>
    <x v="0"/>
    <x v="0"/>
    <x v="2"/>
    <x v="5"/>
    <x v="4"/>
    <x v="9"/>
    <x v="33"/>
    <x v="11"/>
    <x v="9"/>
    <x v="490"/>
    <x v="450"/>
    <x v="1065"/>
    <x v="911"/>
  </r>
  <r>
    <x v="2016"/>
    <x v="565"/>
    <x v="1"/>
    <x v="2"/>
    <x v="8"/>
    <x v="11"/>
    <x v="20"/>
    <x v="0"/>
    <x v="0"/>
    <x v="1"/>
    <x v="1"/>
    <x v="3"/>
    <x v="7"/>
    <x v="15"/>
    <x v="54"/>
    <x v="20"/>
    <x v="13"/>
    <x v="745"/>
    <x v="669"/>
    <x v="848"/>
    <x v="1403"/>
  </r>
  <r>
    <x v="2017"/>
    <x v="545"/>
    <x v="1"/>
    <x v="2"/>
    <x v="8"/>
    <x v="11"/>
    <x v="20"/>
    <x v="0"/>
    <x v="0"/>
    <x v="0"/>
    <x v="1"/>
    <x v="3"/>
    <x v="7"/>
    <x v="15"/>
    <x v="32"/>
    <x v="20"/>
    <x v="13"/>
    <x v="621"/>
    <x v="565"/>
    <x v="1163"/>
    <x v="1143"/>
  </r>
  <r>
    <x v="2018"/>
    <x v="552"/>
    <x v="1"/>
    <x v="2"/>
    <x v="8"/>
    <x v="11"/>
    <x v="20"/>
    <x v="0"/>
    <x v="0"/>
    <x v="1"/>
    <x v="1"/>
    <x v="3"/>
    <x v="6"/>
    <x v="13"/>
    <x v="46"/>
    <x v="5"/>
    <x v="3"/>
    <x v="299"/>
    <x v="249"/>
    <x v="207"/>
    <x v="708"/>
  </r>
  <r>
    <x v="2019"/>
    <x v="559"/>
    <x v="1"/>
    <x v="2"/>
    <x v="8"/>
    <x v="11"/>
    <x v="20"/>
    <x v="0"/>
    <x v="0"/>
    <x v="0"/>
    <x v="1"/>
    <x v="3"/>
    <x v="6"/>
    <x v="13"/>
    <x v="39"/>
    <x v="5"/>
    <x v="3"/>
    <x v="249"/>
    <x v="205"/>
    <x v="786"/>
    <x v="539"/>
  </r>
  <r>
    <x v="2020"/>
    <x v="566"/>
    <x v="1"/>
    <x v="2"/>
    <x v="8"/>
    <x v="11"/>
    <x v="20"/>
    <x v="1"/>
    <x v="1"/>
    <x v="1"/>
    <x v="3"/>
    <x v="7"/>
    <x v="1"/>
    <x v="3"/>
    <x v="10"/>
    <x v="26"/>
    <x v="17"/>
    <x v="828"/>
    <x v="740"/>
    <x v="1095"/>
    <x v="1554"/>
  </r>
  <r>
    <x v="2021"/>
    <x v="546"/>
    <x v="1"/>
    <x v="2"/>
    <x v="8"/>
    <x v="11"/>
    <x v="20"/>
    <x v="1"/>
    <x v="1"/>
    <x v="0"/>
    <x v="3"/>
    <x v="7"/>
    <x v="1"/>
    <x v="3"/>
    <x v="6"/>
    <x v="26"/>
    <x v="17"/>
    <x v="792"/>
    <x v="715"/>
    <x v="1286"/>
    <x v="1431"/>
  </r>
  <r>
    <x v="2022"/>
    <x v="553"/>
    <x v="1"/>
    <x v="2"/>
    <x v="8"/>
    <x v="11"/>
    <x v="20"/>
    <x v="1"/>
    <x v="1"/>
    <x v="1"/>
    <x v="3"/>
    <x v="7"/>
    <x v="2"/>
    <x v="5"/>
    <x v="8"/>
    <x v="23"/>
    <x v="15"/>
    <x v="623"/>
    <x v="577"/>
    <x v="650"/>
    <x v="1179"/>
  </r>
  <r>
    <x v="2023"/>
    <x v="560"/>
    <x v="1"/>
    <x v="2"/>
    <x v="8"/>
    <x v="11"/>
    <x v="20"/>
    <x v="1"/>
    <x v="1"/>
    <x v="0"/>
    <x v="3"/>
    <x v="7"/>
    <x v="2"/>
    <x v="5"/>
    <x v="7"/>
    <x v="23"/>
    <x v="15"/>
    <x v="590"/>
    <x v="556"/>
    <x v="1145"/>
    <x v="1042"/>
  </r>
  <r>
    <x v="2024"/>
    <x v="540"/>
    <x v="1"/>
    <x v="2"/>
    <x v="8"/>
    <x v="11"/>
    <x v="20"/>
    <x v="1"/>
    <x v="1"/>
    <x v="1"/>
    <x v="3"/>
    <x v="7"/>
    <x v="5"/>
    <x v="11"/>
    <x v="12"/>
    <x v="29"/>
    <x v="19"/>
    <x v="858"/>
    <x v="768"/>
    <x v="1198"/>
    <x v="1578"/>
  </r>
  <r>
    <x v="2025"/>
    <x v="547"/>
    <x v="1"/>
    <x v="2"/>
    <x v="8"/>
    <x v="11"/>
    <x v="20"/>
    <x v="1"/>
    <x v="1"/>
    <x v="0"/>
    <x v="3"/>
    <x v="7"/>
    <x v="5"/>
    <x v="11"/>
    <x v="5"/>
    <x v="29"/>
    <x v="19"/>
    <x v="810"/>
    <x v="732"/>
    <x v="1301"/>
    <x v="1410"/>
  </r>
  <r>
    <x v="2026"/>
    <x v="554"/>
    <x v="1"/>
    <x v="2"/>
    <x v="8"/>
    <x v="11"/>
    <x v="20"/>
    <x v="1"/>
    <x v="1"/>
    <x v="1"/>
    <x v="0"/>
    <x v="1"/>
    <x v="3"/>
    <x v="7"/>
    <x v="58"/>
    <x v="2"/>
    <x v="1"/>
    <x v="298"/>
    <x v="231"/>
    <x v="207"/>
    <x v="744"/>
  </r>
  <r>
    <x v="2027"/>
    <x v="561"/>
    <x v="1"/>
    <x v="2"/>
    <x v="8"/>
    <x v="11"/>
    <x v="20"/>
    <x v="1"/>
    <x v="1"/>
    <x v="0"/>
    <x v="0"/>
    <x v="1"/>
    <x v="3"/>
    <x v="7"/>
    <x v="42"/>
    <x v="2"/>
    <x v="1"/>
    <x v="200"/>
    <x v="158"/>
    <x v="711"/>
    <x v="487"/>
  </r>
  <r>
    <x v="2028"/>
    <x v="541"/>
    <x v="1"/>
    <x v="2"/>
    <x v="8"/>
    <x v="11"/>
    <x v="20"/>
    <x v="1"/>
    <x v="1"/>
    <x v="1"/>
    <x v="0"/>
    <x v="1"/>
    <x v="8"/>
    <x v="17"/>
    <x v="53"/>
    <x v="14"/>
    <x v="8"/>
    <x v="664"/>
    <x v="571"/>
    <x v="706"/>
    <x v="1352"/>
  </r>
  <r>
    <x v="2029"/>
    <x v="548"/>
    <x v="1"/>
    <x v="2"/>
    <x v="8"/>
    <x v="11"/>
    <x v="20"/>
    <x v="1"/>
    <x v="1"/>
    <x v="0"/>
    <x v="0"/>
    <x v="1"/>
    <x v="8"/>
    <x v="17"/>
    <x v="41"/>
    <x v="14"/>
    <x v="8"/>
    <x v="595"/>
    <x v="508"/>
    <x v="1148"/>
    <x v="1208"/>
  </r>
  <r>
    <x v="2030"/>
    <x v="555"/>
    <x v="1"/>
    <x v="2"/>
    <x v="8"/>
    <x v="11"/>
    <x v="20"/>
    <x v="1"/>
    <x v="1"/>
    <x v="1"/>
    <x v="0"/>
    <x v="1"/>
    <x v="9"/>
    <x v="19"/>
    <x v="46"/>
    <x v="8"/>
    <x v="5"/>
    <x v="506"/>
    <x v="452"/>
    <x v="470"/>
    <x v="1058"/>
  </r>
  <r>
    <x v="2031"/>
    <x v="562"/>
    <x v="1"/>
    <x v="2"/>
    <x v="8"/>
    <x v="11"/>
    <x v="20"/>
    <x v="1"/>
    <x v="1"/>
    <x v="0"/>
    <x v="0"/>
    <x v="1"/>
    <x v="9"/>
    <x v="19"/>
    <x v="41"/>
    <x v="8"/>
    <x v="5"/>
    <x v="469"/>
    <x v="416"/>
    <x v="1052"/>
    <x v="909"/>
  </r>
  <r>
    <x v="2032"/>
    <x v="542"/>
    <x v="1"/>
    <x v="2"/>
    <x v="8"/>
    <x v="11"/>
    <x v="20"/>
    <x v="1"/>
    <x v="1"/>
    <x v="1"/>
    <x v="2"/>
    <x v="5"/>
    <x v="0"/>
    <x v="1"/>
    <x v="22"/>
    <x v="17"/>
    <x v="11"/>
    <x v="480"/>
    <x v="417"/>
    <x v="430"/>
    <x v="1025"/>
  </r>
  <r>
    <x v="2033"/>
    <x v="549"/>
    <x v="1"/>
    <x v="2"/>
    <x v="8"/>
    <x v="11"/>
    <x v="20"/>
    <x v="1"/>
    <x v="1"/>
    <x v="0"/>
    <x v="2"/>
    <x v="5"/>
    <x v="0"/>
    <x v="1"/>
    <x v="14"/>
    <x v="17"/>
    <x v="11"/>
    <x v="345"/>
    <x v="292"/>
    <x v="909"/>
    <x v="698"/>
  </r>
  <r>
    <x v="2034"/>
    <x v="556"/>
    <x v="1"/>
    <x v="2"/>
    <x v="8"/>
    <x v="11"/>
    <x v="20"/>
    <x v="1"/>
    <x v="1"/>
    <x v="1"/>
    <x v="2"/>
    <x v="5"/>
    <x v="4"/>
    <x v="9"/>
    <x v="22"/>
    <x v="11"/>
    <x v="9"/>
    <x v="360"/>
    <x v="332"/>
    <x v="278"/>
    <x v="743"/>
  </r>
  <r>
    <x v="2035"/>
    <x v="563"/>
    <x v="1"/>
    <x v="2"/>
    <x v="8"/>
    <x v="11"/>
    <x v="20"/>
    <x v="1"/>
    <x v="1"/>
    <x v="0"/>
    <x v="2"/>
    <x v="5"/>
    <x v="4"/>
    <x v="9"/>
    <x v="15"/>
    <x v="11"/>
    <x v="9"/>
    <x v="251"/>
    <x v="235"/>
    <x v="792"/>
    <x v="454"/>
  </r>
  <r>
    <x v="2036"/>
    <x v="543"/>
    <x v="1"/>
    <x v="2"/>
    <x v="8"/>
    <x v="11"/>
    <x v="20"/>
    <x v="1"/>
    <x v="1"/>
    <x v="1"/>
    <x v="1"/>
    <x v="3"/>
    <x v="7"/>
    <x v="15"/>
    <x v="28"/>
    <x v="20"/>
    <x v="13"/>
    <x v="581"/>
    <x v="534"/>
    <x v="588"/>
    <x v="1134"/>
  </r>
  <r>
    <x v="2037"/>
    <x v="550"/>
    <x v="1"/>
    <x v="2"/>
    <x v="8"/>
    <x v="11"/>
    <x v="20"/>
    <x v="1"/>
    <x v="1"/>
    <x v="0"/>
    <x v="1"/>
    <x v="3"/>
    <x v="7"/>
    <x v="15"/>
    <x v="20"/>
    <x v="20"/>
    <x v="13"/>
    <x v="475"/>
    <x v="447"/>
    <x v="1056"/>
    <x v="857"/>
  </r>
  <r>
    <x v="2038"/>
    <x v="557"/>
    <x v="1"/>
    <x v="2"/>
    <x v="8"/>
    <x v="11"/>
    <x v="20"/>
    <x v="1"/>
    <x v="1"/>
    <x v="1"/>
    <x v="1"/>
    <x v="3"/>
    <x v="6"/>
    <x v="13"/>
    <x v="35"/>
    <x v="5"/>
    <x v="3"/>
    <x v="214"/>
    <x v="182"/>
    <x v="141"/>
    <x v="535"/>
  </r>
  <r>
    <x v="2039"/>
    <x v="564"/>
    <x v="1"/>
    <x v="2"/>
    <x v="8"/>
    <x v="11"/>
    <x v="20"/>
    <x v="1"/>
    <x v="1"/>
    <x v="0"/>
    <x v="1"/>
    <x v="3"/>
    <x v="6"/>
    <x v="13"/>
    <x v="17"/>
    <x v="5"/>
    <x v="3"/>
    <x v="66"/>
    <x v="60"/>
    <x v="428"/>
    <x v="143"/>
  </r>
  <r>
    <x v="2040"/>
    <x v="544"/>
    <x v="1"/>
    <x v="2"/>
    <x v="8"/>
    <x v="11"/>
    <x v="20"/>
    <x v="3"/>
    <x v="3"/>
    <x v="1"/>
    <x v="3"/>
    <x v="7"/>
    <x v="1"/>
    <x v="3"/>
    <x v="5"/>
    <x v="26"/>
    <x v="17"/>
    <x v="773"/>
    <x v="702"/>
    <x v="917"/>
    <x v="1430"/>
  </r>
  <r>
    <x v="2041"/>
    <x v="551"/>
    <x v="1"/>
    <x v="2"/>
    <x v="8"/>
    <x v="11"/>
    <x v="20"/>
    <x v="3"/>
    <x v="3"/>
    <x v="0"/>
    <x v="3"/>
    <x v="7"/>
    <x v="1"/>
    <x v="3"/>
    <x v="4"/>
    <x v="26"/>
    <x v="17"/>
    <x v="742"/>
    <x v="679"/>
    <x v="1249"/>
    <x v="1302"/>
  </r>
  <r>
    <x v="2042"/>
    <x v="558"/>
    <x v="1"/>
    <x v="2"/>
    <x v="8"/>
    <x v="11"/>
    <x v="20"/>
    <x v="3"/>
    <x v="3"/>
    <x v="1"/>
    <x v="3"/>
    <x v="7"/>
    <x v="2"/>
    <x v="5"/>
    <x v="7"/>
    <x v="23"/>
    <x v="15"/>
    <x v="590"/>
    <x v="556"/>
    <x v="604"/>
    <x v="1119"/>
  </r>
  <r>
    <x v="2043"/>
    <x v="565"/>
    <x v="1"/>
    <x v="2"/>
    <x v="8"/>
    <x v="11"/>
    <x v="20"/>
    <x v="3"/>
    <x v="3"/>
    <x v="0"/>
    <x v="3"/>
    <x v="7"/>
    <x v="2"/>
    <x v="5"/>
    <x v="3"/>
    <x v="23"/>
    <x v="15"/>
    <x v="390"/>
    <x v="385"/>
    <x v="984"/>
    <x v="651"/>
  </r>
  <r>
    <x v="2044"/>
    <x v="545"/>
    <x v="1"/>
    <x v="2"/>
    <x v="8"/>
    <x v="11"/>
    <x v="20"/>
    <x v="3"/>
    <x v="3"/>
    <x v="1"/>
    <x v="3"/>
    <x v="7"/>
    <x v="5"/>
    <x v="11"/>
    <x v="8"/>
    <x v="29"/>
    <x v="19"/>
    <x v="838"/>
    <x v="750"/>
    <x v="1129"/>
    <x v="1543"/>
  </r>
  <r>
    <x v="2045"/>
    <x v="552"/>
    <x v="1"/>
    <x v="2"/>
    <x v="8"/>
    <x v="11"/>
    <x v="20"/>
    <x v="3"/>
    <x v="3"/>
    <x v="0"/>
    <x v="3"/>
    <x v="7"/>
    <x v="5"/>
    <x v="11"/>
    <x v="3"/>
    <x v="29"/>
    <x v="19"/>
    <x v="770"/>
    <x v="709"/>
    <x v="1264"/>
    <x v="1269"/>
  </r>
  <r>
    <x v="2046"/>
    <x v="559"/>
    <x v="1"/>
    <x v="2"/>
    <x v="8"/>
    <x v="11"/>
    <x v="20"/>
    <x v="3"/>
    <x v="3"/>
    <x v="1"/>
    <x v="0"/>
    <x v="1"/>
    <x v="3"/>
    <x v="7"/>
    <x v="32"/>
    <x v="2"/>
    <x v="1"/>
    <x v="135"/>
    <x v="104"/>
    <x v="79"/>
    <x v="391"/>
  </r>
  <r>
    <x v="2047"/>
    <x v="566"/>
    <x v="1"/>
    <x v="2"/>
    <x v="8"/>
    <x v="11"/>
    <x v="20"/>
    <x v="3"/>
    <x v="3"/>
    <x v="0"/>
    <x v="0"/>
    <x v="1"/>
    <x v="3"/>
    <x v="7"/>
    <x v="24"/>
    <x v="2"/>
    <x v="1"/>
    <x v="81"/>
    <x v="64"/>
    <x v="471"/>
    <x v="212"/>
  </r>
  <r>
    <x v="2048"/>
    <x v="546"/>
    <x v="1"/>
    <x v="2"/>
    <x v="8"/>
    <x v="11"/>
    <x v="20"/>
    <x v="3"/>
    <x v="3"/>
    <x v="1"/>
    <x v="0"/>
    <x v="1"/>
    <x v="8"/>
    <x v="17"/>
    <x v="41"/>
    <x v="14"/>
    <x v="8"/>
    <x v="595"/>
    <x v="508"/>
    <x v="608"/>
    <x v="1246"/>
  </r>
  <r>
    <x v="2049"/>
    <x v="553"/>
    <x v="1"/>
    <x v="2"/>
    <x v="8"/>
    <x v="11"/>
    <x v="20"/>
    <x v="3"/>
    <x v="3"/>
    <x v="0"/>
    <x v="0"/>
    <x v="1"/>
    <x v="8"/>
    <x v="17"/>
    <x v="27"/>
    <x v="14"/>
    <x v="8"/>
    <x v="461"/>
    <x v="391"/>
    <x v="1049"/>
    <x v="961"/>
  </r>
  <r>
    <x v="2050"/>
    <x v="560"/>
    <x v="1"/>
    <x v="2"/>
    <x v="8"/>
    <x v="11"/>
    <x v="20"/>
    <x v="3"/>
    <x v="3"/>
    <x v="1"/>
    <x v="0"/>
    <x v="1"/>
    <x v="9"/>
    <x v="19"/>
    <x v="34"/>
    <x v="8"/>
    <x v="5"/>
    <x v="406"/>
    <x v="362"/>
    <x v="333"/>
    <x v="867"/>
  </r>
  <r>
    <x v="2051"/>
    <x v="540"/>
    <x v="1"/>
    <x v="2"/>
    <x v="8"/>
    <x v="11"/>
    <x v="20"/>
    <x v="3"/>
    <x v="3"/>
    <x v="0"/>
    <x v="0"/>
    <x v="1"/>
    <x v="9"/>
    <x v="19"/>
    <x v="21"/>
    <x v="8"/>
    <x v="5"/>
    <x v="260"/>
    <x v="233"/>
    <x v="806"/>
    <x v="502"/>
  </r>
  <r>
    <x v="2052"/>
    <x v="547"/>
    <x v="1"/>
    <x v="2"/>
    <x v="8"/>
    <x v="11"/>
    <x v="20"/>
    <x v="3"/>
    <x v="3"/>
    <x v="1"/>
    <x v="2"/>
    <x v="5"/>
    <x v="0"/>
    <x v="1"/>
    <x v="19"/>
    <x v="17"/>
    <x v="11"/>
    <x v="426"/>
    <x v="378"/>
    <x v="371"/>
    <x v="926"/>
  </r>
  <r>
    <x v="2053"/>
    <x v="554"/>
    <x v="1"/>
    <x v="2"/>
    <x v="8"/>
    <x v="11"/>
    <x v="20"/>
    <x v="3"/>
    <x v="3"/>
    <x v="0"/>
    <x v="2"/>
    <x v="5"/>
    <x v="0"/>
    <x v="1"/>
    <x v="13"/>
    <x v="17"/>
    <x v="11"/>
    <x v="325"/>
    <x v="276"/>
    <x v="874"/>
    <x v="644"/>
  </r>
  <r>
    <x v="2054"/>
    <x v="561"/>
    <x v="1"/>
    <x v="2"/>
    <x v="8"/>
    <x v="11"/>
    <x v="20"/>
    <x v="3"/>
    <x v="3"/>
    <x v="1"/>
    <x v="2"/>
    <x v="5"/>
    <x v="4"/>
    <x v="9"/>
    <x v="14"/>
    <x v="11"/>
    <x v="9"/>
    <x v="228"/>
    <x v="221"/>
    <x v="153"/>
    <x v="483"/>
  </r>
  <r>
    <x v="2055"/>
    <x v="541"/>
    <x v="1"/>
    <x v="2"/>
    <x v="8"/>
    <x v="11"/>
    <x v="20"/>
    <x v="3"/>
    <x v="3"/>
    <x v="0"/>
    <x v="2"/>
    <x v="5"/>
    <x v="4"/>
    <x v="9"/>
    <x v="13"/>
    <x v="11"/>
    <x v="9"/>
    <x v="209"/>
    <x v="202"/>
    <x v="727"/>
    <x v="387"/>
  </r>
  <r>
    <x v="2056"/>
    <x v="548"/>
    <x v="1"/>
    <x v="2"/>
    <x v="8"/>
    <x v="11"/>
    <x v="20"/>
    <x v="3"/>
    <x v="3"/>
    <x v="1"/>
    <x v="1"/>
    <x v="3"/>
    <x v="7"/>
    <x v="15"/>
    <x v="23"/>
    <x v="20"/>
    <x v="13"/>
    <x v="521"/>
    <x v="481"/>
    <x v="492"/>
    <x v="1010"/>
  </r>
  <r>
    <x v="2057"/>
    <x v="555"/>
    <x v="1"/>
    <x v="2"/>
    <x v="8"/>
    <x v="11"/>
    <x v="20"/>
    <x v="3"/>
    <x v="3"/>
    <x v="0"/>
    <x v="1"/>
    <x v="3"/>
    <x v="7"/>
    <x v="15"/>
    <x v="16"/>
    <x v="20"/>
    <x v="13"/>
    <x v="405"/>
    <x v="386"/>
    <x v="997"/>
    <x v="723"/>
  </r>
  <r>
    <x v="2058"/>
    <x v="562"/>
    <x v="1"/>
    <x v="2"/>
    <x v="8"/>
    <x v="11"/>
    <x v="20"/>
    <x v="3"/>
    <x v="3"/>
    <x v="1"/>
    <x v="1"/>
    <x v="3"/>
    <x v="6"/>
    <x v="13"/>
    <x v="22"/>
    <x v="5"/>
    <x v="3"/>
    <x v="107"/>
    <x v="90"/>
    <x v="59"/>
    <x v="284"/>
  </r>
  <r>
    <x v="2059"/>
    <x v="542"/>
    <x v="1"/>
    <x v="2"/>
    <x v="8"/>
    <x v="11"/>
    <x v="20"/>
    <x v="3"/>
    <x v="3"/>
    <x v="0"/>
    <x v="1"/>
    <x v="3"/>
    <x v="6"/>
    <x v="13"/>
    <x v="11"/>
    <x v="5"/>
    <x v="3"/>
    <x v="26"/>
    <x v="27"/>
    <x v="258"/>
    <x v="58"/>
  </r>
  <r>
    <x v="2060"/>
    <x v="549"/>
    <x v="1"/>
    <x v="2"/>
    <x v="8"/>
    <x v="11"/>
    <x v="20"/>
    <x v="2"/>
    <x v="2"/>
    <x v="1"/>
    <x v="3"/>
    <x v="7"/>
    <x v="1"/>
    <x v="3"/>
    <x v="4"/>
    <x v="26"/>
    <x v="17"/>
    <x v="742"/>
    <x v="679"/>
    <x v="847"/>
    <x v="1369"/>
  </r>
  <r>
    <x v="2061"/>
    <x v="556"/>
    <x v="1"/>
    <x v="2"/>
    <x v="8"/>
    <x v="11"/>
    <x v="20"/>
    <x v="2"/>
    <x v="2"/>
    <x v="0"/>
    <x v="3"/>
    <x v="7"/>
    <x v="1"/>
    <x v="3"/>
    <x v="2"/>
    <x v="26"/>
    <x v="17"/>
    <x v="641"/>
    <x v="600"/>
    <x v="1176"/>
    <x v="1115"/>
  </r>
  <r>
    <x v="2062"/>
    <x v="563"/>
    <x v="1"/>
    <x v="2"/>
    <x v="8"/>
    <x v="11"/>
    <x v="20"/>
    <x v="2"/>
    <x v="2"/>
    <x v="1"/>
    <x v="3"/>
    <x v="7"/>
    <x v="2"/>
    <x v="5"/>
    <x v="4"/>
    <x v="23"/>
    <x v="15"/>
    <x v="454"/>
    <x v="442"/>
    <x v="398"/>
    <x v="861"/>
  </r>
  <r>
    <x v="2063"/>
    <x v="543"/>
    <x v="1"/>
    <x v="2"/>
    <x v="8"/>
    <x v="11"/>
    <x v="20"/>
    <x v="2"/>
    <x v="2"/>
    <x v="0"/>
    <x v="3"/>
    <x v="7"/>
    <x v="2"/>
    <x v="5"/>
    <x v="2"/>
    <x v="23"/>
    <x v="15"/>
    <x v="326"/>
    <x v="313"/>
    <x v="875"/>
    <x v="516"/>
  </r>
  <r>
    <x v="2064"/>
    <x v="550"/>
    <x v="1"/>
    <x v="2"/>
    <x v="8"/>
    <x v="11"/>
    <x v="20"/>
    <x v="2"/>
    <x v="2"/>
    <x v="1"/>
    <x v="3"/>
    <x v="7"/>
    <x v="5"/>
    <x v="11"/>
    <x v="4"/>
    <x v="29"/>
    <x v="19"/>
    <x v="795"/>
    <x v="726"/>
    <x v="992"/>
    <x v="1415"/>
  </r>
  <r>
    <x v="2065"/>
    <x v="557"/>
    <x v="1"/>
    <x v="2"/>
    <x v="8"/>
    <x v="11"/>
    <x v="20"/>
    <x v="2"/>
    <x v="2"/>
    <x v="0"/>
    <x v="3"/>
    <x v="7"/>
    <x v="5"/>
    <x v="11"/>
    <x v="3"/>
    <x v="29"/>
    <x v="19"/>
    <x v="770"/>
    <x v="709"/>
    <x v="1264"/>
    <x v="1269"/>
  </r>
  <r>
    <x v="2066"/>
    <x v="564"/>
    <x v="1"/>
    <x v="2"/>
    <x v="8"/>
    <x v="11"/>
    <x v="20"/>
    <x v="2"/>
    <x v="2"/>
    <x v="1"/>
    <x v="0"/>
    <x v="1"/>
    <x v="3"/>
    <x v="7"/>
    <x v="25"/>
    <x v="2"/>
    <x v="1"/>
    <x v="87"/>
    <x v="67"/>
    <x v="43"/>
    <x v="262"/>
  </r>
  <r>
    <x v="2067"/>
    <x v="544"/>
    <x v="1"/>
    <x v="2"/>
    <x v="8"/>
    <x v="11"/>
    <x v="20"/>
    <x v="2"/>
    <x v="2"/>
    <x v="0"/>
    <x v="0"/>
    <x v="1"/>
    <x v="3"/>
    <x v="7"/>
    <x v="21"/>
    <x v="2"/>
    <x v="1"/>
    <x v="61"/>
    <x v="50"/>
    <x v="414"/>
    <x v="161"/>
  </r>
  <r>
    <x v="2068"/>
    <x v="551"/>
    <x v="1"/>
    <x v="2"/>
    <x v="8"/>
    <x v="11"/>
    <x v="20"/>
    <x v="2"/>
    <x v="2"/>
    <x v="1"/>
    <x v="0"/>
    <x v="1"/>
    <x v="8"/>
    <x v="17"/>
    <x v="24"/>
    <x v="14"/>
    <x v="8"/>
    <x v="419"/>
    <x v="353"/>
    <x v="361"/>
    <x v="952"/>
  </r>
  <r>
    <x v="2069"/>
    <x v="558"/>
    <x v="1"/>
    <x v="2"/>
    <x v="8"/>
    <x v="11"/>
    <x v="20"/>
    <x v="2"/>
    <x v="2"/>
    <x v="0"/>
    <x v="0"/>
    <x v="1"/>
    <x v="8"/>
    <x v="17"/>
    <x v="19"/>
    <x v="14"/>
    <x v="8"/>
    <x v="353"/>
    <x v="290"/>
    <x v="928"/>
    <x v="764"/>
  </r>
  <r>
    <x v="2070"/>
    <x v="565"/>
    <x v="1"/>
    <x v="2"/>
    <x v="8"/>
    <x v="11"/>
    <x v="20"/>
    <x v="2"/>
    <x v="2"/>
    <x v="1"/>
    <x v="0"/>
    <x v="1"/>
    <x v="9"/>
    <x v="19"/>
    <x v="28"/>
    <x v="8"/>
    <x v="5"/>
    <x v="349"/>
    <x v="306"/>
    <x v="257"/>
    <x v="748"/>
  </r>
  <r>
    <x v="2071"/>
    <x v="545"/>
    <x v="1"/>
    <x v="2"/>
    <x v="8"/>
    <x v="11"/>
    <x v="20"/>
    <x v="2"/>
    <x v="2"/>
    <x v="0"/>
    <x v="0"/>
    <x v="1"/>
    <x v="9"/>
    <x v="19"/>
    <x v="16"/>
    <x v="8"/>
    <x v="5"/>
    <x v="184"/>
    <x v="173"/>
    <x v="689"/>
    <x v="365"/>
  </r>
  <r>
    <x v="2072"/>
    <x v="552"/>
    <x v="1"/>
    <x v="2"/>
    <x v="8"/>
    <x v="11"/>
    <x v="20"/>
    <x v="2"/>
    <x v="2"/>
    <x v="1"/>
    <x v="2"/>
    <x v="5"/>
    <x v="0"/>
    <x v="1"/>
    <x v="13"/>
    <x v="17"/>
    <x v="11"/>
    <x v="325"/>
    <x v="276"/>
    <x v="229"/>
    <x v="721"/>
  </r>
  <r>
    <x v="2073"/>
    <x v="559"/>
    <x v="1"/>
    <x v="2"/>
    <x v="8"/>
    <x v="11"/>
    <x v="20"/>
    <x v="2"/>
    <x v="2"/>
    <x v="0"/>
    <x v="2"/>
    <x v="5"/>
    <x v="0"/>
    <x v="1"/>
    <x v="8"/>
    <x v="17"/>
    <x v="11"/>
    <x v="194"/>
    <x v="172"/>
    <x v="702"/>
    <x v="405"/>
  </r>
  <r>
    <x v="2074"/>
    <x v="566"/>
    <x v="1"/>
    <x v="2"/>
    <x v="8"/>
    <x v="11"/>
    <x v="20"/>
    <x v="2"/>
    <x v="2"/>
    <x v="1"/>
    <x v="2"/>
    <x v="5"/>
    <x v="4"/>
    <x v="9"/>
    <x v="11"/>
    <x v="11"/>
    <x v="9"/>
    <x v="171"/>
    <x v="169"/>
    <x v="110"/>
    <x v="364"/>
  </r>
  <r>
    <x v="2075"/>
    <x v="546"/>
    <x v="1"/>
    <x v="2"/>
    <x v="8"/>
    <x v="11"/>
    <x v="20"/>
    <x v="2"/>
    <x v="2"/>
    <x v="0"/>
    <x v="2"/>
    <x v="5"/>
    <x v="4"/>
    <x v="9"/>
    <x v="8"/>
    <x v="11"/>
    <x v="9"/>
    <x v="109"/>
    <x v="111"/>
    <x v="553"/>
    <x v="185"/>
  </r>
  <r>
    <x v="2076"/>
    <x v="553"/>
    <x v="1"/>
    <x v="2"/>
    <x v="8"/>
    <x v="11"/>
    <x v="20"/>
    <x v="2"/>
    <x v="2"/>
    <x v="1"/>
    <x v="1"/>
    <x v="3"/>
    <x v="7"/>
    <x v="15"/>
    <x v="14"/>
    <x v="20"/>
    <x v="13"/>
    <x v="365"/>
    <x v="348"/>
    <x v="288"/>
    <x v="724"/>
  </r>
  <r>
    <x v="2077"/>
    <x v="560"/>
    <x v="1"/>
    <x v="2"/>
    <x v="8"/>
    <x v="11"/>
    <x v="20"/>
    <x v="2"/>
    <x v="2"/>
    <x v="0"/>
    <x v="1"/>
    <x v="3"/>
    <x v="7"/>
    <x v="15"/>
    <x v="10"/>
    <x v="20"/>
    <x v="13"/>
    <x v="271"/>
    <x v="267"/>
    <x v="821"/>
    <x v="468"/>
  </r>
  <r>
    <x v="2078"/>
    <x v="540"/>
    <x v="1"/>
    <x v="2"/>
    <x v="8"/>
    <x v="11"/>
    <x v="20"/>
    <x v="2"/>
    <x v="2"/>
    <x v="1"/>
    <x v="1"/>
    <x v="3"/>
    <x v="6"/>
    <x v="13"/>
    <x v="15"/>
    <x v="5"/>
    <x v="3"/>
    <x v="52"/>
    <x v="48"/>
    <x v="20"/>
    <x v="137"/>
  </r>
  <r>
    <x v="2079"/>
    <x v="547"/>
    <x v="1"/>
    <x v="2"/>
    <x v="8"/>
    <x v="11"/>
    <x v="20"/>
    <x v="2"/>
    <x v="2"/>
    <x v="0"/>
    <x v="1"/>
    <x v="3"/>
    <x v="6"/>
    <x v="13"/>
    <x v="12"/>
    <x v="5"/>
    <x v="3"/>
    <x v="32"/>
    <x v="34"/>
    <x v="293"/>
    <x v="67"/>
  </r>
  <r>
    <x v="2080"/>
    <x v="554"/>
    <x v="1"/>
    <x v="2"/>
    <x v="8"/>
    <x v="11"/>
    <x v="20"/>
    <x v="4"/>
    <x v="4"/>
    <x v="1"/>
    <x v="3"/>
    <x v="7"/>
    <x v="1"/>
    <x v="3"/>
    <x v="3"/>
    <x v="26"/>
    <x v="17"/>
    <x v="701"/>
    <x v="653"/>
    <x v="767"/>
    <x v="1285"/>
  </r>
  <r>
    <x v="2081"/>
    <x v="561"/>
    <x v="1"/>
    <x v="2"/>
    <x v="8"/>
    <x v="11"/>
    <x v="20"/>
    <x v="4"/>
    <x v="4"/>
    <x v="0"/>
    <x v="3"/>
    <x v="7"/>
    <x v="1"/>
    <x v="3"/>
    <x v="2"/>
    <x v="26"/>
    <x v="17"/>
    <x v="641"/>
    <x v="600"/>
    <x v="1176"/>
    <x v="1115"/>
  </r>
  <r>
    <x v="2082"/>
    <x v="541"/>
    <x v="1"/>
    <x v="2"/>
    <x v="8"/>
    <x v="11"/>
    <x v="20"/>
    <x v="4"/>
    <x v="4"/>
    <x v="1"/>
    <x v="3"/>
    <x v="7"/>
    <x v="2"/>
    <x v="5"/>
    <x v="4"/>
    <x v="23"/>
    <x v="15"/>
    <x v="454"/>
    <x v="442"/>
    <x v="398"/>
    <x v="861"/>
  </r>
  <r>
    <x v="2083"/>
    <x v="548"/>
    <x v="1"/>
    <x v="2"/>
    <x v="8"/>
    <x v="11"/>
    <x v="20"/>
    <x v="4"/>
    <x v="4"/>
    <x v="0"/>
    <x v="3"/>
    <x v="7"/>
    <x v="2"/>
    <x v="5"/>
    <x v="2"/>
    <x v="23"/>
    <x v="15"/>
    <x v="326"/>
    <x v="313"/>
    <x v="875"/>
    <x v="516"/>
  </r>
  <r>
    <x v="2084"/>
    <x v="555"/>
    <x v="1"/>
    <x v="2"/>
    <x v="8"/>
    <x v="11"/>
    <x v="20"/>
    <x v="4"/>
    <x v="4"/>
    <x v="1"/>
    <x v="3"/>
    <x v="7"/>
    <x v="5"/>
    <x v="11"/>
    <x v="5"/>
    <x v="29"/>
    <x v="19"/>
    <x v="810"/>
    <x v="732"/>
    <x v="1040"/>
    <x v="1464"/>
  </r>
  <r>
    <x v="2085"/>
    <x v="562"/>
    <x v="1"/>
    <x v="2"/>
    <x v="8"/>
    <x v="11"/>
    <x v="20"/>
    <x v="4"/>
    <x v="4"/>
    <x v="0"/>
    <x v="3"/>
    <x v="7"/>
    <x v="5"/>
    <x v="11"/>
    <x v="2"/>
    <x v="29"/>
    <x v="19"/>
    <x v="726"/>
    <x v="681"/>
    <x v="1233"/>
    <x v="1172"/>
  </r>
  <r>
    <x v="2086"/>
    <x v="542"/>
    <x v="1"/>
    <x v="2"/>
    <x v="8"/>
    <x v="11"/>
    <x v="20"/>
    <x v="4"/>
    <x v="4"/>
    <x v="1"/>
    <x v="0"/>
    <x v="1"/>
    <x v="3"/>
    <x v="7"/>
    <x v="31"/>
    <x v="2"/>
    <x v="1"/>
    <x v="124"/>
    <x v="97"/>
    <x v="72"/>
    <x v="375"/>
  </r>
  <r>
    <x v="2087"/>
    <x v="549"/>
    <x v="1"/>
    <x v="2"/>
    <x v="8"/>
    <x v="11"/>
    <x v="20"/>
    <x v="4"/>
    <x v="4"/>
    <x v="0"/>
    <x v="0"/>
    <x v="1"/>
    <x v="3"/>
    <x v="7"/>
    <x v="16"/>
    <x v="2"/>
    <x v="1"/>
    <x v="36"/>
    <x v="30"/>
    <x v="306"/>
    <x v="88"/>
  </r>
  <r>
    <x v="2088"/>
    <x v="556"/>
    <x v="1"/>
    <x v="2"/>
    <x v="8"/>
    <x v="11"/>
    <x v="20"/>
    <x v="4"/>
    <x v="4"/>
    <x v="1"/>
    <x v="0"/>
    <x v="1"/>
    <x v="8"/>
    <x v="17"/>
    <x v="24"/>
    <x v="14"/>
    <x v="8"/>
    <x v="419"/>
    <x v="353"/>
    <x v="361"/>
    <x v="952"/>
  </r>
  <r>
    <x v="2089"/>
    <x v="563"/>
    <x v="1"/>
    <x v="2"/>
    <x v="8"/>
    <x v="11"/>
    <x v="20"/>
    <x v="4"/>
    <x v="4"/>
    <x v="0"/>
    <x v="0"/>
    <x v="1"/>
    <x v="8"/>
    <x v="17"/>
    <x v="19"/>
    <x v="14"/>
    <x v="8"/>
    <x v="353"/>
    <x v="290"/>
    <x v="928"/>
    <x v="764"/>
  </r>
  <r>
    <x v="2090"/>
    <x v="543"/>
    <x v="1"/>
    <x v="2"/>
    <x v="8"/>
    <x v="11"/>
    <x v="20"/>
    <x v="4"/>
    <x v="4"/>
    <x v="1"/>
    <x v="0"/>
    <x v="1"/>
    <x v="9"/>
    <x v="19"/>
    <x v="30"/>
    <x v="8"/>
    <x v="5"/>
    <x v="366"/>
    <x v="326"/>
    <x v="288"/>
    <x v="794"/>
  </r>
  <r>
    <x v="2091"/>
    <x v="550"/>
    <x v="1"/>
    <x v="2"/>
    <x v="8"/>
    <x v="11"/>
    <x v="20"/>
    <x v="4"/>
    <x v="4"/>
    <x v="0"/>
    <x v="0"/>
    <x v="1"/>
    <x v="9"/>
    <x v="19"/>
    <x v="17"/>
    <x v="8"/>
    <x v="5"/>
    <x v="201"/>
    <x v="187"/>
    <x v="712"/>
    <x v="396"/>
  </r>
  <r>
    <x v="2092"/>
    <x v="557"/>
    <x v="1"/>
    <x v="2"/>
    <x v="8"/>
    <x v="11"/>
    <x v="20"/>
    <x v="4"/>
    <x v="4"/>
    <x v="1"/>
    <x v="2"/>
    <x v="5"/>
    <x v="0"/>
    <x v="1"/>
    <x v="13"/>
    <x v="17"/>
    <x v="11"/>
    <x v="325"/>
    <x v="276"/>
    <x v="229"/>
    <x v="721"/>
  </r>
  <r>
    <x v="2093"/>
    <x v="564"/>
    <x v="1"/>
    <x v="2"/>
    <x v="8"/>
    <x v="11"/>
    <x v="20"/>
    <x v="4"/>
    <x v="4"/>
    <x v="0"/>
    <x v="2"/>
    <x v="5"/>
    <x v="0"/>
    <x v="1"/>
    <x v="6"/>
    <x v="17"/>
    <x v="11"/>
    <x v="137"/>
    <x v="121"/>
    <x v="611"/>
    <x v="281"/>
  </r>
  <r>
    <x v="2094"/>
    <x v="544"/>
    <x v="1"/>
    <x v="2"/>
    <x v="8"/>
    <x v="11"/>
    <x v="20"/>
    <x v="4"/>
    <x v="4"/>
    <x v="1"/>
    <x v="2"/>
    <x v="5"/>
    <x v="4"/>
    <x v="9"/>
    <x v="10"/>
    <x v="11"/>
    <x v="9"/>
    <x v="151"/>
    <x v="151"/>
    <x v="94"/>
    <x v="319"/>
  </r>
  <r>
    <x v="2095"/>
    <x v="551"/>
    <x v="1"/>
    <x v="2"/>
    <x v="8"/>
    <x v="11"/>
    <x v="20"/>
    <x v="4"/>
    <x v="4"/>
    <x v="0"/>
    <x v="2"/>
    <x v="5"/>
    <x v="4"/>
    <x v="9"/>
    <x v="8"/>
    <x v="11"/>
    <x v="9"/>
    <x v="109"/>
    <x v="111"/>
    <x v="553"/>
    <x v="185"/>
  </r>
  <r>
    <x v="2096"/>
    <x v="558"/>
    <x v="1"/>
    <x v="2"/>
    <x v="8"/>
    <x v="11"/>
    <x v="20"/>
    <x v="4"/>
    <x v="4"/>
    <x v="1"/>
    <x v="1"/>
    <x v="3"/>
    <x v="7"/>
    <x v="15"/>
    <x v="16"/>
    <x v="20"/>
    <x v="13"/>
    <x v="405"/>
    <x v="386"/>
    <x v="333"/>
    <x v="805"/>
  </r>
  <r>
    <x v="2097"/>
    <x v="565"/>
    <x v="1"/>
    <x v="2"/>
    <x v="8"/>
    <x v="11"/>
    <x v="20"/>
    <x v="4"/>
    <x v="4"/>
    <x v="0"/>
    <x v="1"/>
    <x v="3"/>
    <x v="7"/>
    <x v="15"/>
    <x v="9"/>
    <x v="20"/>
    <x v="13"/>
    <x v="246"/>
    <x v="243"/>
    <x v="781"/>
    <x v="421"/>
  </r>
  <r>
    <x v="2098"/>
    <x v="545"/>
    <x v="1"/>
    <x v="2"/>
    <x v="8"/>
    <x v="11"/>
    <x v="20"/>
    <x v="4"/>
    <x v="4"/>
    <x v="1"/>
    <x v="1"/>
    <x v="3"/>
    <x v="6"/>
    <x v="13"/>
    <x v="13"/>
    <x v="5"/>
    <x v="3"/>
    <x v="40"/>
    <x v="38"/>
    <x v="7"/>
    <x v="107"/>
  </r>
  <r>
    <x v="2099"/>
    <x v="552"/>
    <x v="1"/>
    <x v="2"/>
    <x v="8"/>
    <x v="11"/>
    <x v="20"/>
    <x v="4"/>
    <x v="4"/>
    <x v="0"/>
    <x v="1"/>
    <x v="3"/>
    <x v="6"/>
    <x v="13"/>
    <x v="12"/>
    <x v="5"/>
    <x v="3"/>
    <x v="32"/>
    <x v="34"/>
    <x v="293"/>
    <x v="67"/>
  </r>
  <r>
    <x v="2100"/>
    <x v="586"/>
    <x v="1"/>
    <x v="3"/>
    <x v="9"/>
    <x v="10"/>
    <x v="21"/>
    <x v="0"/>
    <x v="0"/>
    <x v="1"/>
    <x v="3"/>
    <x v="7"/>
    <x v="1"/>
    <x v="3"/>
    <x v="16"/>
    <x v="26"/>
    <x v="17"/>
    <x v="853"/>
    <x v="758"/>
    <x v="1185"/>
    <x v="1590"/>
  </r>
  <r>
    <x v="2101"/>
    <x v="593"/>
    <x v="1"/>
    <x v="3"/>
    <x v="9"/>
    <x v="10"/>
    <x v="21"/>
    <x v="0"/>
    <x v="0"/>
    <x v="0"/>
    <x v="3"/>
    <x v="7"/>
    <x v="1"/>
    <x v="3"/>
    <x v="10"/>
    <x v="26"/>
    <x v="17"/>
    <x v="828"/>
    <x v="740"/>
    <x v="1310"/>
    <x v="1531"/>
  </r>
  <r>
    <x v="2102"/>
    <x v="573"/>
    <x v="1"/>
    <x v="3"/>
    <x v="9"/>
    <x v="10"/>
    <x v="21"/>
    <x v="0"/>
    <x v="0"/>
    <x v="1"/>
    <x v="3"/>
    <x v="7"/>
    <x v="2"/>
    <x v="5"/>
    <x v="19"/>
    <x v="23"/>
    <x v="15"/>
    <x v="790"/>
    <x v="710"/>
    <x v="971"/>
    <x v="1476"/>
  </r>
  <r>
    <x v="2103"/>
    <x v="580"/>
    <x v="1"/>
    <x v="3"/>
    <x v="9"/>
    <x v="10"/>
    <x v="21"/>
    <x v="0"/>
    <x v="0"/>
    <x v="0"/>
    <x v="3"/>
    <x v="7"/>
    <x v="2"/>
    <x v="5"/>
    <x v="12"/>
    <x v="23"/>
    <x v="15"/>
    <x v="716"/>
    <x v="656"/>
    <x v="1213"/>
    <x v="1275"/>
  </r>
  <r>
    <x v="2104"/>
    <x v="587"/>
    <x v="1"/>
    <x v="3"/>
    <x v="9"/>
    <x v="10"/>
    <x v="21"/>
    <x v="0"/>
    <x v="0"/>
    <x v="1"/>
    <x v="3"/>
    <x v="7"/>
    <x v="5"/>
    <x v="11"/>
    <x v="23"/>
    <x v="29"/>
    <x v="19"/>
    <x v="887"/>
    <x v="792"/>
    <x v="1285"/>
    <x v="1619"/>
  </r>
  <r>
    <x v="2105"/>
    <x v="567"/>
    <x v="1"/>
    <x v="3"/>
    <x v="9"/>
    <x v="10"/>
    <x v="21"/>
    <x v="0"/>
    <x v="0"/>
    <x v="0"/>
    <x v="3"/>
    <x v="7"/>
    <x v="5"/>
    <x v="11"/>
    <x v="13"/>
    <x v="29"/>
    <x v="19"/>
    <x v="864"/>
    <x v="771"/>
    <x v="1329"/>
    <x v="1574"/>
  </r>
  <r>
    <x v="2106"/>
    <x v="574"/>
    <x v="1"/>
    <x v="3"/>
    <x v="9"/>
    <x v="10"/>
    <x v="21"/>
    <x v="0"/>
    <x v="0"/>
    <x v="1"/>
    <x v="0"/>
    <x v="1"/>
    <x v="3"/>
    <x v="7"/>
    <x v="90"/>
    <x v="2"/>
    <x v="1"/>
    <x v="442"/>
    <x v="359"/>
    <x v="387"/>
    <x v="1035"/>
  </r>
  <r>
    <x v="2107"/>
    <x v="581"/>
    <x v="1"/>
    <x v="3"/>
    <x v="9"/>
    <x v="10"/>
    <x v="21"/>
    <x v="0"/>
    <x v="0"/>
    <x v="0"/>
    <x v="0"/>
    <x v="1"/>
    <x v="3"/>
    <x v="7"/>
    <x v="62"/>
    <x v="2"/>
    <x v="1"/>
    <x v="324"/>
    <x v="251"/>
    <x v="846"/>
    <x v="734"/>
  </r>
  <r>
    <x v="2108"/>
    <x v="588"/>
    <x v="1"/>
    <x v="3"/>
    <x v="9"/>
    <x v="10"/>
    <x v="21"/>
    <x v="0"/>
    <x v="0"/>
    <x v="1"/>
    <x v="0"/>
    <x v="1"/>
    <x v="8"/>
    <x v="17"/>
    <x v="86"/>
    <x v="14"/>
    <x v="8"/>
    <x v="775"/>
    <x v="670"/>
    <x v="924"/>
    <x v="1511"/>
  </r>
  <r>
    <x v="2109"/>
    <x v="568"/>
    <x v="1"/>
    <x v="3"/>
    <x v="9"/>
    <x v="10"/>
    <x v="21"/>
    <x v="0"/>
    <x v="0"/>
    <x v="0"/>
    <x v="0"/>
    <x v="1"/>
    <x v="8"/>
    <x v="17"/>
    <x v="73"/>
    <x v="14"/>
    <x v="8"/>
    <x v="747"/>
    <x v="651"/>
    <x v="1238"/>
    <x v="1444"/>
  </r>
  <r>
    <x v="2110"/>
    <x v="575"/>
    <x v="1"/>
    <x v="3"/>
    <x v="9"/>
    <x v="10"/>
    <x v="21"/>
    <x v="0"/>
    <x v="0"/>
    <x v="1"/>
    <x v="0"/>
    <x v="1"/>
    <x v="9"/>
    <x v="19"/>
    <x v="91"/>
    <x v="8"/>
    <x v="5"/>
    <x v="711"/>
    <x v="629"/>
    <x v="785"/>
    <x v="1386"/>
  </r>
  <r>
    <x v="2111"/>
    <x v="582"/>
    <x v="1"/>
    <x v="3"/>
    <x v="9"/>
    <x v="10"/>
    <x v="21"/>
    <x v="0"/>
    <x v="0"/>
    <x v="0"/>
    <x v="0"/>
    <x v="1"/>
    <x v="9"/>
    <x v="19"/>
    <x v="73"/>
    <x v="8"/>
    <x v="5"/>
    <x v="651"/>
    <x v="578"/>
    <x v="1171"/>
    <x v="1252"/>
  </r>
  <r>
    <x v="2112"/>
    <x v="589"/>
    <x v="1"/>
    <x v="3"/>
    <x v="9"/>
    <x v="10"/>
    <x v="21"/>
    <x v="0"/>
    <x v="0"/>
    <x v="1"/>
    <x v="2"/>
    <x v="5"/>
    <x v="0"/>
    <x v="1"/>
    <x v="37"/>
    <x v="17"/>
    <x v="11"/>
    <x v="632"/>
    <x v="560"/>
    <x v="660"/>
    <x v="1277"/>
  </r>
  <r>
    <x v="2113"/>
    <x v="569"/>
    <x v="1"/>
    <x v="3"/>
    <x v="9"/>
    <x v="10"/>
    <x v="21"/>
    <x v="0"/>
    <x v="0"/>
    <x v="0"/>
    <x v="2"/>
    <x v="5"/>
    <x v="0"/>
    <x v="1"/>
    <x v="25"/>
    <x v="17"/>
    <x v="11"/>
    <x v="519"/>
    <x v="453"/>
    <x v="1069"/>
    <x v="1043"/>
  </r>
  <r>
    <x v="2114"/>
    <x v="576"/>
    <x v="1"/>
    <x v="3"/>
    <x v="9"/>
    <x v="10"/>
    <x v="21"/>
    <x v="0"/>
    <x v="0"/>
    <x v="1"/>
    <x v="2"/>
    <x v="5"/>
    <x v="4"/>
    <x v="9"/>
    <x v="36"/>
    <x v="11"/>
    <x v="9"/>
    <x v="518"/>
    <x v="473"/>
    <x v="488"/>
    <x v="1048"/>
  </r>
  <r>
    <x v="2115"/>
    <x v="583"/>
    <x v="1"/>
    <x v="3"/>
    <x v="9"/>
    <x v="10"/>
    <x v="21"/>
    <x v="0"/>
    <x v="0"/>
    <x v="0"/>
    <x v="2"/>
    <x v="5"/>
    <x v="4"/>
    <x v="9"/>
    <x v="29"/>
    <x v="11"/>
    <x v="9"/>
    <x v="444"/>
    <x v="414"/>
    <x v="1012"/>
    <x v="848"/>
  </r>
  <r>
    <x v="2116"/>
    <x v="590"/>
    <x v="1"/>
    <x v="3"/>
    <x v="9"/>
    <x v="10"/>
    <x v="21"/>
    <x v="0"/>
    <x v="0"/>
    <x v="1"/>
    <x v="1"/>
    <x v="3"/>
    <x v="7"/>
    <x v="15"/>
    <x v="45"/>
    <x v="20"/>
    <x v="13"/>
    <x v="708"/>
    <x v="643"/>
    <x v="777"/>
    <x v="1335"/>
  </r>
  <r>
    <x v="2117"/>
    <x v="570"/>
    <x v="1"/>
    <x v="3"/>
    <x v="9"/>
    <x v="10"/>
    <x v="21"/>
    <x v="0"/>
    <x v="0"/>
    <x v="0"/>
    <x v="1"/>
    <x v="3"/>
    <x v="7"/>
    <x v="15"/>
    <x v="37"/>
    <x v="20"/>
    <x v="13"/>
    <x v="654"/>
    <x v="598"/>
    <x v="1173"/>
    <x v="1216"/>
  </r>
  <r>
    <x v="2118"/>
    <x v="577"/>
    <x v="1"/>
    <x v="3"/>
    <x v="9"/>
    <x v="10"/>
    <x v="21"/>
    <x v="0"/>
    <x v="0"/>
    <x v="1"/>
    <x v="1"/>
    <x v="3"/>
    <x v="6"/>
    <x v="13"/>
    <x v="49"/>
    <x v="5"/>
    <x v="3"/>
    <x v="322"/>
    <x v="265"/>
    <x v="226"/>
    <x v="740"/>
  </r>
  <r>
    <x v="2119"/>
    <x v="584"/>
    <x v="1"/>
    <x v="3"/>
    <x v="9"/>
    <x v="10"/>
    <x v="21"/>
    <x v="0"/>
    <x v="0"/>
    <x v="0"/>
    <x v="1"/>
    <x v="3"/>
    <x v="6"/>
    <x v="13"/>
    <x v="39"/>
    <x v="5"/>
    <x v="3"/>
    <x v="249"/>
    <x v="205"/>
    <x v="748"/>
    <x v="545"/>
  </r>
  <r>
    <x v="2120"/>
    <x v="591"/>
    <x v="1"/>
    <x v="3"/>
    <x v="9"/>
    <x v="10"/>
    <x v="21"/>
    <x v="1"/>
    <x v="1"/>
    <x v="1"/>
    <x v="3"/>
    <x v="7"/>
    <x v="1"/>
    <x v="3"/>
    <x v="10"/>
    <x v="26"/>
    <x v="17"/>
    <x v="828"/>
    <x v="740"/>
    <x v="1095"/>
    <x v="1554"/>
  </r>
  <r>
    <x v="2121"/>
    <x v="571"/>
    <x v="1"/>
    <x v="3"/>
    <x v="9"/>
    <x v="10"/>
    <x v="21"/>
    <x v="1"/>
    <x v="1"/>
    <x v="0"/>
    <x v="3"/>
    <x v="7"/>
    <x v="1"/>
    <x v="3"/>
    <x v="6"/>
    <x v="26"/>
    <x v="17"/>
    <x v="792"/>
    <x v="715"/>
    <x v="1277"/>
    <x v="1437"/>
  </r>
  <r>
    <x v="2122"/>
    <x v="578"/>
    <x v="1"/>
    <x v="3"/>
    <x v="9"/>
    <x v="10"/>
    <x v="21"/>
    <x v="1"/>
    <x v="1"/>
    <x v="1"/>
    <x v="3"/>
    <x v="7"/>
    <x v="2"/>
    <x v="5"/>
    <x v="9"/>
    <x v="23"/>
    <x v="15"/>
    <x v="649"/>
    <x v="603"/>
    <x v="683"/>
    <x v="1225"/>
  </r>
  <r>
    <x v="2123"/>
    <x v="585"/>
    <x v="1"/>
    <x v="3"/>
    <x v="9"/>
    <x v="10"/>
    <x v="21"/>
    <x v="1"/>
    <x v="1"/>
    <x v="0"/>
    <x v="3"/>
    <x v="7"/>
    <x v="2"/>
    <x v="5"/>
    <x v="7"/>
    <x v="23"/>
    <x v="15"/>
    <x v="590"/>
    <x v="556"/>
    <x v="1126"/>
    <x v="1054"/>
  </r>
  <r>
    <x v="2124"/>
    <x v="592"/>
    <x v="1"/>
    <x v="3"/>
    <x v="9"/>
    <x v="10"/>
    <x v="21"/>
    <x v="1"/>
    <x v="1"/>
    <x v="1"/>
    <x v="3"/>
    <x v="7"/>
    <x v="5"/>
    <x v="11"/>
    <x v="9"/>
    <x v="29"/>
    <x v="19"/>
    <x v="844"/>
    <x v="754"/>
    <x v="1155"/>
    <x v="1559"/>
  </r>
  <r>
    <x v="2125"/>
    <x v="572"/>
    <x v="1"/>
    <x v="3"/>
    <x v="9"/>
    <x v="10"/>
    <x v="21"/>
    <x v="1"/>
    <x v="1"/>
    <x v="0"/>
    <x v="3"/>
    <x v="7"/>
    <x v="5"/>
    <x v="11"/>
    <x v="5"/>
    <x v="29"/>
    <x v="19"/>
    <x v="810"/>
    <x v="732"/>
    <x v="1297"/>
    <x v="1419"/>
  </r>
  <r>
    <x v="2126"/>
    <x v="579"/>
    <x v="1"/>
    <x v="3"/>
    <x v="9"/>
    <x v="10"/>
    <x v="21"/>
    <x v="1"/>
    <x v="1"/>
    <x v="1"/>
    <x v="0"/>
    <x v="1"/>
    <x v="3"/>
    <x v="7"/>
    <x v="53"/>
    <x v="2"/>
    <x v="1"/>
    <x v="265"/>
    <x v="207"/>
    <x v="190"/>
    <x v="693"/>
  </r>
  <r>
    <x v="2127"/>
    <x v="586"/>
    <x v="1"/>
    <x v="3"/>
    <x v="9"/>
    <x v="10"/>
    <x v="21"/>
    <x v="1"/>
    <x v="1"/>
    <x v="0"/>
    <x v="0"/>
    <x v="1"/>
    <x v="3"/>
    <x v="7"/>
    <x v="31"/>
    <x v="2"/>
    <x v="1"/>
    <x v="124"/>
    <x v="97"/>
    <x v="559"/>
    <x v="322"/>
  </r>
  <r>
    <x v="2128"/>
    <x v="593"/>
    <x v="1"/>
    <x v="3"/>
    <x v="9"/>
    <x v="10"/>
    <x v="21"/>
    <x v="1"/>
    <x v="1"/>
    <x v="1"/>
    <x v="0"/>
    <x v="1"/>
    <x v="8"/>
    <x v="17"/>
    <x v="59"/>
    <x v="14"/>
    <x v="8"/>
    <x v="696"/>
    <x v="595"/>
    <x v="754"/>
    <x v="1394"/>
  </r>
  <r>
    <x v="2129"/>
    <x v="573"/>
    <x v="1"/>
    <x v="3"/>
    <x v="9"/>
    <x v="10"/>
    <x v="21"/>
    <x v="1"/>
    <x v="1"/>
    <x v="0"/>
    <x v="0"/>
    <x v="1"/>
    <x v="8"/>
    <x v="17"/>
    <x v="38"/>
    <x v="14"/>
    <x v="8"/>
    <x v="574"/>
    <x v="487"/>
    <x v="1110"/>
    <x v="1174"/>
  </r>
  <r>
    <x v="2130"/>
    <x v="580"/>
    <x v="1"/>
    <x v="3"/>
    <x v="9"/>
    <x v="10"/>
    <x v="21"/>
    <x v="1"/>
    <x v="1"/>
    <x v="1"/>
    <x v="0"/>
    <x v="1"/>
    <x v="9"/>
    <x v="19"/>
    <x v="55"/>
    <x v="8"/>
    <x v="5"/>
    <x v="565"/>
    <x v="501"/>
    <x v="560"/>
    <x v="1159"/>
  </r>
  <r>
    <x v="2131"/>
    <x v="587"/>
    <x v="1"/>
    <x v="3"/>
    <x v="9"/>
    <x v="10"/>
    <x v="21"/>
    <x v="1"/>
    <x v="1"/>
    <x v="0"/>
    <x v="0"/>
    <x v="1"/>
    <x v="9"/>
    <x v="19"/>
    <x v="37"/>
    <x v="8"/>
    <x v="5"/>
    <x v="428"/>
    <x v="389"/>
    <x v="1000"/>
    <x v="859"/>
  </r>
  <r>
    <x v="2132"/>
    <x v="567"/>
    <x v="1"/>
    <x v="3"/>
    <x v="9"/>
    <x v="10"/>
    <x v="21"/>
    <x v="1"/>
    <x v="1"/>
    <x v="1"/>
    <x v="2"/>
    <x v="5"/>
    <x v="0"/>
    <x v="1"/>
    <x v="26"/>
    <x v="17"/>
    <x v="11"/>
    <x v="534"/>
    <x v="467"/>
    <x v="510"/>
    <x v="1125"/>
  </r>
  <r>
    <x v="2133"/>
    <x v="574"/>
    <x v="1"/>
    <x v="3"/>
    <x v="9"/>
    <x v="10"/>
    <x v="21"/>
    <x v="1"/>
    <x v="1"/>
    <x v="0"/>
    <x v="2"/>
    <x v="5"/>
    <x v="0"/>
    <x v="1"/>
    <x v="18"/>
    <x v="17"/>
    <x v="11"/>
    <x v="411"/>
    <x v="360"/>
    <x v="979"/>
    <x v="847"/>
  </r>
  <r>
    <x v="2134"/>
    <x v="581"/>
    <x v="1"/>
    <x v="3"/>
    <x v="9"/>
    <x v="10"/>
    <x v="21"/>
    <x v="1"/>
    <x v="1"/>
    <x v="1"/>
    <x v="2"/>
    <x v="5"/>
    <x v="4"/>
    <x v="9"/>
    <x v="24"/>
    <x v="11"/>
    <x v="9"/>
    <x v="386"/>
    <x v="354"/>
    <x v="309"/>
    <x v="800"/>
  </r>
  <r>
    <x v="2135"/>
    <x v="588"/>
    <x v="1"/>
    <x v="3"/>
    <x v="9"/>
    <x v="10"/>
    <x v="21"/>
    <x v="1"/>
    <x v="1"/>
    <x v="0"/>
    <x v="2"/>
    <x v="5"/>
    <x v="4"/>
    <x v="9"/>
    <x v="16"/>
    <x v="11"/>
    <x v="9"/>
    <x v="264"/>
    <x v="254"/>
    <x v="778"/>
    <x v="490"/>
  </r>
  <r>
    <x v="2136"/>
    <x v="568"/>
    <x v="1"/>
    <x v="3"/>
    <x v="9"/>
    <x v="10"/>
    <x v="21"/>
    <x v="1"/>
    <x v="1"/>
    <x v="1"/>
    <x v="1"/>
    <x v="3"/>
    <x v="7"/>
    <x v="15"/>
    <x v="26"/>
    <x v="20"/>
    <x v="13"/>
    <x v="559"/>
    <x v="515"/>
    <x v="550"/>
    <x v="1082"/>
  </r>
  <r>
    <x v="2137"/>
    <x v="575"/>
    <x v="1"/>
    <x v="3"/>
    <x v="9"/>
    <x v="10"/>
    <x v="21"/>
    <x v="1"/>
    <x v="1"/>
    <x v="0"/>
    <x v="1"/>
    <x v="3"/>
    <x v="7"/>
    <x v="15"/>
    <x v="22"/>
    <x v="20"/>
    <x v="13"/>
    <x v="505"/>
    <x v="474"/>
    <x v="1060"/>
    <x v="912"/>
  </r>
  <r>
    <x v="2138"/>
    <x v="582"/>
    <x v="1"/>
    <x v="3"/>
    <x v="9"/>
    <x v="10"/>
    <x v="21"/>
    <x v="1"/>
    <x v="1"/>
    <x v="1"/>
    <x v="1"/>
    <x v="3"/>
    <x v="6"/>
    <x v="13"/>
    <x v="28"/>
    <x v="5"/>
    <x v="3"/>
    <x v="158"/>
    <x v="135"/>
    <x v="97"/>
    <x v="414"/>
  </r>
  <r>
    <x v="2139"/>
    <x v="589"/>
    <x v="1"/>
    <x v="3"/>
    <x v="9"/>
    <x v="10"/>
    <x v="21"/>
    <x v="1"/>
    <x v="1"/>
    <x v="0"/>
    <x v="1"/>
    <x v="3"/>
    <x v="6"/>
    <x v="13"/>
    <x v="17"/>
    <x v="5"/>
    <x v="3"/>
    <x v="66"/>
    <x v="60"/>
    <x v="393"/>
    <x v="149"/>
  </r>
  <r>
    <x v="2140"/>
    <x v="569"/>
    <x v="1"/>
    <x v="3"/>
    <x v="9"/>
    <x v="10"/>
    <x v="21"/>
    <x v="3"/>
    <x v="3"/>
    <x v="1"/>
    <x v="3"/>
    <x v="7"/>
    <x v="1"/>
    <x v="3"/>
    <x v="6"/>
    <x v="26"/>
    <x v="17"/>
    <x v="792"/>
    <x v="715"/>
    <x v="979"/>
    <x v="1469"/>
  </r>
  <r>
    <x v="2141"/>
    <x v="576"/>
    <x v="1"/>
    <x v="3"/>
    <x v="9"/>
    <x v="10"/>
    <x v="21"/>
    <x v="3"/>
    <x v="3"/>
    <x v="0"/>
    <x v="3"/>
    <x v="7"/>
    <x v="1"/>
    <x v="3"/>
    <x v="5"/>
    <x v="26"/>
    <x v="17"/>
    <x v="773"/>
    <x v="702"/>
    <x v="1260"/>
    <x v="1383"/>
  </r>
  <r>
    <x v="2142"/>
    <x v="583"/>
    <x v="1"/>
    <x v="3"/>
    <x v="9"/>
    <x v="10"/>
    <x v="21"/>
    <x v="3"/>
    <x v="3"/>
    <x v="1"/>
    <x v="3"/>
    <x v="7"/>
    <x v="2"/>
    <x v="5"/>
    <x v="6"/>
    <x v="23"/>
    <x v="15"/>
    <x v="555"/>
    <x v="520"/>
    <x v="540"/>
    <x v="1051"/>
  </r>
  <r>
    <x v="2143"/>
    <x v="590"/>
    <x v="1"/>
    <x v="3"/>
    <x v="9"/>
    <x v="10"/>
    <x v="21"/>
    <x v="3"/>
    <x v="3"/>
    <x v="0"/>
    <x v="3"/>
    <x v="7"/>
    <x v="2"/>
    <x v="5"/>
    <x v="4"/>
    <x v="23"/>
    <x v="15"/>
    <x v="454"/>
    <x v="442"/>
    <x v="1019"/>
    <x v="790"/>
  </r>
  <r>
    <x v="2144"/>
    <x v="570"/>
    <x v="1"/>
    <x v="3"/>
    <x v="9"/>
    <x v="10"/>
    <x v="21"/>
    <x v="3"/>
    <x v="3"/>
    <x v="1"/>
    <x v="3"/>
    <x v="7"/>
    <x v="5"/>
    <x v="11"/>
    <x v="6"/>
    <x v="29"/>
    <x v="19"/>
    <x v="821"/>
    <x v="741"/>
    <x v="1074"/>
    <x v="1506"/>
  </r>
  <r>
    <x v="2145"/>
    <x v="577"/>
    <x v="1"/>
    <x v="3"/>
    <x v="9"/>
    <x v="10"/>
    <x v="21"/>
    <x v="3"/>
    <x v="3"/>
    <x v="0"/>
    <x v="3"/>
    <x v="7"/>
    <x v="5"/>
    <x v="11"/>
    <x v="4"/>
    <x v="29"/>
    <x v="19"/>
    <x v="795"/>
    <x v="726"/>
    <x v="1282"/>
    <x v="1361"/>
  </r>
  <r>
    <x v="2146"/>
    <x v="584"/>
    <x v="1"/>
    <x v="3"/>
    <x v="9"/>
    <x v="10"/>
    <x v="21"/>
    <x v="3"/>
    <x v="3"/>
    <x v="1"/>
    <x v="0"/>
    <x v="1"/>
    <x v="3"/>
    <x v="7"/>
    <x v="33"/>
    <x v="2"/>
    <x v="1"/>
    <x v="141"/>
    <x v="110"/>
    <x v="84"/>
    <x v="412"/>
  </r>
  <r>
    <x v="2147"/>
    <x v="591"/>
    <x v="1"/>
    <x v="3"/>
    <x v="9"/>
    <x v="10"/>
    <x v="21"/>
    <x v="3"/>
    <x v="3"/>
    <x v="0"/>
    <x v="0"/>
    <x v="1"/>
    <x v="3"/>
    <x v="7"/>
    <x v="29"/>
    <x v="2"/>
    <x v="1"/>
    <x v="113"/>
    <x v="86"/>
    <x v="526"/>
    <x v="287"/>
  </r>
  <r>
    <x v="2148"/>
    <x v="571"/>
    <x v="1"/>
    <x v="3"/>
    <x v="9"/>
    <x v="10"/>
    <x v="21"/>
    <x v="3"/>
    <x v="3"/>
    <x v="1"/>
    <x v="0"/>
    <x v="1"/>
    <x v="8"/>
    <x v="17"/>
    <x v="42"/>
    <x v="14"/>
    <x v="8"/>
    <x v="603"/>
    <x v="512"/>
    <x v="615"/>
    <x v="1255"/>
  </r>
  <r>
    <x v="2149"/>
    <x v="578"/>
    <x v="1"/>
    <x v="3"/>
    <x v="9"/>
    <x v="10"/>
    <x v="21"/>
    <x v="3"/>
    <x v="3"/>
    <x v="0"/>
    <x v="0"/>
    <x v="1"/>
    <x v="8"/>
    <x v="17"/>
    <x v="24"/>
    <x v="14"/>
    <x v="8"/>
    <x v="419"/>
    <x v="353"/>
    <x v="991"/>
    <x v="906"/>
  </r>
  <r>
    <x v="2150"/>
    <x v="585"/>
    <x v="1"/>
    <x v="3"/>
    <x v="9"/>
    <x v="10"/>
    <x v="21"/>
    <x v="3"/>
    <x v="3"/>
    <x v="1"/>
    <x v="0"/>
    <x v="1"/>
    <x v="9"/>
    <x v="19"/>
    <x v="36"/>
    <x v="8"/>
    <x v="5"/>
    <x v="419"/>
    <x v="382"/>
    <x v="361"/>
    <x v="901"/>
  </r>
  <r>
    <x v="2151"/>
    <x v="592"/>
    <x v="1"/>
    <x v="3"/>
    <x v="9"/>
    <x v="10"/>
    <x v="21"/>
    <x v="3"/>
    <x v="3"/>
    <x v="0"/>
    <x v="0"/>
    <x v="1"/>
    <x v="9"/>
    <x v="19"/>
    <x v="31"/>
    <x v="8"/>
    <x v="5"/>
    <x v="372"/>
    <x v="336"/>
    <x v="926"/>
    <x v="747"/>
  </r>
  <r>
    <x v="2152"/>
    <x v="572"/>
    <x v="1"/>
    <x v="3"/>
    <x v="9"/>
    <x v="10"/>
    <x v="21"/>
    <x v="3"/>
    <x v="3"/>
    <x v="1"/>
    <x v="2"/>
    <x v="5"/>
    <x v="0"/>
    <x v="1"/>
    <x v="17"/>
    <x v="17"/>
    <x v="11"/>
    <x v="397"/>
    <x v="345"/>
    <x v="322"/>
    <x v="873"/>
  </r>
  <r>
    <x v="2153"/>
    <x v="579"/>
    <x v="1"/>
    <x v="3"/>
    <x v="9"/>
    <x v="10"/>
    <x v="21"/>
    <x v="3"/>
    <x v="3"/>
    <x v="0"/>
    <x v="2"/>
    <x v="5"/>
    <x v="0"/>
    <x v="1"/>
    <x v="13"/>
    <x v="17"/>
    <x v="11"/>
    <x v="325"/>
    <x v="276"/>
    <x v="847"/>
    <x v="652"/>
  </r>
  <r>
    <x v="2154"/>
    <x v="586"/>
    <x v="1"/>
    <x v="3"/>
    <x v="9"/>
    <x v="10"/>
    <x v="21"/>
    <x v="3"/>
    <x v="3"/>
    <x v="1"/>
    <x v="2"/>
    <x v="5"/>
    <x v="4"/>
    <x v="9"/>
    <x v="14"/>
    <x v="11"/>
    <x v="9"/>
    <x v="228"/>
    <x v="221"/>
    <x v="153"/>
    <x v="483"/>
  </r>
  <r>
    <x v="2155"/>
    <x v="593"/>
    <x v="1"/>
    <x v="3"/>
    <x v="9"/>
    <x v="10"/>
    <x v="21"/>
    <x v="3"/>
    <x v="3"/>
    <x v="0"/>
    <x v="2"/>
    <x v="5"/>
    <x v="4"/>
    <x v="9"/>
    <x v="12"/>
    <x v="11"/>
    <x v="9"/>
    <x v="191"/>
    <x v="186"/>
    <x v="669"/>
    <x v="342"/>
  </r>
  <r>
    <x v="2156"/>
    <x v="573"/>
    <x v="1"/>
    <x v="3"/>
    <x v="9"/>
    <x v="10"/>
    <x v="21"/>
    <x v="3"/>
    <x v="3"/>
    <x v="1"/>
    <x v="1"/>
    <x v="3"/>
    <x v="7"/>
    <x v="15"/>
    <x v="22"/>
    <x v="20"/>
    <x v="13"/>
    <x v="505"/>
    <x v="474"/>
    <x v="470"/>
    <x v="984"/>
  </r>
  <r>
    <x v="2157"/>
    <x v="580"/>
    <x v="1"/>
    <x v="3"/>
    <x v="9"/>
    <x v="10"/>
    <x v="21"/>
    <x v="3"/>
    <x v="3"/>
    <x v="0"/>
    <x v="1"/>
    <x v="3"/>
    <x v="7"/>
    <x v="15"/>
    <x v="16"/>
    <x v="20"/>
    <x v="13"/>
    <x v="405"/>
    <x v="386"/>
    <x v="966"/>
    <x v="729"/>
  </r>
  <r>
    <x v="2158"/>
    <x v="587"/>
    <x v="1"/>
    <x v="3"/>
    <x v="9"/>
    <x v="10"/>
    <x v="21"/>
    <x v="3"/>
    <x v="3"/>
    <x v="1"/>
    <x v="1"/>
    <x v="3"/>
    <x v="6"/>
    <x v="13"/>
    <x v="23"/>
    <x v="5"/>
    <x v="3"/>
    <x v="115"/>
    <x v="100"/>
    <x v="64"/>
    <x v="300"/>
  </r>
  <r>
    <x v="2159"/>
    <x v="567"/>
    <x v="1"/>
    <x v="3"/>
    <x v="9"/>
    <x v="10"/>
    <x v="21"/>
    <x v="3"/>
    <x v="3"/>
    <x v="0"/>
    <x v="1"/>
    <x v="3"/>
    <x v="6"/>
    <x v="13"/>
    <x v="16"/>
    <x v="5"/>
    <x v="3"/>
    <x v="58"/>
    <x v="53"/>
    <x v="371"/>
    <x v="128"/>
  </r>
  <r>
    <x v="2160"/>
    <x v="574"/>
    <x v="1"/>
    <x v="3"/>
    <x v="9"/>
    <x v="10"/>
    <x v="21"/>
    <x v="2"/>
    <x v="2"/>
    <x v="1"/>
    <x v="3"/>
    <x v="7"/>
    <x v="1"/>
    <x v="3"/>
    <x v="5"/>
    <x v="26"/>
    <x v="17"/>
    <x v="773"/>
    <x v="702"/>
    <x v="917"/>
    <x v="1430"/>
  </r>
  <r>
    <x v="2161"/>
    <x v="581"/>
    <x v="1"/>
    <x v="3"/>
    <x v="9"/>
    <x v="10"/>
    <x v="21"/>
    <x v="2"/>
    <x v="2"/>
    <x v="0"/>
    <x v="3"/>
    <x v="7"/>
    <x v="1"/>
    <x v="3"/>
    <x v="2"/>
    <x v="26"/>
    <x v="17"/>
    <x v="641"/>
    <x v="600"/>
    <x v="1164"/>
    <x v="1128"/>
  </r>
  <r>
    <x v="2162"/>
    <x v="588"/>
    <x v="1"/>
    <x v="3"/>
    <x v="9"/>
    <x v="10"/>
    <x v="21"/>
    <x v="2"/>
    <x v="2"/>
    <x v="1"/>
    <x v="3"/>
    <x v="7"/>
    <x v="2"/>
    <x v="5"/>
    <x v="4"/>
    <x v="23"/>
    <x v="15"/>
    <x v="454"/>
    <x v="442"/>
    <x v="398"/>
    <x v="861"/>
  </r>
  <r>
    <x v="2163"/>
    <x v="568"/>
    <x v="1"/>
    <x v="3"/>
    <x v="9"/>
    <x v="10"/>
    <x v="21"/>
    <x v="2"/>
    <x v="2"/>
    <x v="0"/>
    <x v="3"/>
    <x v="7"/>
    <x v="2"/>
    <x v="5"/>
    <x v="2"/>
    <x v="23"/>
    <x v="15"/>
    <x v="326"/>
    <x v="313"/>
    <x v="847"/>
    <x v="529"/>
  </r>
  <r>
    <x v="2164"/>
    <x v="575"/>
    <x v="1"/>
    <x v="3"/>
    <x v="9"/>
    <x v="10"/>
    <x v="21"/>
    <x v="2"/>
    <x v="2"/>
    <x v="1"/>
    <x v="3"/>
    <x v="7"/>
    <x v="5"/>
    <x v="11"/>
    <x v="4"/>
    <x v="29"/>
    <x v="19"/>
    <x v="795"/>
    <x v="726"/>
    <x v="992"/>
    <x v="1415"/>
  </r>
  <r>
    <x v="2165"/>
    <x v="582"/>
    <x v="1"/>
    <x v="3"/>
    <x v="9"/>
    <x v="10"/>
    <x v="21"/>
    <x v="2"/>
    <x v="2"/>
    <x v="0"/>
    <x v="3"/>
    <x v="7"/>
    <x v="5"/>
    <x v="11"/>
    <x v="3"/>
    <x v="29"/>
    <x v="19"/>
    <x v="770"/>
    <x v="709"/>
    <x v="1258"/>
    <x v="1276"/>
  </r>
  <r>
    <x v="2166"/>
    <x v="589"/>
    <x v="1"/>
    <x v="3"/>
    <x v="9"/>
    <x v="10"/>
    <x v="21"/>
    <x v="2"/>
    <x v="2"/>
    <x v="1"/>
    <x v="0"/>
    <x v="1"/>
    <x v="3"/>
    <x v="7"/>
    <x v="34"/>
    <x v="2"/>
    <x v="1"/>
    <x v="147"/>
    <x v="114"/>
    <x v="89"/>
    <x v="428"/>
  </r>
  <r>
    <x v="2167"/>
    <x v="569"/>
    <x v="1"/>
    <x v="3"/>
    <x v="9"/>
    <x v="10"/>
    <x v="21"/>
    <x v="2"/>
    <x v="2"/>
    <x v="0"/>
    <x v="0"/>
    <x v="1"/>
    <x v="3"/>
    <x v="7"/>
    <x v="16"/>
    <x v="2"/>
    <x v="1"/>
    <x v="36"/>
    <x v="30"/>
    <x v="269"/>
    <x v="91"/>
  </r>
  <r>
    <x v="2168"/>
    <x v="576"/>
    <x v="1"/>
    <x v="3"/>
    <x v="9"/>
    <x v="10"/>
    <x v="21"/>
    <x v="2"/>
    <x v="2"/>
    <x v="1"/>
    <x v="0"/>
    <x v="1"/>
    <x v="8"/>
    <x v="17"/>
    <x v="32"/>
    <x v="14"/>
    <x v="8"/>
    <x v="518"/>
    <x v="439"/>
    <x v="488"/>
    <x v="1140"/>
  </r>
  <r>
    <x v="2169"/>
    <x v="583"/>
    <x v="1"/>
    <x v="3"/>
    <x v="9"/>
    <x v="10"/>
    <x v="21"/>
    <x v="2"/>
    <x v="2"/>
    <x v="0"/>
    <x v="0"/>
    <x v="1"/>
    <x v="8"/>
    <x v="17"/>
    <x v="16"/>
    <x v="14"/>
    <x v="8"/>
    <x v="307"/>
    <x v="252"/>
    <x v="832"/>
    <x v="666"/>
  </r>
  <r>
    <x v="2170"/>
    <x v="590"/>
    <x v="1"/>
    <x v="3"/>
    <x v="9"/>
    <x v="10"/>
    <x v="21"/>
    <x v="2"/>
    <x v="2"/>
    <x v="1"/>
    <x v="0"/>
    <x v="1"/>
    <x v="9"/>
    <x v="19"/>
    <x v="34"/>
    <x v="8"/>
    <x v="5"/>
    <x v="406"/>
    <x v="362"/>
    <x v="333"/>
    <x v="867"/>
  </r>
  <r>
    <x v="2171"/>
    <x v="570"/>
    <x v="1"/>
    <x v="3"/>
    <x v="9"/>
    <x v="10"/>
    <x v="21"/>
    <x v="2"/>
    <x v="2"/>
    <x v="0"/>
    <x v="0"/>
    <x v="1"/>
    <x v="9"/>
    <x v="19"/>
    <x v="20"/>
    <x v="8"/>
    <x v="5"/>
    <x v="247"/>
    <x v="223"/>
    <x v="746"/>
    <x v="486"/>
  </r>
  <r>
    <x v="2172"/>
    <x v="577"/>
    <x v="1"/>
    <x v="3"/>
    <x v="9"/>
    <x v="10"/>
    <x v="21"/>
    <x v="2"/>
    <x v="2"/>
    <x v="1"/>
    <x v="2"/>
    <x v="5"/>
    <x v="0"/>
    <x v="1"/>
    <x v="12"/>
    <x v="17"/>
    <x v="11"/>
    <x v="297"/>
    <x v="260"/>
    <x v="207"/>
    <x v="678"/>
  </r>
  <r>
    <x v="2173"/>
    <x v="584"/>
    <x v="1"/>
    <x v="3"/>
    <x v="9"/>
    <x v="10"/>
    <x v="21"/>
    <x v="2"/>
    <x v="2"/>
    <x v="0"/>
    <x v="2"/>
    <x v="5"/>
    <x v="0"/>
    <x v="1"/>
    <x v="7"/>
    <x v="17"/>
    <x v="11"/>
    <x v="166"/>
    <x v="149"/>
    <x v="630"/>
    <x v="337"/>
  </r>
  <r>
    <x v="2174"/>
    <x v="591"/>
    <x v="1"/>
    <x v="3"/>
    <x v="9"/>
    <x v="10"/>
    <x v="21"/>
    <x v="2"/>
    <x v="2"/>
    <x v="1"/>
    <x v="2"/>
    <x v="5"/>
    <x v="4"/>
    <x v="9"/>
    <x v="13"/>
    <x v="11"/>
    <x v="9"/>
    <x v="209"/>
    <x v="202"/>
    <x v="140"/>
    <x v="445"/>
  </r>
  <r>
    <x v="2175"/>
    <x v="571"/>
    <x v="1"/>
    <x v="3"/>
    <x v="9"/>
    <x v="10"/>
    <x v="21"/>
    <x v="2"/>
    <x v="2"/>
    <x v="0"/>
    <x v="2"/>
    <x v="5"/>
    <x v="4"/>
    <x v="9"/>
    <x v="7"/>
    <x v="11"/>
    <x v="9"/>
    <x v="91"/>
    <x v="94"/>
    <x v="458"/>
    <x v="148"/>
  </r>
  <r>
    <x v="2176"/>
    <x v="578"/>
    <x v="1"/>
    <x v="3"/>
    <x v="9"/>
    <x v="10"/>
    <x v="21"/>
    <x v="2"/>
    <x v="2"/>
    <x v="1"/>
    <x v="1"/>
    <x v="3"/>
    <x v="7"/>
    <x v="15"/>
    <x v="16"/>
    <x v="20"/>
    <x v="13"/>
    <x v="405"/>
    <x v="386"/>
    <x v="333"/>
    <x v="805"/>
  </r>
  <r>
    <x v="2177"/>
    <x v="585"/>
    <x v="1"/>
    <x v="3"/>
    <x v="9"/>
    <x v="10"/>
    <x v="21"/>
    <x v="2"/>
    <x v="2"/>
    <x v="0"/>
    <x v="1"/>
    <x v="3"/>
    <x v="7"/>
    <x v="15"/>
    <x v="11"/>
    <x v="20"/>
    <x v="13"/>
    <x v="301"/>
    <x v="288"/>
    <x v="826"/>
    <x v="525"/>
  </r>
  <r>
    <x v="2178"/>
    <x v="592"/>
    <x v="1"/>
    <x v="3"/>
    <x v="9"/>
    <x v="10"/>
    <x v="21"/>
    <x v="2"/>
    <x v="2"/>
    <x v="1"/>
    <x v="1"/>
    <x v="3"/>
    <x v="6"/>
    <x v="13"/>
    <x v="17"/>
    <x v="5"/>
    <x v="3"/>
    <x v="66"/>
    <x v="60"/>
    <x v="29"/>
    <x v="184"/>
  </r>
  <r>
    <x v="2179"/>
    <x v="572"/>
    <x v="1"/>
    <x v="3"/>
    <x v="9"/>
    <x v="10"/>
    <x v="21"/>
    <x v="2"/>
    <x v="2"/>
    <x v="0"/>
    <x v="1"/>
    <x v="3"/>
    <x v="6"/>
    <x v="13"/>
    <x v="10"/>
    <x v="5"/>
    <x v="3"/>
    <x v="21"/>
    <x v="22"/>
    <x v="207"/>
    <x v="47"/>
  </r>
  <r>
    <x v="2180"/>
    <x v="579"/>
    <x v="1"/>
    <x v="3"/>
    <x v="9"/>
    <x v="10"/>
    <x v="21"/>
    <x v="4"/>
    <x v="4"/>
    <x v="1"/>
    <x v="3"/>
    <x v="7"/>
    <x v="1"/>
    <x v="3"/>
    <x v="5"/>
    <x v="26"/>
    <x v="17"/>
    <x v="773"/>
    <x v="702"/>
    <x v="917"/>
    <x v="1430"/>
  </r>
  <r>
    <x v="2181"/>
    <x v="586"/>
    <x v="1"/>
    <x v="3"/>
    <x v="9"/>
    <x v="10"/>
    <x v="21"/>
    <x v="4"/>
    <x v="4"/>
    <x v="0"/>
    <x v="3"/>
    <x v="7"/>
    <x v="1"/>
    <x v="3"/>
    <x v="3"/>
    <x v="26"/>
    <x v="17"/>
    <x v="701"/>
    <x v="653"/>
    <x v="1205"/>
    <x v="1237"/>
  </r>
  <r>
    <x v="2182"/>
    <x v="593"/>
    <x v="1"/>
    <x v="3"/>
    <x v="9"/>
    <x v="10"/>
    <x v="21"/>
    <x v="4"/>
    <x v="4"/>
    <x v="1"/>
    <x v="3"/>
    <x v="7"/>
    <x v="2"/>
    <x v="5"/>
    <x v="6"/>
    <x v="23"/>
    <x v="15"/>
    <x v="555"/>
    <x v="520"/>
    <x v="540"/>
    <x v="1051"/>
  </r>
  <r>
    <x v="2183"/>
    <x v="573"/>
    <x v="1"/>
    <x v="3"/>
    <x v="9"/>
    <x v="10"/>
    <x v="21"/>
    <x v="4"/>
    <x v="4"/>
    <x v="0"/>
    <x v="3"/>
    <x v="7"/>
    <x v="2"/>
    <x v="5"/>
    <x v="3"/>
    <x v="23"/>
    <x v="15"/>
    <x v="390"/>
    <x v="385"/>
    <x v="948"/>
    <x v="667"/>
  </r>
  <r>
    <x v="2184"/>
    <x v="580"/>
    <x v="1"/>
    <x v="3"/>
    <x v="9"/>
    <x v="10"/>
    <x v="21"/>
    <x v="4"/>
    <x v="4"/>
    <x v="1"/>
    <x v="3"/>
    <x v="7"/>
    <x v="5"/>
    <x v="11"/>
    <x v="5"/>
    <x v="29"/>
    <x v="19"/>
    <x v="810"/>
    <x v="732"/>
    <x v="1040"/>
    <x v="1464"/>
  </r>
  <r>
    <x v="2185"/>
    <x v="587"/>
    <x v="1"/>
    <x v="3"/>
    <x v="9"/>
    <x v="10"/>
    <x v="21"/>
    <x v="4"/>
    <x v="4"/>
    <x v="0"/>
    <x v="3"/>
    <x v="7"/>
    <x v="5"/>
    <x v="11"/>
    <x v="2"/>
    <x v="29"/>
    <x v="19"/>
    <x v="726"/>
    <x v="681"/>
    <x v="1221"/>
    <x v="1181"/>
  </r>
  <r>
    <x v="2186"/>
    <x v="567"/>
    <x v="1"/>
    <x v="3"/>
    <x v="9"/>
    <x v="10"/>
    <x v="21"/>
    <x v="4"/>
    <x v="4"/>
    <x v="1"/>
    <x v="0"/>
    <x v="1"/>
    <x v="3"/>
    <x v="7"/>
    <x v="34"/>
    <x v="2"/>
    <x v="1"/>
    <x v="147"/>
    <x v="114"/>
    <x v="89"/>
    <x v="428"/>
  </r>
  <r>
    <x v="2187"/>
    <x v="574"/>
    <x v="1"/>
    <x v="3"/>
    <x v="9"/>
    <x v="10"/>
    <x v="21"/>
    <x v="4"/>
    <x v="4"/>
    <x v="0"/>
    <x v="0"/>
    <x v="1"/>
    <x v="3"/>
    <x v="7"/>
    <x v="17"/>
    <x v="2"/>
    <x v="1"/>
    <x v="41"/>
    <x v="35"/>
    <x v="294"/>
    <x v="105"/>
  </r>
  <r>
    <x v="2188"/>
    <x v="581"/>
    <x v="1"/>
    <x v="3"/>
    <x v="9"/>
    <x v="10"/>
    <x v="21"/>
    <x v="4"/>
    <x v="4"/>
    <x v="1"/>
    <x v="0"/>
    <x v="1"/>
    <x v="8"/>
    <x v="17"/>
    <x v="29"/>
    <x v="14"/>
    <x v="8"/>
    <x v="486"/>
    <x v="412"/>
    <x v="441"/>
    <x v="1073"/>
  </r>
  <r>
    <x v="2189"/>
    <x v="588"/>
    <x v="1"/>
    <x v="3"/>
    <x v="9"/>
    <x v="10"/>
    <x v="21"/>
    <x v="4"/>
    <x v="4"/>
    <x v="0"/>
    <x v="0"/>
    <x v="1"/>
    <x v="8"/>
    <x v="17"/>
    <x v="22"/>
    <x v="14"/>
    <x v="8"/>
    <x v="398"/>
    <x v="331"/>
    <x v="954"/>
    <x v="855"/>
  </r>
  <r>
    <x v="2190"/>
    <x v="568"/>
    <x v="1"/>
    <x v="3"/>
    <x v="9"/>
    <x v="10"/>
    <x v="21"/>
    <x v="4"/>
    <x v="4"/>
    <x v="1"/>
    <x v="0"/>
    <x v="1"/>
    <x v="9"/>
    <x v="19"/>
    <x v="25"/>
    <x v="8"/>
    <x v="5"/>
    <x v="315"/>
    <x v="277"/>
    <x v="222"/>
    <x v="683"/>
  </r>
  <r>
    <x v="2191"/>
    <x v="575"/>
    <x v="1"/>
    <x v="3"/>
    <x v="9"/>
    <x v="10"/>
    <x v="21"/>
    <x v="4"/>
    <x v="4"/>
    <x v="0"/>
    <x v="0"/>
    <x v="1"/>
    <x v="9"/>
    <x v="19"/>
    <x v="20"/>
    <x v="8"/>
    <x v="5"/>
    <x v="247"/>
    <x v="223"/>
    <x v="746"/>
    <x v="486"/>
  </r>
  <r>
    <x v="2192"/>
    <x v="582"/>
    <x v="1"/>
    <x v="3"/>
    <x v="9"/>
    <x v="10"/>
    <x v="21"/>
    <x v="4"/>
    <x v="4"/>
    <x v="1"/>
    <x v="2"/>
    <x v="5"/>
    <x v="0"/>
    <x v="1"/>
    <x v="11"/>
    <x v="17"/>
    <x v="11"/>
    <x v="270"/>
    <x v="240"/>
    <x v="193"/>
    <x v="619"/>
  </r>
  <r>
    <x v="2193"/>
    <x v="589"/>
    <x v="1"/>
    <x v="3"/>
    <x v="9"/>
    <x v="10"/>
    <x v="21"/>
    <x v="4"/>
    <x v="4"/>
    <x v="0"/>
    <x v="2"/>
    <x v="5"/>
    <x v="0"/>
    <x v="1"/>
    <x v="7"/>
    <x v="17"/>
    <x v="11"/>
    <x v="166"/>
    <x v="149"/>
    <x v="630"/>
    <x v="337"/>
  </r>
  <r>
    <x v="2194"/>
    <x v="569"/>
    <x v="1"/>
    <x v="3"/>
    <x v="9"/>
    <x v="10"/>
    <x v="21"/>
    <x v="4"/>
    <x v="4"/>
    <x v="1"/>
    <x v="2"/>
    <x v="5"/>
    <x v="4"/>
    <x v="9"/>
    <x v="14"/>
    <x v="11"/>
    <x v="9"/>
    <x v="228"/>
    <x v="221"/>
    <x v="153"/>
    <x v="483"/>
  </r>
  <r>
    <x v="2195"/>
    <x v="576"/>
    <x v="1"/>
    <x v="3"/>
    <x v="9"/>
    <x v="10"/>
    <x v="21"/>
    <x v="4"/>
    <x v="4"/>
    <x v="0"/>
    <x v="2"/>
    <x v="5"/>
    <x v="4"/>
    <x v="9"/>
    <x v="9"/>
    <x v="11"/>
    <x v="9"/>
    <x v="128"/>
    <x v="131"/>
    <x v="565"/>
    <x v="227"/>
  </r>
  <r>
    <x v="2196"/>
    <x v="583"/>
    <x v="1"/>
    <x v="3"/>
    <x v="9"/>
    <x v="10"/>
    <x v="21"/>
    <x v="4"/>
    <x v="4"/>
    <x v="1"/>
    <x v="1"/>
    <x v="3"/>
    <x v="7"/>
    <x v="15"/>
    <x v="15"/>
    <x v="20"/>
    <x v="13"/>
    <x v="385"/>
    <x v="365"/>
    <x v="309"/>
    <x v="767"/>
  </r>
  <r>
    <x v="2197"/>
    <x v="590"/>
    <x v="1"/>
    <x v="3"/>
    <x v="9"/>
    <x v="10"/>
    <x v="21"/>
    <x v="4"/>
    <x v="4"/>
    <x v="0"/>
    <x v="1"/>
    <x v="3"/>
    <x v="7"/>
    <x v="15"/>
    <x v="10"/>
    <x v="20"/>
    <x v="13"/>
    <x v="271"/>
    <x v="267"/>
    <x v="796"/>
    <x v="474"/>
  </r>
  <r>
    <x v="2198"/>
    <x v="570"/>
    <x v="1"/>
    <x v="3"/>
    <x v="9"/>
    <x v="10"/>
    <x v="21"/>
    <x v="4"/>
    <x v="4"/>
    <x v="1"/>
    <x v="1"/>
    <x v="3"/>
    <x v="6"/>
    <x v="13"/>
    <x v="14"/>
    <x v="5"/>
    <x v="3"/>
    <x v="45"/>
    <x v="43"/>
    <x v="13"/>
    <x v="124"/>
  </r>
  <r>
    <x v="2199"/>
    <x v="577"/>
    <x v="1"/>
    <x v="3"/>
    <x v="9"/>
    <x v="10"/>
    <x v="21"/>
    <x v="4"/>
    <x v="4"/>
    <x v="0"/>
    <x v="1"/>
    <x v="3"/>
    <x v="6"/>
    <x v="13"/>
    <x v="12"/>
    <x v="5"/>
    <x v="3"/>
    <x v="32"/>
    <x v="34"/>
    <x v="258"/>
    <x v="72"/>
  </r>
  <r>
    <x v="2200"/>
    <x v="611"/>
    <x v="1"/>
    <x v="3"/>
    <x v="10"/>
    <x v="9"/>
    <x v="22"/>
    <x v="0"/>
    <x v="0"/>
    <x v="1"/>
    <x v="3"/>
    <x v="7"/>
    <x v="1"/>
    <x v="3"/>
    <x v="26"/>
    <x v="26"/>
    <x v="17"/>
    <x v="879"/>
    <x v="780"/>
    <x v="1260"/>
    <x v="1618"/>
  </r>
  <r>
    <x v="2201"/>
    <x v="618"/>
    <x v="1"/>
    <x v="3"/>
    <x v="10"/>
    <x v="9"/>
    <x v="22"/>
    <x v="0"/>
    <x v="0"/>
    <x v="0"/>
    <x v="3"/>
    <x v="7"/>
    <x v="1"/>
    <x v="3"/>
    <x v="18"/>
    <x v="26"/>
    <x v="17"/>
    <x v="861"/>
    <x v="765"/>
    <x v="1327"/>
    <x v="1588"/>
  </r>
  <r>
    <x v="2202"/>
    <x v="598"/>
    <x v="1"/>
    <x v="3"/>
    <x v="10"/>
    <x v="9"/>
    <x v="22"/>
    <x v="0"/>
    <x v="0"/>
    <x v="1"/>
    <x v="3"/>
    <x v="7"/>
    <x v="2"/>
    <x v="5"/>
    <x v="26"/>
    <x v="23"/>
    <x v="15"/>
    <x v="815"/>
    <x v="730"/>
    <x v="1062"/>
    <x v="1538"/>
  </r>
  <r>
    <x v="2203"/>
    <x v="605"/>
    <x v="1"/>
    <x v="3"/>
    <x v="10"/>
    <x v="9"/>
    <x v="22"/>
    <x v="0"/>
    <x v="0"/>
    <x v="0"/>
    <x v="3"/>
    <x v="7"/>
    <x v="2"/>
    <x v="5"/>
    <x v="18"/>
    <x v="23"/>
    <x v="15"/>
    <x v="784"/>
    <x v="706"/>
    <x v="1267"/>
    <x v="1429"/>
  </r>
  <r>
    <x v="2204"/>
    <x v="612"/>
    <x v="1"/>
    <x v="3"/>
    <x v="10"/>
    <x v="9"/>
    <x v="22"/>
    <x v="0"/>
    <x v="0"/>
    <x v="1"/>
    <x v="3"/>
    <x v="7"/>
    <x v="5"/>
    <x v="11"/>
    <x v="20"/>
    <x v="29"/>
    <x v="19"/>
    <x v="883"/>
    <x v="788"/>
    <x v="1271"/>
    <x v="1615"/>
  </r>
  <r>
    <x v="2205"/>
    <x v="619"/>
    <x v="1"/>
    <x v="3"/>
    <x v="10"/>
    <x v="9"/>
    <x v="22"/>
    <x v="0"/>
    <x v="0"/>
    <x v="0"/>
    <x v="3"/>
    <x v="7"/>
    <x v="5"/>
    <x v="11"/>
    <x v="14"/>
    <x v="29"/>
    <x v="19"/>
    <x v="865"/>
    <x v="773"/>
    <x v="1332"/>
    <x v="1576"/>
  </r>
  <r>
    <x v="2206"/>
    <x v="599"/>
    <x v="1"/>
    <x v="3"/>
    <x v="10"/>
    <x v="9"/>
    <x v="22"/>
    <x v="0"/>
    <x v="0"/>
    <x v="1"/>
    <x v="0"/>
    <x v="1"/>
    <x v="3"/>
    <x v="7"/>
    <x v="108"/>
    <x v="2"/>
    <x v="1"/>
    <x v="526"/>
    <x v="428"/>
    <x v="500"/>
    <x v="1175"/>
  </r>
  <r>
    <x v="2207"/>
    <x v="606"/>
    <x v="1"/>
    <x v="3"/>
    <x v="10"/>
    <x v="9"/>
    <x v="22"/>
    <x v="0"/>
    <x v="0"/>
    <x v="0"/>
    <x v="0"/>
    <x v="1"/>
    <x v="3"/>
    <x v="7"/>
    <x v="70"/>
    <x v="2"/>
    <x v="1"/>
    <x v="355"/>
    <x v="283"/>
    <x v="892"/>
    <x v="810"/>
  </r>
  <r>
    <x v="2208"/>
    <x v="613"/>
    <x v="1"/>
    <x v="3"/>
    <x v="10"/>
    <x v="9"/>
    <x v="22"/>
    <x v="0"/>
    <x v="0"/>
    <x v="1"/>
    <x v="0"/>
    <x v="1"/>
    <x v="8"/>
    <x v="17"/>
    <x v="110"/>
    <x v="14"/>
    <x v="8"/>
    <x v="811"/>
    <x v="714"/>
    <x v="1041"/>
    <x v="1563"/>
  </r>
  <r>
    <x v="2209"/>
    <x v="620"/>
    <x v="1"/>
    <x v="3"/>
    <x v="10"/>
    <x v="9"/>
    <x v="22"/>
    <x v="0"/>
    <x v="0"/>
    <x v="0"/>
    <x v="0"/>
    <x v="1"/>
    <x v="8"/>
    <x v="17"/>
    <x v="74"/>
    <x v="14"/>
    <x v="8"/>
    <x v="749"/>
    <x v="655"/>
    <x v="1241"/>
    <x v="1448"/>
  </r>
  <r>
    <x v="2210"/>
    <x v="600"/>
    <x v="1"/>
    <x v="3"/>
    <x v="10"/>
    <x v="9"/>
    <x v="22"/>
    <x v="0"/>
    <x v="0"/>
    <x v="1"/>
    <x v="0"/>
    <x v="1"/>
    <x v="9"/>
    <x v="19"/>
    <x v="92"/>
    <x v="8"/>
    <x v="5"/>
    <x v="715"/>
    <x v="632"/>
    <x v="796"/>
    <x v="1390"/>
  </r>
  <r>
    <x v="2211"/>
    <x v="607"/>
    <x v="1"/>
    <x v="3"/>
    <x v="10"/>
    <x v="9"/>
    <x v="22"/>
    <x v="0"/>
    <x v="0"/>
    <x v="0"/>
    <x v="0"/>
    <x v="1"/>
    <x v="9"/>
    <x v="19"/>
    <x v="76"/>
    <x v="8"/>
    <x v="5"/>
    <x v="663"/>
    <x v="587"/>
    <x v="1179"/>
    <x v="1268"/>
  </r>
  <r>
    <x v="2212"/>
    <x v="614"/>
    <x v="1"/>
    <x v="3"/>
    <x v="10"/>
    <x v="9"/>
    <x v="22"/>
    <x v="0"/>
    <x v="0"/>
    <x v="1"/>
    <x v="2"/>
    <x v="5"/>
    <x v="0"/>
    <x v="1"/>
    <x v="56"/>
    <x v="17"/>
    <x v="11"/>
    <x v="738"/>
    <x v="649"/>
    <x v="836"/>
    <x v="1439"/>
  </r>
  <r>
    <x v="2213"/>
    <x v="594"/>
    <x v="1"/>
    <x v="3"/>
    <x v="10"/>
    <x v="9"/>
    <x v="22"/>
    <x v="0"/>
    <x v="0"/>
    <x v="0"/>
    <x v="2"/>
    <x v="5"/>
    <x v="0"/>
    <x v="1"/>
    <x v="29"/>
    <x v="17"/>
    <x v="11"/>
    <x v="567"/>
    <x v="493"/>
    <x v="1106"/>
    <x v="1131"/>
  </r>
  <r>
    <x v="2214"/>
    <x v="601"/>
    <x v="1"/>
    <x v="3"/>
    <x v="10"/>
    <x v="9"/>
    <x v="22"/>
    <x v="0"/>
    <x v="0"/>
    <x v="1"/>
    <x v="2"/>
    <x v="5"/>
    <x v="4"/>
    <x v="9"/>
    <x v="46"/>
    <x v="11"/>
    <x v="9"/>
    <x v="593"/>
    <x v="541"/>
    <x v="607"/>
    <x v="1183"/>
  </r>
  <r>
    <x v="2215"/>
    <x v="608"/>
    <x v="1"/>
    <x v="3"/>
    <x v="10"/>
    <x v="9"/>
    <x v="22"/>
    <x v="0"/>
    <x v="0"/>
    <x v="0"/>
    <x v="2"/>
    <x v="5"/>
    <x v="4"/>
    <x v="9"/>
    <x v="37"/>
    <x v="11"/>
    <x v="9"/>
    <x v="527"/>
    <x v="480"/>
    <x v="1075"/>
    <x v="989"/>
  </r>
  <r>
    <x v="2216"/>
    <x v="615"/>
    <x v="1"/>
    <x v="3"/>
    <x v="10"/>
    <x v="9"/>
    <x v="22"/>
    <x v="0"/>
    <x v="0"/>
    <x v="1"/>
    <x v="1"/>
    <x v="3"/>
    <x v="7"/>
    <x v="15"/>
    <x v="69"/>
    <x v="20"/>
    <x v="13"/>
    <x v="788"/>
    <x v="705"/>
    <x v="958"/>
    <x v="1480"/>
  </r>
  <r>
    <x v="2217"/>
    <x v="595"/>
    <x v="1"/>
    <x v="3"/>
    <x v="10"/>
    <x v="9"/>
    <x v="22"/>
    <x v="0"/>
    <x v="0"/>
    <x v="0"/>
    <x v="1"/>
    <x v="3"/>
    <x v="7"/>
    <x v="15"/>
    <x v="40"/>
    <x v="20"/>
    <x v="13"/>
    <x v="679"/>
    <x v="618"/>
    <x v="1188"/>
    <x v="1243"/>
  </r>
  <r>
    <x v="2218"/>
    <x v="602"/>
    <x v="1"/>
    <x v="3"/>
    <x v="10"/>
    <x v="9"/>
    <x v="22"/>
    <x v="0"/>
    <x v="0"/>
    <x v="1"/>
    <x v="1"/>
    <x v="3"/>
    <x v="6"/>
    <x v="13"/>
    <x v="55"/>
    <x v="5"/>
    <x v="3"/>
    <x v="353"/>
    <x v="293"/>
    <x v="266"/>
    <x v="817"/>
  </r>
  <r>
    <x v="2219"/>
    <x v="609"/>
    <x v="1"/>
    <x v="3"/>
    <x v="10"/>
    <x v="9"/>
    <x v="22"/>
    <x v="0"/>
    <x v="0"/>
    <x v="0"/>
    <x v="1"/>
    <x v="3"/>
    <x v="6"/>
    <x v="13"/>
    <x v="37"/>
    <x v="5"/>
    <x v="3"/>
    <x v="229"/>
    <x v="196"/>
    <x v="723"/>
    <x v="511"/>
  </r>
  <r>
    <x v="2220"/>
    <x v="616"/>
    <x v="1"/>
    <x v="3"/>
    <x v="10"/>
    <x v="9"/>
    <x v="22"/>
    <x v="1"/>
    <x v="1"/>
    <x v="1"/>
    <x v="3"/>
    <x v="7"/>
    <x v="1"/>
    <x v="3"/>
    <x v="15"/>
    <x v="26"/>
    <x v="17"/>
    <x v="849"/>
    <x v="755"/>
    <x v="1174"/>
    <x v="1585"/>
  </r>
  <r>
    <x v="2221"/>
    <x v="596"/>
    <x v="1"/>
    <x v="3"/>
    <x v="10"/>
    <x v="9"/>
    <x v="22"/>
    <x v="1"/>
    <x v="1"/>
    <x v="0"/>
    <x v="3"/>
    <x v="7"/>
    <x v="1"/>
    <x v="3"/>
    <x v="8"/>
    <x v="26"/>
    <x v="17"/>
    <x v="814"/>
    <x v="729"/>
    <x v="1298"/>
    <x v="1497"/>
  </r>
  <r>
    <x v="2222"/>
    <x v="603"/>
    <x v="1"/>
    <x v="3"/>
    <x v="10"/>
    <x v="9"/>
    <x v="22"/>
    <x v="1"/>
    <x v="1"/>
    <x v="1"/>
    <x v="3"/>
    <x v="7"/>
    <x v="2"/>
    <x v="5"/>
    <x v="12"/>
    <x v="23"/>
    <x v="15"/>
    <x v="716"/>
    <x v="656"/>
    <x v="799"/>
    <x v="1323"/>
  </r>
  <r>
    <x v="2223"/>
    <x v="610"/>
    <x v="1"/>
    <x v="3"/>
    <x v="10"/>
    <x v="9"/>
    <x v="22"/>
    <x v="1"/>
    <x v="1"/>
    <x v="0"/>
    <x v="3"/>
    <x v="7"/>
    <x v="2"/>
    <x v="5"/>
    <x v="10"/>
    <x v="23"/>
    <x v="15"/>
    <x v="674"/>
    <x v="622"/>
    <x v="1185"/>
    <x v="1218"/>
  </r>
  <r>
    <x v="2224"/>
    <x v="617"/>
    <x v="1"/>
    <x v="3"/>
    <x v="10"/>
    <x v="9"/>
    <x v="22"/>
    <x v="1"/>
    <x v="1"/>
    <x v="1"/>
    <x v="3"/>
    <x v="7"/>
    <x v="5"/>
    <x v="11"/>
    <x v="14"/>
    <x v="29"/>
    <x v="19"/>
    <x v="865"/>
    <x v="773"/>
    <x v="1221"/>
    <x v="1591"/>
  </r>
  <r>
    <x v="2225"/>
    <x v="597"/>
    <x v="1"/>
    <x v="3"/>
    <x v="10"/>
    <x v="9"/>
    <x v="22"/>
    <x v="1"/>
    <x v="1"/>
    <x v="0"/>
    <x v="3"/>
    <x v="7"/>
    <x v="5"/>
    <x v="11"/>
    <x v="7"/>
    <x v="29"/>
    <x v="19"/>
    <x v="830"/>
    <x v="745"/>
    <x v="1311"/>
    <x v="1492"/>
  </r>
  <r>
    <x v="2226"/>
    <x v="604"/>
    <x v="1"/>
    <x v="3"/>
    <x v="10"/>
    <x v="9"/>
    <x v="22"/>
    <x v="1"/>
    <x v="1"/>
    <x v="1"/>
    <x v="0"/>
    <x v="1"/>
    <x v="3"/>
    <x v="7"/>
    <x v="55"/>
    <x v="2"/>
    <x v="1"/>
    <x v="278"/>
    <x v="220"/>
    <x v="197"/>
    <x v="717"/>
  </r>
  <r>
    <x v="2227"/>
    <x v="611"/>
    <x v="1"/>
    <x v="3"/>
    <x v="10"/>
    <x v="9"/>
    <x v="22"/>
    <x v="1"/>
    <x v="1"/>
    <x v="0"/>
    <x v="0"/>
    <x v="1"/>
    <x v="3"/>
    <x v="7"/>
    <x v="47"/>
    <x v="2"/>
    <x v="1"/>
    <x v="231"/>
    <x v="181"/>
    <x v="726"/>
    <x v="554"/>
  </r>
  <r>
    <x v="2228"/>
    <x v="618"/>
    <x v="1"/>
    <x v="3"/>
    <x v="10"/>
    <x v="9"/>
    <x v="22"/>
    <x v="1"/>
    <x v="1"/>
    <x v="1"/>
    <x v="0"/>
    <x v="1"/>
    <x v="8"/>
    <x v="17"/>
    <x v="59"/>
    <x v="14"/>
    <x v="8"/>
    <x v="696"/>
    <x v="595"/>
    <x v="754"/>
    <x v="1394"/>
  </r>
  <r>
    <x v="2229"/>
    <x v="598"/>
    <x v="1"/>
    <x v="3"/>
    <x v="10"/>
    <x v="9"/>
    <x v="22"/>
    <x v="1"/>
    <x v="1"/>
    <x v="0"/>
    <x v="0"/>
    <x v="1"/>
    <x v="8"/>
    <x v="17"/>
    <x v="47"/>
    <x v="14"/>
    <x v="8"/>
    <x v="631"/>
    <x v="543"/>
    <x v="1159"/>
    <x v="1265"/>
  </r>
  <r>
    <x v="2230"/>
    <x v="605"/>
    <x v="1"/>
    <x v="3"/>
    <x v="10"/>
    <x v="9"/>
    <x v="22"/>
    <x v="1"/>
    <x v="1"/>
    <x v="1"/>
    <x v="0"/>
    <x v="1"/>
    <x v="9"/>
    <x v="19"/>
    <x v="60"/>
    <x v="8"/>
    <x v="5"/>
    <x v="588"/>
    <x v="523"/>
    <x v="601"/>
    <x v="1204"/>
  </r>
  <r>
    <x v="2231"/>
    <x v="612"/>
    <x v="1"/>
    <x v="3"/>
    <x v="10"/>
    <x v="9"/>
    <x v="22"/>
    <x v="1"/>
    <x v="1"/>
    <x v="0"/>
    <x v="0"/>
    <x v="1"/>
    <x v="9"/>
    <x v="19"/>
    <x v="53"/>
    <x v="8"/>
    <x v="5"/>
    <x v="554"/>
    <x v="490"/>
    <x v="1093"/>
    <x v="1076"/>
  </r>
  <r>
    <x v="2232"/>
    <x v="619"/>
    <x v="1"/>
    <x v="3"/>
    <x v="10"/>
    <x v="9"/>
    <x v="22"/>
    <x v="1"/>
    <x v="1"/>
    <x v="1"/>
    <x v="2"/>
    <x v="5"/>
    <x v="0"/>
    <x v="1"/>
    <x v="25"/>
    <x v="17"/>
    <x v="11"/>
    <x v="519"/>
    <x v="453"/>
    <x v="489"/>
    <x v="1096"/>
  </r>
  <r>
    <x v="2233"/>
    <x v="599"/>
    <x v="1"/>
    <x v="3"/>
    <x v="10"/>
    <x v="9"/>
    <x v="22"/>
    <x v="1"/>
    <x v="1"/>
    <x v="0"/>
    <x v="2"/>
    <x v="5"/>
    <x v="0"/>
    <x v="1"/>
    <x v="17"/>
    <x v="17"/>
    <x v="11"/>
    <x v="397"/>
    <x v="345"/>
    <x v="953"/>
    <x v="814"/>
  </r>
  <r>
    <x v="2234"/>
    <x v="606"/>
    <x v="1"/>
    <x v="3"/>
    <x v="10"/>
    <x v="9"/>
    <x v="22"/>
    <x v="1"/>
    <x v="1"/>
    <x v="1"/>
    <x v="2"/>
    <x v="5"/>
    <x v="4"/>
    <x v="9"/>
    <x v="25"/>
    <x v="11"/>
    <x v="9"/>
    <x v="400"/>
    <x v="368"/>
    <x v="324"/>
    <x v="824"/>
  </r>
  <r>
    <x v="2235"/>
    <x v="613"/>
    <x v="1"/>
    <x v="3"/>
    <x v="10"/>
    <x v="9"/>
    <x v="22"/>
    <x v="1"/>
    <x v="1"/>
    <x v="0"/>
    <x v="2"/>
    <x v="5"/>
    <x v="4"/>
    <x v="9"/>
    <x v="20"/>
    <x v="11"/>
    <x v="9"/>
    <x v="336"/>
    <x v="302"/>
    <x v="865"/>
    <x v="616"/>
  </r>
  <r>
    <x v="2236"/>
    <x v="620"/>
    <x v="1"/>
    <x v="3"/>
    <x v="10"/>
    <x v="9"/>
    <x v="22"/>
    <x v="1"/>
    <x v="1"/>
    <x v="1"/>
    <x v="1"/>
    <x v="3"/>
    <x v="7"/>
    <x v="15"/>
    <x v="39"/>
    <x v="20"/>
    <x v="13"/>
    <x v="668"/>
    <x v="613"/>
    <x v="713"/>
    <x v="1274"/>
  </r>
  <r>
    <x v="2237"/>
    <x v="600"/>
    <x v="1"/>
    <x v="3"/>
    <x v="10"/>
    <x v="9"/>
    <x v="22"/>
    <x v="1"/>
    <x v="1"/>
    <x v="0"/>
    <x v="1"/>
    <x v="3"/>
    <x v="7"/>
    <x v="15"/>
    <x v="28"/>
    <x v="20"/>
    <x v="13"/>
    <x v="581"/>
    <x v="534"/>
    <x v="1117"/>
    <x v="1065"/>
  </r>
  <r>
    <x v="2238"/>
    <x v="607"/>
    <x v="1"/>
    <x v="3"/>
    <x v="10"/>
    <x v="9"/>
    <x v="22"/>
    <x v="1"/>
    <x v="1"/>
    <x v="1"/>
    <x v="1"/>
    <x v="3"/>
    <x v="6"/>
    <x v="13"/>
    <x v="34"/>
    <x v="5"/>
    <x v="3"/>
    <x v="205"/>
    <x v="175"/>
    <x v="136"/>
    <x v="521"/>
  </r>
  <r>
    <x v="2239"/>
    <x v="614"/>
    <x v="1"/>
    <x v="3"/>
    <x v="10"/>
    <x v="9"/>
    <x v="22"/>
    <x v="1"/>
    <x v="1"/>
    <x v="0"/>
    <x v="1"/>
    <x v="3"/>
    <x v="6"/>
    <x v="13"/>
    <x v="22"/>
    <x v="5"/>
    <x v="3"/>
    <x v="107"/>
    <x v="90"/>
    <x v="510"/>
    <x v="238"/>
  </r>
  <r>
    <x v="2240"/>
    <x v="594"/>
    <x v="1"/>
    <x v="3"/>
    <x v="10"/>
    <x v="9"/>
    <x v="22"/>
    <x v="3"/>
    <x v="3"/>
    <x v="1"/>
    <x v="3"/>
    <x v="7"/>
    <x v="1"/>
    <x v="3"/>
    <x v="7"/>
    <x v="26"/>
    <x v="17"/>
    <x v="805"/>
    <x v="725"/>
    <x v="1018"/>
    <x v="1503"/>
  </r>
  <r>
    <x v="2241"/>
    <x v="601"/>
    <x v="1"/>
    <x v="3"/>
    <x v="10"/>
    <x v="9"/>
    <x v="22"/>
    <x v="3"/>
    <x v="3"/>
    <x v="0"/>
    <x v="3"/>
    <x v="7"/>
    <x v="1"/>
    <x v="3"/>
    <x v="5"/>
    <x v="26"/>
    <x v="17"/>
    <x v="773"/>
    <x v="702"/>
    <x v="1260"/>
    <x v="1383"/>
  </r>
  <r>
    <x v="2242"/>
    <x v="608"/>
    <x v="1"/>
    <x v="3"/>
    <x v="10"/>
    <x v="9"/>
    <x v="22"/>
    <x v="3"/>
    <x v="3"/>
    <x v="1"/>
    <x v="3"/>
    <x v="7"/>
    <x v="2"/>
    <x v="5"/>
    <x v="9"/>
    <x v="23"/>
    <x v="15"/>
    <x v="649"/>
    <x v="603"/>
    <x v="683"/>
    <x v="1225"/>
  </r>
  <r>
    <x v="2243"/>
    <x v="615"/>
    <x v="1"/>
    <x v="3"/>
    <x v="10"/>
    <x v="9"/>
    <x v="22"/>
    <x v="3"/>
    <x v="3"/>
    <x v="0"/>
    <x v="3"/>
    <x v="7"/>
    <x v="2"/>
    <x v="5"/>
    <x v="6"/>
    <x v="23"/>
    <x v="15"/>
    <x v="555"/>
    <x v="520"/>
    <x v="1095"/>
    <x v="968"/>
  </r>
  <r>
    <x v="2244"/>
    <x v="595"/>
    <x v="1"/>
    <x v="3"/>
    <x v="10"/>
    <x v="9"/>
    <x v="22"/>
    <x v="3"/>
    <x v="3"/>
    <x v="1"/>
    <x v="3"/>
    <x v="7"/>
    <x v="5"/>
    <x v="11"/>
    <x v="9"/>
    <x v="29"/>
    <x v="19"/>
    <x v="844"/>
    <x v="754"/>
    <x v="1155"/>
    <x v="1559"/>
  </r>
  <r>
    <x v="2245"/>
    <x v="602"/>
    <x v="1"/>
    <x v="3"/>
    <x v="10"/>
    <x v="9"/>
    <x v="22"/>
    <x v="3"/>
    <x v="3"/>
    <x v="0"/>
    <x v="3"/>
    <x v="7"/>
    <x v="5"/>
    <x v="11"/>
    <x v="4"/>
    <x v="29"/>
    <x v="19"/>
    <x v="795"/>
    <x v="726"/>
    <x v="1282"/>
    <x v="1361"/>
  </r>
  <r>
    <x v="2246"/>
    <x v="609"/>
    <x v="1"/>
    <x v="3"/>
    <x v="10"/>
    <x v="9"/>
    <x v="22"/>
    <x v="3"/>
    <x v="3"/>
    <x v="1"/>
    <x v="0"/>
    <x v="1"/>
    <x v="3"/>
    <x v="7"/>
    <x v="40"/>
    <x v="2"/>
    <x v="1"/>
    <x v="187"/>
    <x v="146"/>
    <x v="122"/>
    <x v="515"/>
  </r>
  <r>
    <x v="2247"/>
    <x v="616"/>
    <x v="1"/>
    <x v="3"/>
    <x v="10"/>
    <x v="9"/>
    <x v="22"/>
    <x v="3"/>
    <x v="3"/>
    <x v="0"/>
    <x v="0"/>
    <x v="1"/>
    <x v="3"/>
    <x v="7"/>
    <x v="28"/>
    <x v="2"/>
    <x v="1"/>
    <x v="106"/>
    <x v="82"/>
    <x v="510"/>
    <x v="277"/>
  </r>
  <r>
    <x v="2248"/>
    <x v="596"/>
    <x v="1"/>
    <x v="3"/>
    <x v="10"/>
    <x v="9"/>
    <x v="22"/>
    <x v="3"/>
    <x v="3"/>
    <x v="1"/>
    <x v="0"/>
    <x v="1"/>
    <x v="8"/>
    <x v="17"/>
    <x v="43"/>
    <x v="14"/>
    <x v="8"/>
    <x v="610"/>
    <x v="518"/>
    <x v="624"/>
    <x v="1267"/>
  </r>
  <r>
    <x v="2249"/>
    <x v="603"/>
    <x v="1"/>
    <x v="3"/>
    <x v="10"/>
    <x v="9"/>
    <x v="22"/>
    <x v="3"/>
    <x v="3"/>
    <x v="0"/>
    <x v="0"/>
    <x v="1"/>
    <x v="8"/>
    <x v="17"/>
    <x v="29"/>
    <x v="14"/>
    <x v="8"/>
    <x v="486"/>
    <x v="412"/>
    <x v="1048"/>
    <x v="1017"/>
  </r>
  <r>
    <x v="2250"/>
    <x v="610"/>
    <x v="1"/>
    <x v="3"/>
    <x v="10"/>
    <x v="9"/>
    <x v="22"/>
    <x v="3"/>
    <x v="3"/>
    <x v="1"/>
    <x v="0"/>
    <x v="1"/>
    <x v="9"/>
    <x v="19"/>
    <x v="49"/>
    <x v="8"/>
    <x v="5"/>
    <x v="527"/>
    <x v="469"/>
    <x v="502"/>
    <x v="1086"/>
  </r>
  <r>
    <x v="2251"/>
    <x v="617"/>
    <x v="1"/>
    <x v="3"/>
    <x v="10"/>
    <x v="9"/>
    <x v="22"/>
    <x v="3"/>
    <x v="3"/>
    <x v="0"/>
    <x v="0"/>
    <x v="1"/>
    <x v="9"/>
    <x v="19"/>
    <x v="38"/>
    <x v="8"/>
    <x v="5"/>
    <x v="437"/>
    <x v="398"/>
    <x v="1006"/>
    <x v="874"/>
  </r>
  <r>
    <x v="2252"/>
    <x v="597"/>
    <x v="1"/>
    <x v="3"/>
    <x v="10"/>
    <x v="9"/>
    <x v="22"/>
    <x v="3"/>
    <x v="3"/>
    <x v="1"/>
    <x v="2"/>
    <x v="5"/>
    <x v="0"/>
    <x v="1"/>
    <x v="20"/>
    <x v="17"/>
    <x v="11"/>
    <x v="446"/>
    <x v="395"/>
    <x v="390"/>
    <x v="959"/>
  </r>
  <r>
    <x v="2253"/>
    <x v="604"/>
    <x v="1"/>
    <x v="3"/>
    <x v="10"/>
    <x v="9"/>
    <x v="22"/>
    <x v="3"/>
    <x v="3"/>
    <x v="0"/>
    <x v="2"/>
    <x v="5"/>
    <x v="0"/>
    <x v="1"/>
    <x v="11"/>
    <x v="17"/>
    <x v="11"/>
    <x v="270"/>
    <x v="240"/>
    <x v="796"/>
    <x v="564"/>
  </r>
  <r>
    <x v="2254"/>
    <x v="611"/>
    <x v="1"/>
    <x v="3"/>
    <x v="10"/>
    <x v="9"/>
    <x v="22"/>
    <x v="3"/>
    <x v="3"/>
    <x v="1"/>
    <x v="2"/>
    <x v="5"/>
    <x v="4"/>
    <x v="9"/>
    <x v="19"/>
    <x v="11"/>
    <x v="9"/>
    <x v="322"/>
    <x v="291"/>
    <x v="226"/>
    <x v="649"/>
  </r>
  <r>
    <x v="2255"/>
    <x v="618"/>
    <x v="1"/>
    <x v="3"/>
    <x v="10"/>
    <x v="9"/>
    <x v="22"/>
    <x v="3"/>
    <x v="3"/>
    <x v="0"/>
    <x v="2"/>
    <x v="5"/>
    <x v="4"/>
    <x v="9"/>
    <x v="16"/>
    <x v="11"/>
    <x v="9"/>
    <x v="264"/>
    <x v="254"/>
    <x v="778"/>
    <x v="490"/>
  </r>
  <r>
    <x v="2256"/>
    <x v="598"/>
    <x v="1"/>
    <x v="3"/>
    <x v="10"/>
    <x v="9"/>
    <x v="22"/>
    <x v="3"/>
    <x v="3"/>
    <x v="1"/>
    <x v="1"/>
    <x v="3"/>
    <x v="7"/>
    <x v="15"/>
    <x v="25"/>
    <x v="20"/>
    <x v="13"/>
    <x v="547"/>
    <x v="506"/>
    <x v="530"/>
    <x v="1066"/>
  </r>
  <r>
    <x v="2257"/>
    <x v="605"/>
    <x v="1"/>
    <x v="3"/>
    <x v="10"/>
    <x v="9"/>
    <x v="22"/>
    <x v="3"/>
    <x v="3"/>
    <x v="0"/>
    <x v="1"/>
    <x v="3"/>
    <x v="7"/>
    <x v="15"/>
    <x v="16"/>
    <x v="20"/>
    <x v="13"/>
    <x v="405"/>
    <x v="386"/>
    <x v="966"/>
    <x v="729"/>
  </r>
  <r>
    <x v="2258"/>
    <x v="612"/>
    <x v="1"/>
    <x v="3"/>
    <x v="10"/>
    <x v="9"/>
    <x v="22"/>
    <x v="3"/>
    <x v="3"/>
    <x v="1"/>
    <x v="1"/>
    <x v="3"/>
    <x v="6"/>
    <x v="13"/>
    <x v="25"/>
    <x v="5"/>
    <x v="3"/>
    <x v="132"/>
    <x v="113"/>
    <x v="77"/>
    <x v="341"/>
  </r>
  <r>
    <x v="2259"/>
    <x v="619"/>
    <x v="1"/>
    <x v="3"/>
    <x v="10"/>
    <x v="9"/>
    <x v="22"/>
    <x v="3"/>
    <x v="3"/>
    <x v="0"/>
    <x v="1"/>
    <x v="3"/>
    <x v="6"/>
    <x v="13"/>
    <x v="19"/>
    <x v="5"/>
    <x v="3"/>
    <x v="82"/>
    <x v="72"/>
    <x v="440"/>
    <x v="189"/>
  </r>
  <r>
    <x v="2260"/>
    <x v="599"/>
    <x v="1"/>
    <x v="3"/>
    <x v="10"/>
    <x v="9"/>
    <x v="22"/>
    <x v="2"/>
    <x v="2"/>
    <x v="1"/>
    <x v="3"/>
    <x v="7"/>
    <x v="1"/>
    <x v="3"/>
    <x v="5"/>
    <x v="26"/>
    <x v="17"/>
    <x v="773"/>
    <x v="702"/>
    <x v="917"/>
    <x v="1430"/>
  </r>
  <r>
    <x v="2261"/>
    <x v="606"/>
    <x v="1"/>
    <x v="3"/>
    <x v="10"/>
    <x v="9"/>
    <x v="22"/>
    <x v="2"/>
    <x v="2"/>
    <x v="0"/>
    <x v="3"/>
    <x v="7"/>
    <x v="1"/>
    <x v="3"/>
    <x v="4"/>
    <x v="26"/>
    <x v="17"/>
    <x v="742"/>
    <x v="679"/>
    <x v="1236"/>
    <x v="1311"/>
  </r>
  <r>
    <x v="2262"/>
    <x v="613"/>
    <x v="1"/>
    <x v="3"/>
    <x v="10"/>
    <x v="9"/>
    <x v="22"/>
    <x v="2"/>
    <x v="2"/>
    <x v="1"/>
    <x v="3"/>
    <x v="7"/>
    <x v="2"/>
    <x v="5"/>
    <x v="7"/>
    <x v="23"/>
    <x v="15"/>
    <x v="590"/>
    <x v="556"/>
    <x v="604"/>
    <x v="1119"/>
  </r>
  <r>
    <x v="2263"/>
    <x v="620"/>
    <x v="1"/>
    <x v="3"/>
    <x v="10"/>
    <x v="9"/>
    <x v="22"/>
    <x v="2"/>
    <x v="2"/>
    <x v="0"/>
    <x v="3"/>
    <x v="7"/>
    <x v="2"/>
    <x v="5"/>
    <x v="4"/>
    <x v="23"/>
    <x v="15"/>
    <x v="454"/>
    <x v="442"/>
    <x v="1019"/>
    <x v="790"/>
  </r>
  <r>
    <x v="2264"/>
    <x v="600"/>
    <x v="1"/>
    <x v="3"/>
    <x v="10"/>
    <x v="9"/>
    <x v="22"/>
    <x v="2"/>
    <x v="2"/>
    <x v="1"/>
    <x v="3"/>
    <x v="7"/>
    <x v="5"/>
    <x v="11"/>
    <x v="7"/>
    <x v="29"/>
    <x v="19"/>
    <x v="830"/>
    <x v="745"/>
    <x v="1104"/>
    <x v="1530"/>
  </r>
  <r>
    <x v="2265"/>
    <x v="607"/>
    <x v="1"/>
    <x v="3"/>
    <x v="10"/>
    <x v="9"/>
    <x v="22"/>
    <x v="2"/>
    <x v="2"/>
    <x v="0"/>
    <x v="3"/>
    <x v="7"/>
    <x v="5"/>
    <x v="11"/>
    <x v="4"/>
    <x v="29"/>
    <x v="19"/>
    <x v="795"/>
    <x v="726"/>
    <x v="1282"/>
    <x v="1361"/>
  </r>
  <r>
    <x v="2266"/>
    <x v="614"/>
    <x v="1"/>
    <x v="3"/>
    <x v="10"/>
    <x v="9"/>
    <x v="22"/>
    <x v="2"/>
    <x v="2"/>
    <x v="1"/>
    <x v="0"/>
    <x v="1"/>
    <x v="3"/>
    <x v="7"/>
    <x v="39"/>
    <x v="2"/>
    <x v="1"/>
    <x v="179"/>
    <x v="140"/>
    <x v="116"/>
    <x v="495"/>
  </r>
  <r>
    <x v="2267"/>
    <x v="594"/>
    <x v="1"/>
    <x v="3"/>
    <x v="10"/>
    <x v="9"/>
    <x v="22"/>
    <x v="2"/>
    <x v="2"/>
    <x v="0"/>
    <x v="0"/>
    <x v="1"/>
    <x v="3"/>
    <x v="7"/>
    <x v="19"/>
    <x v="2"/>
    <x v="1"/>
    <x v="49"/>
    <x v="42"/>
    <x v="337"/>
    <x v="129"/>
  </r>
  <r>
    <x v="2268"/>
    <x v="601"/>
    <x v="1"/>
    <x v="3"/>
    <x v="10"/>
    <x v="9"/>
    <x v="22"/>
    <x v="2"/>
    <x v="2"/>
    <x v="1"/>
    <x v="0"/>
    <x v="1"/>
    <x v="8"/>
    <x v="17"/>
    <x v="35"/>
    <x v="14"/>
    <x v="8"/>
    <x v="549"/>
    <x v="466"/>
    <x v="532"/>
    <x v="1180"/>
  </r>
  <r>
    <x v="2269"/>
    <x v="608"/>
    <x v="1"/>
    <x v="3"/>
    <x v="10"/>
    <x v="9"/>
    <x v="22"/>
    <x v="2"/>
    <x v="2"/>
    <x v="0"/>
    <x v="0"/>
    <x v="1"/>
    <x v="8"/>
    <x v="17"/>
    <x v="21"/>
    <x v="14"/>
    <x v="8"/>
    <x v="379"/>
    <x v="318"/>
    <x v="936"/>
    <x v="829"/>
  </r>
  <r>
    <x v="2270"/>
    <x v="615"/>
    <x v="1"/>
    <x v="3"/>
    <x v="10"/>
    <x v="9"/>
    <x v="22"/>
    <x v="2"/>
    <x v="2"/>
    <x v="1"/>
    <x v="0"/>
    <x v="1"/>
    <x v="9"/>
    <x v="19"/>
    <x v="29"/>
    <x v="8"/>
    <x v="5"/>
    <x v="354"/>
    <x v="315"/>
    <x v="268"/>
    <x v="772"/>
  </r>
  <r>
    <x v="2271"/>
    <x v="595"/>
    <x v="1"/>
    <x v="3"/>
    <x v="10"/>
    <x v="9"/>
    <x v="22"/>
    <x v="2"/>
    <x v="2"/>
    <x v="0"/>
    <x v="0"/>
    <x v="1"/>
    <x v="9"/>
    <x v="19"/>
    <x v="26"/>
    <x v="8"/>
    <x v="5"/>
    <x v="331"/>
    <x v="289"/>
    <x v="849"/>
    <x v="633"/>
  </r>
  <r>
    <x v="2272"/>
    <x v="602"/>
    <x v="1"/>
    <x v="3"/>
    <x v="10"/>
    <x v="9"/>
    <x v="22"/>
    <x v="2"/>
    <x v="2"/>
    <x v="1"/>
    <x v="2"/>
    <x v="5"/>
    <x v="0"/>
    <x v="1"/>
    <x v="13"/>
    <x v="17"/>
    <x v="11"/>
    <x v="325"/>
    <x v="276"/>
    <x v="229"/>
    <x v="721"/>
  </r>
  <r>
    <x v="2273"/>
    <x v="609"/>
    <x v="1"/>
    <x v="3"/>
    <x v="10"/>
    <x v="9"/>
    <x v="22"/>
    <x v="2"/>
    <x v="2"/>
    <x v="0"/>
    <x v="2"/>
    <x v="5"/>
    <x v="0"/>
    <x v="1"/>
    <x v="11"/>
    <x v="17"/>
    <x v="11"/>
    <x v="270"/>
    <x v="240"/>
    <x v="796"/>
    <x v="564"/>
  </r>
  <r>
    <x v="2274"/>
    <x v="616"/>
    <x v="1"/>
    <x v="3"/>
    <x v="10"/>
    <x v="9"/>
    <x v="22"/>
    <x v="2"/>
    <x v="2"/>
    <x v="1"/>
    <x v="2"/>
    <x v="5"/>
    <x v="4"/>
    <x v="9"/>
    <x v="16"/>
    <x v="11"/>
    <x v="9"/>
    <x v="264"/>
    <x v="254"/>
    <x v="188"/>
    <x v="549"/>
  </r>
  <r>
    <x v="2275"/>
    <x v="596"/>
    <x v="1"/>
    <x v="3"/>
    <x v="10"/>
    <x v="9"/>
    <x v="22"/>
    <x v="2"/>
    <x v="2"/>
    <x v="0"/>
    <x v="2"/>
    <x v="5"/>
    <x v="4"/>
    <x v="9"/>
    <x v="9"/>
    <x v="11"/>
    <x v="9"/>
    <x v="128"/>
    <x v="131"/>
    <x v="565"/>
    <x v="227"/>
  </r>
  <r>
    <x v="2276"/>
    <x v="603"/>
    <x v="1"/>
    <x v="3"/>
    <x v="10"/>
    <x v="9"/>
    <x v="22"/>
    <x v="2"/>
    <x v="2"/>
    <x v="1"/>
    <x v="1"/>
    <x v="3"/>
    <x v="7"/>
    <x v="15"/>
    <x v="19"/>
    <x v="20"/>
    <x v="13"/>
    <x v="457"/>
    <x v="432"/>
    <x v="405"/>
    <x v="900"/>
  </r>
  <r>
    <x v="2277"/>
    <x v="610"/>
    <x v="1"/>
    <x v="3"/>
    <x v="10"/>
    <x v="9"/>
    <x v="22"/>
    <x v="2"/>
    <x v="2"/>
    <x v="0"/>
    <x v="1"/>
    <x v="3"/>
    <x v="7"/>
    <x v="15"/>
    <x v="12"/>
    <x v="20"/>
    <x v="13"/>
    <x v="330"/>
    <x v="307"/>
    <x v="848"/>
    <x v="568"/>
  </r>
  <r>
    <x v="2278"/>
    <x v="617"/>
    <x v="1"/>
    <x v="3"/>
    <x v="10"/>
    <x v="9"/>
    <x v="22"/>
    <x v="2"/>
    <x v="2"/>
    <x v="1"/>
    <x v="1"/>
    <x v="3"/>
    <x v="6"/>
    <x v="13"/>
    <x v="23"/>
    <x v="5"/>
    <x v="3"/>
    <x v="115"/>
    <x v="100"/>
    <x v="64"/>
    <x v="300"/>
  </r>
  <r>
    <x v="2279"/>
    <x v="597"/>
    <x v="1"/>
    <x v="3"/>
    <x v="10"/>
    <x v="9"/>
    <x v="22"/>
    <x v="2"/>
    <x v="2"/>
    <x v="0"/>
    <x v="1"/>
    <x v="3"/>
    <x v="6"/>
    <x v="13"/>
    <x v="11"/>
    <x v="5"/>
    <x v="3"/>
    <x v="26"/>
    <x v="27"/>
    <x v="234"/>
    <x v="60"/>
  </r>
  <r>
    <x v="2280"/>
    <x v="604"/>
    <x v="1"/>
    <x v="3"/>
    <x v="10"/>
    <x v="9"/>
    <x v="22"/>
    <x v="4"/>
    <x v="4"/>
    <x v="1"/>
    <x v="3"/>
    <x v="7"/>
    <x v="1"/>
    <x v="3"/>
    <x v="7"/>
    <x v="26"/>
    <x v="17"/>
    <x v="805"/>
    <x v="725"/>
    <x v="1018"/>
    <x v="1503"/>
  </r>
  <r>
    <x v="2281"/>
    <x v="611"/>
    <x v="1"/>
    <x v="3"/>
    <x v="10"/>
    <x v="9"/>
    <x v="22"/>
    <x v="4"/>
    <x v="4"/>
    <x v="0"/>
    <x v="3"/>
    <x v="7"/>
    <x v="1"/>
    <x v="3"/>
    <x v="4"/>
    <x v="26"/>
    <x v="17"/>
    <x v="742"/>
    <x v="679"/>
    <x v="1236"/>
    <x v="1311"/>
  </r>
  <r>
    <x v="2282"/>
    <x v="618"/>
    <x v="1"/>
    <x v="3"/>
    <x v="10"/>
    <x v="9"/>
    <x v="22"/>
    <x v="4"/>
    <x v="4"/>
    <x v="1"/>
    <x v="3"/>
    <x v="7"/>
    <x v="2"/>
    <x v="5"/>
    <x v="6"/>
    <x v="23"/>
    <x v="15"/>
    <x v="555"/>
    <x v="520"/>
    <x v="540"/>
    <x v="1051"/>
  </r>
  <r>
    <x v="2283"/>
    <x v="598"/>
    <x v="1"/>
    <x v="3"/>
    <x v="10"/>
    <x v="9"/>
    <x v="22"/>
    <x v="4"/>
    <x v="4"/>
    <x v="0"/>
    <x v="3"/>
    <x v="7"/>
    <x v="2"/>
    <x v="5"/>
    <x v="3"/>
    <x v="23"/>
    <x v="15"/>
    <x v="390"/>
    <x v="385"/>
    <x v="948"/>
    <x v="667"/>
  </r>
  <r>
    <x v="2284"/>
    <x v="605"/>
    <x v="1"/>
    <x v="3"/>
    <x v="10"/>
    <x v="9"/>
    <x v="22"/>
    <x v="4"/>
    <x v="4"/>
    <x v="1"/>
    <x v="3"/>
    <x v="7"/>
    <x v="5"/>
    <x v="11"/>
    <x v="5"/>
    <x v="29"/>
    <x v="19"/>
    <x v="810"/>
    <x v="732"/>
    <x v="1040"/>
    <x v="1464"/>
  </r>
  <r>
    <x v="2285"/>
    <x v="612"/>
    <x v="1"/>
    <x v="3"/>
    <x v="10"/>
    <x v="9"/>
    <x v="22"/>
    <x v="4"/>
    <x v="4"/>
    <x v="0"/>
    <x v="3"/>
    <x v="7"/>
    <x v="5"/>
    <x v="11"/>
    <x v="4"/>
    <x v="29"/>
    <x v="19"/>
    <x v="795"/>
    <x v="726"/>
    <x v="1282"/>
    <x v="1361"/>
  </r>
  <r>
    <x v="2286"/>
    <x v="619"/>
    <x v="1"/>
    <x v="3"/>
    <x v="10"/>
    <x v="9"/>
    <x v="22"/>
    <x v="4"/>
    <x v="4"/>
    <x v="1"/>
    <x v="0"/>
    <x v="1"/>
    <x v="3"/>
    <x v="7"/>
    <x v="36"/>
    <x v="2"/>
    <x v="1"/>
    <x v="162"/>
    <x v="122"/>
    <x v="100"/>
    <x v="452"/>
  </r>
  <r>
    <x v="2287"/>
    <x v="599"/>
    <x v="1"/>
    <x v="3"/>
    <x v="10"/>
    <x v="9"/>
    <x v="22"/>
    <x v="4"/>
    <x v="4"/>
    <x v="0"/>
    <x v="0"/>
    <x v="1"/>
    <x v="3"/>
    <x v="7"/>
    <x v="24"/>
    <x v="2"/>
    <x v="1"/>
    <x v="81"/>
    <x v="64"/>
    <x v="436"/>
    <x v="215"/>
  </r>
  <r>
    <x v="2288"/>
    <x v="606"/>
    <x v="1"/>
    <x v="3"/>
    <x v="10"/>
    <x v="9"/>
    <x v="22"/>
    <x v="4"/>
    <x v="4"/>
    <x v="1"/>
    <x v="0"/>
    <x v="1"/>
    <x v="8"/>
    <x v="17"/>
    <x v="30"/>
    <x v="14"/>
    <x v="8"/>
    <x v="494"/>
    <x v="418"/>
    <x v="454"/>
    <x v="1091"/>
  </r>
  <r>
    <x v="2289"/>
    <x v="613"/>
    <x v="1"/>
    <x v="3"/>
    <x v="10"/>
    <x v="9"/>
    <x v="22"/>
    <x v="4"/>
    <x v="4"/>
    <x v="0"/>
    <x v="0"/>
    <x v="1"/>
    <x v="8"/>
    <x v="17"/>
    <x v="21"/>
    <x v="14"/>
    <x v="8"/>
    <x v="379"/>
    <x v="318"/>
    <x v="936"/>
    <x v="829"/>
  </r>
  <r>
    <x v="2290"/>
    <x v="620"/>
    <x v="1"/>
    <x v="3"/>
    <x v="10"/>
    <x v="9"/>
    <x v="22"/>
    <x v="4"/>
    <x v="4"/>
    <x v="1"/>
    <x v="0"/>
    <x v="1"/>
    <x v="9"/>
    <x v="19"/>
    <x v="39"/>
    <x v="8"/>
    <x v="5"/>
    <x v="450"/>
    <x v="407"/>
    <x v="394"/>
    <x v="944"/>
  </r>
  <r>
    <x v="2291"/>
    <x v="600"/>
    <x v="1"/>
    <x v="3"/>
    <x v="10"/>
    <x v="9"/>
    <x v="22"/>
    <x v="4"/>
    <x v="4"/>
    <x v="0"/>
    <x v="0"/>
    <x v="1"/>
    <x v="9"/>
    <x v="19"/>
    <x v="22"/>
    <x v="8"/>
    <x v="5"/>
    <x v="272"/>
    <x v="248"/>
    <x v="796"/>
    <x v="541"/>
  </r>
  <r>
    <x v="2292"/>
    <x v="607"/>
    <x v="1"/>
    <x v="3"/>
    <x v="10"/>
    <x v="9"/>
    <x v="22"/>
    <x v="4"/>
    <x v="4"/>
    <x v="1"/>
    <x v="2"/>
    <x v="5"/>
    <x v="0"/>
    <x v="1"/>
    <x v="16"/>
    <x v="17"/>
    <x v="11"/>
    <x v="376"/>
    <x v="330"/>
    <x v="303"/>
    <x v="839"/>
  </r>
  <r>
    <x v="2293"/>
    <x v="614"/>
    <x v="1"/>
    <x v="3"/>
    <x v="10"/>
    <x v="9"/>
    <x v="22"/>
    <x v="4"/>
    <x v="4"/>
    <x v="0"/>
    <x v="2"/>
    <x v="5"/>
    <x v="0"/>
    <x v="1"/>
    <x v="9"/>
    <x v="17"/>
    <x v="11"/>
    <x v="221"/>
    <x v="199"/>
    <x v="709"/>
    <x v="463"/>
  </r>
  <r>
    <x v="2294"/>
    <x v="594"/>
    <x v="1"/>
    <x v="3"/>
    <x v="10"/>
    <x v="9"/>
    <x v="22"/>
    <x v="4"/>
    <x v="4"/>
    <x v="1"/>
    <x v="2"/>
    <x v="5"/>
    <x v="4"/>
    <x v="9"/>
    <x v="15"/>
    <x v="11"/>
    <x v="9"/>
    <x v="251"/>
    <x v="235"/>
    <x v="172"/>
    <x v="527"/>
  </r>
  <r>
    <x v="2295"/>
    <x v="601"/>
    <x v="1"/>
    <x v="3"/>
    <x v="10"/>
    <x v="9"/>
    <x v="22"/>
    <x v="4"/>
    <x v="4"/>
    <x v="0"/>
    <x v="2"/>
    <x v="5"/>
    <x v="4"/>
    <x v="9"/>
    <x v="10"/>
    <x v="11"/>
    <x v="9"/>
    <x v="151"/>
    <x v="151"/>
    <x v="607"/>
    <x v="264"/>
  </r>
  <r>
    <x v="2296"/>
    <x v="608"/>
    <x v="1"/>
    <x v="3"/>
    <x v="10"/>
    <x v="9"/>
    <x v="22"/>
    <x v="4"/>
    <x v="4"/>
    <x v="1"/>
    <x v="1"/>
    <x v="3"/>
    <x v="7"/>
    <x v="15"/>
    <x v="22"/>
    <x v="20"/>
    <x v="13"/>
    <x v="505"/>
    <x v="474"/>
    <x v="470"/>
    <x v="984"/>
  </r>
  <r>
    <x v="2297"/>
    <x v="615"/>
    <x v="1"/>
    <x v="3"/>
    <x v="10"/>
    <x v="9"/>
    <x v="22"/>
    <x v="4"/>
    <x v="4"/>
    <x v="0"/>
    <x v="1"/>
    <x v="3"/>
    <x v="7"/>
    <x v="15"/>
    <x v="10"/>
    <x v="20"/>
    <x v="13"/>
    <x v="271"/>
    <x v="267"/>
    <x v="796"/>
    <x v="474"/>
  </r>
  <r>
    <x v="2298"/>
    <x v="595"/>
    <x v="1"/>
    <x v="3"/>
    <x v="10"/>
    <x v="9"/>
    <x v="22"/>
    <x v="4"/>
    <x v="4"/>
    <x v="1"/>
    <x v="1"/>
    <x v="3"/>
    <x v="6"/>
    <x v="13"/>
    <x v="17"/>
    <x v="5"/>
    <x v="3"/>
    <x v="66"/>
    <x v="60"/>
    <x v="29"/>
    <x v="184"/>
  </r>
  <r>
    <x v="2299"/>
    <x v="602"/>
    <x v="1"/>
    <x v="3"/>
    <x v="10"/>
    <x v="9"/>
    <x v="22"/>
    <x v="4"/>
    <x v="4"/>
    <x v="0"/>
    <x v="1"/>
    <x v="3"/>
    <x v="6"/>
    <x v="13"/>
    <x v="12"/>
    <x v="5"/>
    <x v="3"/>
    <x v="32"/>
    <x v="34"/>
    <x v="258"/>
    <x v="72"/>
  </r>
  <r>
    <x v="2300"/>
    <x v="636"/>
    <x v="1"/>
    <x v="3"/>
    <x v="11"/>
    <x v="2"/>
    <x v="23"/>
    <x v="0"/>
    <x v="0"/>
    <x v="1"/>
    <x v="3"/>
    <x v="7"/>
    <x v="1"/>
    <x v="3"/>
    <x v="29"/>
    <x v="26"/>
    <x v="17"/>
    <x v="885"/>
    <x v="785"/>
    <x v="1274"/>
    <x v="1621"/>
  </r>
  <r>
    <x v="2301"/>
    <x v="643"/>
    <x v="1"/>
    <x v="3"/>
    <x v="11"/>
    <x v="2"/>
    <x v="23"/>
    <x v="0"/>
    <x v="0"/>
    <x v="0"/>
    <x v="3"/>
    <x v="7"/>
    <x v="1"/>
    <x v="3"/>
    <x v="17"/>
    <x v="26"/>
    <x v="17"/>
    <x v="857"/>
    <x v="761"/>
    <x v="1326"/>
    <x v="1584"/>
  </r>
  <r>
    <x v="2302"/>
    <x v="623"/>
    <x v="1"/>
    <x v="3"/>
    <x v="11"/>
    <x v="2"/>
    <x v="23"/>
    <x v="0"/>
    <x v="0"/>
    <x v="1"/>
    <x v="3"/>
    <x v="7"/>
    <x v="2"/>
    <x v="5"/>
    <x v="29"/>
    <x v="23"/>
    <x v="15"/>
    <x v="824"/>
    <x v="736"/>
    <x v="1086"/>
    <x v="1555"/>
  </r>
  <r>
    <x v="2303"/>
    <x v="630"/>
    <x v="1"/>
    <x v="3"/>
    <x v="11"/>
    <x v="2"/>
    <x v="23"/>
    <x v="0"/>
    <x v="0"/>
    <x v="0"/>
    <x v="3"/>
    <x v="7"/>
    <x v="2"/>
    <x v="5"/>
    <x v="22"/>
    <x v="23"/>
    <x v="15"/>
    <x v="806"/>
    <x v="723"/>
    <x v="1292"/>
    <x v="1478"/>
  </r>
  <r>
    <x v="2304"/>
    <x v="637"/>
    <x v="1"/>
    <x v="3"/>
    <x v="11"/>
    <x v="2"/>
    <x v="23"/>
    <x v="0"/>
    <x v="0"/>
    <x v="1"/>
    <x v="3"/>
    <x v="7"/>
    <x v="5"/>
    <x v="11"/>
    <x v="32"/>
    <x v="29"/>
    <x v="19"/>
    <x v="890"/>
    <x v="794"/>
    <x v="1306"/>
    <x v="1623"/>
  </r>
  <r>
    <x v="2305"/>
    <x v="644"/>
    <x v="1"/>
    <x v="3"/>
    <x v="11"/>
    <x v="2"/>
    <x v="23"/>
    <x v="0"/>
    <x v="0"/>
    <x v="0"/>
    <x v="3"/>
    <x v="7"/>
    <x v="5"/>
    <x v="11"/>
    <x v="19"/>
    <x v="29"/>
    <x v="19"/>
    <x v="881"/>
    <x v="786"/>
    <x v="1337"/>
    <x v="1604"/>
  </r>
  <r>
    <x v="2306"/>
    <x v="624"/>
    <x v="1"/>
    <x v="3"/>
    <x v="11"/>
    <x v="2"/>
    <x v="23"/>
    <x v="0"/>
    <x v="0"/>
    <x v="1"/>
    <x v="0"/>
    <x v="1"/>
    <x v="3"/>
    <x v="7"/>
    <x v="109"/>
    <x v="2"/>
    <x v="1"/>
    <x v="530"/>
    <x v="433"/>
    <x v="506"/>
    <x v="1178"/>
  </r>
  <r>
    <x v="2307"/>
    <x v="631"/>
    <x v="1"/>
    <x v="3"/>
    <x v="11"/>
    <x v="2"/>
    <x v="23"/>
    <x v="0"/>
    <x v="0"/>
    <x v="0"/>
    <x v="0"/>
    <x v="1"/>
    <x v="3"/>
    <x v="7"/>
    <x v="89"/>
    <x v="2"/>
    <x v="1"/>
    <x v="439"/>
    <x v="355"/>
    <x v="1008"/>
    <x v="973"/>
  </r>
  <r>
    <x v="2308"/>
    <x v="638"/>
    <x v="1"/>
    <x v="3"/>
    <x v="11"/>
    <x v="2"/>
    <x v="23"/>
    <x v="0"/>
    <x v="0"/>
    <x v="1"/>
    <x v="0"/>
    <x v="1"/>
    <x v="8"/>
    <x v="17"/>
    <x v="115"/>
    <x v="14"/>
    <x v="8"/>
    <x v="819"/>
    <x v="722"/>
    <x v="1068"/>
    <x v="1570"/>
  </r>
  <r>
    <x v="2309"/>
    <x v="645"/>
    <x v="1"/>
    <x v="3"/>
    <x v="11"/>
    <x v="2"/>
    <x v="23"/>
    <x v="0"/>
    <x v="0"/>
    <x v="0"/>
    <x v="0"/>
    <x v="1"/>
    <x v="8"/>
    <x v="17"/>
    <x v="98"/>
    <x v="14"/>
    <x v="8"/>
    <x v="794"/>
    <x v="694"/>
    <x v="1280"/>
    <x v="1523"/>
  </r>
  <r>
    <x v="2310"/>
    <x v="625"/>
    <x v="1"/>
    <x v="3"/>
    <x v="11"/>
    <x v="2"/>
    <x v="23"/>
    <x v="0"/>
    <x v="0"/>
    <x v="1"/>
    <x v="0"/>
    <x v="1"/>
    <x v="9"/>
    <x v="19"/>
    <x v="114"/>
    <x v="8"/>
    <x v="5"/>
    <x v="776"/>
    <x v="688"/>
    <x v="926"/>
    <x v="1487"/>
  </r>
  <r>
    <x v="2311"/>
    <x v="632"/>
    <x v="1"/>
    <x v="3"/>
    <x v="11"/>
    <x v="2"/>
    <x v="23"/>
    <x v="0"/>
    <x v="0"/>
    <x v="0"/>
    <x v="0"/>
    <x v="1"/>
    <x v="9"/>
    <x v="19"/>
    <x v="79"/>
    <x v="8"/>
    <x v="5"/>
    <x v="673"/>
    <x v="596"/>
    <x v="1184"/>
    <x v="1284"/>
  </r>
  <r>
    <x v="2312"/>
    <x v="639"/>
    <x v="1"/>
    <x v="3"/>
    <x v="11"/>
    <x v="2"/>
    <x v="23"/>
    <x v="0"/>
    <x v="0"/>
    <x v="1"/>
    <x v="2"/>
    <x v="5"/>
    <x v="0"/>
    <x v="1"/>
    <x v="54"/>
    <x v="17"/>
    <x v="11"/>
    <x v="730"/>
    <x v="642"/>
    <x v="821"/>
    <x v="1435"/>
  </r>
  <r>
    <x v="2313"/>
    <x v="646"/>
    <x v="1"/>
    <x v="3"/>
    <x v="11"/>
    <x v="2"/>
    <x v="23"/>
    <x v="0"/>
    <x v="0"/>
    <x v="0"/>
    <x v="2"/>
    <x v="5"/>
    <x v="0"/>
    <x v="1"/>
    <x v="45"/>
    <x v="17"/>
    <x v="11"/>
    <x v="687"/>
    <x v="601"/>
    <x v="1192"/>
    <x v="1318"/>
  </r>
  <r>
    <x v="2314"/>
    <x v="626"/>
    <x v="1"/>
    <x v="3"/>
    <x v="11"/>
    <x v="2"/>
    <x v="23"/>
    <x v="0"/>
    <x v="0"/>
    <x v="1"/>
    <x v="2"/>
    <x v="5"/>
    <x v="4"/>
    <x v="9"/>
    <x v="66"/>
    <x v="11"/>
    <x v="9"/>
    <x v="694"/>
    <x v="621"/>
    <x v="752"/>
    <x v="1333"/>
  </r>
  <r>
    <x v="2315"/>
    <x v="633"/>
    <x v="1"/>
    <x v="3"/>
    <x v="11"/>
    <x v="2"/>
    <x v="23"/>
    <x v="0"/>
    <x v="0"/>
    <x v="0"/>
    <x v="2"/>
    <x v="5"/>
    <x v="4"/>
    <x v="9"/>
    <x v="48"/>
    <x v="11"/>
    <x v="9"/>
    <x v="608"/>
    <x v="550"/>
    <x v="1138"/>
    <x v="1156"/>
  </r>
  <r>
    <x v="2316"/>
    <x v="640"/>
    <x v="1"/>
    <x v="3"/>
    <x v="11"/>
    <x v="2"/>
    <x v="23"/>
    <x v="0"/>
    <x v="0"/>
    <x v="1"/>
    <x v="1"/>
    <x v="3"/>
    <x v="7"/>
    <x v="15"/>
    <x v="69"/>
    <x v="20"/>
    <x v="13"/>
    <x v="788"/>
    <x v="705"/>
    <x v="958"/>
    <x v="1480"/>
  </r>
  <r>
    <x v="2317"/>
    <x v="647"/>
    <x v="1"/>
    <x v="3"/>
    <x v="11"/>
    <x v="2"/>
    <x v="23"/>
    <x v="0"/>
    <x v="0"/>
    <x v="0"/>
    <x v="1"/>
    <x v="3"/>
    <x v="7"/>
    <x v="15"/>
    <x v="57"/>
    <x v="20"/>
    <x v="13"/>
    <x v="753"/>
    <x v="680"/>
    <x v="1248"/>
    <x v="1389"/>
  </r>
  <r>
    <x v="2318"/>
    <x v="627"/>
    <x v="1"/>
    <x v="3"/>
    <x v="11"/>
    <x v="2"/>
    <x v="23"/>
    <x v="0"/>
    <x v="0"/>
    <x v="1"/>
    <x v="1"/>
    <x v="3"/>
    <x v="6"/>
    <x v="13"/>
    <x v="84"/>
    <x v="5"/>
    <x v="3"/>
    <x v="501"/>
    <x v="423"/>
    <x v="463"/>
    <x v="1093"/>
  </r>
  <r>
    <x v="2319"/>
    <x v="634"/>
    <x v="1"/>
    <x v="3"/>
    <x v="11"/>
    <x v="2"/>
    <x v="23"/>
    <x v="0"/>
    <x v="0"/>
    <x v="0"/>
    <x v="1"/>
    <x v="3"/>
    <x v="6"/>
    <x v="13"/>
    <x v="45"/>
    <x v="5"/>
    <x v="3"/>
    <x v="287"/>
    <x v="245"/>
    <x v="813"/>
    <x v="628"/>
  </r>
  <r>
    <x v="2320"/>
    <x v="641"/>
    <x v="1"/>
    <x v="3"/>
    <x v="11"/>
    <x v="2"/>
    <x v="23"/>
    <x v="1"/>
    <x v="1"/>
    <x v="1"/>
    <x v="3"/>
    <x v="7"/>
    <x v="1"/>
    <x v="3"/>
    <x v="13"/>
    <x v="26"/>
    <x v="17"/>
    <x v="843"/>
    <x v="749"/>
    <x v="1152"/>
    <x v="1575"/>
  </r>
  <r>
    <x v="2321"/>
    <x v="621"/>
    <x v="1"/>
    <x v="3"/>
    <x v="11"/>
    <x v="2"/>
    <x v="23"/>
    <x v="1"/>
    <x v="1"/>
    <x v="0"/>
    <x v="3"/>
    <x v="7"/>
    <x v="1"/>
    <x v="3"/>
    <x v="10"/>
    <x v="26"/>
    <x v="17"/>
    <x v="828"/>
    <x v="740"/>
    <x v="1310"/>
    <x v="1531"/>
  </r>
  <r>
    <x v="2322"/>
    <x v="628"/>
    <x v="1"/>
    <x v="3"/>
    <x v="11"/>
    <x v="2"/>
    <x v="23"/>
    <x v="1"/>
    <x v="1"/>
    <x v="1"/>
    <x v="3"/>
    <x v="7"/>
    <x v="2"/>
    <x v="5"/>
    <x v="16"/>
    <x v="23"/>
    <x v="15"/>
    <x v="764"/>
    <x v="693"/>
    <x v="896"/>
    <x v="1432"/>
  </r>
  <r>
    <x v="2323"/>
    <x v="635"/>
    <x v="1"/>
    <x v="3"/>
    <x v="11"/>
    <x v="2"/>
    <x v="23"/>
    <x v="1"/>
    <x v="1"/>
    <x v="0"/>
    <x v="3"/>
    <x v="7"/>
    <x v="2"/>
    <x v="5"/>
    <x v="10"/>
    <x v="23"/>
    <x v="15"/>
    <x v="674"/>
    <x v="622"/>
    <x v="1185"/>
    <x v="1218"/>
  </r>
  <r>
    <x v="2324"/>
    <x v="642"/>
    <x v="1"/>
    <x v="3"/>
    <x v="11"/>
    <x v="2"/>
    <x v="23"/>
    <x v="1"/>
    <x v="1"/>
    <x v="1"/>
    <x v="3"/>
    <x v="7"/>
    <x v="5"/>
    <x v="11"/>
    <x v="17"/>
    <x v="29"/>
    <x v="19"/>
    <x v="875"/>
    <x v="781"/>
    <x v="1251"/>
    <x v="1608"/>
  </r>
  <r>
    <x v="2325"/>
    <x v="622"/>
    <x v="1"/>
    <x v="3"/>
    <x v="11"/>
    <x v="2"/>
    <x v="23"/>
    <x v="1"/>
    <x v="1"/>
    <x v="0"/>
    <x v="3"/>
    <x v="7"/>
    <x v="5"/>
    <x v="11"/>
    <x v="9"/>
    <x v="29"/>
    <x v="19"/>
    <x v="844"/>
    <x v="754"/>
    <x v="1320"/>
    <x v="1535"/>
  </r>
  <r>
    <x v="2326"/>
    <x v="629"/>
    <x v="1"/>
    <x v="3"/>
    <x v="11"/>
    <x v="2"/>
    <x v="23"/>
    <x v="1"/>
    <x v="1"/>
    <x v="1"/>
    <x v="0"/>
    <x v="1"/>
    <x v="3"/>
    <x v="7"/>
    <x v="85"/>
    <x v="2"/>
    <x v="1"/>
    <x v="423"/>
    <x v="341"/>
    <x v="367"/>
    <x v="995"/>
  </r>
  <r>
    <x v="2327"/>
    <x v="636"/>
    <x v="1"/>
    <x v="3"/>
    <x v="11"/>
    <x v="2"/>
    <x v="23"/>
    <x v="1"/>
    <x v="1"/>
    <x v="0"/>
    <x v="0"/>
    <x v="1"/>
    <x v="3"/>
    <x v="7"/>
    <x v="55"/>
    <x v="2"/>
    <x v="1"/>
    <x v="278"/>
    <x v="220"/>
    <x v="803"/>
    <x v="650"/>
  </r>
  <r>
    <x v="2328"/>
    <x v="643"/>
    <x v="1"/>
    <x v="3"/>
    <x v="11"/>
    <x v="2"/>
    <x v="23"/>
    <x v="1"/>
    <x v="1"/>
    <x v="1"/>
    <x v="0"/>
    <x v="1"/>
    <x v="8"/>
    <x v="17"/>
    <x v="71"/>
    <x v="14"/>
    <x v="8"/>
    <x v="737"/>
    <x v="639"/>
    <x v="834"/>
    <x v="1454"/>
  </r>
  <r>
    <x v="2329"/>
    <x v="623"/>
    <x v="1"/>
    <x v="3"/>
    <x v="11"/>
    <x v="2"/>
    <x v="23"/>
    <x v="1"/>
    <x v="1"/>
    <x v="0"/>
    <x v="0"/>
    <x v="1"/>
    <x v="8"/>
    <x v="17"/>
    <x v="56"/>
    <x v="14"/>
    <x v="8"/>
    <x v="680"/>
    <x v="583"/>
    <x v="1190"/>
    <x v="1337"/>
  </r>
  <r>
    <x v="2330"/>
    <x v="630"/>
    <x v="1"/>
    <x v="3"/>
    <x v="11"/>
    <x v="2"/>
    <x v="23"/>
    <x v="1"/>
    <x v="1"/>
    <x v="1"/>
    <x v="0"/>
    <x v="1"/>
    <x v="9"/>
    <x v="19"/>
    <x v="70"/>
    <x v="8"/>
    <x v="5"/>
    <x v="633"/>
    <x v="562"/>
    <x v="660"/>
    <x v="1266"/>
  </r>
  <r>
    <x v="2331"/>
    <x v="637"/>
    <x v="1"/>
    <x v="3"/>
    <x v="11"/>
    <x v="2"/>
    <x v="23"/>
    <x v="1"/>
    <x v="1"/>
    <x v="0"/>
    <x v="0"/>
    <x v="1"/>
    <x v="9"/>
    <x v="19"/>
    <x v="48"/>
    <x v="8"/>
    <x v="5"/>
    <x v="522"/>
    <x v="463"/>
    <x v="1071"/>
    <x v="1016"/>
  </r>
  <r>
    <x v="2332"/>
    <x v="644"/>
    <x v="1"/>
    <x v="3"/>
    <x v="11"/>
    <x v="2"/>
    <x v="23"/>
    <x v="1"/>
    <x v="1"/>
    <x v="1"/>
    <x v="2"/>
    <x v="5"/>
    <x v="0"/>
    <x v="1"/>
    <x v="39"/>
    <x v="17"/>
    <x v="11"/>
    <x v="647"/>
    <x v="568"/>
    <x v="680"/>
    <x v="1295"/>
  </r>
  <r>
    <x v="2333"/>
    <x v="624"/>
    <x v="1"/>
    <x v="3"/>
    <x v="11"/>
    <x v="2"/>
    <x v="23"/>
    <x v="1"/>
    <x v="1"/>
    <x v="0"/>
    <x v="2"/>
    <x v="5"/>
    <x v="0"/>
    <x v="1"/>
    <x v="24"/>
    <x v="17"/>
    <x v="11"/>
    <x v="504"/>
    <x v="444"/>
    <x v="1060"/>
    <x v="1014"/>
  </r>
  <r>
    <x v="2334"/>
    <x v="631"/>
    <x v="1"/>
    <x v="3"/>
    <x v="11"/>
    <x v="2"/>
    <x v="23"/>
    <x v="1"/>
    <x v="1"/>
    <x v="1"/>
    <x v="2"/>
    <x v="5"/>
    <x v="4"/>
    <x v="9"/>
    <x v="37"/>
    <x v="11"/>
    <x v="9"/>
    <x v="527"/>
    <x v="480"/>
    <x v="502"/>
    <x v="1064"/>
  </r>
  <r>
    <x v="2335"/>
    <x v="638"/>
    <x v="1"/>
    <x v="3"/>
    <x v="11"/>
    <x v="2"/>
    <x v="23"/>
    <x v="1"/>
    <x v="1"/>
    <x v="0"/>
    <x v="2"/>
    <x v="5"/>
    <x v="4"/>
    <x v="9"/>
    <x v="20"/>
    <x v="11"/>
    <x v="9"/>
    <x v="336"/>
    <x v="302"/>
    <x v="865"/>
    <x v="616"/>
  </r>
  <r>
    <x v="2336"/>
    <x v="645"/>
    <x v="1"/>
    <x v="3"/>
    <x v="11"/>
    <x v="2"/>
    <x v="23"/>
    <x v="1"/>
    <x v="1"/>
    <x v="1"/>
    <x v="1"/>
    <x v="3"/>
    <x v="7"/>
    <x v="15"/>
    <x v="47"/>
    <x v="20"/>
    <x v="13"/>
    <x v="719"/>
    <x v="654"/>
    <x v="802"/>
    <x v="1357"/>
  </r>
  <r>
    <x v="2337"/>
    <x v="625"/>
    <x v="1"/>
    <x v="3"/>
    <x v="11"/>
    <x v="2"/>
    <x v="23"/>
    <x v="1"/>
    <x v="1"/>
    <x v="0"/>
    <x v="1"/>
    <x v="3"/>
    <x v="7"/>
    <x v="15"/>
    <x v="30"/>
    <x v="20"/>
    <x v="13"/>
    <x v="600"/>
    <x v="554"/>
    <x v="1132"/>
    <x v="1102"/>
  </r>
  <r>
    <x v="2338"/>
    <x v="632"/>
    <x v="1"/>
    <x v="3"/>
    <x v="11"/>
    <x v="2"/>
    <x v="23"/>
    <x v="1"/>
    <x v="1"/>
    <x v="1"/>
    <x v="1"/>
    <x v="3"/>
    <x v="6"/>
    <x v="13"/>
    <x v="40"/>
    <x v="5"/>
    <x v="3"/>
    <x v="256"/>
    <x v="214"/>
    <x v="181"/>
    <x v="606"/>
  </r>
  <r>
    <x v="2339"/>
    <x v="639"/>
    <x v="1"/>
    <x v="3"/>
    <x v="11"/>
    <x v="2"/>
    <x v="23"/>
    <x v="1"/>
    <x v="1"/>
    <x v="0"/>
    <x v="1"/>
    <x v="3"/>
    <x v="6"/>
    <x v="13"/>
    <x v="31"/>
    <x v="5"/>
    <x v="3"/>
    <x v="180"/>
    <x v="155"/>
    <x v="655"/>
    <x v="419"/>
  </r>
  <r>
    <x v="2340"/>
    <x v="646"/>
    <x v="1"/>
    <x v="3"/>
    <x v="11"/>
    <x v="2"/>
    <x v="23"/>
    <x v="3"/>
    <x v="3"/>
    <x v="1"/>
    <x v="3"/>
    <x v="7"/>
    <x v="1"/>
    <x v="3"/>
    <x v="12"/>
    <x v="26"/>
    <x v="17"/>
    <x v="839"/>
    <x v="747"/>
    <x v="1136"/>
    <x v="1568"/>
  </r>
  <r>
    <x v="2341"/>
    <x v="626"/>
    <x v="1"/>
    <x v="3"/>
    <x v="11"/>
    <x v="2"/>
    <x v="23"/>
    <x v="3"/>
    <x v="3"/>
    <x v="0"/>
    <x v="3"/>
    <x v="7"/>
    <x v="1"/>
    <x v="3"/>
    <x v="7"/>
    <x v="26"/>
    <x v="17"/>
    <x v="805"/>
    <x v="725"/>
    <x v="1292"/>
    <x v="1468"/>
  </r>
  <r>
    <x v="2342"/>
    <x v="633"/>
    <x v="1"/>
    <x v="3"/>
    <x v="11"/>
    <x v="2"/>
    <x v="23"/>
    <x v="3"/>
    <x v="3"/>
    <x v="1"/>
    <x v="3"/>
    <x v="7"/>
    <x v="2"/>
    <x v="5"/>
    <x v="9"/>
    <x v="23"/>
    <x v="15"/>
    <x v="649"/>
    <x v="603"/>
    <x v="683"/>
    <x v="1225"/>
  </r>
  <r>
    <x v="2343"/>
    <x v="640"/>
    <x v="1"/>
    <x v="3"/>
    <x v="11"/>
    <x v="2"/>
    <x v="23"/>
    <x v="3"/>
    <x v="3"/>
    <x v="0"/>
    <x v="3"/>
    <x v="7"/>
    <x v="2"/>
    <x v="5"/>
    <x v="6"/>
    <x v="23"/>
    <x v="15"/>
    <x v="555"/>
    <x v="520"/>
    <x v="1095"/>
    <x v="968"/>
  </r>
  <r>
    <x v="2344"/>
    <x v="647"/>
    <x v="1"/>
    <x v="3"/>
    <x v="11"/>
    <x v="2"/>
    <x v="23"/>
    <x v="3"/>
    <x v="3"/>
    <x v="1"/>
    <x v="3"/>
    <x v="7"/>
    <x v="5"/>
    <x v="11"/>
    <x v="8"/>
    <x v="29"/>
    <x v="19"/>
    <x v="838"/>
    <x v="750"/>
    <x v="1129"/>
    <x v="1543"/>
  </r>
  <r>
    <x v="2345"/>
    <x v="627"/>
    <x v="1"/>
    <x v="3"/>
    <x v="11"/>
    <x v="2"/>
    <x v="23"/>
    <x v="3"/>
    <x v="3"/>
    <x v="0"/>
    <x v="3"/>
    <x v="7"/>
    <x v="5"/>
    <x v="11"/>
    <x v="6"/>
    <x v="29"/>
    <x v="19"/>
    <x v="821"/>
    <x v="741"/>
    <x v="1303"/>
    <x v="1457"/>
  </r>
  <r>
    <x v="2346"/>
    <x v="634"/>
    <x v="1"/>
    <x v="3"/>
    <x v="11"/>
    <x v="2"/>
    <x v="23"/>
    <x v="3"/>
    <x v="3"/>
    <x v="1"/>
    <x v="0"/>
    <x v="1"/>
    <x v="3"/>
    <x v="7"/>
    <x v="48"/>
    <x v="2"/>
    <x v="1"/>
    <x v="236"/>
    <x v="185"/>
    <x v="159"/>
    <x v="623"/>
  </r>
  <r>
    <x v="2347"/>
    <x v="641"/>
    <x v="1"/>
    <x v="3"/>
    <x v="11"/>
    <x v="2"/>
    <x v="23"/>
    <x v="3"/>
    <x v="3"/>
    <x v="0"/>
    <x v="0"/>
    <x v="1"/>
    <x v="3"/>
    <x v="7"/>
    <x v="36"/>
    <x v="2"/>
    <x v="1"/>
    <x v="162"/>
    <x v="122"/>
    <x v="620"/>
    <x v="413"/>
  </r>
  <r>
    <x v="2348"/>
    <x v="621"/>
    <x v="1"/>
    <x v="3"/>
    <x v="11"/>
    <x v="2"/>
    <x v="23"/>
    <x v="3"/>
    <x v="3"/>
    <x v="1"/>
    <x v="0"/>
    <x v="1"/>
    <x v="8"/>
    <x v="17"/>
    <x v="56"/>
    <x v="14"/>
    <x v="8"/>
    <x v="680"/>
    <x v="583"/>
    <x v="730"/>
    <x v="1375"/>
  </r>
  <r>
    <x v="2349"/>
    <x v="628"/>
    <x v="1"/>
    <x v="3"/>
    <x v="11"/>
    <x v="2"/>
    <x v="23"/>
    <x v="3"/>
    <x v="3"/>
    <x v="0"/>
    <x v="0"/>
    <x v="1"/>
    <x v="8"/>
    <x v="17"/>
    <x v="32"/>
    <x v="14"/>
    <x v="8"/>
    <x v="518"/>
    <x v="439"/>
    <x v="1068"/>
    <x v="1075"/>
  </r>
  <r>
    <x v="2350"/>
    <x v="635"/>
    <x v="1"/>
    <x v="3"/>
    <x v="11"/>
    <x v="2"/>
    <x v="23"/>
    <x v="3"/>
    <x v="3"/>
    <x v="1"/>
    <x v="0"/>
    <x v="1"/>
    <x v="9"/>
    <x v="19"/>
    <x v="55"/>
    <x v="8"/>
    <x v="5"/>
    <x v="565"/>
    <x v="501"/>
    <x v="560"/>
    <x v="1159"/>
  </r>
  <r>
    <x v="2351"/>
    <x v="642"/>
    <x v="1"/>
    <x v="3"/>
    <x v="11"/>
    <x v="2"/>
    <x v="23"/>
    <x v="3"/>
    <x v="3"/>
    <x v="0"/>
    <x v="0"/>
    <x v="1"/>
    <x v="9"/>
    <x v="19"/>
    <x v="42"/>
    <x v="8"/>
    <x v="5"/>
    <x v="476"/>
    <x v="422"/>
    <x v="1036"/>
    <x v="923"/>
  </r>
  <r>
    <x v="2352"/>
    <x v="622"/>
    <x v="1"/>
    <x v="3"/>
    <x v="11"/>
    <x v="2"/>
    <x v="23"/>
    <x v="3"/>
    <x v="3"/>
    <x v="1"/>
    <x v="2"/>
    <x v="5"/>
    <x v="0"/>
    <x v="1"/>
    <x v="20"/>
    <x v="17"/>
    <x v="11"/>
    <x v="446"/>
    <x v="395"/>
    <x v="390"/>
    <x v="959"/>
  </r>
  <r>
    <x v="2353"/>
    <x v="629"/>
    <x v="1"/>
    <x v="3"/>
    <x v="11"/>
    <x v="2"/>
    <x v="23"/>
    <x v="3"/>
    <x v="3"/>
    <x v="0"/>
    <x v="2"/>
    <x v="5"/>
    <x v="0"/>
    <x v="1"/>
    <x v="17"/>
    <x v="17"/>
    <x v="11"/>
    <x v="397"/>
    <x v="345"/>
    <x v="953"/>
    <x v="814"/>
  </r>
  <r>
    <x v="2354"/>
    <x v="636"/>
    <x v="1"/>
    <x v="3"/>
    <x v="11"/>
    <x v="2"/>
    <x v="23"/>
    <x v="3"/>
    <x v="3"/>
    <x v="1"/>
    <x v="2"/>
    <x v="5"/>
    <x v="4"/>
    <x v="9"/>
    <x v="22"/>
    <x v="11"/>
    <x v="9"/>
    <x v="360"/>
    <x v="332"/>
    <x v="278"/>
    <x v="743"/>
  </r>
  <r>
    <x v="2355"/>
    <x v="643"/>
    <x v="1"/>
    <x v="3"/>
    <x v="11"/>
    <x v="2"/>
    <x v="23"/>
    <x v="3"/>
    <x v="3"/>
    <x v="0"/>
    <x v="2"/>
    <x v="5"/>
    <x v="4"/>
    <x v="9"/>
    <x v="14"/>
    <x v="11"/>
    <x v="9"/>
    <x v="228"/>
    <x v="221"/>
    <x v="722"/>
    <x v="430"/>
  </r>
  <r>
    <x v="2356"/>
    <x v="623"/>
    <x v="1"/>
    <x v="3"/>
    <x v="11"/>
    <x v="2"/>
    <x v="23"/>
    <x v="3"/>
    <x v="3"/>
    <x v="1"/>
    <x v="1"/>
    <x v="3"/>
    <x v="7"/>
    <x v="15"/>
    <x v="27"/>
    <x v="20"/>
    <x v="13"/>
    <x v="572"/>
    <x v="525"/>
    <x v="574"/>
    <x v="1105"/>
  </r>
  <r>
    <x v="2357"/>
    <x v="630"/>
    <x v="1"/>
    <x v="3"/>
    <x v="11"/>
    <x v="2"/>
    <x v="23"/>
    <x v="3"/>
    <x v="3"/>
    <x v="0"/>
    <x v="1"/>
    <x v="3"/>
    <x v="7"/>
    <x v="15"/>
    <x v="20"/>
    <x v="20"/>
    <x v="13"/>
    <x v="475"/>
    <x v="447"/>
    <x v="1035"/>
    <x v="863"/>
  </r>
  <r>
    <x v="2358"/>
    <x v="637"/>
    <x v="1"/>
    <x v="3"/>
    <x v="11"/>
    <x v="2"/>
    <x v="23"/>
    <x v="3"/>
    <x v="3"/>
    <x v="1"/>
    <x v="1"/>
    <x v="3"/>
    <x v="6"/>
    <x v="13"/>
    <x v="37"/>
    <x v="5"/>
    <x v="3"/>
    <x v="229"/>
    <x v="196"/>
    <x v="154"/>
    <x v="567"/>
  </r>
  <r>
    <x v="2359"/>
    <x v="644"/>
    <x v="1"/>
    <x v="3"/>
    <x v="11"/>
    <x v="2"/>
    <x v="23"/>
    <x v="3"/>
    <x v="3"/>
    <x v="0"/>
    <x v="1"/>
    <x v="3"/>
    <x v="6"/>
    <x v="13"/>
    <x v="23"/>
    <x v="5"/>
    <x v="3"/>
    <x v="115"/>
    <x v="100"/>
    <x v="529"/>
    <x v="257"/>
  </r>
  <r>
    <x v="2360"/>
    <x v="624"/>
    <x v="1"/>
    <x v="3"/>
    <x v="11"/>
    <x v="2"/>
    <x v="23"/>
    <x v="2"/>
    <x v="2"/>
    <x v="1"/>
    <x v="3"/>
    <x v="7"/>
    <x v="1"/>
    <x v="3"/>
    <x v="7"/>
    <x v="26"/>
    <x v="17"/>
    <x v="805"/>
    <x v="725"/>
    <x v="1018"/>
    <x v="1503"/>
  </r>
  <r>
    <x v="2361"/>
    <x v="631"/>
    <x v="1"/>
    <x v="3"/>
    <x v="11"/>
    <x v="2"/>
    <x v="23"/>
    <x v="2"/>
    <x v="2"/>
    <x v="0"/>
    <x v="3"/>
    <x v="7"/>
    <x v="1"/>
    <x v="3"/>
    <x v="4"/>
    <x v="26"/>
    <x v="17"/>
    <x v="742"/>
    <x v="679"/>
    <x v="1236"/>
    <x v="1311"/>
  </r>
  <r>
    <x v="2362"/>
    <x v="638"/>
    <x v="1"/>
    <x v="3"/>
    <x v="11"/>
    <x v="2"/>
    <x v="23"/>
    <x v="2"/>
    <x v="2"/>
    <x v="1"/>
    <x v="3"/>
    <x v="7"/>
    <x v="2"/>
    <x v="5"/>
    <x v="7"/>
    <x v="23"/>
    <x v="15"/>
    <x v="590"/>
    <x v="556"/>
    <x v="604"/>
    <x v="1119"/>
  </r>
  <r>
    <x v="2363"/>
    <x v="645"/>
    <x v="1"/>
    <x v="3"/>
    <x v="11"/>
    <x v="2"/>
    <x v="23"/>
    <x v="2"/>
    <x v="2"/>
    <x v="0"/>
    <x v="3"/>
    <x v="7"/>
    <x v="2"/>
    <x v="5"/>
    <x v="3"/>
    <x v="23"/>
    <x v="15"/>
    <x v="390"/>
    <x v="385"/>
    <x v="948"/>
    <x v="667"/>
  </r>
  <r>
    <x v="2364"/>
    <x v="625"/>
    <x v="1"/>
    <x v="3"/>
    <x v="11"/>
    <x v="2"/>
    <x v="23"/>
    <x v="2"/>
    <x v="2"/>
    <x v="1"/>
    <x v="3"/>
    <x v="7"/>
    <x v="5"/>
    <x v="11"/>
    <x v="9"/>
    <x v="29"/>
    <x v="19"/>
    <x v="844"/>
    <x v="754"/>
    <x v="1155"/>
    <x v="1559"/>
  </r>
  <r>
    <x v="2365"/>
    <x v="632"/>
    <x v="1"/>
    <x v="3"/>
    <x v="11"/>
    <x v="2"/>
    <x v="23"/>
    <x v="2"/>
    <x v="2"/>
    <x v="0"/>
    <x v="3"/>
    <x v="7"/>
    <x v="5"/>
    <x v="11"/>
    <x v="5"/>
    <x v="29"/>
    <x v="19"/>
    <x v="810"/>
    <x v="732"/>
    <x v="1297"/>
    <x v="1419"/>
  </r>
  <r>
    <x v="2366"/>
    <x v="639"/>
    <x v="1"/>
    <x v="3"/>
    <x v="11"/>
    <x v="2"/>
    <x v="23"/>
    <x v="2"/>
    <x v="2"/>
    <x v="1"/>
    <x v="0"/>
    <x v="1"/>
    <x v="3"/>
    <x v="7"/>
    <x v="42"/>
    <x v="2"/>
    <x v="1"/>
    <x v="200"/>
    <x v="158"/>
    <x v="131"/>
    <x v="544"/>
  </r>
  <r>
    <x v="2367"/>
    <x v="646"/>
    <x v="1"/>
    <x v="3"/>
    <x v="11"/>
    <x v="2"/>
    <x v="23"/>
    <x v="2"/>
    <x v="2"/>
    <x v="0"/>
    <x v="0"/>
    <x v="1"/>
    <x v="3"/>
    <x v="7"/>
    <x v="29"/>
    <x v="2"/>
    <x v="1"/>
    <x v="113"/>
    <x v="86"/>
    <x v="526"/>
    <x v="287"/>
  </r>
  <r>
    <x v="2368"/>
    <x v="626"/>
    <x v="1"/>
    <x v="3"/>
    <x v="11"/>
    <x v="2"/>
    <x v="23"/>
    <x v="2"/>
    <x v="2"/>
    <x v="1"/>
    <x v="0"/>
    <x v="1"/>
    <x v="8"/>
    <x v="17"/>
    <x v="38"/>
    <x v="14"/>
    <x v="8"/>
    <x v="574"/>
    <x v="487"/>
    <x v="577"/>
    <x v="1220"/>
  </r>
  <r>
    <x v="2369"/>
    <x v="633"/>
    <x v="1"/>
    <x v="3"/>
    <x v="11"/>
    <x v="2"/>
    <x v="23"/>
    <x v="2"/>
    <x v="2"/>
    <x v="0"/>
    <x v="0"/>
    <x v="1"/>
    <x v="8"/>
    <x v="17"/>
    <x v="28"/>
    <x v="14"/>
    <x v="8"/>
    <x v="474"/>
    <x v="401"/>
    <x v="1034"/>
    <x v="991"/>
  </r>
  <r>
    <x v="2370"/>
    <x v="640"/>
    <x v="1"/>
    <x v="3"/>
    <x v="11"/>
    <x v="2"/>
    <x v="23"/>
    <x v="2"/>
    <x v="2"/>
    <x v="1"/>
    <x v="0"/>
    <x v="1"/>
    <x v="9"/>
    <x v="19"/>
    <x v="38"/>
    <x v="8"/>
    <x v="5"/>
    <x v="437"/>
    <x v="398"/>
    <x v="384"/>
    <x v="924"/>
  </r>
  <r>
    <x v="2371"/>
    <x v="647"/>
    <x v="1"/>
    <x v="3"/>
    <x v="11"/>
    <x v="2"/>
    <x v="23"/>
    <x v="2"/>
    <x v="2"/>
    <x v="0"/>
    <x v="0"/>
    <x v="1"/>
    <x v="9"/>
    <x v="19"/>
    <x v="25"/>
    <x v="8"/>
    <x v="5"/>
    <x v="315"/>
    <x v="277"/>
    <x v="838"/>
    <x v="607"/>
  </r>
  <r>
    <x v="2372"/>
    <x v="627"/>
    <x v="1"/>
    <x v="3"/>
    <x v="11"/>
    <x v="2"/>
    <x v="23"/>
    <x v="2"/>
    <x v="2"/>
    <x v="1"/>
    <x v="2"/>
    <x v="5"/>
    <x v="0"/>
    <x v="1"/>
    <x v="15"/>
    <x v="17"/>
    <x v="11"/>
    <x v="359"/>
    <x v="310"/>
    <x v="277"/>
    <x v="804"/>
  </r>
  <r>
    <x v="2373"/>
    <x v="634"/>
    <x v="1"/>
    <x v="3"/>
    <x v="11"/>
    <x v="2"/>
    <x v="23"/>
    <x v="2"/>
    <x v="2"/>
    <x v="0"/>
    <x v="2"/>
    <x v="5"/>
    <x v="0"/>
    <x v="1"/>
    <x v="13"/>
    <x v="17"/>
    <x v="11"/>
    <x v="325"/>
    <x v="276"/>
    <x v="847"/>
    <x v="652"/>
  </r>
  <r>
    <x v="2374"/>
    <x v="641"/>
    <x v="1"/>
    <x v="3"/>
    <x v="11"/>
    <x v="2"/>
    <x v="23"/>
    <x v="2"/>
    <x v="2"/>
    <x v="1"/>
    <x v="2"/>
    <x v="5"/>
    <x v="4"/>
    <x v="9"/>
    <x v="16"/>
    <x v="11"/>
    <x v="9"/>
    <x v="264"/>
    <x v="254"/>
    <x v="188"/>
    <x v="549"/>
  </r>
  <r>
    <x v="2375"/>
    <x v="621"/>
    <x v="1"/>
    <x v="3"/>
    <x v="11"/>
    <x v="2"/>
    <x v="23"/>
    <x v="2"/>
    <x v="2"/>
    <x v="0"/>
    <x v="2"/>
    <x v="5"/>
    <x v="4"/>
    <x v="9"/>
    <x v="12"/>
    <x v="11"/>
    <x v="9"/>
    <x v="191"/>
    <x v="186"/>
    <x v="669"/>
    <x v="342"/>
  </r>
  <r>
    <x v="2376"/>
    <x v="628"/>
    <x v="1"/>
    <x v="3"/>
    <x v="11"/>
    <x v="2"/>
    <x v="23"/>
    <x v="2"/>
    <x v="2"/>
    <x v="1"/>
    <x v="1"/>
    <x v="3"/>
    <x v="7"/>
    <x v="15"/>
    <x v="25"/>
    <x v="20"/>
    <x v="13"/>
    <x v="547"/>
    <x v="506"/>
    <x v="530"/>
    <x v="1066"/>
  </r>
  <r>
    <x v="2377"/>
    <x v="635"/>
    <x v="1"/>
    <x v="3"/>
    <x v="11"/>
    <x v="2"/>
    <x v="23"/>
    <x v="2"/>
    <x v="2"/>
    <x v="0"/>
    <x v="1"/>
    <x v="3"/>
    <x v="7"/>
    <x v="15"/>
    <x v="16"/>
    <x v="20"/>
    <x v="13"/>
    <x v="405"/>
    <x v="386"/>
    <x v="966"/>
    <x v="729"/>
  </r>
  <r>
    <x v="2378"/>
    <x v="642"/>
    <x v="1"/>
    <x v="3"/>
    <x v="11"/>
    <x v="2"/>
    <x v="23"/>
    <x v="2"/>
    <x v="2"/>
    <x v="1"/>
    <x v="1"/>
    <x v="3"/>
    <x v="6"/>
    <x v="13"/>
    <x v="24"/>
    <x v="5"/>
    <x v="3"/>
    <x v="120"/>
    <x v="105"/>
    <x v="69"/>
    <x v="323"/>
  </r>
  <r>
    <x v="2379"/>
    <x v="622"/>
    <x v="1"/>
    <x v="3"/>
    <x v="11"/>
    <x v="2"/>
    <x v="23"/>
    <x v="2"/>
    <x v="2"/>
    <x v="0"/>
    <x v="1"/>
    <x v="3"/>
    <x v="6"/>
    <x v="13"/>
    <x v="13"/>
    <x v="5"/>
    <x v="3"/>
    <x v="40"/>
    <x v="38"/>
    <x v="291"/>
    <x v="85"/>
  </r>
  <r>
    <x v="2380"/>
    <x v="629"/>
    <x v="1"/>
    <x v="3"/>
    <x v="11"/>
    <x v="2"/>
    <x v="23"/>
    <x v="4"/>
    <x v="4"/>
    <x v="1"/>
    <x v="3"/>
    <x v="7"/>
    <x v="1"/>
    <x v="3"/>
    <x v="6"/>
    <x v="26"/>
    <x v="17"/>
    <x v="792"/>
    <x v="715"/>
    <x v="979"/>
    <x v="1469"/>
  </r>
  <r>
    <x v="2381"/>
    <x v="636"/>
    <x v="1"/>
    <x v="3"/>
    <x v="11"/>
    <x v="2"/>
    <x v="23"/>
    <x v="4"/>
    <x v="4"/>
    <x v="0"/>
    <x v="3"/>
    <x v="7"/>
    <x v="1"/>
    <x v="3"/>
    <x v="5"/>
    <x v="26"/>
    <x v="17"/>
    <x v="773"/>
    <x v="702"/>
    <x v="1260"/>
    <x v="1383"/>
  </r>
  <r>
    <x v="2382"/>
    <x v="643"/>
    <x v="1"/>
    <x v="3"/>
    <x v="11"/>
    <x v="2"/>
    <x v="23"/>
    <x v="4"/>
    <x v="4"/>
    <x v="1"/>
    <x v="3"/>
    <x v="7"/>
    <x v="2"/>
    <x v="5"/>
    <x v="8"/>
    <x v="23"/>
    <x v="15"/>
    <x v="623"/>
    <x v="577"/>
    <x v="650"/>
    <x v="1179"/>
  </r>
  <r>
    <x v="2383"/>
    <x v="623"/>
    <x v="1"/>
    <x v="3"/>
    <x v="11"/>
    <x v="2"/>
    <x v="23"/>
    <x v="4"/>
    <x v="4"/>
    <x v="0"/>
    <x v="3"/>
    <x v="7"/>
    <x v="2"/>
    <x v="5"/>
    <x v="4"/>
    <x v="23"/>
    <x v="15"/>
    <x v="454"/>
    <x v="442"/>
    <x v="1019"/>
    <x v="790"/>
  </r>
  <r>
    <x v="2384"/>
    <x v="630"/>
    <x v="1"/>
    <x v="3"/>
    <x v="11"/>
    <x v="2"/>
    <x v="23"/>
    <x v="4"/>
    <x v="4"/>
    <x v="1"/>
    <x v="3"/>
    <x v="7"/>
    <x v="5"/>
    <x v="11"/>
    <x v="7"/>
    <x v="29"/>
    <x v="19"/>
    <x v="830"/>
    <x v="745"/>
    <x v="1104"/>
    <x v="1530"/>
  </r>
  <r>
    <x v="2385"/>
    <x v="637"/>
    <x v="1"/>
    <x v="3"/>
    <x v="11"/>
    <x v="2"/>
    <x v="23"/>
    <x v="4"/>
    <x v="4"/>
    <x v="0"/>
    <x v="3"/>
    <x v="7"/>
    <x v="5"/>
    <x v="11"/>
    <x v="4"/>
    <x v="29"/>
    <x v="19"/>
    <x v="795"/>
    <x v="726"/>
    <x v="1282"/>
    <x v="1361"/>
  </r>
  <r>
    <x v="2386"/>
    <x v="644"/>
    <x v="1"/>
    <x v="3"/>
    <x v="11"/>
    <x v="2"/>
    <x v="23"/>
    <x v="4"/>
    <x v="4"/>
    <x v="1"/>
    <x v="0"/>
    <x v="1"/>
    <x v="3"/>
    <x v="7"/>
    <x v="43"/>
    <x v="2"/>
    <x v="1"/>
    <x v="204"/>
    <x v="160"/>
    <x v="135"/>
    <x v="550"/>
  </r>
  <r>
    <x v="2387"/>
    <x v="624"/>
    <x v="1"/>
    <x v="3"/>
    <x v="11"/>
    <x v="2"/>
    <x v="23"/>
    <x v="4"/>
    <x v="4"/>
    <x v="0"/>
    <x v="0"/>
    <x v="1"/>
    <x v="3"/>
    <x v="7"/>
    <x v="29"/>
    <x v="2"/>
    <x v="1"/>
    <x v="113"/>
    <x v="86"/>
    <x v="526"/>
    <x v="287"/>
  </r>
  <r>
    <x v="2388"/>
    <x v="631"/>
    <x v="1"/>
    <x v="3"/>
    <x v="11"/>
    <x v="2"/>
    <x v="23"/>
    <x v="4"/>
    <x v="4"/>
    <x v="1"/>
    <x v="0"/>
    <x v="1"/>
    <x v="8"/>
    <x v="17"/>
    <x v="43"/>
    <x v="14"/>
    <x v="8"/>
    <x v="610"/>
    <x v="518"/>
    <x v="624"/>
    <x v="1267"/>
  </r>
  <r>
    <x v="2389"/>
    <x v="638"/>
    <x v="1"/>
    <x v="3"/>
    <x v="11"/>
    <x v="2"/>
    <x v="23"/>
    <x v="4"/>
    <x v="4"/>
    <x v="0"/>
    <x v="0"/>
    <x v="1"/>
    <x v="8"/>
    <x v="17"/>
    <x v="31"/>
    <x v="14"/>
    <x v="8"/>
    <x v="507"/>
    <x v="425"/>
    <x v="1061"/>
    <x v="1063"/>
  </r>
  <r>
    <x v="2390"/>
    <x v="645"/>
    <x v="1"/>
    <x v="3"/>
    <x v="11"/>
    <x v="2"/>
    <x v="23"/>
    <x v="4"/>
    <x v="4"/>
    <x v="1"/>
    <x v="0"/>
    <x v="1"/>
    <x v="9"/>
    <x v="19"/>
    <x v="36"/>
    <x v="8"/>
    <x v="5"/>
    <x v="419"/>
    <x v="382"/>
    <x v="361"/>
    <x v="901"/>
  </r>
  <r>
    <x v="2391"/>
    <x v="625"/>
    <x v="1"/>
    <x v="3"/>
    <x v="11"/>
    <x v="2"/>
    <x v="23"/>
    <x v="4"/>
    <x v="4"/>
    <x v="0"/>
    <x v="0"/>
    <x v="1"/>
    <x v="9"/>
    <x v="19"/>
    <x v="29"/>
    <x v="8"/>
    <x v="5"/>
    <x v="354"/>
    <x v="315"/>
    <x v="891"/>
    <x v="712"/>
  </r>
  <r>
    <x v="2392"/>
    <x v="632"/>
    <x v="1"/>
    <x v="3"/>
    <x v="11"/>
    <x v="2"/>
    <x v="23"/>
    <x v="4"/>
    <x v="4"/>
    <x v="1"/>
    <x v="2"/>
    <x v="5"/>
    <x v="0"/>
    <x v="1"/>
    <x v="15"/>
    <x v="17"/>
    <x v="11"/>
    <x v="359"/>
    <x v="310"/>
    <x v="277"/>
    <x v="804"/>
  </r>
  <r>
    <x v="2393"/>
    <x v="639"/>
    <x v="1"/>
    <x v="3"/>
    <x v="11"/>
    <x v="2"/>
    <x v="23"/>
    <x v="4"/>
    <x v="4"/>
    <x v="0"/>
    <x v="2"/>
    <x v="5"/>
    <x v="0"/>
    <x v="1"/>
    <x v="10"/>
    <x v="17"/>
    <x v="11"/>
    <x v="250"/>
    <x v="219"/>
    <x v="751"/>
    <x v="517"/>
  </r>
  <r>
    <x v="2394"/>
    <x v="646"/>
    <x v="1"/>
    <x v="3"/>
    <x v="11"/>
    <x v="2"/>
    <x v="23"/>
    <x v="4"/>
    <x v="4"/>
    <x v="1"/>
    <x v="2"/>
    <x v="5"/>
    <x v="4"/>
    <x v="9"/>
    <x v="18"/>
    <x v="11"/>
    <x v="9"/>
    <x v="306"/>
    <x v="280"/>
    <x v="211"/>
    <x v="622"/>
  </r>
  <r>
    <x v="2395"/>
    <x v="626"/>
    <x v="1"/>
    <x v="3"/>
    <x v="11"/>
    <x v="2"/>
    <x v="23"/>
    <x v="4"/>
    <x v="4"/>
    <x v="0"/>
    <x v="2"/>
    <x v="5"/>
    <x v="4"/>
    <x v="9"/>
    <x v="13"/>
    <x v="11"/>
    <x v="9"/>
    <x v="209"/>
    <x v="202"/>
    <x v="696"/>
    <x v="389"/>
  </r>
  <r>
    <x v="2396"/>
    <x v="633"/>
    <x v="1"/>
    <x v="3"/>
    <x v="11"/>
    <x v="2"/>
    <x v="23"/>
    <x v="4"/>
    <x v="4"/>
    <x v="1"/>
    <x v="1"/>
    <x v="3"/>
    <x v="7"/>
    <x v="15"/>
    <x v="27"/>
    <x v="20"/>
    <x v="13"/>
    <x v="572"/>
    <x v="525"/>
    <x v="574"/>
    <x v="1105"/>
  </r>
  <r>
    <x v="2397"/>
    <x v="640"/>
    <x v="1"/>
    <x v="3"/>
    <x v="11"/>
    <x v="2"/>
    <x v="23"/>
    <x v="4"/>
    <x v="4"/>
    <x v="0"/>
    <x v="1"/>
    <x v="3"/>
    <x v="7"/>
    <x v="15"/>
    <x v="16"/>
    <x v="20"/>
    <x v="13"/>
    <x v="405"/>
    <x v="386"/>
    <x v="966"/>
    <x v="729"/>
  </r>
  <r>
    <x v="2398"/>
    <x v="647"/>
    <x v="1"/>
    <x v="3"/>
    <x v="11"/>
    <x v="2"/>
    <x v="23"/>
    <x v="4"/>
    <x v="4"/>
    <x v="1"/>
    <x v="1"/>
    <x v="3"/>
    <x v="6"/>
    <x v="13"/>
    <x v="21"/>
    <x v="5"/>
    <x v="3"/>
    <x v="97"/>
    <x v="83"/>
    <x v="51"/>
    <x v="260"/>
  </r>
  <r>
    <x v="2399"/>
    <x v="627"/>
    <x v="1"/>
    <x v="3"/>
    <x v="11"/>
    <x v="2"/>
    <x v="23"/>
    <x v="4"/>
    <x v="4"/>
    <x v="0"/>
    <x v="1"/>
    <x v="3"/>
    <x v="6"/>
    <x v="13"/>
    <x v="15"/>
    <x v="5"/>
    <x v="3"/>
    <x v="52"/>
    <x v="48"/>
    <x v="343"/>
    <x v="11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T_Periodo_Venta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28" firstHeaderRow="1" firstDataRow="1" firstDataCol="1"/>
  <pivotFields count="21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dataFields count="1">
    <dataField name="Ventas" fld="17" subtotal="sum" numFmtId="165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T_Anio_CostoProd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B3:AC6" firstHeaderRow="1" firstDataRow="1" firstDataCol="1"/>
  <pivotFields count="21">
    <pivotField showAll="0"/>
    <pivotField showAll="0"/>
    <pivotField axis="axisRow" showAll="0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dataFields count="1">
    <dataField name="CostoProd" fld="18" subtotal="sum" numFmtId="165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T_Anio_CostoLog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E3:AF6" firstHeaderRow="1" firstDataRow="1" firstDataCol="1"/>
  <pivotFields count="21">
    <pivotField showAll="0"/>
    <pivotField showAll="0"/>
    <pivotField axis="axisRow" showAll="0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dataFields count="1">
    <dataField name="CostoLog" fld="19" subtotal="sum" numFmtId="165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T_Region_Venta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H3:AI9" firstHeaderRow="1" firstDataRow="1" firstDataCol="1"/>
  <pivotFields count="21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dataFields count="1">
    <dataField name="Ventas" fld="17" subtotal="sum" numFmtId="165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T_Periodo_Marge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D3:E28" firstHeaderRow="1" firstDataRow="1" firstDataCol="1"/>
  <pivotFields count="21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dataFields count="1">
    <dataField name="Margen" fld="20" subtotal="sum" numFmtId="165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T_CatAnio_Venta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G3:H12" firstHeaderRow="1" firstDataRow="1" firstDataCol="1"/>
  <pivotFields count="21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axis="axisRow" showAll="0">
      <items count="9">
        <item x="6"/>
        <item x="0"/>
        <item x="4"/>
        <item x="2"/>
        <item x="7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1"/>
  </rowFields>
  <dataFields count="1">
    <dataField name="Ventas" fld="17" subtotal="sum" numFmtId="165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T_CatAnio_Marge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J3:K12" firstHeaderRow="1" firstDataRow="1" firstDataCol="1"/>
  <pivotFields count="21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axis="axisRow" showAll="0">
      <items count="9">
        <item x="6"/>
        <item x="0"/>
        <item x="4"/>
        <item x="2"/>
        <item x="7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1"/>
  </rowFields>
  <dataFields count="1">
    <dataField name="Margen" fld="20" subtotal="sum" numFmtId="165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T_ProdAnio_Venta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M3:N24" firstHeaderRow="1" firstDataRow="1" firstDataCol="1"/>
  <pivotFields count="21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21">
        <item x="2"/>
        <item x="4"/>
        <item x="10"/>
        <item x="6"/>
        <item x="16"/>
        <item x="18"/>
        <item x="0"/>
        <item x="8"/>
        <item x="14"/>
        <item x="12"/>
        <item x="3"/>
        <item x="5"/>
        <item x="11"/>
        <item x="7"/>
        <item x="17"/>
        <item x="19"/>
        <item x="1"/>
        <item x="9"/>
        <item x="15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dataFields count="1">
    <dataField name="Ventas" fld="17" subtotal="sum" numFmtId="165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T_ProdAnio_Marge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P3:Q24" firstHeaderRow="1" firstDataRow="1" firstDataCol="1"/>
  <pivotFields count="21">
    <pivotField showAll="0"/>
    <pivotField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21">
        <item x="2"/>
        <item x="4"/>
        <item x="10"/>
        <item x="6"/>
        <item x="16"/>
        <item x="18"/>
        <item x="0"/>
        <item x="8"/>
        <item x="14"/>
        <item x="12"/>
        <item x="3"/>
        <item x="5"/>
        <item x="11"/>
        <item x="7"/>
        <item x="17"/>
        <item x="19"/>
        <item x="1"/>
        <item x="9"/>
        <item x="15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3"/>
  </rowFields>
  <dataFields count="1">
    <dataField name="Margen" fld="20" subtotal="sum" numFmtId="165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T_Anio_Venta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S3:T6" firstHeaderRow="1" firstDataRow="1" firstDataCol="1"/>
  <pivotFields count="21">
    <pivotField showAll="0"/>
    <pivotField showAll="0"/>
    <pivotField axis="axisRow" showAll="0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dataFields count="1">
    <dataField name="Ventas" fld="17" subtotal="sum" numFmtId="165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T_Anio_Margen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V3:W6" firstHeaderRow="1" firstDataRow="1" firstDataCol="1"/>
  <pivotFields count="21">
    <pivotField showAll="0"/>
    <pivotField showAll="0"/>
    <pivotField axis="axisRow" showAll="0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dataFields count="1">
    <dataField name="Margen" fld="20" subtotal="sum" numFmtId="165"/>
  </dataField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T_Anio_Unidades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Y3:Z6" firstHeaderRow="1" firstDataRow="1" firstDataCol="1"/>
  <pivotFields count="21">
    <pivotField showAll="0"/>
    <pivotField showAll="0"/>
    <pivotField axis="axisRow" showAll="0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 multipleItemSelectionAllowed="1">
      <items count="6">
        <item x="0"/>
        <item x="1"/>
        <item x="2"/>
        <item x="3"/>
        <item x="4"/>
        <item t="default"/>
      </items>
    </pivotField>
    <pivotField showAll="0"/>
    <pivotField showAll="0" multipleItemSelectionAllowed="1">
      <items count="3">
        <item x="0"/>
        <item x="1"/>
        <item t="default"/>
      </items>
    </pivotField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dataFields count="1">
    <dataField name="Unidades" fld="14" subtotal="sum" numFmtId="170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_Trimestre" sourceName="Trimestre">
  <pivotTables>
    <pivotTable tabId="7" name="PT_Periodo_Ventas"/>
    <pivotTable tabId="7" name="PT_Anio_Ventas"/>
    <pivotTable tabId="7" name="PT_Anio_Margen"/>
    <pivotTable tabId="7" name="PT_Anio_Unidades"/>
    <pivotTable tabId="7" name="PT_Anio_CostoProd"/>
    <pivotTable tabId="7" name="PT_Anio_CostoLog"/>
    <pivotTable tabId="7" name="PT_Region_Ventas"/>
    <pivotTable tabId="7" name="PT_Periodo_Margen"/>
    <pivotTable tabId="7" name="PT_CatAnio_Ventas"/>
    <pivotTable tabId="7" name="PT_CatAnio_Margen"/>
    <pivotTable tabId="7" name="PT_ProdAnio_Ventas"/>
    <pivotTable tabId="7" name="PT_ProdAnio_Margen"/>
  </pivotTables>
  <data>
    <tabular pivotCacheId="1" crossFilter="showItemsWithDataAtTop">
      <items count="4">
        <i x="0"/>
        <i x="1"/>
        <i x="2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_Categoria" sourceName="Categoria">
  <pivotTables>
    <pivotTable tabId="7" name="PT_Periodo_Ventas"/>
    <pivotTable tabId="7" name="PT_Anio_Ventas"/>
    <pivotTable tabId="7" name="PT_Anio_Margen"/>
    <pivotTable tabId="7" name="PT_Anio_Unidades"/>
    <pivotTable tabId="7" name="PT_Anio_CostoProd"/>
    <pivotTable tabId="7" name="PT_Anio_CostoLog"/>
    <pivotTable tabId="7" name="PT_Region_Ventas"/>
    <pivotTable tabId="7" name="PT_Periodo_Margen"/>
    <pivotTable tabId="7" name="PT_CatAnio_Ventas"/>
    <pivotTable tabId="7" name="PT_CatAnio_Margen"/>
    <pivotTable tabId="7" name="PT_ProdAnio_Ventas"/>
    <pivotTable tabId="7" name="PT_ProdAnio_Margen"/>
  </pivotTables>
  <data>
    <tabular pivotCacheId="1" crossFilter="showItemsWithDataAtTop">
      <items count="4">
        <i x="0"/>
        <i x="1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_Region" sourceName="Region">
  <pivotTables>
    <pivotTable tabId="7" name="PT_Periodo_Ventas"/>
    <pivotTable tabId="7" name="PT_Anio_Ventas"/>
    <pivotTable tabId="7" name="PT_Anio_Margen"/>
    <pivotTable tabId="7" name="PT_Anio_Unidades"/>
    <pivotTable tabId="7" name="PT_Anio_CostoProd"/>
    <pivotTable tabId="7" name="PT_Anio_CostoLog"/>
    <pivotTable tabId="7" name="PT_Region_Ventas"/>
    <pivotTable tabId="7" name="PT_Periodo_Margen"/>
    <pivotTable tabId="7" name="PT_CatAnio_Ventas"/>
    <pivotTable tabId="7" name="PT_CatAnio_Margen"/>
    <pivotTable tabId="7" name="PT_ProdAnio_Ventas"/>
    <pivotTable tabId="7" name="PT_ProdAnio_Margen"/>
  </pivotTables>
  <data>
    <tabular pivotCacheId="1" crossFilter="showItemsWithDataAtTop">
      <items count="5">
        <i x="0"/>
        <i x="1"/>
        <i x="2"/>
        <i x="3"/>
        <i x="4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_Canal" sourceName="Canal">
  <pivotTables>
    <pivotTable tabId="7" name="PT_Periodo_Ventas"/>
    <pivotTable tabId="7" name="PT_Anio_Ventas"/>
    <pivotTable tabId="7" name="PT_Anio_Margen"/>
    <pivotTable tabId="7" name="PT_Anio_Unidades"/>
    <pivotTable tabId="7" name="PT_Anio_CostoProd"/>
    <pivotTable tabId="7" name="PT_Anio_CostoLog"/>
    <pivotTable tabId="7" name="PT_Region_Ventas"/>
    <pivotTable tabId="7" name="PT_Periodo_Margen"/>
    <pivotTable tabId="7" name="PT_CatAnio_Ventas"/>
    <pivotTable tabId="7" name="PT_CatAnio_Margen"/>
    <pivotTable tabId="7" name="PT_ProdAnio_Ventas"/>
    <pivotTable tabId="7" name="PT_ProdAnio_Margen"/>
  </pivotTables>
  <data>
    <tabular pivotCacheId="1" crossFilter="showItemsWithDataAtTop">
      <items count="2">
        <i x="0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rimestre" cache="Segm_Trimestre" caption="Trimestre" columnCount="2" style="SlicerStyleLight2" rowHeight="234950"/>
  <slicer name="Categoria" cache="Segm_Categoria" caption="Categoria" columnCount="2" style="SlicerStyleLight2" rowHeight="234950"/>
  <slicer name="Region" cache="Segm_Region" caption="Region" columnCount="2" style="SlicerStyleLight2" rowHeight="234950"/>
  <slicer name="Canal" cache="Segm_Canal" caption="Canal" columnCount="1" style="SlicerStyleLight2" rowHeight="234950"/>
</slicers>
</file>

<file path=xl/tables/table1.xml><?xml version="1.0" encoding="utf-8"?>
<table xmlns="http://schemas.openxmlformats.org/spreadsheetml/2006/main" id="1" name="tbl_Ventas" displayName="tbl_Ventas" ref="A1:U2401" headerRowCount="1" totalsRowCount="0" totalsRowShown="0">
  <autoFilter ref="A1:U2401"/>
  <tableColumns count="21">
    <tableColumn id="1" name="ID_Venta"/>
    <tableColumn id="2" name="Fecha"/>
    <tableColumn id="3" name="Anio"/>
    <tableColumn id="4" name="Trimestre"/>
    <tableColumn id="5" name="Mes_Num"/>
    <tableColumn id="6" name="Mes"/>
    <tableColumn id="7" name="Periodo"/>
    <tableColumn id="8" name="Region"/>
    <tableColumn id="9" name="Ciudad"/>
    <tableColumn id="10" name="Canal"/>
    <tableColumn id="11" name="Categoria"/>
    <tableColumn id="12" name="Cat_Anio"/>
    <tableColumn id="13" name="Producto"/>
    <tableColumn id="14" name="Prod_Anio"/>
    <tableColumn id="15" name="Unidades"/>
    <tableColumn id="16" name="Precio_Unitario"/>
    <tableColumn id="17" name="Costo_Unitario"/>
    <tableColumn id="18" name="Ventas"/>
    <tableColumn id="19" name="Costo_Producto"/>
    <tableColumn id="20" name="Costo_Logistico"/>
    <tableColumn id="21" name="Margen_Bru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Relationship Id="rId2" Type="http://schemas.microsoft.com/office/2007/relationships/slicer" Target="../slicers/slicer1.xml"/>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Relationship Id="rId9" Type="http://schemas.openxmlformats.org/officeDocument/2006/relationships/pivotTable" Target="../pivotTables/pivotTable9.xml"/><Relationship Id="rId10" Type="http://schemas.openxmlformats.org/officeDocument/2006/relationships/pivotTable" Target="../pivotTables/pivotTable10.xml"/><Relationship Id="rId11" Type="http://schemas.openxmlformats.org/officeDocument/2006/relationships/pivotTable" Target="../pivotTables/pivotTable11.xml"/><Relationship Id="rId12" Type="http://schemas.openxmlformats.org/officeDocument/2006/relationships/pivotTable" Target="../pivotTables/pivotTable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75"/>
  <sheetViews>
    <sheetView showFormulas="false" showGridLines="0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17" min="2" style="0" width="9.4"/>
    <col collapsed="false" customWidth="true" hidden="false" outlineLevel="0" max="18" min="18" style="0" width="2.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5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3"/>
      <c r="N2" s="3"/>
      <c r="O2" s="3"/>
      <c r="P2" s="3"/>
      <c r="Q2" s="3"/>
      <c r="R2" s="1"/>
    </row>
    <row r="3" customFormat="false" ht="15" hidden="false" customHeight="true" outlineLevel="0" collapsed="false">
      <c r="A3" s="1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3"/>
      <c r="M3" s="3"/>
      <c r="N3" s="3"/>
      <c r="O3" s="3"/>
      <c r="P3" s="3"/>
      <c r="Q3" s="3"/>
      <c r="R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6" hidden="false" customHeight="true" outlineLevel="0" collapsed="false"/>
    <row r="6" customFormat="false" ht="21.75" hidden="false" customHeight="true" outlineLevel="0" collapsed="false">
      <c r="B6" s="5" t="str">
        <f aca="false">Calculos!$B$75</f>
        <v>Las ventas crecen 17.8% y el margen cae 2.5 p.p.: el costo de compra y la logistica del e-commerce se reparten el deterioro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customFormat="false" ht="15.75" hidden="false" customHeight="true" outlineLevel="0" collapsed="false">
      <c r="B7" s="6" t="str">
        <f aca="false">Calculos!$B$76</f>
        <v>El margen bruto pasa de 35.8% a 33.3%. La logistica explica 32% del mayor costo y el resto es precio de compra: son dos causas, no una.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customFormat="false" ht="7.5" hidden="false" customHeight="true" outlineLevel="0" collapsed="false"/>
    <row r="9" customFormat="false" ht="13.5" hidden="false" customHeight="true" outlineLevel="0" collapsed="false">
      <c r="B9" s="7" t="s">
        <v>3</v>
      </c>
      <c r="C9" s="7"/>
      <c r="D9" s="7"/>
      <c r="E9" s="7"/>
      <c r="F9" s="7" t="s">
        <v>4</v>
      </c>
      <c r="G9" s="7"/>
      <c r="H9" s="7"/>
      <c r="I9" s="7"/>
      <c r="J9" s="7" t="s">
        <v>5</v>
      </c>
      <c r="K9" s="7"/>
      <c r="L9" s="7"/>
      <c r="M9" s="7"/>
      <c r="N9" s="7" t="s">
        <v>6</v>
      </c>
      <c r="O9" s="7"/>
      <c r="P9" s="7"/>
      <c r="Q9" s="7"/>
    </row>
    <row r="10" customFormat="false" ht="24" hidden="false" customHeight="true" outlineLevel="0" collapsed="false">
      <c r="B10" s="8" t="n">
        <f aca="false">Calculos!$B$17</f>
        <v>5566045.6</v>
      </c>
      <c r="C10" s="8"/>
      <c r="D10" s="8"/>
      <c r="E10" s="8"/>
      <c r="F10" s="9" t="n">
        <f aca="false">Calculos!$B$18</f>
        <v>0.333035774985386</v>
      </c>
      <c r="G10" s="9"/>
      <c r="H10" s="9"/>
      <c r="I10" s="9"/>
      <c r="J10" s="9" t="n">
        <f aca="false">Calculos!$B$19</f>
        <v>0.1776714144251</v>
      </c>
      <c r="K10" s="9"/>
      <c r="L10" s="9"/>
      <c r="M10" s="9"/>
      <c r="N10" s="10" t="n">
        <f aca="false">Calculos!$B$20</f>
        <v>0.0330201930074019</v>
      </c>
      <c r="O10" s="10"/>
      <c r="P10" s="10"/>
      <c r="Q10" s="10"/>
    </row>
    <row r="11" customFormat="false" ht="12" hidden="false" customHeight="true" outlineLevel="0" collapsed="false">
      <c r="B11" s="8"/>
      <c r="C11" s="8"/>
      <c r="D11" s="8"/>
      <c r="E11" s="8"/>
      <c r="F11" s="9"/>
      <c r="G11" s="9"/>
      <c r="H11" s="9"/>
      <c r="I11" s="9"/>
      <c r="J11" s="9"/>
      <c r="K11" s="9"/>
      <c r="L11" s="9"/>
      <c r="M11" s="9"/>
      <c r="N11" s="10"/>
      <c r="O11" s="10"/>
      <c r="P11" s="10"/>
      <c r="Q11" s="10"/>
    </row>
    <row r="12" customFormat="false" ht="13.5" hidden="false" customHeight="true" outlineLevel="0" collapsed="false">
      <c r="B12" s="11" t="str">
        <f aca="false">"vs meta "&amp;TEXT(Calculos!$C$17,"$#,##0")&amp;"   "&amp;TEXT(Calculos!$D$17,"+#,##0;-#,##0")&amp;" USD"</f>
        <v>vs meta $5,400,000   +166,046 USD</v>
      </c>
      <c r="C12" s="11"/>
      <c r="D12" s="11"/>
      <c r="E12" s="11"/>
      <c r="F12" s="11" t="str">
        <f aca="false">"vs meta "&amp;TEXT(Calculos!$C$18,"0.0%")&amp;"   "&amp;TEXT(Calculos!$B$21,"+0.0;-0.0")&amp;" p.p. vs 2024"</f>
        <v>vs meta 34.0%   -2.5 p.p. vs 2024</v>
      </c>
      <c r="G12" s="11"/>
      <c r="H12" s="11"/>
      <c r="I12" s="11"/>
      <c r="J12" s="11" t="str">
        <f aca="false">"vs meta "&amp;TEXT(Calculos!$C$19,"0.0%")&amp;"   "&amp;TEXT(Calculos!$D$19*100,"+0.0;-0.0")&amp;" p.p."</f>
        <v>vs meta 15.0%   +2.8 p.p.</v>
      </c>
      <c r="K12" s="11"/>
      <c r="L12" s="11"/>
      <c r="M12" s="11"/>
      <c r="N12" s="11" t="str">
        <f aca="false">"techo "&amp;TEXT(Calculos!$C$20,"0.00%")&amp;"   "&amp;TEXT(Calculos!$B$22,"+0.00;-0.00")&amp;" p.p. vs 2024"</f>
        <v>techo 2.50%   +1.13 p.p. vs 2024</v>
      </c>
      <c r="O12" s="11"/>
      <c r="P12" s="11"/>
      <c r="Q12" s="11"/>
    </row>
    <row r="13" customFormat="false" ht="9.75" hidden="false" customHeight="true" outlineLevel="0" collapsed="false">
      <c r="B13" s="12" t="n">
        <f aca="false">Calculos!$D$17</f>
        <v>166045.600000003</v>
      </c>
      <c r="F13" s="13" t="n">
        <f aca="false">Calculos!$D$18</f>
        <v>-0.0069642250146138</v>
      </c>
      <c r="J13" s="13" t="n">
        <f aca="false">Calculos!$D$19</f>
        <v>0.0276714144251002</v>
      </c>
      <c r="N13" s="14" t="n">
        <f aca="false">Calculos!$D$20</f>
        <v>-0.00802019300740185</v>
      </c>
    </row>
    <row r="14" customFormat="false" ht="15.75" hidden="false" customHeight="true" outlineLevel="0" collapsed="false">
      <c r="B14" s="15" t="s">
        <v>7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customFormat="false" ht="16.5" hidden="false" customHeight="true" outlineLevel="0" collapsed="false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customFormat="false" ht="16.5" hidden="false" customHeight="true" outlineLevel="0" collapsed="false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customFormat="false" ht="16.5" hidden="false" customHeight="true" outlineLevel="0" collapsed="false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customFormat="false" ht="16.5" hidden="false" customHeight="true" outlineLevel="0" collapsed="false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customFormat="false" ht="16.5" hidden="false" customHeight="true" outlineLevel="0" collapsed="false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customFormat="false" ht="16.5" hidden="false" customHeight="true" outlineLevel="0" collapsed="false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customFormat="false" ht="16.5" hidden="false" customHeight="true" outlineLevel="0" collapsed="false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customFormat="false" ht="16.5" hidden="false" customHeight="true" outlineLevel="0" collapsed="false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customFormat="false" ht="16.5" hidden="false" customHeight="true" outlineLevel="0" collapsed="false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customFormat="false" ht="15" hidden="false" customHeight="true" outlineLevel="0" collapsed="false"/>
    <row r="25" customFormat="false" ht="15" hidden="false" customHeight="true" outlineLevel="0" collapsed="false">
      <c r="B25" s="17" t="s">
        <v>8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>
      <c r="B47" s="17" t="s">
        <v>9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>
      <c r="B69" s="17" t="s">
        <v>10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</row>
    <row r="70" customFormat="false" ht="15" hidden="false" customHeight="true" outlineLevel="0" collapsed="false">
      <c r="B70" s="18" t="str">
        <f aca="false">Calculos!$B$81</f>
        <v>1) El crecimiento es real y de volumen: +17.8% en ventas con +14.4% en unidades. No es un espejismo de precios.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</row>
    <row r="71" customFormat="false" ht="15" hidden="false" customHeight="true" outlineLevel="0" collapsed="false">
      <c r="B71" s="18" t="str">
        <f aca="false">Calculos!$B$82</f>
        <v>2) La caida de margen tiene dos causas, no una: el costo de compra se llevo $172,525 y la logistica $80,921. Atribuirla solo al e-commerce sobreestima su peso.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 customFormat="false" ht="15" hidden="false" customHeight="true" outlineLevel="0" collapsed="false">
      <c r="B72" s="18" t="str">
        <f aca="false">Calculos!$B$83</f>
        <v>3) La correccion desde el Q3 funciona pero es parcial: el segundo semestre (34.5%) supera al primero (31.8%) y sigue por debajo del mismo periodo de 2024 (35.7%).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customFormat="false" ht="15" hidden="false" customHeight="true" outlineLevel="0" collapsed="false"/>
    <row r="74" customFormat="false" ht="15" hidden="false" customHeight="true" outlineLevel="0" collapsed="false">
      <c r="B74" s="19" t="s">
        <v>11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</row>
    <row r="75" customFormat="false" ht="15" hidden="false" customHeight="true" outlineLevel="0" collapsed="false"/>
  </sheetData>
  <mergeCells count="25">
    <mergeCell ref="B2:K2"/>
    <mergeCell ref="L2:Q3"/>
    <mergeCell ref="B3:K3"/>
    <mergeCell ref="B6:Q6"/>
    <mergeCell ref="B7:Q7"/>
    <mergeCell ref="B9:E9"/>
    <mergeCell ref="F9:I9"/>
    <mergeCell ref="J9:M9"/>
    <mergeCell ref="N9:Q9"/>
    <mergeCell ref="B10:E11"/>
    <mergeCell ref="F10:I11"/>
    <mergeCell ref="J10:M11"/>
    <mergeCell ref="N10:Q11"/>
    <mergeCell ref="B12:E12"/>
    <mergeCell ref="F12:I12"/>
    <mergeCell ref="J12:M12"/>
    <mergeCell ref="N12:Q12"/>
    <mergeCell ref="B14:Q14"/>
    <mergeCell ref="B25:Q25"/>
    <mergeCell ref="B47:Q47"/>
    <mergeCell ref="B69:Q69"/>
    <mergeCell ref="B70:Q70"/>
    <mergeCell ref="B71:Q71"/>
    <mergeCell ref="B72:Q72"/>
    <mergeCell ref="B74:Q74"/>
  </mergeCells>
  <conditionalFormatting sqref="B9:E12">
    <cfRule type="expression" priority="2" aboveAverage="0" equalAverage="0" bottom="0" percent="0" rank="0" text="" dxfId="0">
      <formula>$B$13&lt;0</formula>
    </cfRule>
  </conditionalFormatting>
  <conditionalFormatting sqref="F9:I12">
    <cfRule type="expression" priority="3" aboveAverage="0" equalAverage="0" bottom="0" percent="0" rank="0" text="" dxfId="0">
      <formula>$F$13&lt;0</formula>
    </cfRule>
  </conditionalFormatting>
  <conditionalFormatting sqref="J9:M12">
    <cfRule type="expression" priority="4" aboveAverage="0" equalAverage="0" bottom="0" percent="0" rank="0" text="" dxfId="0">
      <formula>$J$13&lt;0</formula>
    </cfRule>
  </conditionalFormatting>
  <conditionalFormatting sqref="N9:Q12">
    <cfRule type="expression" priority="5" aboveAverage="0" equalAverage="0" bottom="0" percent="0" rank="0" text="" dxfId="0">
      <formula>$N$13&lt;0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A8765BA9-456A-4dab-B4F3-ACF1056F45CD}">
      <x14:slicerList>
        <x14:slicer xmlns:r="http://schemas.openxmlformats.org/officeDocument/2006/relationships"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04"/>
  </cols>
  <sheetData>
    <row r="2" customFormat="false" ht="18.55" hidden="false" customHeight="false" outlineLevel="0" collapsed="false">
      <c r="B2" s="20" t="s">
        <v>12</v>
      </c>
    </row>
    <row r="3" customFormat="false" ht="25.5" hidden="false" customHeight="true" outlineLevel="0" collapsed="false">
      <c r="B3" s="21" t="s">
        <v>13</v>
      </c>
      <c r="C3" s="21"/>
    </row>
    <row r="5" customFormat="false" ht="19.5" hidden="false" customHeight="true" outlineLevel="0" collapsed="false">
      <c r="B5" s="22" t="s">
        <v>14</v>
      </c>
      <c r="C5" s="1"/>
    </row>
    <row r="6" customFormat="false" ht="15" hidden="false" customHeight="true" outlineLevel="0" collapsed="false">
      <c r="B6" s="23" t="s">
        <v>15</v>
      </c>
      <c r="C6" s="24" t="s">
        <v>16</v>
      </c>
    </row>
    <row r="7" customFormat="false" ht="60" hidden="false" customHeight="true" outlineLevel="0" collapsed="false">
      <c r="B7" s="23" t="s">
        <v>17</v>
      </c>
      <c r="C7" s="24" t="s">
        <v>18</v>
      </c>
    </row>
    <row r="8" customFormat="false" ht="45" hidden="false" customHeight="true" outlineLevel="0" collapsed="false">
      <c r="B8" s="23" t="s">
        <v>19</v>
      </c>
      <c r="C8" s="24" t="s">
        <v>20</v>
      </c>
    </row>
    <row r="9" customFormat="false" ht="45" hidden="false" customHeight="true" outlineLevel="0" collapsed="false">
      <c r="B9" s="23" t="s">
        <v>21</v>
      </c>
      <c r="C9" s="24" t="s">
        <v>22</v>
      </c>
    </row>
    <row r="10" customFormat="false" ht="30" hidden="false" customHeight="true" outlineLevel="0" collapsed="false">
      <c r="B10" s="23" t="s">
        <v>23</v>
      </c>
      <c r="C10" s="24" t="s">
        <v>24</v>
      </c>
    </row>
    <row r="12" customFormat="false" ht="19.5" hidden="false" customHeight="true" outlineLevel="0" collapsed="false">
      <c r="B12" s="22" t="s">
        <v>25</v>
      </c>
      <c r="C12" s="1"/>
    </row>
    <row r="13" customFormat="false" ht="30" hidden="false" customHeight="true" outlineLevel="0" collapsed="false">
      <c r="B13" s="23" t="s">
        <v>15</v>
      </c>
      <c r="C13" s="24" t="s">
        <v>26</v>
      </c>
    </row>
    <row r="14" customFormat="false" ht="60" hidden="false" customHeight="true" outlineLevel="0" collapsed="false">
      <c r="B14" s="23" t="s">
        <v>17</v>
      </c>
      <c r="C14" s="24" t="s">
        <v>27</v>
      </c>
    </row>
    <row r="15" customFormat="false" ht="45" hidden="false" customHeight="true" outlineLevel="0" collapsed="false">
      <c r="B15" s="23" t="s">
        <v>19</v>
      </c>
      <c r="C15" s="24" t="s">
        <v>28</v>
      </c>
    </row>
    <row r="16" customFormat="false" ht="45" hidden="false" customHeight="true" outlineLevel="0" collapsed="false">
      <c r="B16" s="23" t="s">
        <v>21</v>
      </c>
      <c r="C16" s="24" t="s">
        <v>29</v>
      </c>
    </row>
    <row r="17" customFormat="false" ht="45" hidden="false" customHeight="true" outlineLevel="0" collapsed="false">
      <c r="B17" s="23" t="s">
        <v>23</v>
      </c>
      <c r="C17" s="24" t="s">
        <v>30</v>
      </c>
    </row>
    <row r="19" customFormat="false" ht="19.5" hidden="false" customHeight="true" outlineLevel="0" collapsed="false">
      <c r="B19" s="22" t="s">
        <v>31</v>
      </c>
      <c r="C19" s="1"/>
    </row>
    <row r="20" customFormat="false" ht="30" hidden="false" customHeight="true" outlineLevel="0" collapsed="false">
      <c r="B20" s="23" t="s">
        <v>15</v>
      </c>
      <c r="C20" s="24" t="s">
        <v>32</v>
      </c>
    </row>
    <row r="21" customFormat="false" ht="45" hidden="false" customHeight="true" outlineLevel="0" collapsed="false">
      <c r="B21" s="23" t="s">
        <v>17</v>
      </c>
      <c r="C21" s="24" t="s">
        <v>33</v>
      </c>
    </row>
    <row r="22" customFormat="false" ht="45" hidden="false" customHeight="true" outlineLevel="0" collapsed="false">
      <c r="B22" s="23" t="s">
        <v>19</v>
      </c>
      <c r="C22" s="24" t="s">
        <v>34</v>
      </c>
    </row>
    <row r="23" customFormat="false" ht="30" hidden="false" customHeight="true" outlineLevel="0" collapsed="false">
      <c r="B23" s="23" t="s">
        <v>21</v>
      </c>
      <c r="C23" s="24" t="s">
        <v>35</v>
      </c>
    </row>
    <row r="24" customFormat="false" ht="30" hidden="false" customHeight="true" outlineLevel="0" collapsed="false">
      <c r="B24" s="23" t="s">
        <v>23</v>
      </c>
      <c r="C24" s="24" t="s">
        <v>36</v>
      </c>
    </row>
    <row r="26" customFormat="false" ht="15" hidden="false" customHeight="false" outlineLevel="0" collapsed="false">
      <c r="B26" s="22" t="s">
        <v>37</v>
      </c>
      <c r="C26" s="1"/>
    </row>
    <row r="27" customFormat="false" ht="60" hidden="false" customHeight="true" outlineLevel="0" collapsed="false">
      <c r="B27" s="25" t="s">
        <v>38</v>
      </c>
      <c r="C27" s="24" t="s">
        <v>39</v>
      </c>
    </row>
  </sheetData>
  <mergeCells count="1"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2" min="12" style="0" width="19"/>
    <col collapsed="false" customWidth="true" hidden="false" outlineLevel="0" max="13" min="13" style="0" width="20"/>
    <col collapsed="false" customWidth="true" hidden="false" outlineLevel="0" max="14" min="14" style="0" width="24"/>
    <col collapsed="false" customWidth="true" hidden="false" outlineLevel="0" max="15" min="15" style="0" width="10"/>
    <col collapsed="false" customWidth="true" hidden="false" outlineLevel="0" max="17" min="16" style="0" width="14"/>
    <col collapsed="false" customWidth="true" hidden="false" outlineLevel="0" max="18" min="18" style="0" width="13"/>
    <col collapsed="false" customWidth="true" hidden="false" outlineLevel="0" max="20" min="19" style="0" width="15"/>
    <col collapsed="false" customWidth="true" hidden="false" outlineLevel="0" max="21" min="21" style="0" width="14"/>
  </cols>
  <sheetData>
    <row r="1" customFormat="false" ht="15" hidden="false" customHeight="false" outlineLevel="0" collapsed="false">
      <c r="A1" s="26" t="s">
        <v>40</v>
      </c>
      <c r="B1" s="26" t="s">
        <v>41</v>
      </c>
      <c r="C1" s="26" t="s">
        <v>42</v>
      </c>
      <c r="D1" s="26" t="s">
        <v>43</v>
      </c>
      <c r="E1" s="26" t="s">
        <v>44</v>
      </c>
      <c r="F1" s="26" t="s">
        <v>45</v>
      </c>
      <c r="G1" s="26" t="s">
        <v>46</v>
      </c>
      <c r="H1" s="26" t="s">
        <v>47</v>
      </c>
      <c r="I1" s="26" t="s">
        <v>48</v>
      </c>
      <c r="J1" s="26" t="s">
        <v>49</v>
      </c>
      <c r="K1" s="26" t="s">
        <v>50</v>
      </c>
      <c r="L1" s="26" t="s">
        <v>51</v>
      </c>
      <c r="M1" s="26" t="s">
        <v>52</v>
      </c>
      <c r="N1" s="26" t="s">
        <v>53</v>
      </c>
      <c r="O1" s="26" t="s">
        <v>54</v>
      </c>
      <c r="P1" s="26" t="s">
        <v>55</v>
      </c>
      <c r="Q1" s="26" t="s">
        <v>56</v>
      </c>
      <c r="R1" s="26" t="s">
        <v>57</v>
      </c>
      <c r="S1" s="26" t="s">
        <v>58</v>
      </c>
      <c r="T1" s="26" t="s">
        <v>59</v>
      </c>
      <c r="U1" s="26" t="s">
        <v>60</v>
      </c>
    </row>
    <row r="2" customFormat="false" ht="15" hidden="false" customHeight="false" outlineLevel="0" collapsed="false">
      <c r="A2" s="0" t="n">
        <v>1</v>
      </c>
      <c r="B2" s="27" t="n">
        <v>45299</v>
      </c>
      <c r="C2" s="0" t="n">
        <v>2024</v>
      </c>
      <c r="D2" s="28" t="s">
        <v>61</v>
      </c>
      <c r="E2" s="0" t="n">
        <v>1</v>
      </c>
      <c r="F2" s="28" t="s">
        <v>62</v>
      </c>
      <c r="G2" s="28" t="s">
        <v>63</v>
      </c>
      <c r="H2" s="28" t="s">
        <v>64</v>
      </c>
      <c r="I2" s="28" t="s">
        <v>65</v>
      </c>
      <c r="J2" s="28" t="s">
        <v>66</v>
      </c>
      <c r="K2" s="28" t="s">
        <v>67</v>
      </c>
      <c r="L2" s="28" t="s">
        <v>68</v>
      </c>
      <c r="M2" s="28" t="s">
        <v>69</v>
      </c>
      <c r="N2" s="28" t="s">
        <v>70</v>
      </c>
      <c r="O2" s="29" t="n">
        <v>21</v>
      </c>
      <c r="P2" s="30" t="n">
        <v>1176</v>
      </c>
      <c r="Q2" s="30" t="n">
        <v>744</v>
      </c>
      <c r="R2" s="30" t="n">
        <f aca="false">ROUND(O2*P2,2)</f>
        <v>24696</v>
      </c>
      <c r="S2" s="30" t="n">
        <f aca="false">ROUND(O2*Q2,2)</f>
        <v>15624</v>
      </c>
      <c r="T2" s="30" t="n">
        <f aca="false">ROUND(R2*SUMIFS(Parametros!$E$23:$E$38,Parametros!$B$23:$B$38,J2,Parametros!$C$23:$C$38,C2,Parametros!$D$23:$D$38,D2),2)</f>
        <v>296.35</v>
      </c>
      <c r="U2" s="30" t="n">
        <f aca="false">R2-S2-T2</f>
        <v>8775.65</v>
      </c>
    </row>
    <row r="3" customFormat="false" ht="15" hidden="false" customHeight="false" outlineLevel="0" collapsed="false">
      <c r="A3" s="0" t="n">
        <v>2</v>
      </c>
      <c r="B3" s="27" t="n">
        <v>45306</v>
      </c>
      <c r="C3" s="0" t="n">
        <v>2024</v>
      </c>
      <c r="D3" s="28" t="s">
        <v>61</v>
      </c>
      <c r="E3" s="0" t="n">
        <v>1</v>
      </c>
      <c r="F3" s="28" t="s">
        <v>62</v>
      </c>
      <c r="G3" s="28" t="s">
        <v>63</v>
      </c>
      <c r="H3" s="28" t="s">
        <v>64</v>
      </c>
      <c r="I3" s="28" t="s">
        <v>65</v>
      </c>
      <c r="J3" s="28" t="s">
        <v>71</v>
      </c>
      <c r="K3" s="28" t="s">
        <v>67</v>
      </c>
      <c r="L3" s="28" t="s">
        <v>68</v>
      </c>
      <c r="M3" s="28" t="s">
        <v>69</v>
      </c>
      <c r="N3" s="28" t="s">
        <v>70</v>
      </c>
      <c r="O3" s="29" t="n">
        <v>8</v>
      </c>
      <c r="P3" s="30" t="n">
        <v>1176</v>
      </c>
      <c r="Q3" s="30" t="n">
        <v>744</v>
      </c>
      <c r="R3" s="30" t="n">
        <f aca="false">ROUND(O3*P3,2)</f>
        <v>9408</v>
      </c>
      <c r="S3" s="30" t="n">
        <f aca="false">ROUND(O3*Q3,2)</f>
        <v>5952</v>
      </c>
      <c r="T3" s="30" t="n">
        <f aca="false">ROUND(R3*SUMIFS(Parametros!$E$23:$E$38,Parametros!$B$23:$B$38,J3,Parametros!$C$23:$C$38,C3,Parametros!$D$23:$D$38,D3),2)</f>
        <v>395.14</v>
      </c>
      <c r="U3" s="30" t="n">
        <f aca="false">R3-S3-T3</f>
        <v>3060.86</v>
      </c>
    </row>
    <row r="4" customFormat="false" ht="15" hidden="false" customHeight="false" outlineLevel="0" collapsed="false">
      <c r="A4" s="0" t="n">
        <v>3</v>
      </c>
      <c r="B4" s="27" t="n">
        <v>45313</v>
      </c>
      <c r="C4" s="0" t="n">
        <v>2024</v>
      </c>
      <c r="D4" s="28" t="s">
        <v>61</v>
      </c>
      <c r="E4" s="0" t="n">
        <v>1</v>
      </c>
      <c r="F4" s="28" t="s">
        <v>62</v>
      </c>
      <c r="G4" s="28" t="s">
        <v>63</v>
      </c>
      <c r="H4" s="28" t="s">
        <v>64</v>
      </c>
      <c r="I4" s="28" t="s">
        <v>65</v>
      </c>
      <c r="J4" s="28" t="s">
        <v>66</v>
      </c>
      <c r="K4" s="28" t="s">
        <v>67</v>
      </c>
      <c r="L4" s="28" t="s">
        <v>68</v>
      </c>
      <c r="M4" s="28" t="s">
        <v>72</v>
      </c>
      <c r="N4" s="28" t="s">
        <v>73</v>
      </c>
      <c r="O4" s="29" t="n">
        <v>18</v>
      </c>
      <c r="P4" s="30" t="n">
        <v>441</v>
      </c>
      <c r="Q4" s="30" t="n">
        <v>272.25</v>
      </c>
      <c r="R4" s="30" t="n">
        <f aca="false">ROUND(O4*P4,2)</f>
        <v>7938</v>
      </c>
      <c r="S4" s="30" t="n">
        <f aca="false">ROUND(O4*Q4,2)</f>
        <v>4900.5</v>
      </c>
      <c r="T4" s="30" t="n">
        <f aca="false">ROUND(R4*SUMIFS(Parametros!$E$23:$E$38,Parametros!$B$23:$B$38,J4,Parametros!$C$23:$C$38,C4,Parametros!$D$23:$D$38,D4),2)</f>
        <v>95.26</v>
      </c>
      <c r="U4" s="30" t="n">
        <f aca="false">R4-S4-T4</f>
        <v>2942.24</v>
      </c>
    </row>
    <row r="5" customFormat="false" ht="15" hidden="false" customHeight="false" outlineLevel="0" collapsed="false">
      <c r="A5" s="0" t="n">
        <v>4</v>
      </c>
      <c r="B5" s="27" t="n">
        <v>45293</v>
      </c>
      <c r="C5" s="0" t="n">
        <v>2024</v>
      </c>
      <c r="D5" s="28" t="s">
        <v>61</v>
      </c>
      <c r="E5" s="0" t="n">
        <v>1</v>
      </c>
      <c r="F5" s="28" t="s">
        <v>62</v>
      </c>
      <c r="G5" s="28" t="s">
        <v>63</v>
      </c>
      <c r="H5" s="28" t="s">
        <v>64</v>
      </c>
      <c r="I5" s="28" t="s">
        <v>65</v>
      </c>
      <c r="J5" s="28" t="s">
        <v>71</v>
      </c>
      <c r="K5" s="28" t="s">
        <v>67</v>
      </c>
      <c r="L5" s="28" t="s">
        <v>68</v>
      </c>
      <c r="M5" s="28" t="s">
        <v>72</v>
      </c>
      <c r="N5" s="28" t="s">
        <v>73</v>
      </c>
      <c r="O5" s="29" t="n">
        <v>8</v>
      </c>
      <c r="P5" s="30" t="n">
        <v>441</v>
      </c>
      <c r="Q5" s="30" t="n">
        <v>272.25</v>
      </c>
      <c r="R5" s="30" t="n">
        <f aca="false">ROUND(O5*P5,2)</f>
        <v>3528</v>
      </c>
      <c r="S5" s="30" t="n">
        <f aca="false">ROUND(O5*Q5,2)</f>
        <v>2178</v>
      </c>
      <c r="T5" s="30" t="n">
        <f aca="false">ROUND(R5*SUMIFS(Parametros!$E$23:$E$38,Parametros!$B$23:$B$38,J5,Parametros!$C$23:$C$38,C5,Parametros!$D$23:$D$38,D5),2)</f>
        <v>148.18</v>
      </c>
      <c r="U5" s="30" t="n">
        <f aca="false">R5-S5-T5</f>
        <v>1201.82</v>
      </c>
    </row>
    <row r="6" customFormat="false" ht="15" hidden="false" customHeight="false" outlineLevel="0" collapsed="false">
      <c r="A6" s="0" t="n">
        <v>5</v>
      </c>
      <c r="B6" s="27" t="n">
        <v>45300</v>
      </c>
      <c r="C6" s="0" t="n">
        <v>2024</v>
      </c>
      <c r="D6" s="28" t="s">
        <v>61</v>
      </c>
      <c r="E6" s="0" t="n">
        <v>1</v>
      </c>
      <c r="F6" s="28" t="s">
        <v>62</v>
      </c>
      <c r="G6" s="28" t="s">
        <v>63</v>
      </c>
      <c r="H6" s="28" t="s">
        <v>64</v>
      </c>
      <c r="I6" s="28" t="s">
        <v>65</v>
      </c>
      <c r="J6" s="28" t="s">
        <v>66</v>
      </c>
      <c r="K6" s="28" t="s">
        <v>67</v>
      </c>
      <c r="L6" s="28" t="s">
        <v>68</v>
      </c>
      <c r="M6" s="28" t="s">
        <v>74</v>
      </c>
      <c r="N6" s="28" t="s">
        <v>75</v>
      </c>
      <c r="O6" s="29" t="n">
        <v>19</v>
      </c>
      <c r="P6" s="30" t="n">
        <v>1617</v>
      </c>
      <c r="Q6" s="30" t="n">
        <v>1122</v>
      </c>
      <c r="R6" s="30" t="n">
        <f aca="false">ROUND(O6*P6,2)</f>
        <v>30723</v>
      </c>
      <c r="S6" s="30" t="n">
        <f aca="false">ROUND(O6*Q6,2)</f>
        <v>21318</v>
      </c>
      <c r="T6" s="30" t="n">
        <f aca="false">ROUND(R6*SUMIFS(Parametros!$E$23:$E$38,Parametros!$B$23:$B$38,J6,Parametros!$C$23:$C$38,C6,Parametros!$D$23:$D$38,D6),2)</f>
        <v>368.68</v>
      </c>
      <c r="U6" s="30" t="n">
        <f aca="false">R6-S6-T6</f>
        <v>9036.32</v>
      </c>
    </row>
    <row r="7" customFormat="false" ht="15" hidden="false" customHeight="false" outlineLevel="0" collapsed="false">
      <c r="A7" s="0" t="n">
        <v>6</v>
      </c>
      <c r="B7" s="27" t="n">
        <v>45307</v>
      </c>
      <c r="C7" s="0" t="n">
        <v>2024</v>
      </c>
      <c r="D7" s="28" t="s">
        <v>61</v>
      </c>
      <c r="E7" s="0" t="n">
        <v>1</v>
      </c>
      <c r="F7" s="28" t="s">
        <v>62</v>
      </c>
      <c r="G7" s="28" t="s">
        <v>63</v>
      </c>
      <c r="H7" s="28" t="s">
        <v>64</v>
      </c>
      <c r="I7" s="28" t="s">
        <v>65</v>
      </c>
      <c r="J7" s="28" t="s">
        <v>71</v>
      </c>
      <c r="K7" s="28" t="s">
        <v>67</v>
      </c>
      <c r="L7" s="28" t="s">
        <v>68</v>
      </c>
      <c r="M7" s="28" t="s">
        <v>74</v>
      </c>
      <c r="N7" s="28" t="s">
        <v>75</v>
      </c>
      <c r="O7" s="29" t="n">
        <v>8</v>
      </c>
      <c r="P7" s="30" t="n">
        <v>1617</v>
      </c>
      <c r="Q7" s="30" t="n">
        <v>1122</v>
      </c>
      <c r="R7" s="30" t="n">
        <f aca="false">ROUND(O7*P7,2)</f>
        <v>12936</v>
      </c>
      <c r="S7" s="30" t="n">
        <f aca="false">ROUND(O7*Q7,2)</f>
        <v>8976</v>
      </c>
      <c r="T7" s="30" t="n">
        <f aca="false">ROUND(R7*SUMIFS(Parametros!$E$23:$E$38,Parametros!$B$23:$B$38,J7,Parametros!$C$23:$C$38,C7,Parametros!$D$23:$D$38,D7),2)</f>
        <v>543.31</v>
      </c>
      <c r="U7" s="30" t="n">
        <f aca="false">R7-S7-T7</f>
        <v>3416.69</v>
      </c>
    </row>
    <row r="8" customFormat="false" ht="15" hidden="false" customHeight="false" outlineLevel="0" collapsed="false">
      <c r="A8" s="0" t="n">
        <v>7</v>
      </c>
      <c r="B8" s="27" t="n">
        <v>45314</v>
      </c>
      <c r="C8" s="0" t="n">
        <v>2024</v>
      </c>
      <c r="D8" s="28" t="s">
        <v>61</v>
      </c>
      <c r="E8" s="0" t="n">
        <v>1</v>
      </c>
      <c r="F8" s="28" t="s">
        <v>62</v>
      </c>
      <c r="G8" s="28" t="s">
        <v>63</v>
      </c>
      <c r="H8" s="28" t="s">
        <v>64</v>
      </c>
      <c r="I8" s="28" t="s">
        <v>65</v>
      </c>
      <c r="J8" s="28" t="s">
        <v>66</v>
      </c>
      <c r="K8" s="28" t="s">
        <v>76</v>
      </c>
      <c r="L8" s="28" t="s">
        <v>77</v>
      </c>
      <c r="M8" s="28" t="s">
        <v>78</v>
      </c>
      <c r="N8" s="28" t="s">
        <v>79</v>
      </c>
      <c r="O8" s="29" t="n">
        <v>91</v>
      </c>
      <c r="P8" s="30" t="n">
        <v>27.44</v>
      </c>
      <c r="Q8" s="30" t="n">
        <v>13.44</v>
      </c>
      <c r="R8" s="30" t="n">
        <f aca="false">ROUND(O8*P8,2)</f>
        <v>2497.04</v>
      </c>
      <c r="S8" s="30" t="n">
        <f aca="false">ROUND(O8*Q8,2)</f>
        <v>1223.04</v>
      </c>
      <c r="T8" s="30" t="n">
        <f aca="false">ROUND(R8*SUMIFS(Parametros!$E$23:$E$38,Parametros!$B$23:$B$38,J8,Parametros!$C$23:$C$38,C8,Parametros!$D$23:$D$38,D8),2)</f>
        <v>29.96</v>
      </c>
      <c r="U8" s="30" t="n">
        <f aca="false">R8-S8-T8</f>
        <v>1244.04</v>
      </c>
    </row>
    <row r="9" customFormat="false" ht="15" hidden="false" customHeight="false" outlineLevel="0" collapsed="false">
      <c r="A9" s="0" t="n">
        <v>8</v>
      </c>
      <c r="B9" s="27" t="n">
        <v>45294</v>
      </c>
      <c r="C9" s="0" t="n">
        <v>2024</v>
      </c>
      <c r="D9" s="28" t="s">
        <v>61</v>
      </c>
      <c r="E9" s="0" t="n">
        <v>1</v>
      </c>
      <c r="F9" s="28" t="s">
        <v>62</v>
      </c>
      <c r="G9" s="28" t="s">
        <v>63</v>
      </c>
      <c r="H9" s="28" t="s">
        <v>64</v>
      </c>
      <c r="I9" s="28" t="s">
        <v>65</v>
      </c>
      <c r="J9" s="28" t="s">
        <v>71</v>
      </c>
      <c r="K9" s="28" t="s">
        <v>76</v>
      </c>
      <c r="L9" s="28" t="s">
        <v>77</v>
      </c>
      <c r="M9" s="28" t="s">
        <v>78</v>
      </c>
      <c r="N9" s="28" t="s">
        <v>79</v>
      </c>
      <c r="O9" s="29" t="n">
        <v>30</v>
      </c>
      <c r="P9" s="30" t="n">
        <v>27.44</v>
      </c>
      <c r="Q9" s="30" t="n">
        <v>13.44</v>
      </c>
      <c r="R9" s="30" t="n">
        <f aca="false">ROUND(O9*P9,2)</f>
        <v>823.2</v>
      </c>
      <c r="S9" s="30" t="n">
        <f aca="false">ROUND(O9*Q9,2)</f>
        <v>403.2</v>
      </c>
      <c r="T9" s="30" t="n">
        <f aca="false">ROUND(R9*SUMIFS(Parametros!$E$23:$E$38,Parametros!$B$23:$B$38,J9,Parametros!$C$23:$C$38,C9,Parametros!$D$23:$D$38,D9),2)</f>
        <v>34.57</v>
      </c>
      <c r="U9" s="30" t="n">
        <f aca="false">R9-S9-T9</f>
        <v>385.43</v>
      </c>
    </row>
    <row r="10" customFormat="false" ht="15" hidden="false" customHeight="false" outlineLevel="0" collapsed="false">
      <c r="A10" s="0" t="n">
        <v>9</v>
      </c>
      <c r="B10" s="27" t="n">
        <v>45301</v>
      </c>
      <c r="C10" s="0" t="n">
        <v>2024</v>
      </c>
      <c r="D10" s="28" t="s">
        <v>61</v>
      </c>
      <c r="E10" s="0" t="n">
        <v>1</v>
      </c>
      <c r="F10" s="28" t="s">
        <v>62</v>
      </c>
      <c r="G10" s="28" t="s">
        <v>63</v>
      </c>
      <c r="H10" s="28" t="s">
        <v>64</v>
      </c>
      <c r="I10" s="28" t="s">
        <v>65</v>
      </c>
      <c r="J10" s="28" t="s">
        <v>66</v>
      </c>
      <c r="K10" s="28" t="s">
        <v>76</v>
      </c>
      <c r="L10" s="28" t="s">
        <v>77</v>
      </c>
      <c r="M10" s="28" t="s">
        <v>80</v>
      </c>
      <c r="N10" s="28" t="s">
        <v>81</v>
      </c>
      <c r="O10" s="29" t="n">
        <v>95</v>
      </c>
      <c r="P10" s="30" t="n">
        <v>93.1</v>
      </c>
      <c r="Q10" s="30" t="n">
        <v>47.98</v>
      </c>
      <c r="R10" s="30" t="n">
        <f aca="false">ROUND(O10*P10,2)</f>
        <v>8844.5</v>
      </c>
      <c r="S10" s="30" t="n">
        <f aca="false">ROUND(O10*Q10,2)</f>
        <v>4558.1</v>
      </c>
      <c r="T10" s="30" t="n">
        <f aca="false">ROUND(R10*SUMIFS(Parametros!$E$23:$E$38,Parametros!$B$23:$B$38,J10,Parametros!$C$23:$C$38,C10,Parametros!$D$23:$D$38,D10),2)</f>
        <v>106.13</v>
      </c>
      <c r="U10" s="30" t="n">
        <f aca="false">R10-S10-T10</f>
        <v>4180.27</v>
      </c>
    </row>
    <row r="11" customFormat="false" ht="15" hidden="false" customHeight="false" outlineLevel="0" collapsed="false">
      <c r="A11" s="0" t="n">
        <v>10</v>
      </c>
      <c r="B11" s="27" t="n">
        <v>45308</v>
      </c>
      <c r="C11" s="0" t="n">
        <v>2024</v>
      </c>
      <c r="D11" s="28" t="s">
        <v>61</v>
      </c>
      <c r="E11" s="0" t="n">
        <v>1</v>
      </c>
      <c r="F11" s="28" t="s">
        <v>62</v>
      </c>
      <c r="G11" s="28" t="s">
        <v>63</v>
      </c>
      <c r="H11" s="28" t="s">
        <v>64</v>
      </c>
      <c r="I11" s="28" t="s">
        <v>65</v>
      </c>
      <c r="J11" s="28" t="s">
        <v>71</v>
      </c>
      <c r="K11" s="28" t="s">
        <v>76</v>
      </c>
      <c r="L11" s="28" t="s">
        <v>77</v>
      </c>
      <c r="M11" s="28" t="s">
        <v>80</v>
      </c>
      <c r="N11" s="28" t="s">
        <v>81</v>
      </c>
      <c r="O11" s="29" t="n">
        <v>35</v>
      </c>
      <c r="P11" s="30" t="n">
        <v>93.1</v>
      </c>
      <c r="Q11" s="30" t="n">
        <v>47.98</v>
      </c>
      <c r="R11" s="30" t="n">
        <f aca="false">ROUND(O11*P11,2)</f>
        <v>3258.5</v>
      </c>
      <c r="S11" s="30" t="n">
        <f aca="false">ROUND(O11*Q11,2)</f>
        <v>1679.3</v>
      </c>
      <c r="T11" s="30" t="n">
        <f aca="false">ROUND(R11*SUMIFS(Parametros!$E$23:$E$38,Parametros!$B$23:$B$38,J11,Parametros!$C$23:$C$38,C11,Parametros!$D$23:$D$38,D11),2)</f>
        <v>136.86</v>
      </c>
      <c r="U11" s="30" t="n">
        <f aca="false">R11-S11-T11</f>
        <v>1442.34</v>
      </c>
    </row>
    <row r="12" customFormat="false" ht="15" hidden="false" customHeight="false" outlineLevel="0" collapsed="false">
      <c r="A12" s="0" t="n">
        <v>11</v>
      </c>
      <c r="B12" s="27" t="n">
        <v>45315</v>
      </c>
      <c r="C12" s="0" t="n">
        <v>2024</v>
      </c>
      <c r="D12" s="28" t="s">
        <v>61</v>
      </c>
      <c r="E12" s="0" t="n">
        <v>1</v>
      </c>
      <c r="F12" s="28" t="s">
        <v>62</v>
      </c>
      <c r="G12" s="28" t="s">
        <v>63</v>
      </c>
      <c r="H12" s="28" t="s">
        <v>64</v>
      </c>
      <c r="I12" s="28" t="s">
        <v>65</v>
      </c>
      <c r="J12" s="28" t="s">
        <v>66</v>
      </c>
      <c r="K12" s="28" t="s">
        <v>76</v>
      </c>
      <c r="L12" s="28" t="s">
        <v>77</v>
      </c>
      <c r="M12" s="28" t="s">
        <v>82</v>
      </c>
      <c r="N12" s="28" t="s">
        <v>83</v>
      </c>
      <c r="O12" s="29" t="n">
        <v>98</v>
      </c>
      <c r="P12" s="30" t="n">
        <v>63.7</v>
      </c>
      <c r="Q12" s="30" t="n">
        <v>35.43</v>
      </c>
      <c r="R12" s="30" t="n">
        <f aca="false">ROUND(O12*P12,2)</f>
        <v>6242.6</v>
      </c>
      <c r="S12" s="30" t="n">
        <f aca="false">ROUND(O12*Q12,2)</f>
        <v>3472.14</v>
      </c>
      <c r="T12" s="30" t="n">
        <f aca="false">ROUND(R12*SUMIFS(Parametros!$E$23:$E$38,Parametros!$B$23:$B$38,J12,Parametros!$C$23:$C$38,C12,Parametros!$D$23:$D$38,D12),2)</f>
        <v>74.91</v>
      </c>
      <c r="U12" s="30" t="n">
        <f aca="false">R12-S12-T12</f>
        <v>2695.55</v>
      </c>
    </row>
    <row r="13" customFormat="false" ht="15" hidden="false" customHeight="false" outlineLevel="0" collapsed="false">
      <c r="A13" s="0" t="n">
        <v>12</v>
      </c>
      <c r="B13" s="27" t="n">
        <v>45295</v>
      </c>
      <c r="C13" s="0" t="n">
        <v>2024</v>
      </c>
      <c r="D13" s="28" t="s">
        <v>61</v>
      </c>
      <c r="E13" s="0" t="n">
        <v>1</v>
      </c>
      <c r="F13" s="28" t="s">
        <v>62</v>
      </c>
      <c r="G13" s="28" t="s">
        <v>63</v>
      </c>
      <c r="H13" s="28" t="s">
        <v>64</v>
      </c>
      <c r="I13" s="28" t="s">
        <v>65</v>
      </c>
      <c r="J13" s="28" t="s">
        <v>71</v>
      </c>
      <c r="K13" s="28" t="s">
        <v>76</v>
      </c>
      <c r="L13" s="28" t="s">
        <v>77</v>
      </c>
      <c r="M13" s="28" t="s">
        <v>82</v>
      </c>
      <c r="N13" s="28" t="s">
        <v>83</v>
      </c>
      <c r="O13" s="29" t="n">
        <v>32</v>
      </c>
      <c r="P13" s="30" t="n">
        <v>63.7</v>
      </c>
      <c r="Q13" s="30" t="n">
        <v>35.43</v>
      </c>
      <c r="R13" s="30" t="n">
        <f aca="false">ROUND(O13*P13,2)</f>
        <v>2038.4</v>
      </c>
      <c r="S13" s="30" t="n">
        <f aca="false">ROUND(O13*Q13,2)</f>
        <v>1133.76</v>
      </c>
      <c r="T13" s="30" t="n">
        <f aca="false">ROUND(R13*SUMIFS(Parametros!$E$23:$E$38,Parametros!$B$23:$B$38,J13,Parametros!$C$23:$C$38,C13,Parametros!$D$23:$D$38,D13),2)</f>
        <v>85.61</v>
      </c>
      <c r="U13" s="30" t="n">
        <f aca="false">R13-S13-T13</f>
        <v>819.03</v>
      </c>
    </row>
    <row r="14" customFormat="false" ht="15" hidden="false" customHeight="false" outlineLevel="0" collapsed="false">
      <c r="A14" s="0" t="n">
        <v>13</v>
      </c>
      <c r="B14" s="27" t="n">
        <v>45302</v>
      </c>
      <c r="C14" s="0" t="n">
        <v>2024</v>
      </c>
      <c r="D14" s="28" t="s">
        <v>61</v>
      </c>
      <c r="E14" s="0" t="n">
        <v>1</v>
      </c>
      <c r="F14" s="28" t="s">
        <v>62</v>
      </c>
      <c r="G14" s="28" t="s">
        <v>63</v>
      </c>
      <c r="H14" s="28" t="s">
        <v>64</v>
      </c>
      <c r="I14" s="28" t="s">
        <v>65</v>
      </c>
      <c r="J14" s="28" t="s">
        <v>66</v>
      </c>
      <c r="K14" s="28" t="s">
        <v>84</v>
      </c>
      <c r="L14" s="28" t="s">
        <v>85</v>
      </c>
      <c r="M14" s="28" t="s">
        <v>86</v>
      </c>
      <c r="N14" s="28" t="s">
        <v>87</v>
      </c>
      <c r="O14" s="29" t="n">
        <v>32</v>
      </c>
      <c r="P14" s="30" t="n">
        <v>117.6</v>
      </c>
      <c r="Q14" s="30" t="n">
        <v>63.6</v>
      </c>
      <c r="R14" s="30" t="n">
        <f aca="false">ROUND(O14*P14,2)</f>
        <v>3763.2</v>
      </c>
      <c r="S14" s="30" t="n">
        <f aca="false">ROUND(O14*Q14,2)</f>
        <v>2035.2</v>
      </c>
      <c r="T14" s="30" t="n">
        <f aca="false">ROUND(R14*SUMIFS(Parametros!$E$23:$E$38,Parametros!$B$23:$B$38,J14,Parametros!$C$23:$C$38,C14,Parametros!$D$23:$D$38,D14),2)</f>
        <v>45.16</v>
      </c>
      <c r="U14" s="30" t="n">
        <f aca="false">R14-S14-T14</f>
        <v>1682.84</v>
      </c>
    </row>
    <row r="15" customFormat="false" ht="15" hidden="false" customHeight="false" outlineLevel="0" collapsed="false">
      <c r="A15" s="0" t="n">
        <v>14</v>
      </c>
      <c r="B15" s="27" t="n">
        <v>45309</v>
      </c>
      <c r="C15" s="0" t="n">
        <v>2024</v>
      </c>
      <c r="D15" s="28" t="s">
        <v>61</v>
      </c>
      <c r="E15" s="0" t="n">
        <v>1</v>
      </c>
      <c r="F15" s="28" t="s">
        <v>62</v>
      </c>
      <c r="G15" s="28" t="s">
        <v>63</v>
      </c>
      <c r="H15" s="28" t="s">
        <v>64</v>
      </c>
      <c r="I15" s="28" t="s">
        <v>65</v>
      </c>
      <c r="J15" s="28" t="s">
        <v>71</v>
      </c>
      <c r="K15" s="28" t="s">
        <v>84</v>
      </c>
      <c r="L15" s="28" t="s">
        <v>85</v>
      </c>
      <c r="M15" s="28" t="s">
        <v>86</v>
      </c>
      <c r="N15" s="28" t="s">
        <v>87</v>
      </c>
      <c r="O15" s="29" t="n">
        <v>14</v>
      </c>
      <c r="P15" s="30" t="n">
        <v>117.6</v>
      </c>
      <c r="Q15" s="30" t="n">
        <v>63.6</v>
      </c>
      <c r="R15" s="30" t="n">
        <f aca="false">ROUND(O15*P15,2)</f>
        <v>1646.4</v>
      </c>
      <c r="S15" s="30" t="n">
        <f aca="false">ROUND(O15*Q15,2)</f>
        <v>890.4</v>
      </c>
      <c r="T15" s="30" t="n">
        <f aca="false">ROUND(R15*SUMIFS(Parametros!$E$23:$E$38,Parametros!$B$23:$B$38,J15,Parametros!$C$23:$C$38,C15,Parametros!$D$23:$D$38,D15),2)</f>
        <v>69.15</v>
      </c>
      <c r="U15" s="30" t="n">
        <f aca="false">R15-S15-T15</f>
        <v>686.85</v>
      </c>
    </row>
    <row r="16" customFormat="false" ht="15" hidden="false" customHeight="false" outlineLevel="0" collapsed="false">
      <c r="A16" s="0" t="n">
        <v>15</v>
      </c>
      <c r="B16" s="27" t="n">
        <v>45316</v>
      </c>
      <c r="C16" s="0" t="n">
        <v>2024</v>
      </c>
      <c r="D16" s="28" t="s">
        <v>61</v>
      </c>
      <c r="E16" s="0" t="n">
        <v>1</v>
      </c>
      <c r="F16" s="28" t="s">
        <v>62</v>
      </c>
      <c r="G16" s="28" t="s">
        <v>63</v>
      </c>
      <c r="H16" s="28" t="s">
        <v>64</v>
      </c>
      <c r="I16" s="28" t="s">
        <v>65</v>
      </c>
      <c r="J16" s="28" t="s">
        <v>66</v>
      </c>
      <c r="K16" s="28" t="s">
        <v>84</v>
      </c>
      <c r="L16" s="28" t="s">
        <v>85</v>
      </c>
      <c r="M16" s="28" t="s">
        <v>88</v>
      </c>
      <c r="N16" s="28" t="s">
        <v>89</v>
      </c>
      <c r="O16" s="29" t="n">
        <v>43</v>
      </c>
      <c r="P16" s="30" t="n">
        <v>83.3</v>
      </c>
      <c r="Q16" s="30" t="n">
        <v>48.02</v>
      </c>
      <c r="R16" s="30" t="n">
        <f aca="false">ROUND(O16*P16,2)</f>
        <v>3581.9</v>
      </c>
      <c r="S16" s="30" t="n">
        <f aca="false">ROUND(O16*Q16,2)</f>
        <v>2064.86</v>
      </c>
      <c r="T16" s="30" t="n">
        <f aca="false">ROUND(R16*SUMIFS(Parametros!$E$23:$E$38,Parametros!$B$23:$B$38,J16,Parametros!$C$23:$C$38,C16,Parametros!$D$23:$D$38,D16),2)</f>
        <v>42.98</v>
      </c>
      <c r="U16" s="30" t="n">
        <f aca="false">R16-S16-T16</f>
        <v>1474.06</v>
      </c>
    </row>
    <row r="17" customFormat="false" ht="15" hidden="false" customHeight="false" outlineLevel="0" collapsed="false">
      <c r="A17" s="0" t="n">
        <v>16</v>
      </c>
      <c r="B17" s="27" t="n">
        <v>45296</v>
      </c>
      <c r="C17" s="0" t="n">
        <v>2024</v>
      </c>
      <c r="D17" s="28" t="s">
        <v>61</v>
      </c>
      <c r="E17" s="0" t="n">
        <v>1</v>
      </c>
      <c r="F17" s="28" t="s">
        <v>62</v>
      </c>
      <c r="G17" s="28" t="s">
        <v>63</v>
      </c>
      <c r="H17" s="28" t="s">
        <v>64</v>
      </c>
      <c r="I17" s="28" t="s">
        <v>65</v>
      </c>
      <c r="J17" s="28" t="s">
        <v>71</v>
      </c>
      <c r="K17" s="28" t="s">
        <v>84</v>
      </c>
      <c r="L17" s="28" t="s">
        <v>85</v>
      </c>
      <c r="M17" s="28" t="s">
        <v>88</v>
      </c>
      <c r="N17" s="28" t="s">
        <v>89</v>
      </c>
      <c r="O17" s="29" t="n">
        <v>16</v>
      </c>
      <c r="P17" s="30" t="n">
        <v>83.3</v>
      </c>
      <c r="Q17" s="30" t="n">
        <v>48.02</v>
      </c>
      <c r="R17" s="30" t="n">
        <f aca="false">ROUND(O17*P17,2)</f>
        <v>1332.8</v>
      </c>
      <c r="S17" s="30" t="n">
        <f aca="false">ROUND(O17*Q17,2)</f>
        <v>768.32</v>
      </c>
      <c r="T17" s="30" t="n">
        <f aca="false">ROUND(R17*SUMIFS(Parametros!$E$23:$E$38,Parametros!$B$23:$B$38,J17,Parametros!$C$23:$C$38,C17,Parametros!$D$23:$D$38,D17),2)</f>
        <v>55.98</v>
      </c>
      <c r="U17" s="30" t="n">
        <f aca="false">R17-S17-T17</f>
        <v>508.5</v>
      </c>
    </row>
    <row r="18" customFormat="false" ht="15" hidden="false" customHeight="false" outlineLevel="0" collapsed="false">
      <c r="A18" s="0" t="n">
        <v>17</v>
      </c>
      <c r="B18" s="27" t="n">
        <v>45303</v>
      </c>
      <c r="C18" s="0" t="n">
        <v>2024</v>
      </c>
      <c r="D18" s="28" t="s">
        <v>61</v>
      </c>
      <c r="E18" s="0" t="n">
        <v>1</v>
      </c>
      <c r="F18" s="28" t="s">
        <v>62</v>
      </c>
      <c r="G18" s="28" t="s">
        <v>63</v>
      </c>
      <c r="H18" s="28" t="s">
        <v>64</v>
      </c>
      <c r="I18" s="28" t="s">
        <v>65</v>
      </c>
      <c r="J18" s="28" t="s">
        <v>66</v>
      </c>
      <c r="K18" s="28" t="s">
        <v>90</v>
      </c>
      <c r="L18" s="28" t="s">
        <v>91</v>
      </c>
      <c r="M18" s="28" t="s">
        <v>92</v>
      </c>
      <c r="N18" s="28" t="s">
        <v>93</v>
      </c>
      <c r="O18" s="29" t="n">
        <v>49</v>
      </c>
      <c r="P18" s="30" t="n">
        <v>127.4</v>
      </c>
      <c r="Q18" s="30" t="n">
        <v>76.05</v>
      </c>
      <c r="R18" s="30" t="n">
        <f aca="false">ROUND(O18*P18,2)</f>
        <v>6242.6</v>
      </c>
      <c r="S18" s="30" t="n">
        <f aca="false">ROUND(O18*Q18,2)</f>
        <v>3726.45</v>
      </c>
      <c r="T18" s="30" t="n">
        <f aca="false">ROUND(R18*SUMIFS(Parametros!$E$23:$E$38,Parametros!$B$23:$B$38,J18,Parametros!$C$23:$C$38,C18,Parametros!$D$23:$D$38,D18),2)</f>
        <v>74.91</v>
      </c>
      <c r="U18" s="30" t="n">
        <f aca="false">R18-S18-T18</f>
        <v>2441.24</v>
      </c>
    </row>
    <row r="19" customFormat="false" ht="15" hidden="false" customHeight="false" outlineLevel="0" collapsed="false">
      <c r="A19" s="0" t="n">
        <v>18</v>
      </c>
      <c r="B19" s="27" t="n">
        <v>45310</v>
      </c>
      <c r="C19" s="0" t="n">
        <v>2024</v>
      </c>
      <c r="D19" s="28" t="s">
        <v>61</v>
      </c>
      <c r="E19" s="0" t="n">
        <v>1</v>
      </c>
      <c r="F19" s="28" t="s">
        <v>62</v>
      </c>
      <c r="G19" s="28" t="s">
        <v>63</v>
      </c>
      <c r="H19" s="28" t="s">
        <v>64</v>
      </c>
      <c r="I19" s="28" t="s">
        <v>65</v>
      </c>
      <c r="J19" s="28" t="s">
        <v>71</v>
      </c>
      <c r="K19" s="28" t="s">
        <v>90</v>
      </c>
      <c r="L19" s="28" t="s">
        <v>91</v>
      </c>
      <c r="M19" s="28" t="s">
        <v>92</v>
      </c>
      <c r="N19" s="28" t="s">
        <v>93</v>
      </c>
      <c r="O19" s="29" t="n">
        <v>21</v>
      </c>
      <c r="P19" s="30" t="n">
        <v>127.4</v>
      </c>
      <c r="Q19" s="30" t="n">
        <v>76.05</v>
      </c>
      <c r="R19" s="30" t="n">
        <f aca="false">ROUND(O19*P19,2)</f>
        <v>2675.4</v>
      </c>
      <c r="S19" s="30" t="n">
        <f aca="false">ROUND(O19*Q19,2)</f>
        <v>1597.05</v>
      </c>
      <c r="T19" s="30" t="n">
        <f aca="false">ROUND(R19*SUMIFS(Parametros!$E$23:$E$38,Parametros!$B$23:$B$38,J19,Parametros!$C$23:$C$38,C19,Parametros!$D$23:$D$38,D19),2)</f>
        <v>112.37</v>
      </c>
      <c r="U19" s="30" t="n">
        <f aca="false">R19-S19-T19</f>
        <v>965.98</v>
      </c>
    </row>
    <row r="20" customFormat="false" ht="15" hidden="false" customHeight="false" outlineLevel="0" collapsed="false">
      <c r="A20" s="0" t="n">
        <v>19</v>
      </c>
      <c r="B20" s="27" t="n">
        <v>45317</v>
      </c>
      <c r="C20" s="0" t="n">
        <v>2024</v>
      </c>
      <c r="D20" s="28" t="s">
        <v>61</v>
      </c>
      <c r="E20" s="0" t="n">
        <v>1</v>
      </c>
      <c r="F20" s="28" t="s">
        <v>62</v>
      </c>
      <c r="G20" s="28" t="s">
        <v>63</v>
      </c>
      <c r="H20" s="28" t="s">
        <v>64</v>
      </c>
      <c r="I20" s="28" t="s">
        <v>65</v>
      </c>
      <c r="J20" s="28" t="s">
        <v>66</v>
      </c>
      <c r="K20" s="28" t="s">
        <v>90</v>
      </c>
      <c r="L20" s="28" t="s">
        <v>91</v>
      </c>
      <c r="M20" s="28" t="s">
        <v>94</v>
      </c>
      <c r="N20" s="28" t="s">
        <v>95</v>
      </c>
      <c r="O20" s="29" t="n">
        <v>52</v>
      </c>
      <c r="P20" s="30" t="n">
        <v>34.3</v>
      </c>
      <c r="Q20" s="30" t="n">
        <v>17.85</v>
      </c>
      <c r="R20" s="30" t="n">
        <f aca="false">ROUND(O20*P20,2)</f>
        <v>1783.6</v>
      </c>
      <c r="S20" s="30" t="n">
        <f aca="false">ROUND(O20*Q20,2)</f>
        <v>928.2</v>
      </c>
      <c r="T20" s="30" t="n">
        <f aca="false">ROUND(R20*SUMIFS(Parametros!$E$23:$E$38,Parametros!$B$23:$B$38,J20,Parametros!$C$23:$C$38,C20,Parametros!$D$23:$D$38,D20),2)</f>
        <v>21.4</v>
      </c>
      <c r="U20" s="30" t="n">
        <f aca="false">R20-S20-T20</f>
        <v>834</v>
      </c>
    </row>
    <row r="21" customFormat="false" ht="15" hidden="false" customHeight="false" outlineLevel="0" collapsed="false">
      <c r="A21" s="0" t="n">
        <v>20</v>
      </c>
      <c r="B21" s="27" t="n">
        <v>45297</v>
      </c>
      <c r="C21" s="0" t="n">
        <v>2024</v>
      </c>
      <c r="D21" s="28" t="s">
        <v>61</v>
      </c>
      <c r="E21" s="0" t="n">
        <v>1</v>
      </c>
      <c r="F21" s="28" t="s">
        <v>62</v>
      </c>
      <c r="G21" s="28" t="s">
        <v>63</v>
      </c>
      <c r="H21" s="28" t="s">
        <v>64</v>
      </c>
      <c r="I21" s="28" t="s">
        <v>65</v>
      </c>
      <c r="J21" s="28" t="s">
        <v>71</v>
      </c>
      <c r="K21" s="28" t="s">
        <v>90</v>
      </c>
      <c r="L21" s="28" t="s">
        <v>91</v>
      </c>
      <c r="M21" s="28" t="s">
        <v>94</v>
      </c>
      <c r="N21" s="28" t="s">
        <v>95</v>
      </c>
      <c r="O21" s="29" t="n">
        <v>17</v>
      </c>
      <c r="P21" s="30" t="n">
        <v>34.3</v>
      </c>
      <c r="Q21" s="30" t="n">
        <v>17.85</v>
      </c>
      <c r="R21" s="30" t="n">
        <f aca="false">ROUND(O21*P21,2)</f>
        <v>583.1</v>
      </c>
      <c r="S21" s="30" t="n">
        <f aca="false">ROUND(O21*Q21,2)</f>
        <v>303.45</v>
      </c>
      <c r="T21" s="30" t="n">
        <f aca="false">ROUND(R21*SUMIFS(Parametros!$E$23:$E$38,Parametros!$B$23:$B$38,J21,Parametros!$C$23:$C$38,C21,Parametros!$D$23:$D$38,D21),2)</f>
        <v>24.49</v>
      </c>
      <c r="U21" s="30" t="n">
        <f aca="false">R21-S21-T21</f>
        <v>255.16</v>
      </c>
    </row>
    <row r="22" customFormat="false" ht="15" hidden="false" customHeight="false" outlineLevel="0" collapsed="false">
      <c r="A22" s="0" t="n">
        <v>21</v>
      </c>
      <c r="B22" s="27" t="n">
        <v>45304</v>
      </c>
      <c r="C22" s="0" t="n">
        <v>2024</v>
      </c>
      <c r="D22" s="28" t="s">
        <v>61</v>
      </c>
      <c r="E22" s="0" t="n">
        <v>1</v>
      </c>
      <c r="F22" s="28" t="s">
        <v>62</v>
      </c>
      <c r="G22" s="28" t="s">
        <v>63</v>
      </c>
      <c r="H22" s="28" t="s">
        <v>96</v>
      </c>
      <c r="I22" s="28" t="s">
        <v>97</v>
      </c>
      <c r="J22" s="28" t="s">
        <v>66</v>
      </c>
      <c r="K22" s="28" t="s">
        <v>67</v>
      </c>
      <c r="L22" s="28" t="s">
        <v>68</v>
      </c>
      <c r="M22" s="28" t="s">
        <v>69</v>
      </c>
      <c r="N22" s="28" t="s">
        <v>70</v>
      </c>
      <c r="O22" s="29" t="n">
        <v>12</v>
      </c>
      <c r="P22" s="30" t="n">
        <v>1176</v>
      </c>
      <c r="Q22" s="30" t="n">
        <v>744</v>
      </c>
      <c r="R22" s="30" t="n">
        <f aca="false">ROUND(O22*P22,2)</f>
        <v>14112</v>
      </c>
      <c r="S22" s="30" t="n">
        <f aca="false">ROUND(O22*Q22,2)</f>
        <v>8928</v>
      </c>
      <c r="T22" s="30" t="n">
        <f aca="false">ROUND(R22*SUMIFS(Parametros!$E$23:$E$38,Parametros!$B$23:$B$38,J22,Parametros!$C$23:$C$38,C22,Parametros!$D$23:$D$38,D22),2)</f>
        <v>169.34</v>
      </c>
      <c r="U22" s="30" t="n">
        <f aca="false">R22-S22-T22</f>
        <v>5014.66</v>
      </c>
    </row>
    <row r="23" customFormat="false" ht="15" hidden="false" customHeight="false" outlineLevel="0" collapsed="false">
      <c r="A23" s="0" t="n">
        <v>22</v>
      </c>
      <c r="B23" s="27" t="n">
        <v>45311</v>
      </c>
      <c r="C23" s="0" t="n">
        <v>2024</v>
      </c>
      <c r="D23" s="28" t="s">
        <v>61</v>
      </c>
      <c r="E23" s="0" t="n">
        <v>1</v>
      </c>
      <c r="F23" s="28" t="s">
        <v>62</v>
      </c>
      <c r="G23" s="28" t="s">
        <v>63</v>
      </c>
      <c r="H23" s="28" t="s">
        <v>96</v>
      </c>
      <c r="I23" s="28" t="s">
        <v>97</v>
      </c>
      <c r="J23" s="28" t="s">
        <v>71</v>
      </c>
      <c r="K23" s="28" t="s">
        <v>67</v>
      </c>
      <c r="L23" s="28" t="s">
        <v>68</v>
      </c>
      <c r="M23" s="28" t="s">
        <v>69</v>
      </c>
      <c r="N23" s="28" t="s">
        <v>70</v>
      </c>
      <c r="O23" s="29" t="n">
        <v>4</v>
      </c>
      <c r="P23" s="30" t="n">
        <v>1176</v>
      </c>
      <c r="Q23" s="30" t="n">
        <v>744</v>
      </c>
      <c r="R23" s="30" t="n">
        <f aca="false">ROUND(O23*P23,2)</f>
        <v>4704</v>
      </c>
      <c r="S23" s="30" t="n">
        <f aca="false">ROUND(O23*Q23,2)</f>
        <v>2976</v>
      </c>
      <c r="T23" s="30" t="n">
        <f aca="false">ROUND(R23*SUMIFS(Parametros!$E$23:$E$38,Parametros!$B$23:$B$38,J23,Parametros!$C$23:$C$38,C23,Parametros!$D$23:$D$38,D23),2)</f>
        <v>197.57</v>
      </c>
      <c r="U23" s="30" t="n">
        <f aca="false">R23-S23-T23</f>
        <v>1530.43</v>
      </c>
    </row>
    <row r="24" customFormat="false" ht="15" hidden="false" customHeight="false" outlineLevel="0" collapsed="false">
      <c r="A24" s="0" t="n">
        <v>23</v>
      </c>
      <c r="B24" s="27" t="n">
        <v>45318</v>
      </c>
      <c r="C24" s="0" t="n">
        <v>2024</v>
      </c>
      <c r="D24" s="28" t="s">
        <v>61</v>
      </c>
      <c r="E24" s="0" t="n">
        <v>1</v>
      </c>
      <c r="F24" s="28" t="s">
        <v>62</v>
      </c>
      <c r="G24" s="28" t="s">
        <v>63</v>
      </c>
      <c r="H24" s="28" t="s">
        <v>96</v>
      </c>
      <c r="I24" s="28" t="s">
        <v>97</v>
      </c>
      <c r="J24" s="28" t="s">
        <v>66</v>
      </c>
      <c r="K24" s="28" t="s">
        <v>67</v>
      </c>
      <c r="L24" s="28" t="s">
        <v>68</v>
      </c>
      <c r="M24" s="28" t="s">
        <v>72</v>
      </c>
      <c r="N24" s="28" t="s">
        <v>73</v>
      </c>
      <c r="O24" s="29" t="n">
        <v>9</v>
      </c>
      <c r="P24" s="30" t="n">
        <v>441</v>
      </c>
      <c r="Q24" s="30" t="n">
        <v>272.25</v>
      </c>
      <c r="R24" s="30" t="n">
        <f aca="false">ROUND(O24*P24,2)</f>
        <v>3969</v>
      </c>
      <c r="S24" s="30" t="n">
        <f aca="false">ROUND(O24*Q24,2)</f>
        <v>2450.25</v>
      </c>
      <c r="T24" s="30" t="n">
        <f aca="false">ROUND(R24*SUMIFS(Parametros!$E$23:$E$38,Parametros!$B$23:$B$38,J24,Parametros!$C$23:$C$38,C24,Parametros!$D$23:$D$38,D24),2)</f>
        <v>47.63</v>
      </c>
      <c r="U24" s="30" t="n">
        <f aca="false">R24-S24-T24</f>
        <v>1471.12</v>
      </c>
    </row>
    <row r="25" customFormat="false" ht="15" hidden="false" customHeight="false" outlineLevel="0" collapsed="false">
      <c r="A25" s="0" t="n">
        <v>24</v>
      </c>
      <c r="B25" s="27" t="n">
        <v>45298</v>
      </c>
      <c r="C25" s="0" t="n">
        <v>2024</v>
      </c>
      <c r="D25" s="28" t="s">
        <v>61</v>
      </c>
      <c r="E25" s="0" t="n">
        <v>1</v>
      </c>
      <c r="F25" s="28" t="s">
        <v>62</v>
      </c>
      <c r="G25" s="28" t="s">
        <v>63</v>
      </c>
      <c r="H25" s="28" t="s">
        <v>96</v>
      </c>
      <c r="I25" s="28" t="s">
        <v>97</v>
      </c>
      <c r="J25" s="28" t="s">
        <v>71</v>
      </c>
      <c r="K25" s="28" t="s">
        <v>67</v>
      </c>
      <c r="L25" s="28" t="s">
        <v>68</v>
      </c>
      <c r="M25" s="28" t="s">
        <v>72</v>
      </c>
      <c r="N25" s="28" t="s">
        <v>73</v>
      </c>
      <c r="O25" s="29" t="n">
        <v>3</v>
      </c>
      <c r="P25" s="30" t="n">
        <v>441</v>
      </c>
      <c r="Q25" s="30" t="n">
        <v>272.25</v>
      </c>
      <c r="R25" s="30" t="n">
        <f aca="false">ROUND(O25*P25,2)</f>
        <v>1323</v>
      </c>
      <c r="S25" s="30" t="n">
        <f aca="false">ROUND(O25*Q25,2)</f>
        <v>816.75</v>
      </c>
      <c r="T25" s="30" t="n">
        <f aca="false">ROUND(R25*SUMIFS(Parametros!$E$23:$E$38,Parametros!$B$23:$B$38,J25,Parametros!$C$23:$C$38,C25,Parametros!$D$23:$D$38,D25),2)</f>
        <v>55.57</v>
      </c>
      <c r="U25" s="30" t="n">
        <f aca="false">R25-S25-T25</f>
        <v>450.68</v>
      </c>
    </row>
    <row r="26" customFormat="false" ht="15" hidden="false" customHeight="false" outlineLevel="0" collapsed="false">
      <c r="A26" s="0" t="n">
        <v>25</v>
      </c>
      <c r="B26" s="27" t="n">
        <v>45305</v>
      </c>
      <c r="C26" s="0" t="n">
        <v>2024</v>
      </c>
      <c r="D26" s="28" t="s">
        <v>61</v>
      </c>
      <c r="E26" s="0" t="n">
        <v>1</v>
      </c>
      <c r="F26" s="28" t="s">
        <v>62</v>
      </c>
      <c r="G26" s="28" t="s">
        <v>63</v>
      </c>
      <c r="H26" s="28" t="s">
        <v>96</v>
      </c>
      <c r="I26" s="28" t="s">
        <v>97</v>
      </c>
      <c r="J26" s="28" t="s">
        <v>66</v>
      </c>
      <c r="K26" s="28" t="s">
        <v>67</v>
      </c>
      <c r="L26" s="28" t="s">
        <v>68</v>
      </c>
      <c r="M26" s="28" t="s">
        <v>74</v>
      </c>
      <c r="N26" s="28" t="s">
        <v>75</v>
      </c>
      <c r="O26" s="29" t="n">
        <v>11</v>
      </c>
      <c r="P26" s="30" t="n">
        <v>1617</v>
      </c>
      <c r="Q26" s="30" t="n">
        <v>1122</v>
      </c>
      <c r="R26" s="30" t="n">
        <f aca="false">ROUND(O26*P26,2)</f>
        <v>17787</v>
      </c>
      <c r="S26" s="30" t="n">
        <f aca="false">ROUND(O26*Q26,2)</f>
        <v>12342</v>
      </c>
      <c r="T26" s="30" t="n">
        <f aca="false">ROUND(R26*SUMIFS(Parametros!$E$23:$E$38,Parametros!$B$23:$B$38,J26,Parametros!$C$23:$C$38,C26,Parametros!$D$23:$D$38,D26),2)</f>
        <v>213.44</v>
      </c>
      <c r="U26" s="30" t="n">
        <f aca="false">R26-S26-T26</f>
        <v>5231.56</v>
      </c>
    </row>
    <row r="27" customFormat="false" ht="15" hidden="false" customHeight="false" outlineLevel="0" collapsed="false">
      <c r="A27" s="0" t="n">
        <v>26</v>
      </c>
      <c r="B27" s="27" t="n">
        <v>45312</v>
      </c>
      <c r="C27" s="0" t="n">
        <v>2024</v>
      </c>
      <c r="D27" s="28" t="s">
        <v>61</v>
      </c>
      <c r="E27" s="0" t="n">
        <v>1</v>
      </c>
      <c r="F27" s="28" t="s">
        <v>62</v>
      </c>
      <c r="G27" s="28" t="s">
        <v>63</v>
      </c>
      <c r="H27" s="28" t="s">
        <v>96</v>
      </c>
      <c r="I27" s="28" t="s">
        <v>97</v>
      </c>
      <c r="J27" s="28" t="s">
        <v>71</v>
      </c>
      <c r="K27" s="28" t="s">
        <v>67</v>
      </c>
      <c r="L27" s="28" t="s">
        <v>68</v>
      </c>
      <c r="M27" s="28" t="s">
        <v>74</v>
      </c>
      <c r="N27" s="28" t="s">
        <v>75</v>
      </c>
      <c r="O27" s="29" t="n">
        <v>3</v>
      </c>
      <c r="P27" s="30" t="n">
        <v>1617</v>
      </c>
      <c r="Q27" s="30" t="n">
        <v>1122</v>
      </c>
      <c r="R27" s="30" t="n">
        <f aca="false">ROUND(O27*P27,2)</f>
        <v>4851</v>
      </c>
      <c r="S27" s="30" t="n">
        <f aca="false">ROUND(O27*Q27,2)</f>
        <v>3366</v>
      </c>
      <c r="T27" s="30" t="n">
        <f aca="false">ROUND(R27*SUMIFS(Parametros!$E$23:$E$38,Parametros!$B$23:$B$38,J27,Parametros!$C$23:$C$38,C27,Parametros!$D$23:$D$38,D27),2)</f>
        <v>203.74</v>
      </c>
      <c r="U27" s="30" t="n">
        <f aca="false">R27-S27-T27</f>
        <v>1281.26</v>
      </c>
    </row>
    <row r="28" customFormat="false" ht="15" hidden="false" customHeight="false" outlineLevel="0" collapsed="false">
      <c r="A28" s="0" t="n">
        <v>27</v>
      </c>
      <c r="B28" s="27" t="n">
        <v>45292</v>
      </c>
      <c r="C28" s="0" t="n">
        <v>2024</v>
      </c>
      <c r="D28" s="28" t="s">
        <v>61</v>
      </c>
      <c r="E28" s="0" t="n">
        <v>1</v>
      </c>
      <c r="F28" s="28" t="s">
        <v>62</v>
      </c>
      <c r="G28" s="28" t="s">
        <v>63</v>
      </c>
      <c r="H28" s="28" t="s">
        <v>96</v>
      </c>
      <c r="I28" s="28" t="s">
        <v>97</v>
      </c>
      <c r="J28" s="28" t="s">
        <v>66</v>
      </c>
      <c r="K28" s="28" t="s">
        <v>76</v>
      </c>
      <c r="L28" s="28" t="s">
        <v>77</v>
      </c>
      <c r="M28" s="28" t="s">
        <v>78</v>
      </c>
      <c r="N28" s="28" t="s">
        <v>79</v>
      </c>
      <c r="O28" s="29" t="n">
        <v>57</v>
      </c>
      <c r="P28" s="30" t="n">
        <v>27.44</v>
      </c>
      <c r="Q28" s="30" t="n">
        <v>13.44</v>
      </c>
      <c r="R28" s="30" t="n">
        <f aca="false">ROUND(O28*P28,2)</f>
        <v>1564.08</v>
      </c>
      <c r="S28" s="30" t="n">
        <f aca="false">ROUND(O28*Q28,2)</f>
        <v>766.08</v>
      </c>
      <c r="T28" s="30" t="n">
        <f aca="false">ROUND(R28*SUMIFS(Parametros!$E$23:$E$38,Parametros!$B$23:$B$38,J28,Parametros!$C$23:$C$38,C28,Parametros!$D$23:$D$38,D28),2)</f>
        <v>18.77</v>
      </c>
      <c r="U28" s="30" t="n">
        <f aca="false">R28-S28-T28</f>
        <v>779.23</v>
      </c>
    </row>
    <row r="29" customFormat="false" ht="15" hidden="false" customHeight="false" outlineLevel="0" collapsed="false">
      <c r="A29" s="0" t="n">
        <v>28</v>
      </c>
      <c r="B29" s="27" t="n">
        <v>45299</v>
      </c>
      <c r="C29" s="0" t="n">
        <v>2024</v>
      </c>
      <c r="D29" s="28" t="s">
        <v>61</v>
      </c>
      <c r="E29" s="0" t="n">
        <v>1</v>
      </c>
      <c r="F29" s="28" t="s">
        <v>62</v>
      </c>
      <c r="G29" s="28" t="s">
        <v>63</v>
      </c>
      <c r="H29" s="28" t="s">
        <v>96</v>
      </c>
      <c r="I29" s="28" t="s">
        <v>97</v>
      </c>
      <c r="J29" s="28" t="s">
        <v>71</v>
      </c>
      <c r="K29" s="28" t="s">
        <v>76</v>
      </c>
      <c r="L29" s="28" t="s">
        <v>77</v>
      </c>
      <c r="M29" s="28" t="s">
        <v>78</v>
      </c>
      <c r="N29" s="28" t="s">
        <v>79</v>
      </c>
      <c r="O29" s="29" t="n">
        <v>22</v>
      </c>
      <c r="P29" s="30" t="n">
        <v>27.44</v>
      </c>
      <c r="Q29" s="30" t="n">
        <v>13.44</v>
      </c>
      <c r="R29" s="30" t="n">
        <f aca="false">ROUND(O29*P29,2)</f>
        <v>603.68</v>
      </c>
      <c r="S29" s="30" t="n">
        <f aca="false">ROUND(O29*Q29,2)</f>
        <v>295.68</v>
      </c>
      <c r="T29" s="30" t="n">
        <f aca="false">ROUND(R29*SUMIFS(Parametros!$E$23:$E$38,Parametros!$B$23:$B$38,J29,Parametros!$C$23:$C$38,C29,Parametros!$D$23:$D$38,D29),2)</f>
        <v>25.35</v>
      </c>
      <c r="U29" s="30" t="n">
        <f aca="false">R29-S29-T29</f>
        <v>282.65</v>
      </c>
    </row>
    <row r="30" customFormat="false" ht="15" hidden="false" customHeight="false" outlineLevel="0" collapsed="false">
      <c r="A30" s="0" t="n">
        <v>29</v>
      </c>
      <c r="B30" s="27" t="n">
        <v>45306</v>
      </c>
      <c r="C30" s="0" t="n">
        <v>2024</v>
      </c>
      <c r="D30" s="28" t="s">
        <v>61</v>
      </c>
      <c r="E30" s="0" t="n">
        <v>1</v>
      </c>
      <c r="F30" s="28" t="s">
        <v>62</v>
      </c>
      <c r="G30" s="28" t="s">
        <v>63</v>
      </c>
      <c r="H30" s="28" t="s">
        <v>96</v>
      </c>
      <c r="I30" s="28" t="s">
        <v>97</v>
      </c>
      <c r="J30" s="28" t="s">
        <v>66</v>
      </c>
      <c r="K30" s="28" t="s">
        <v>76</v>
      </c>
      <c r="L30" s="28" t="s">
        <v>77</v>
      </c>
      <c r="M30" s="28" t="s">
        <v>80</v>
      </c>
      <c r="N30" s="28" t="s">
        <v>81</v>
      </c>
      <c r="O30" s="29" t="n">
        <v>45</v>
      </c>
      <c r="P30" s="30" t="n">
        <v>93.1</v>
      </c>
      <c r="Q30" s="30" t="n">
        <v>47.98</v>
      </c>
      <c r="R30" s="30" t="n">
        <f aca="false">ROUND(O30*P30,2)</f>
        <v>4189.5</v>
      </c>
      <c r="S30" s="30" t="n">
        <f aca="false">ROUND(O30*Q30,2)</f>
        <v>2159.1</v>
      </c>
      <c r="T30" s="30" t="n">
        <f aca="false">ROUND(R30*SUMIFS(Parametros!$E$23:$E$38,Parametros!$B$23:$B$38,J30,Parametros!$C$23:$C$38,C30,Parametros!$D$23:$D$38,D30),2)</f>
        <v>50.27</v>
      </c>
      <c r="U30" s="30" t="n">
        <f aca="false">R30-S30-T30</f>
        <v>1980.13</v>
      </c>
    </row>
    <row r="31" customFormat="false" ht="15" hidden="false" customHeight="false" outlineLevel="0" collapsed="false">
      <c r="A31" s="0" t="n">
        <v>30</v>
      </c>
      <c r="B31" s="27" t="n">
        <v>45313</v>
      </c>
      <c r="C31" s="0" t="n">
        <v>2024</v>
      </c>
      <c r="D31" s="28" t="s">
        <v>61</v>
      </c>
      <c r="E31" s="0" t="n">
        <v>1</v>
      </c>
      <c r="F31" s="28" t="s">
        <v>62</v>
      </c>
      <c r="G31" s="28" t="s">
        <v>63</v>
      </c>
      <c r="H31" s="28" t="s">
        <v>96</v>
      </c>
      <c r="I31" s="28" t="s">
        <v>97</v>
      </c>
      <c r="J31" s="28" t="s">
        <v>71</v>
      </c>
      <c r="K31" s="28" t="s">
        <v>76</v>
      </c>
      <c r="L31" s="28" t="s">
        <v>77</v>
      </c>
      <c r="M31" s="28" t="s">
        <v>80</v>
      </c>
      <c r="N31" s="28" t="s">
        <v>81</v>
      </c>
      <c r="O31" s="29" t="n">
        <v>17</v>
      </c>
      <c r="P31" s="30" t="n">
        <v>93.1</v>
      </c>
      <c r="Q31" s="30" t="n">
        <v>47.98</v>
      </c>
      <c r="R31" s="30" t="n">
        <f aca="false">ROUND(O31*P31,2)</f>
        <v>1582.7</v>
      </c>
      <c r="S31" s="30" t="n">
        <f aca="false">ROUND(O31*Q31,2)</f>
        <v>815.66</v>
      </c>
      <c r="T31" s="30" t="n">
        <f aca="false">ROUND(R31*SUMIFS(Parametros!$E$23:$E$38,Parametros!$B$23:$B$38,J31,Parametros!$C$23:$C$38,C31,Parametros!$D$23:$D$38,D31),2)</f>
        <v>66.47</v>
      </c>
      <c r="U31" s="30" t="n">
        <f aca="false">R31-S31-T31</f>
        <v>700.57</v>
      </c>
    </row>
    <row r="32" customFormat="false" ht="15" hidden="false" customHeight="false" outlineLevel="0" collapsed="false">
      <c r="A32" s="0" t="n">
        <v>31</v>
      </c>
      <c r="B32" s="27" t="n">
        <v>45293</v>
      </c>
      <c r="C32" s="0" t="n">
        <v>2024</v>
      </c>
      <c r="D32" s="28" t="s">
        <v>61</v>
      </c>
      <c r="E32" s="0" t="n">
        <v>1</v>
      </c>
      <c r="F32" s="28" t="s">
        <v>62</v>
      </c>
      <c r="G32" s="28" t="s">
        <v>63</v>
      </c>
      <c r="H32" s="28" t="s">
        <v>96</v>
      </c>
      <c r="I32" s="28" t="s">
        <v>97</v>
      </c>
      <c r="J32" s="28" t="s">
        <v>66</v>
      </c>
      <c r="K32" s="28" t="s">
        <v>76</v>
      </c>
      <c r="L32" s="28" t="s">
        <v>77</v>
      </c>
      <c r="M32" s="28" t="s">
        <v>82</v>
      </c>
      <c r="N32" s="28" t="s">
        <v>83</v>
      </c>
      <c r="O32" s="29" t="n">
        <v>57</v>
      </c>
      <c r="P32" s="30" t="n">
        <v>63.7</v>
      </c>
      <c r="Q32" s="30" t="n">
        <v>35.43</v>
      </c>
      <c r="R32" s="30" t="n">
        <f aca="false">ROUND(O32*P32,2)</f>
        <v>3630.9</v>
      </c>
      <c r="S32" s="30" t="n">
        <f aca="false">ROUND(O32*Q32,2)</f>
        <v>2019.51</v>
      </c>
      <c r="T32" s="30" t="n">
        <f aca="false">ROUND(R32*SUMIFS(Parametros!$E$23:$E$38,Parametros!$B$23:$B$38,J32,Parametros!$C$23:$C$38,C32,Parametros!$D$23:$D$38,D32),2)</f>
        <v>43.57</v>
      </c>
      <c r="U32" s="30" t="n">
        <f aca="false">R32-S32-T32</f>
        <v>1567.82</v>
      </c>
    </row>
    <row r="33" customFormat="false" ht="15" hidden="false" customHeight="false" outlineLevel="0" collapsed="false">
      <c r="A33" s="0" t="n">
        <v>32</v>
      </c>
      <c r="B33" s="27" t="n">
        <v>45300</v>
      </c>
      <c r="C33" s="0" t="n">
        <v>2024</v>
      </c>
      <c r="D33" s="28" t="s">
        <v>61</v>
      </c>
      <c r="E33" s="0" t="n">
        <v>1</v>
      </c>
      <c r="F33" s="28" t="s">
        <v>62</v>
      </c>
      <c r="G33" s="28" t="s">
        <v>63</v>
      </c>
      <c r="H33" s="28" t="s">
        <v>96</v>
      </c>
      <c r="I33" s="28" t="s">
        <v>97</v>
      </c>
      <c r="J33" s="28" t="s">
        <v>71</v>
      </c>
      <c r="K33" s="28" t="s">
        <v>76</v>
      </c>
      <c r="L33" s="28" t="s">
        <v>77</v>
      </c>
      <c r="M33" s="28" t="s">
        <v>82</v>
      </c>
      <c r="N33" s="28" t="s">
        <v>83</v>
      </c>
      <c r="O33" s="29" t="n">
        <v>18</v>
      </c>
      <c r="P33" s="30" t="n">
        <v>63.7</v>
      </c>
      <c r="Q33" s="30" t="n">
        <v>35.43</v>
      </c>
      <c r="R33" s="30" t="n">
        <f aca="false">ROUND(O33*P33,2)</f>
        <v>1146.6</v>
      </c>
      <c r="S33" s="30" t="n">
        <f aca="false">ROUND(O33*Q33,2)</f>
        <v>637.74</v>
      </c>
      <c r="T33" s="30" t="n">
        <f aca="false">ROUND(R33*SUMIFS(Parametros!$E$23:$E$38,Parametros!$B$23:$B$38,J33,Parametros!$C$23:$C$38,C33,Parametros!$D$23:$D$38,D33),2)</f>
        <v>48.16</v>
      </c>
      <c r="U33" s="30" t="n">
        <f aca="false">R33-S33-T33</f>
        <v>460.7</v>
      </c>
    </row>
    <row r="34" customFormat="false" ht="15" hidden="false" customHeight="false" outlineLevel="0" collapsed="false">
      <c r="A34" s="0" t="n">
        <v>33</v>
      </c>
      <c r="B34" s="27" t="n">
        <v>45307</v>
      </c>
      <c r="C34" s="0" t="n">
        <v>2024</v>
      </c>
      <c r="D34" s="28" t="s">
        <v>61</v>
      </c>
      <c r="E34" s="0" t="n">
        <v>1</v>
      </c>
      <c r="F34" s="28" t="s">
        <v>62</v>
      </c>
      <c r="G34" s="28" t="s">
        <v>63</v>
      </c>
      <c r="H34" s="28" t="s">
        <v>96</v>
      </c>
      <c r="I34" s="28" t="s">
        <v>97</v>
      </c>
      <c r="J34" s="28" t="s">
        <v>66</v>
      </c>
      <c r="K34" s="28" t="s">
        <v>84</v>
      </c>
      <c r="L34" s="28" t="s">
        <v>85</v>
      </c>
      <c r="M34" s="28" t="s">
        <v>86</v>
      </c>
      <c r="N34" s="28" t="s">
        <v>87</v>
      </c>
      <c r="O34" s="29" t="n">
        <v>23</v>
      </c>
      <c r="P34" s="30" t="n">
        <v>117.6</v>
      </c>
      <c r="Q34" s="30" t="n">
        <v>63.6</v>
      </c>
      <c r="R34" s="30" t="n">
        <f aca="false">ROUND(O34*P34,2)</f>
        <v>2704.8</v>
      </c>
      <c r="S34" s="30" t="n">
        <f aca="false">ROUND(O34*Q34,2)</f>
        <v>1462.8</v>
      </c>
      <c r="T34" s="30" t="n">
        <f aca="false">ROUND(R34*SUMIFS(Parametros!$E$23:$E$38,Parametros!$B$23:$B$38,J34,Parametros!$C$23:$C$38,C34,Parametros!$D$23:$D$38,D34),2)</f>
        <v>32.46</v>
      </c>
      <c r="U34" s="30" t="n">
        <f aca="false">R34-S34-T34</f>
        <v>1209.54</v>
      </c>
    </row>
    <row r="35" customFormat="false" ht="15" hidden="false" customHeight="false" outlineLevel="0" collapsed="false">
      <c r="A35" s="0" t="n">
        <v>34</v>
      </c>
      <c r="B35" s="27" t="n">
        <v>45314</v>
      </c>
      <c r="C35" s="0" t="n">
        <v>2024</v>
      </c>
      <c r="D35" s="28" t="s">
        <v>61</v>
      </c>
      <c r="E35" s="0" t="n">
        <v>1</v>
      </c>
      <c r="F35" s="28" t="s">
        <v>62</v>
      </c>
      <c r="G35" s="28" t="s">
        <v>63</v>
      </c>
      <c r="H35" s="28" t="s">
        <v>96</v>
      </c>
      <c r="I35" s="28" t="s">
        <v>97</v>
      </c>
      <c r="J35" s="28" t="s">
        <v>71</v>
      </c>
      <c r="K35" s="28" t="s">
        <v>84</v>
      </c>
      <c r="L35" s="28" t="s">
        <v>85</v>
      </c>
      <c r="M35" s="28" t="s">
        <v>86</v>
      </c>
      <c r="N35" s="28" t="s">
        <v>87</v>
      </c>
      <c r="O35" s="29" t="n">
        <v>9</v>
      </c>
      <c r="P35" s="30" t="n">
        <v>117.6</v>
      </c>
      <c r="Q35" s="30" t="n">
        <v>63.6</v>
      </c>
      <c r="R35" s="30" t="n">
        <f aca="false">ROUND(O35*P35,2)</f>
        <v>1058.4</v>
      </c>
      <c r="S35" s="30" t="n">
        <f aca="false">ROUND(O35*Q35,2)</f>
        <v>572.4</v>
      </c>
      <c r="T35" s="30" t="n">
        <f aca="false">ROUND(R35*SUMIFS(Parametros!$E$23:$E$38,Parametros!$B$23:$B$38,J35,Parametros!$C$23:$C$38,C35,Parametros!$D$23:$D$38,D35),2)</f>
        <v>44.45</v>
      </c>
      <c r="U35" s="30" t="n">
        <f aca="false">R35-S35-T35</f>
        <v>441.55</v>
      </c>
    </row>
    <row r="36" customFormat="false" ht="15" hidden="false" customHeight="false" outlineLevel="0" collapsed="false">
      <c r="A36" s="0" t="n">
        <v>35</v>
      </c>
      <c r="B36" s="27" t="n">
        <v>45294</v>
      </c>
      <c r="C36" s="0" t="n">
        <v>2024</v>
      </c>
      <c r="D36" s="28" t="s">
        <v>61</v>
      </c>
      <c r="E36" s="0" t="n">
        <v>1</v>
      </c>
      <c r="F36" s="28" t="s">
        <v>62</v>
      </c>
      <c r="G36" s="28" t="s">
        <v>63</v>
      </c>
      <c r="H36" s="28" t="s">
        <v>96</v>
      </c>
      <c r="I36" s="28" t="s">
        <v>97</v>
      </c>
      <c r="J36" s="28" t="s">
        <v>66</v>
      </c>
      <c r="K36" s="28" t="s">
        <v>84</v>
      </c>
      <c r="L36" s="28" t="s">
        <v>85</v>
      </c>
      <c r="M36" s="28" t="s">
        <v>88</v>
      </c>
      <c r="N36" s="28" t="s">
        <v>89</v>
      </c>
      <c r="O36" s="29" t="n">
        <v>20</v>
      </c>
      <c r="P36" s="30" t="n">
        <v>83.3</v>
      </c>
      <c r="Q36" s="30" t="n">
        <v>48.02</v>
      </c>
      <c r="R36" s="30" t="n">
        <f aca="false">ROUND(O36*P36,2)</f>
        <v>1666</v>
      </c>
      <c r="S36" s="30" t="n">
        <f aca="false">ROUND(O36*Q36,2)</f>
        <v>960.4</v>
      </c>
      <c r="T36" s="30" t="n">
        <f aca="false">ROUND(R36*SUMIFS(Parametros!$E$23:$E$38,Parametros!$B$23:$B$38,J36,Parametros!$C$23:$C$38,C36,Parametros!$D$23:$D$38,D36),2)</f>
        <v>19.99</v>
      </c>
      <c r="U36" s="30" t="n">
        <f aca="false">R36-S36-T36</f>
        <v>685.61</v>
      </c>
    </row>
    <row r="37" customFormat="false" ht="15" hidden="false" customHeight="false" outlineLevel="0" collapsed="false">
      <c r="A37" s="0" t="n">
        <v>36</v>
      </c>
      <c r="B37" s="27" t="n">
        <v>45301</v>
      </c>
      <c r="C37" s="0" t="n">
        <v>2024</v>
      </c>
      <c r="D37" s="28" t="s">
        <v>61</v>
      </c>
      <c r="E37" s="0" t="n">
        <v>1</v>
      </c>
      <c r="F37" s="28" t="s">
        <v>62</v>
      </c>
      <c r="G37" s="28" t="s">
        <v>63</v>
      </c>
      <c r="H37" s="28" t="s">
        <v>96</v>
      </c>
      <c r="I37" s="28" t="s">
        <v>97</v>
      </c>
      <c r="J37" s="28" t="s">
        <v>71</v>
      </c>
      <c r="K37" s="28" t="s">
        <v>84</v>
      </c>
      <c r="L37" s="28" t="s">
        <v>85</v>
      </c>
      <c r="M37" s="28" t="s">
        <v>88</v>
      </c>
      <c r="N37" s="28" t="s">
        <v>89</v>
      </c>
      <c r="O37" s="29" t="n">
        <v>10</v>
      </c>
      <c r="P37" s="30" t="n">
        <v>83.3</v>
      </c>
      <c r="Q37" s="30" t="n">
        <v>48.02</v>
      </c>
      <c r="R37" s="30" t="n">
        <f aca="false">ROUND(O37*P37,2)</f>
        <v>833</v>
      </c>
      <c r="S37" s="30" t="n">
        <f aca="false">ROUND(O37*Q37,2)</f>
        <v>480.2</v>
      </c>
      <c r="T37" s="30" t="n">
        <f aca="false">ROUND(R37*SUMIFS(Parametros!$E$23:$E$38,Parametros!$B$23:$B$38,J37,Parametros!$C$23:$C$38,C37,Parametros!$D$23:$D$38,D37),2)</f>
        <v>34.99</v>
      </c>
      <c r="U37" s="30" t="n">
        <f aca="false">R37-S37-T37</f>
        <v>317.81</v>
      </c>
    </row>
    <row r="38" customFormat="false" ht="15" hidden="false" customHeight="false" outlineLevel="0" collapsed="false">
      <c r="A38" s="0" t="n">
        <v>37</v>
      </c>
      <c r="B38" s="27" t="n">
        <v>45308</v>
      </c>
      <c r="C38" s="0" t="n">
        <v>2024</v>
      </c>
      <c r="D38" s="28" t="s">
        <v>61</v>
      </c>
      <c r="E38" s="0" t="n">
        <v>1</v>
      </c>
      <c r="F38" s="28" t="s">
        <v>62</v>
      </c>
      <c r="G38" s="28" t="s">
        <v>63</v>
      </c>
      <c r="H38" s="28" t="s">
        <v>96</v>
      </c>
      <c r="I38" s="28" t="s">
        <v>97</v>
      </c>
      <c r="J38" s="28" t="s">
        <v>66</v>
      </c>
      <c r="K38" s="28" t="s">
        <v>90</v>
      </c>
      <c r="L38" s="28" t="s">
        <v>91</v>
      </c>
      <c r="M38" s="28" t="s">
        <v>92</v>
      </c>
      <c r="N38" s="28" t="s">
        <v>93</v>
      </c>
      <c r="O38" s="29" t="n">
        <v>27</v>
      </c>
      <c r="P38" s="30" t="n">
        <v>127.4</v>
      </c>
      <c r="Q38" s="30" t="n">
        <v>76.05</v>
      </c>
      <c r="R38" s="30" t="n">
        <f aca="false">ROUND(O38*P38,2)</f>
        <v>3439.8</v>
      </c>
      <c r="S38" s="30" t="n">
        <f aca="false">ROUND(O38*Q38,2)</f>
        <v>2053.35</v>
      </c>
      <c r="T38" s="30" t="n">
        <f aca="false">ROUND(R38*SUMIFS(Parametros!$E$23:$E$38,Parametros!$B$23:$B$38,J38,Parametros!$C$23:$C$38,C38,Parametros!$D$23:$D$38,D38),2)</f>
        <v>41.28</v>
      </c>
      <c r="U38" s="30" t="n">
        <f aca="false">R38-S38-T38</f>
        <v>1345.17</v>
      </c>
    </row>
    <row r="39" customFormat="false" ht="15" hidden="false" customHeight="false" outlineLevel="0" collapsed="false">
      <c r="A39" s="0" t="n">
        <v>38</v>
      </c>
      <c r="B39" s="27" t="n">
        <v>45315</v>
      </c>
      <c r="C39" s="0" t="n">
        <v>2024</v>
      </c>
      <c r="D39" s="28" t="s">
        <v>61</v>
      </c>
      <c r="E39" s="0" t="n">
        <v>1</v>
      </c>
      <c r="F39" s="28" t="s">
        <v>62</v>
      </c>
      <c r="G39" s="28" t="s">
        <v>63</v>
      </c>
      <c r="H39" s="28" t="s">
        <v>96</v>
      </c>
      <c r="I39" s="28" t="s">
        <v>97</v>
      </c>
      <c r="J39" s="28" t="s">
        <v>71</v>
      </c>
      <c r="K39" s="28" t="s">
        <v>90</v>
      </c>
      <c r="L39" s="28" t="s">
        <v>91</v>
      </c>
      <c r="M39" s="28" t="s">
        <v>92</v>
      </c>
      <c r="N39" s="28" t="s">
        <v>93</v>
      </c>
      <c r="O39" s="29" t="n">
        <v>12</v>
      </c>
      <c r="P39" s="30" t="n">
        <v>127.4</v>
      </c>
      <c r="Q39" s="30" t="n">
        <v>76.05</v>
      </c>
      <c r="R39" s="30" t="n">
        <f aca="false">ROUND(O39*P39,2)</f>
        <v>1528.8</v>
      </c>
      <c r="S39" s="30" t="n">
        <f aca="false">ROUND(O39*Q39,2)</f>
        <v>912.6</v>
      </c>
      <c r="T39" s="30" t="n">
        <f aca="false">ROUND(R39*SUMIFS(Parametros!$E$23:$E$38,Parametros!$B$23:$B$38,J39,Parametros!$C$23:$C$38,C39,Parametros!$D$23:$D$38,D39),2)</f>
        <v>64.21</v>
      </c>
      <c r="U39" s="30" t="n">
        <f aca="false">R39-S39-T39</f>
        <v>551.99</v>
      </c>
    </row>
    <row r="40" customFormat="false" ht="15" hidden="false" customHeight="false" outlineLevel="0" collapsed="false">
      <c r="A40" s="0" t="n">
        <v>39</v>
      </c>
      <c r="B40" s="27" t="n">
        <v>45295</v>
      </c>
      <c r="C40" s="0" t="n">
        <v>2024</v>
      </c>
      <c r="D40" s="28" t="s">
        <v>61</v>
      </c>
      <c r="E40" s="0" t="n">
        <v>1</v>
      </c>
      <c r="F40" s="28" t="s">
        <v>62</v>
      </c>
      <c r="G40" s="28" t="s">
        <v>63</v>
      </c>
      <c r="H40" s="28" t="s">
        <v>96</v>
      </c>
      <c r="I40" s="28" t="s">
        <v>97</v>
      </c>
      <c r="J40" s="28" t="s">
        <v>66</v>
      </c>
      <c r="K40" s="28" t="s">
        <v>90</v>
      </c>
      <c r="L40" s="28" t="s">
        <v>91</v>
      </c>
      <c r="M40" s="28" t="s">
        <v>94</v>
      </c>
      <c r="N40" s="28" t="s">
        <v>95</v>
      </c>
      <c r="O40" s="29" t="n">
        <v>28</v>
      </c>
      <c r="P40" s="30" t="n">
        <v>34.3</v>
      </c>
      <c r="Q40" s="30" t="n">
        <v>17.85</v>
      </c>
      <c r="R40" s="30" t="n">
        <f aca="false">ROUND(O40*P40,2)</f>
        <v>960.4</v>
      </c>
      <c r="S40" s="30" t="n">
        <f aca="false">ROUND(O40*Q40,2)</f>
        <v>499.8</v>
      </c>
      <c r="T40" s="30" t="n">
        <f aca="false">ROUND(R40*SUMIFS(Parametros!$E$23:$E$38,Parametros!$B$23:$B$38,J40,Parametros!$C$23:$C$38,C40,Parametros!$D$23:$D$38,D40),2)</f>
        <v>11.52</v>
      </c>
      <c r="U40" s="30" t="n">
        <f aca="false">R40-S40-T40</f>
        <v>449.08</v>
      </c>
    </row>
    <row r="41" customFormat="false" ht="15" hidden="false" customHeight="false" outlineLevel="0" collapsed="false">
      <c r="A41" s="0" t="n">
        <v>40</v>
      </c>
      <c r="B41" s="27" t="n">
        <v>45302</v>
      </c>
      <c r="C41" s="0" t="n">
        <v>2024</v>
      </c>
      <c r="D41" s="28" t="s">
        <v>61</v>
      </c>
      <c r="E41" s="0" t="n">
        <v>1</v>
      </c>
      <c r="F41" s="28" t="s">
        <v>62</v>
      </c>
      <c r="G41" s="28" t="s">
        <v>63</v>
      </c>
      <c r="H41" s="28" t="s">
        <v>96</v>
      </c>
      <c r="I41" s="28" t="s">
        <v>97</v>
      </c>
      <c r="J41" s="28" t="s">
        <v>71</v>
      </c>
      <c r="K41" s="28" t="s">
        <v>90</v>
      </c>
      <c r="L41" s="28" t="s">
        <v>91</v>
      </c>
      <c r="M41" s="28" t="s">
        <v>94</v>
      </c>
      <c r="N41" s="28" t="s">
        <v>95</v>
      </c>
      <c r="O41" s="29" t="n">
        <v>11</v>
      </c>
      <c r="P41" s="30" t="n">
        <v>34.3</v>
      </c>
      <c r="Q41" s="30" t="n">
        <v>17.85</v>
      </c>
      <c r="R41" s="30" t="n">
        <f aca="false">ROUND(O41*P41,2)</f>
        <v>377.3</v>
      </c>
      <c r="S41" s="30" t="n">
        <f aca="false">ROUND(O41*Q41,2)</f>
        <v>196.35</v>
      </c>
      <c r="T41" s="30" t="n">
        <f aca="false">ROUND(R41*SUMIFS(Parametros!$E$23:$E$38,Parametros!$B$23:$B$38,J41,Parametros!$C$23:$C$38,C41,Parametros!$D$23:$D$38,D41),2)</f>
        <v>15.85</v>
      </c>
      <c r="U41" s="30" t="n">
        <f aca="false">R41-S41-T41</f>
        <v>165.1</v>
      </c>
    </row>
    <row r="42" customFormat="false" ht="15" hidden="false" customHeight="false" outlineLevel="0" collapsed="false">
      <c r="A42" s="0" t="n">
        <v>41</v>
      </c>
      <c r="B42" s="27" t="n">
        <v>45309</v>
      </c>
      <c r="C42" s="0" t="n">
        <v>2024</v>
      </c>
      <c r="D42" s="28" t="s">
        <v>61</v>
      </c>
      <c r="E42" s="0" t="n">
        <v>1</v>
      </c>
      <c r="F42" s="28" t="s">
        <v>62</v>
      </c>
      <c r="G42" s="28" t="s">
        <v>63</v>
      </c>
      <c r="H42" s="28" t="s">
        <v>98</v>
      </c>
      <c r="I42" s="28" t="s">
        <v>99</v>
      </c>
      <c r="J42" s="28" t="s">
        <v>66</v>
      </c>
      <c r="K42" s="28" t="s">
        <v>67</v>
      </c>
      <c r="L42" s="28" t="s">
        <v>68</v>
      </c>
      <c r="M42" s="28" t="s">
        <v>69</v>
      </c>
      <c r="N42" s="28" t="s">
        <v>70</v>
      </c>
      <c r="O42" s="29" t="n">
        <v>6</v>
      </c>
      <c r="P42" s="30" t="n">
        <v>1176</v>
      </c>
      <c r="Q42" s="30" t="n">
        <v>744</v>
      </c>
      <c r="R42" s="30" t="n">
        <f aca="false">ROUND(O42*P42,2)</f>
        <v>7056</v>
      </c>
      <c r="S42" s="30" t="n">
        <f aca="false">ROUND(O42*Q42,2)</f>
        <v>4464</v>
      </c>
      <c r="T42" s="30" t="n">
        <f aca="false">ROUND(R42*SUMIFS(Parametros!$E$23:$E$38,Parametros!$B$23:$B$38,J42,Parametros!$C$23:$C$38,C42,Parametros!$D$23:$D$38,D42),2)</f>
        <v>84.67</v>
      </c>
      <c r="U42" s="30" t="n">
        <f aca="false">R42-S42-T42</f>
        <v>2507.33</v>
      </c>
    </row>
    <row r="43" customFormat="false" ht="15" hidden="false" customHeight="false" outlineLevel="0" collapsed="false">
      <c r="A43" s="0" t="n">
        <v>42</v>
      </c>
      <c r="B43" s="27" t="n">
        <v>45316</v>
      </c>
      <c r="C43" s="0" t="n">
        <v>2024</v>
      </c>
      <c r="D43" s="28" t="s">
        <v>61</v>
      </c>
      <c r="E43" s="0" t="n">
        <v>1</v>
      </c>
      <c r="F43" s="28" t="s">
        <v>62</v>
      </c>
      <c r="G43" s="28" t="s">
        <v>63</v>
      </c>
      <c r="H43" s="28" t="s">
        <v>98</v>
      </c>
      <c r="I43" s="28" t="s">
        <v>99</v>
      </c>
      <c r="J43" s="28" t="s">
        <v>71</v>
      </c>
      <c r="K43" s="28" t="s">
        <v>67</v>
      </c>
      <c r="L43" s="28" t="s">
        <v>68</v>
      </c>
      <c r="M43" s="28" t="s">
        <v>69</v>
      </c>
      <c r="N43" s="28" t="s">
        <v>70</v>
      </c>
      <c r="O43" s="29" t="n">
        <v>3</v>
      </c>
      <c r="P43" s="30" t="n">
        <v>1176</v>
      </c>
      <c r="Q43" s="30" t="n">
        <v>744</v>
      </c>
      <c r="R43" s="30" t="n">
        <f aca="false">ROUND(O43*P43,2)</f>
        <v>3528</v>
      </c>
      <c r="S43" s="30" t="n">
        <f aca="false">ROUND(O43*Q43,2)</f>
        <v>2232</v>
      </c>
      <c r="T43" s="30" t="n">
        <f aca="false">ROUND(R43*SUMIFS(Parametros!$E$23:$E$38,Parametros!$B$23:$B$38,J43,Parametros!$C$23:$C$38,C43,Parametros!$D$23:$D$38,D43),2)</f>
        <v>148.18</v>
      </c>
      <c r="U43" s="30" t="n">
        <f aca="false">R43-S43-T43</f>
        <v>1147.82</v>
      </c>
    </row>
    <row r="44" customFormat="false" ht="15" hidden="false" customHeight="false" outlineLevel="0" collapsed="false">
      <c r="A44" s="0" t="n">
        <v>43</v>
      </c>
      <c r="B44" s="27" t="n">
        <v>45296</v>
      </c>
      <c r="C44" s="0" t="n">
        <v>2024</v>
      </c>
      <c r="D44" s="28" t="s">
        <v>61</v>
      </c>
      <c r="E44" s="0" t="n">
        <v>1</v>
      </c>
      <c r="F44" s="28" t="s">
        <v>62</v>
      </c>
      <c r="G44" s="28" t="s">
        <v>63</v>
      </c>
      <c r="H44" s="28" t="s">
        <v>98</v>
      </c>
      <c r="I44" s="28" t="s">
        <v>99</v>
      </c>
      <c r="J44" s="28" t="s">
        <v>66</v>
      </c>
      <c r="K44" s="28" t="s">
        <v>67</v>
      </c>
      <c r="L44" s="28" t="s">
        <v>68</v>
      </c>
      <c r="M44" s="28" t="s">
        <v>72</v>
      </c>
      <c r="N44" s="28" t="s">
        <v>73</v>
      </c>
      <c r="O44" s="29" t="n">
        <v>7</v>
      </c>
      <c r="P44" s="30" t="n">
        <v>441</v>
      </c>
      <c r="Q44" s="30" t="n">
        <v>272.25</v>
      </c>
      <c r="R44" s="30" t="n">
        <f aca="false">ROUND(O44*P44,2)</f>
        <v>3087</v>
      </c>
      <c r="S44" s="30" t="n">
        <f aca="false">ROUND(O44*Q44,2)</f>
        <v>1905.75</v>
      </c>
      <c r="T44" s="30" t="n">
        <f aca="false">ROUND(R44*SUMIFS(Parametros!$E$23:$E$38,Parametros!$B$23:$B$38,J44,Parametros!$C$23:$C$38,C44,Parametros!$D$23:$D$38,D44),2)</f>
        <v>37.04</v>
      </c>
      <c r="U44" s="30" t="n">
        <f aca="false">R44-S44-T44</f>
        <v>1144.21</v>
      </c>
    </row>
    <row r="45" customFormat="false" ht="15" hidden="false" customHeight="false" outlineLevel="0" collapsed="false">
      <c r="A45" s="0" t="n">
        <v>44</v>
      </c>
      <c r="B45" s="27" t="n">
        <v>45303</v>
      </c>
      <c r="C45" s="0" t="n">
        <v>2024</v>
      </c>
      <c r="D45" s="28" t="s">
        <v>61</v>
      </c>
      <c r="E45" s="0" t="n">
        <v>1</v>
      </c>
      <c r="F45" s="28" t="s">
        <v>62</v>
      </c>
      <c r="G45" s="28" t="s">
        <v>63</v>
      </c>
      <c r="H45" s="28" t="s">
        <v>98</v>
      </c>
      <c r="I45" s="28" t="s">
        <v>99</v>
      </c>
      <c r="J45" s="28" t="s">
        <v>71</v>
      </c>
      <c r="K45" s="28" t="s">
        <v>67</v>
      </c>
      <c r="L45" s="28" t="s">
        <v>68</v>
      </c>
      <c r="M45" s="28" t="s">
        <v>72</v>
      </c>
      <c r="N45" s="28" t="s">
        <v>73</v>
      </c>
      <c r="O45" s="29" t="n">
        <v>3</v>
      </c>
      <c r="P45" s="30" t="n">
        <v>441</v>
      </c>
      <c r="Q45" s="30" t="n">
        <v>272.25</v>
      </c>
      <c r="R45" s="30" t="n">
        <f aca="false">ROUND(O45*P45,2)</f>
        <v>1323</v>
      </c>
      <c r="S45" s="30" t="n">
        <f aca="false">ROUND(O45*Q45,2)</f>
        <v>816.75</v>
      </c>
      <c r="T45" s="30" t="n">
        <f aca="false">ROUND(R45*SUMIFS(Parametros!$E$23:$E$38,Parametros!$B$23:$B$38,J45,Parametros!$C$23:$C$38,C45,Parametros!$D$23:$D$38,D45),2)</f>
        <v>55.57</v>
      </c>
      <c r="U45" s="30" t="n">
        <f aca="false">R45-S45-T45</f>
        <v>450.68</v>
      </c>
    </row>
    <row r="46" customFormat="false" ht="15" hidden="false" customHeight="false" outlineLevel="0" collapsed="false">
      <c r="A46" s="0" t="n">
        <v>45</v>
      </c>
      <c r="B46" s="27" t="n">
        <v>45310</v>
      </c>
      <c r="C46" s="0" t="n">
        <v>2024</v>
      </c>
      <c r="D46" s="28" t="s">
        <v>61</v>
      </c>
      <c r="E46" s="0" t="n">
        <v>1</v>
      </c>
      <c r="F46" s="28" t="s">
        <v>62</v>
      </c>
      <c r="G46" s="28" t="s">
        <v>63</v>
      </c>
      <c r="H46" s="28" t="s">
        <v>98</v>
      </c>
      <c r="I46" s="28" t="s">
        <v>99</v>
      </c>
      <c r="J46" s="28" t="s">
        <v>66</v>
      </c>
      <c r="K46" s="28" t="s">
        <v>67</v>
      </c>
      <c r="L46" s="28" t="s">
        <v>68</v>
      </c>
      <c r="M46" s="28" t="s">
        <v>74</v>
      </c>
      <c r="N46" s="28" t="s">
        <v>75</v>
      </c>
      <c r="O46" s="29" t="n">
        <v>7</v>
      </c>
      <c r="P46" s="30" t="n">
        <v>1617</v>
      </c>
      <c r="Q46" s="30" t="n">
        <v>1122</v>
      </c>
      <c r="R46" s="30" t="n">
        <f aca="false">ROUND(O46*P46,2)</f>
        <v>11319</v>
      </c>
      <c r="S46" s="30" t="n">
        <f aca="false">ROUND(O46*Q46,2)</f>
        <v>7854</v>
      </c>
      <c r="T46" s="30" t="n">
        <f aca="false">ROUND(R46*SUMIFS(Parametros!$E$23:$E$38,Parametros!$B$23:$B$38,J46,Parametros!$C$23:$C$38,C46,Parametros!$D$23:$D$38,D46),2)</f>
        <v>135.83</v>
      </c>
      <c r="U46" s="30" t="n">
        <f aca="false">R46-S46-T46</f>
        <v>3329.17</v>
      </c>
    </row>
    <row r="47" customFormat="false" ht="15" hidden="false" customHeight="false" outlineLevel="0" collapsed="false">
      <c r="A47" s="0" t="n">
        <v>46</v>
      </c>
      <c r="B47" s="27" t="n">
        <v>45317</v>
      </c>
      <c r="C47" s="0" t="n">
        <v>2024</v>
      </c>
      <c r="D47" s="28" t="s">
        <v>61</v>
      </c>
      <c r="E47" s="0" t="n">
        <v>1</v>
      </c>
      <c r="F47" s="28" t="s">
        <v>62</v>
      </c>
      <c r="G47" s="28" t="s">
        <v>63</v>
      </c>
      <c r="H47" s="28" t="s">
        <v>98</v>
      </c>
      <c r="I47" s="28" t="s">
        <v>99</v>
      </c>
      <c r="J47" s="28" t="s">
        <v>71</v>
      </c>
      <c r="K47" s="28" t="s">
        <v>67</v>
      </c>
      <c r="L47" s="28" t="s">
        <v>68</v>
      </c>
      <c r="M47" s="28" t="s">
        <v>74</v>
      </c>
      <c r="N47" s="28" t="s">
        <v>75</v>
      </c>
      <c r="O47" s="29" t="n">
        <v>3</v>
      </c>
      <c r="P47" s="30" t="n">
        <v>1617</v>
      </c>
      <c r="Q47" s="30" t="n">
        <v>1122</v>
      </c>
      <c r="R47" s="30" t="n">
        <f aca="false">ROUND(O47*P47,2)</f>
        <v>4851</v>
      </c>
      <c r="S47" s="30" t="n">
        <f aca="false">ROUND(O47*Q47,2)</f>
        <v>3366</v>
      </c>
      <c r="T47" s="30" t="n">
        <f aca="false">ROUND(R47*SUMIFS(Parametros!$E$23:$E$38,Parametros!$B$23:$B$38,J47,Parametros!$C$23:$C$38,C47,Parametros!$D$23:$D$38,D47),2)</f>
        <v>203.74</v>
      </c>
      <c r="U47" s="30" t="n">
        <f aca="false">R47-S47-T47</f>
        <v>1281.26</v>
      </c>
    </row>
    <row r="48" customFormat="false" ht="15" hidden="false" customHeight="false" outlineLevel="0" collapsed="false">
      <c r="A48" s="0" t="n">
        <v>47</v>
      </c>
      <c r="B48" s="27" t="n">
        <v>45297</v>
      </c>
      <c r="C48" s="0" t="n">
        <v>2024</v>
      </c>
      <c r="D48" s="28" t="s">
        <v>61</v>
      </c>
      <c r="E48" s="0" t="n">
        <v>1</v>
      </c>
      <c r="F48" s="28" t="s">
        <v>62</v>
      </c>
      <c r="G48" s="28" t="s">
        <v>63</v>
      </c>
      <c r="H48" s="28" t="s">
        <v>98</v>
      </c>
      <c r="I48" s="28" t="s">
        <v>99</v>
      </c>
      <c r="J48" s="28" t="s">
        <v>66</v>
      </c>
      <c r="K48" s="28" t="s">
        <v>76</v>
      </c>
      <c r="L48" s="28" t="s">
        <v>77</v>
      </c>
      <c r="M48" s="28" t="s">
        <v>78</v>
      </c>
      <c r="N48" s="28" t="s">
        <v>79</v>
      </c>
      <c r="O48" s="29" t="n">
        <v>32</v>
      </c>
      <c r="P48" s="30" t="n">
        <v>27.44</v>
      </c>
      <c r="Q48" s="30" t="n">
        <v>13.44</v>
      </c>
      <c r="R48" s="30" t="n">
        <f aca="false">ROUND(O48*P48,2)</f>
        <v>878.08</v>
      </c>
      <c r="S48" s="30" t="n">
        <f aca="false">ROUND(O48*Q48,2)</f>
        <v>430.08</v>
      </c>
      <c r="T48" s="30" t="n">
        <f aca="false">ROUND(R48*SUMIFS(Parametros!$E$23:$E$38,Parametros!$B$23:$B$38,J48,Parametros!$C$23:$C$38,C48,Parametros!$D$23:$D$38,D48),2)</f>
        <v>10.54</v>
      </c>
      <c r="U48" s="30" t="n">
        <f aca="false">R48-S48-T48</f>
        <v>437.46</v>
      </c>
    </row>
    <row r="49" customFormat="false" ht="15" hidden="false" customHeight="false" outlineLevel="0" collapsed="false">
      <c r="A49" s="0" t="n">
        <v>48</v>
      </c>
      <c r="B49" s="27" t="n">
        <v>45304</v>
      </c>
      <c r="C49" s="0" t="n">
        <v>2024</v>
      </c>
      <c r="D49" s="28" t="s">
        <v>61</v>
      </c>
      <c r="E49" s="0" t="n">
        <v>1</v>
      </c>
      <c r="F49" s="28" t="s">
        <v>62</v>
      </c>
      <c r="G49" s="28" t="s">
        <v>63</v>
      </c>
      <c r="H49" s="28" t="s">
        <v>98</v>
      </c>
      <c r="I49" s="28" t="s">
        <v>99</v>
      </c>
      <c r="J49" s="28" t="s">
        <v>71</v>
      </c>
      <c r="K49" s="28" t="s">
        <v>76</v>
      </c>
      <c r="L49" s="28" t="s">
        <v>77</v>
      </c>
      <c r="M49" s="28" t="s">
        <v>78</v>
      </c>
      <c r="N49" s="28" t="s">
        <v>79</v>
      </c>
      <c r="O49" s="29" t="n">
        <v>12</v>
      </c>
      <c r="P49" s="30" t="n">
        <v>27.44</v>
      </c>
      <c r="Q49" s="30" t="n">
        <v>13.44</v>
      </c>
      <c r="R49" s="30" t="n">
        <f aca="false">ROUND(O49*P49,2)</f>
        <v>329.28</v>
      </c>
      <c r="S49" s="30" t="n">
        <f aca="false">ROUND(O49*Q49,2)</f>
        <v>161.28</v>
      </c>
      <c r="T49" s="30" t="n">
        <f aca="false">ROUND(R49*SUMIFS(Parametros!$E$23:$E$38,Parametros!$B$23:$B$38,J49,Parametros!$C$23:$C$38,C49,Parametros!$D$23:$D$38,D49),2)</f>
        <v>13.83</v>
      </c>
      <c r="U49" s="30" t="n">
        <f aca="false">R49-S49-T49</f>
        <v>154.17</v>
      </c>
    </row>
    <row r="50" customFormat="false" ht="15" hidden="false" customHeight="false" outlineLevel="0" collapsed="false">
      <c r="A50" s="0" t="n">
        <v>49</v>
      </c>
      <c r="B50" s="27" t="n">
        <v>45311</v>
      </c>
      <c r="C50" s="0" t="n">
        <v>2024</v>
      </c>
      <c r="D50" s="28" t="s">
        <v>61</v>
      </c>
      <c r="E50" s="0" t="n">
        <v>1</v>
      </c>
      <c r="F50" s="28" t="s">
        <v>62</v>
      </c>
      <c r="G50" s="28" t="s">
        <v>63</v>
      </c>
      <c r="H50" s="28" t="s">
        <v>98</v>
      </c>
      <c r="I50" s="28" t="s">
        <v>99</v>
      </c>
      <c r="J50" s="28" t="s">
        <v>66</v>
      </c>
      <c r="K50" s="28" t="s">
        <v>76</v>
      </c>
      <c r="L50" s="28" t="s">
        <v>77</v>
      </c>
      <c r="M50" s="28" t="s">
        <v>80</v>
      </c>
      <c r="N50" s="28" t="s">
        <v>81</v>
      </c>
      <c r="O50" s="29" t="n">
        <v>36</v>
      </c>
      <c r="P50" s="30" t="n">
        <v>93.1</v>
      </c>
      <c r="Q50" s="30" t="n">
        <v>47.98</v>
      </c>
      <c r="R50" s="30" t="n">
        <f aca="false">ROUND(O50*P50,2)</f>
        <v>3351.6</v>
      </c>
      <c r="S50" s="30" t="n">
        <f aca="false">ROUND(O50*Q50,2)</f>
        <v>1727.28</v>
      </c>
      <c r="T50" s="30" t="n">
        <f aca="false">ROUND(R50*SUMIFS(Parametros!$E$23:$E$38,Parametros!$B$23:$B$38,J50,Parametros!$C$23:$C$38,C50,Parametros!$D$23:$D$38,D50),2)</f>
        <v>40.22</v>
      </c>
      <c r="U50" s="30" t="n">
        <f aca="false">R50-S50-T50</f>
        <v>1584.1</v>
      </c>
    </row>
    <row r="51" customFormat="false" ht="15" hidden="false" customHeight="false" outlineLevel="0" collapsed="false">
      <c r="A51" s="0" t="n">
        <v>50</v>
      </c>
      <c r="B51" s="27" t="n">
        <v>45318</v>
      </c>
      <c r="C51" s="0" t="n">
        <v>2024</v>
      </c>
      <c r="D51" s="28" t="s">
        <v>61</v>
      </c>
      <c r="E51" s="0" t="n">
        <v>1</v>
      </c>
      <c r="F51" s="28" t="s">
        <v>62</v>
      </c>
      <c r="G51" s="28" t="s">
        <v>63</v>
      </c>
      <c r="H51" s="28" t="s">
        <v>98</v>
      </c>
      <c r="I51" s="28" t="s">
        <v>99</v>
      </c>
      <c r="J51" s="28" t="s">
        <v>71</v>
      </c>
      <c r="K51" s="28" t="s">
        <v>76</v>
      </c>
      <c r="L51" s="28" t="s">
        <v>77</v>
      </c>
      <c r="M51" s="28" t="s">
        <v>80</v>
      </c>
      <c r="N51" s="28" t="s">
        <v>81</v>
      </c>
      <c r="O51" s="29" t="n">
        <v>13</v>
      </c>
      <c r="P51" s="30" t="n">
        <v>93.1</v>
      </c>
      <c r="Q51" s="30" t="n">
        <v>47.98</v>
      </c>
      <c r="R51" s="30" t="n">
        <f aca="false">ROUND(O51*P51,2)</f>
        <v>1210.3</v>
      </c>
      <c r="S51" s="30" t="n">
        <f aca="false">ROUND(O51*Q51,2)</f>
        <v>623.74</v>
      </c>
      <c r="T51" s="30" t="n">
        <f aca="false">ROUND(R51*SUMIFS(Parametros!$E$23:$E$38,Parametros!$B$23:$B$38,J51,Parametros!$C$23:$C$38,C51,Parametros!$D$23:$D$38,D51),2)</f>
        <v>50.83</v>
      </c>
      <c r="U51" s="30" t="n">
        <f aca="false">R51-S51-T51</f>
        <v>535.73</v>
      </c>
    </row>
    <row r="52" customFormat="false" ht="15" hidden="false" customHeight="false" outlineLevel="0" collapsed="false">
      <c r="A52" s="0" t="n">
        <v>51</v>
      </c>
      <c r="B52" s="27" t="n">
        <v>45298</v>
      </c>
      <c r="C52" s="0" t="n">
        <v>2024</v>
      </c>
      <c r="D52" s="28" t="s">
        <v>61</v>
      </c>
      <c r="E52" s="0" t="n">
        <v>1</v>
      </c>
      <c r="F52" s="28" t="s">
        <v>62</v>
      </c>
      <c r="G52" s="28" t="s">
        <v>63</v>
      </c>
      <c r="H52" s="28" t="s">
        <v>98</v>
      </c>
      <c r="I52" s="28" t="s">
        <v>99</v>
      </c>
      <c r="J52" s="28" t="s">
        <v>66</v>
      </c>
      <c r="K52" s="28" t="s">
        <v>76</v>
      </c>
      <c r="L52" s="28" t="s">
        <v>77</v>
      </c>
      <c r="M52" s="28" t="s">
        <v>82</v>
      </c>
      <c r="N52" s="28" t="s">
        <v>83</v>
      </c>
      <c r="O52" s="29" t="n">
        <v>33</v>
      </c>
      <c r="P52" s="30" t="n">
        <v>63.7</v>
      </c>
      <c r="Q52" s="30" t="n">
        <v>35.43</v>
      </c>
      <c r="R52" s="30" t="n">
        <f aca="false">ROUND(O52*P52,2)</f>
        <v>2102.1</v>
      </c>
      <c r="S52" s="30" t="n">
        <f aca="false">ROUND(O52*Q52,2)</f>
        <v>1169.19</v>
      </c>
      <c r="T52" s="30" t="n">
        <f aca="false">ROUND(R52*SUMIFS(Parametros!$E$23:$E$38,Parametros!$B$23:$B$38,J52,Parametros!$C$23:$C$38,C52,Parametros!$D$23:$D$38,D52),2)</f>
        <v>25.23</v>
      </c>
      <c r="U52" s="30" t="n">
        <f aca="false">R52-S52-T52</f>
        <v>907.68</v>
      </c>
    </row>
    <row r="53" customFormat="false" ht="15" hidden="false" customHeight="false" outlineLevel="0" collapsed="false">
      <c r="A53" s="0" t="n">
        <v>52</v>
      </c>
      <c r="B53" s="27" t="n">
        <v>45305</v>
      </c>
      <c r="C53" s="0" t="n">
        <v>2024</v>
      </c>
      <c r="D53" s="28" t="s">
        <v>61</v>
      </c>
      <c r="E53" s="0" t="n">
        <v>1</v>
      </c>
      <c r="F53" s="28" t="s">
        <v>62</v>
      </c>
      <c r="G53" s="28" t="s">
        <v>63</v>
      </c>
      <c r="H53" s="28" t="s">
        <v>98</v>
      </c>
      <c r="I53" s="28" t="s">
        <v>99</v>
      </c>
      <c r="J53" s="28" t="s">
        <v>71</v>
      </c>
      <c r="K53" s="28" t="s">
        <v>76</v>
      </c>
      <c r="L53" s="28" t="s">
        <v>77</v>
      </c>
      <c r="M53" s="28" t="s">
        <v>82</v>
      </c>
      <c r="N53" s="28" t="s">
        <v>83</v>
      </c>
      <c r="O53" s="29" t="n">
        <v>13</v>
      </c>
      <c r="P53" s="30" t="n">
        <v>63.7</v>
      </c>
      <c r="Q53" s="30" t="n">
        <v>35.43</v>
      </c>
      <c r="R53" s="30" t="n">
        <f aca="false">ROUND(O53*P53,2)</f>
        <v>828.1</v>
      </c>
      <c r="S53" s="30" t="n">
        <f aca="false">ROUND(O53*Q53,2)</f>
        <v>460.59</v>
      </c>
      <c r="T53" s="30" t="n">
        <f aca="false">ROUND(R53*SUMIFS(Parametros!$E$23:$E$38,Parametros!$B$23:$B$38,J53,Parametros!$C$23:$C$38,C53,Parametros!$D$23:$D$38,D53),2)</f>
        <v>34.78</v>
      </c>
      <c r="U53" s="30" t="n">
        <f aca="false">R53-S53-T53</f>
        <v>332.73</v>
      </c>
    </row>
    <row r="54" customFormat="false" ht="15" hidden="false" customHeight="false" outlineLevel="0" collapsed="false">
      <c r="A54" s="0" t="n">
        <v>53</v>
      </c>
      <c r="B54" s="27" t="n">
        <v>45312</v>
      </c>
      <c r="C54" s="0" t="n">
        <v>2024</v>
      </c>
      <c r="D54" s="28" t="s">
        <v>61</v>
      </c>
      <c r="E54" s="0" t="n">
        <v>1</v>
      </c>
      <c r="F54" s="28" t="s">
        <v>62</v>
      </c>
      <c r="G54" s="28" t="s">
        <v>63</v>
      </c>
      <c r="H54" s="28" t="s">
        <v>98</v>
      </c>
      <c r="I54" s="28" t="s">
        <v>99</v>
      </c>
      <c r="J54" s="28" t="s">
        <v>66</v>
      </c>
      <c r="K54" s="28" t="s">
        <v>84</v>
      </c>
      <c r="L54" s="28" t="s">
        <v>85</v>
      </c>
      <c r="M54" s="28" t="s">
        <v>86</v>
      </c>
      <c r="N54" s="28" t="s">
        <v>87</v>
      </c>
      <c r="O54" s="29" t="n">
        <v>17</v>
      </c>
      <c r="P54" s="30" t="n">
        <v>117.6</v>
      </c>
      <c r="Q54" s="30" t="n">
        <v>63.6</v>
      </c>
      <c r="R54" s="30" t="n">
        <f aca="false">ROUND(O54*P54,2)</f>
        <v>1999.2</v>
      </c>
      <c r="S54" s="30" t="n">
        <f aca="false">ROUND(O54*Q54,2)</f>
        <v>1081.2</v>
      </c>
      <c r="T54" s="30" t="n">
        <f aca="false">ROUND(R54*SUMIFS(Parametros!$E$23:$E$38,Parametros!$B$23:$B$38,J54,Parametros!$C$23:$C$38,C54,Parametros!$D$23:$D$38,D54),2)</f>
        <v>23.99</v>
      </c>
      <c r="U54" s="30" t="n">
        <f aca="false">R54-S54-T54</f>
        <v>894.01</v>
      </c>
    </row>
    <row r="55" customFormat="false" ht="15" hidden="false" customHeight="false" outlineLevel="0" collapsed="false">
      <c r="A55" s="0" t="n">
        <v>54</v>
      </c>
      <c r="B55" s="27" t="n">
        <v>45292</v>
      </c>
      <c r="C55" s="0" t="n">
        <v>2024</v>
      </c>
      <c r="D55" s="28" t="s">
        <v>61</v>
      </c>
      <c r="E55" s="0" t="n">
        <v>1</v>
      </c>
      <c r="F55" s="28" t="s">
        <v>62</v>
      </c>
      <c r="G55" s="28" t="s">
        <v>63</v>
      </c>
      <c r="H55" s="28" t="s">
        <v>98</v>
      </c>
      <c r="I55" s="28" t="s">
        <v>99</v>
      </c>
      <c r="J55" s="28" t="s">
        <v>71</v>
      </c>
      <c r="K55" s="28" t="s">
        <v>84</v>
      </c>
      <c r="L55" s="28" t="s">
        <v>85</v>
      </c>
      <c r="M55" s="28" t="s">
        <v>86</v>
      </c>
      <c r="N55" s="28" t="s">
        <v>87</v>
      </c>
      <c r="O55" s="29" t="n">
        <v>6</v>
      </c>
      <c r="P55" s="30" t="n">
        <v>117.6</v>
      </c>
      <c r="Q55" s="30" t="n">
        <v>63.6</v>
      </c>
      <c r="R55" s="30" t="n">
        <f aca="false">ROUND(O55*P55,2)</f>
        <v>705.6</v>
      </c>
      <c r="S55" s="30" t="n">
        <f aca="false">ROUND(O55*Q55,2)</f>
        <v>381.6</v>
      </c>
      <c r="T55" s="30" t="n">
        <f aca="false">ROUND(R55*SUMIFS(Parametros!$E$23:$E$38,Parametros!$B$23:$B$38,J55,Parametros!$C$23:$C$38,C55,Parametros!$D$23:$D$38,D55),2)</f>
        <v>29.64</v>
      </c>
      <c r="U55" s="30" t="n">
        <f aca="false">R55-S55-T55</f>
        <v>294.36</v>
      </c>
    </row>
    <row r="56" customFormat="false" ht="15" hidden="false" customHeight="false" outlineLevel="0" collapsed="false">
      <c r="A56" s="0" t="n">
        <v>55</v>
      </c>
      <c r="B56" s="27" t="n">
        <v>45299</v>
      </c>
      <c r="C56" s="0" t="n">
        <v>2024</v>
      </c>
      <c r="D56" s="28" t="s">
        <v>61</v>
      </c>
      <c r="E56" s="0" t="n">
        <v>1</v>
      </c>
      <c r="F56" s="28" t="s">
        <v>62</v>
      </c>
      <c r="G56" s="28" t="s">
        <v>63</v>
      </c>
      <c r="H56" s="28" t="s">
        <v>98</v>
      </c>
      <c r="I56" s="28" t="s">
        <v>99</v>
      </c>
      <c r="J56" s="28" t="s">
        <v>66</v>
      </c>
      <c r="K56" s="28" t="s">
        <v>84</v>
      </c>
      <c r="L56" s="28" t="s">
        <v>85</v>
      </c>
      <c r="M56" s="28" t="s">
        <v>88</v>
      </c>
      <c r="N56" s="28" t="s">
        <v>89</v>
      </c>
      <c r="O56" s="29" t="n">
        <v>16</v>
      </c>
      <c r="P56" s="30" t="n">
        <v>83.3</v>
      </c>
      <c r="Q56" s="30" t="n">
        <v>48.02</v>
      </c>
      <c r="R56" s="30" t="n">
        <f aca="false">ROUND(O56*P56,2)</f>
        <v>1332.8</v>
      </c>
      <c r="S56" s="30" t="n">
        <f aca="false">ROUND(O56*Q56,2)</f>
        <v>768.32</v>
      </c>
      <c r="T56" s="30" t="n">
        <f aca="false">ROUND(R56*SUMIFS(Parametros!$E$23:$E$38,Parametros!$B$23:$B$38,J56,Parametros!$C$23:$C$38,C56,Parametros!$D$23:$D$38,D56),2)</f>
        <v>15.99</v>
      </c>
      <c r="U56" s="30" t="n">
        <f aca="false">R56-S56-T56</f>
        <v>548.49</v>
      </c>
    </row>
    <row r="57" customFormat="false" ht="15" hidden="false" customHeight="false" outlineLevel="0" collapsed="false">
      <c r="A57" s="0" t="n">
        <v>56</v>
      </c>
      <c r="B57" s="27" t="n">
        <v>45306</v>
      </c>
      <c r="C57" s="0" t="n">
        <v>2024</v>
      </c>
      <c r="D57" s="28" t="s">
        <v>61</v>
      </c>
      <c r="E57" s="0" t="n">
        <v>1</v>
      </c>
      <c r="F57" s="28" t="s">
        <v>62</v>
      </c>
      <c r="G57" s="28" t="s">
        <v>63</v>
      </c>
      <c r="H57" s="28" t="s">
        <v>98</v>
      </c>
      <c r="I57" s="28" t="s">
        <v>99</v>
      </c>
      <c r="J57" s="28" t="s">
        <v>71</v>
      </c>
      <c r="K57" s="28" t="s">
        <v>84</v>
      </c>
      <c r="L57" s="28" t="s">
        <v>85</v>
      </c>
      <c r="M57" s="28" t="s">
        <v>88</v>
      </c>
      <c r="N57" s="28" t="s">
        <v>89</v>
      </c>
      <c r="O57" s="29" t="n">
        <v>5</v>
      </c>
      <c r="P57" s="30" t="n">
        <v>83.3</v>
      </c>
      <c r="Q57" s="30" t="n">
        <v>48.02</v>
      </c>
      <c r="R57" s="30" t="n">
        <f aca="false">ROUND(O57*P57,2)</f>
        <v>416.5</v>
      </c>
      <c r="S57" s="30" t="n">
        <f aca="false">ROUND(O57*Q57,2)</f>
        <v>240.1</v>
      </c>
      <c r="T57" s="30" t="n">
        <f aca="false">ROUND(R57*SUMIFS(Parametros!$E$23:$E$38,Parametros!$B$23:$B$38,J57,Parametros!$C$23:$C$38,C57,Parametros!$D$23:$D$38,D57),2)</f>
        <v>17.49</v>
      </c>
      <c r="U57" s="30" t="n">
        <f aca="false">R57-S57-T57</f>
        <v>158.91</v>
      </c>
    </row>
    <row r="58" customFormat="false" ht="15" hidden="false" customHeight="false" outlineLevel="0" collapsed="false">
      <c r="A58" s="0" t="n">
        <v>57</v>
      </c>
      <c r="B58" s="27" t="n">
        <v>45313</v>
      </c>
      <c r="C58" s="0" t="n">
        <v>2024</v>
      </c>
      <c r="D58" s="28" t="s">
        <v>61</v>
      </c>
      <c r="E58" s="0" t="n">
        <v>1</v>
      </c>
      <c r="F58" s="28" t="s">
        <v>62</v>
      </c>
      <c r="G58" s="28" t="s">
        <v>63</v>
      </c>
      <c r="H58" s="28" t="s">
        <v>98</v>
      </c>
      <c r="I58" s="28" t="s">
        <v>99</v>
      </c>
      <c r="J58" s="28" t="s">
        <v>66</v>
      </c>
      <c r="K58" s="28" t="s">
        <v>90</v>
      </c>
      <c r="L58" s="28" t="s">
        <v>91</v>
      </c>
      <c r="M58" s="28" t="s">
        <v>92</v>
      </c>
      <c r="N58" s="28" t="s">
        <v>93</v>
      </c>
      <c r="O58" s="29" t="n">
        <v>23</v>
      </c>
      <c r="P58" s="30" t="n">
        <v>127.4</v>
      </c>
      <c r="Q58" s="30" t="n">
        <v>76.05</v>
      </c>
      <c r="R58" s="30" t="n">
        <f aca="false">ROUND(O58*P58,2)</f>
        <v>2930.2</v>
      </c>
      <c r="S58" s="30" t="n">
        <f aca="false">ROUND(O58*Q58,2)</f>
        <v>1749.15</v>
      </c>
      <c r="T58" s="30" t="n">
        <f aca="false">ROUND(R58*SUMIFS(Parametros!$E$23:$E$38,Parametros!$B$23:$B$38,J58,Parametros!$C$23:$C$38,C58,Parametros!$D$23:$D$38,D58),2)</f>
        <v>35.16</v>
      </c>
      <c r="U58" s="30" t="n">
        <f aca="false">R58-S58-T58</f>
        <v>1145.89</v>
      </c>
    </row>
    <row r="59" customFormat="false" ht="15" hidden="false" customHeight="false" outlineLevel="0" collapsed="false">
      <c r="A59" s="0" t="n">
        <v>58</v>
      </c>
      <c r="B59" s="27" t="n">
        <v>45293</v>
      </c>
      <c r="C59" s="0" t="n">
        <v>2024</v>
      </c>
      <c r="D59" s="28" t="s">
        <v>61</v>
      </c>
      <c r="E59" s="0" t="n">
        <v>1</v>
      </c>
      <c r="F59" s="28" t="s">
        <v>62</v>
      </c>
      <c r="G59" s="28" t="s">
        <v>63</v>
      </c>
      <c r="H59" s="28" t="s">
        <v>98</v>
      </c>
      <c r="I59" s="28" t="s">
        <v>99</v>
      </c>
      <c r="J59" s="28" t="s">
        <v>71</v>
      </c>
      <c r="K59" s="28" t="s">
        <v>90</v>
      </c>
      <c r="L59" s="28" t="s">
        <v>91</v>
      </c>
      <c r="M59" s="28" t="s">
        <v>92</v>
      </c>
      <c r="N59" s="28" t="s">
        <v>93</v>
      </c>
      <c r="O59" s="29" t="n">
        <v>7</v>
      </c>
      <c r="P59" s="30" t="n">
        <v>127.4</v>
      </c>
      <c r="Q59" s="30" t="n">
        <v>76.05</v>
      </c>
      <c r="R59" s="30" t="n">
        <f aca="false">ROUND(O59*P59,2)</f>
        <v>891.8</v>
      </c>
      <c r="S59" s="30" t="n">
        <f aca="false">ROUND(O59*Q59,2)</f>
        <v>532.35</v>
      </c>
      <c r="T59" s="30" t="n">
        <f aca="false">ROUND(R59*SUMIFS(Parametros!$E$23:$E$38,Parametros!$B$23:$B$38,J59,Parametros!$C$23:$C$38,C59,Parametros!$D$23:$D$38,D59),2)</f>
        <v>37.46</v>
      </c>
      <c r="U59" s="30" t="n">
        <f aca="false">R59-S59-T59</f>
        <v>321.99</v>
      </c>
    </row>
    <row r="60" customFormat="false" ht="15" hidden="false" customHeight="false" outlineLevel="0" collapsed="false">
      <c r="A60" s="0" t="n">
        <v>59</v>
      </c>
      <c r="B60" s="27" t="n">
        <v>45300</v>
      </c>
      <c r="C60" s="0" t="n">
        <v>2024</v>
      </c>
      <c r="D60" s="28" t="s">
        <v>61</v>
      </c>
      <c r="E60" s="0" t="n">
        <v>1</v>
      </c>
      <c r="F60" s="28" t="s">
        <v>62</v>
      </c>
      <c r="G60" s="28" t="s">
        <v>63</v>
      </c>
      <c r="H60" s="28" t="s">
        <v>98</v>
      </c>
      <c r="I60" s="28" t="s">
        <v>99</v>
      </c>
      <c r="J60" s="28" t="s">
        <v>66</v>
      </c>
      <c r="K60" s="28" t="s">
        <v>90</v>
      </c>
      <c r="L60" s="28" t="s">
        <v>91</v>
      </c>
      <c r="M60" s="28" t="s">
        <v>94</v>
      </c>
      <c r="N60" s="28" t="s">
        <v>95</v>
      </c>
      <c r="O60" s="29" t="n">
        <v>18</v>
      </c>
      <c r="P60" s="30" t="n">
        <v>34.3</v>
      </c>
      <c r="Q60" s="30" t="n">
        <v>17.85</v>
      </c>
      <c r="R60" s="30" t="n">
        <f aca="false">ROUND(O60*P60,2)</f>
        <v>617.4</v>
      </c>
      <c r="S60" s="30" t="n">
        <f aca="false">ROUND(O60*Q60,2)</f>
        <v>321.3</v>
      </c>
      <c r="T60" s="30" t="n">
        <f aca="false">ROUND(R60*SUMIFS(Parametros!$E$23:$E$38,Parametros!$B$23:$B$38,J60,Parametros!$C$23:$C$38,C60,Parametros!$D$23:$D$38,D60),2)</f>
        <v>7.41</v>
      </c>
      <c r="U60" s="30" t="n">
        <f aca="false">R60-S60-T60</f>
        <v>288.69</v>
      </c>
    </row>
    <row r="61" customFormat="false" ht="15" hidden="false" customHeight="false" outlineLevel="0" collapsed="false">
      <c r="A61" s="0" t="n">
        <v>60</v>
      </c>
      <c r="B61" s="27" t="n">
        <v>45307</v>
      </c>
      <c r="C61" s="0" t="n">
        <v>2024</v>
      </c>
      <c r="D61" s="28" t="s">
        <v>61</v>
      </c>
      <c r="E61" s="0" t="n">
        <v>1</v>
      </c>
      <c r="F61" s="28" t="s">
        <v>62</v>
      </c>
      <c r="G61" s="28" t="s">
        <v>63</v>
      </c>
      <c r="H61" s="28" t="s">
        <v>98</v>
      </c>
      <c r="I61" s="28" t="s">
        <v>99</v>
      </c>
      <c r="J61" s="28" t="s">
        <v>71</v>
      </c>
      <c r="K61" s="28" t="s">
        <v>90</v>
      </c>
      <c r="L61" s="28" t="s">
        <v>91</v>
      </c>
      <c r="M61" s="28" t="s">
        <v>94</v>
      </c>
      <c r="N61" s="28" t="s">
        <v>95</v>
      </c>
      <c r="O61" s="29" t="n">
        <v>8</v>
      </c>
      <c r="P61" s="30" t="n">
        <v>34.3</v>
      </c>
      <c r="Q61" s="30" t="n">
        <v>17.85</v>
      </c>
      <c r="R61" s="30" t="n">
        <f aca="false">ROUND(O61*P61,2)</f>
        <v>274.4</v>
      </c>
      <c r="S61" s="30" t="n">
        <f aca="false">ROUND(O61*Q61,2)</f>
        <v>142.8</v>
      </c>
      <c r="T61" s="30" t="n">
        <f aca="false">ROUND(R61*SUMIFS(Parametros!$E$23:$E$38,Parametros!$B$23:$B$38,J61,Parametros!$C$23:$C$38,C61,Parametros!$D$23:$D$38,D61),2)</f>
        <v>11.52</v>
      </c>
      <c r="U61" s="30" t="n">
        <f aca="false">R61-S61-T61</f>
        <v>120.08</v>
      </c>
    </row>
    <row r="62" customFormat="false" ht="15" hidden="false" customHeight="false" outlineLevel="0" collapsed="false">
      <c r="A62" s="0" t="n">
        <v>61</v>
      </c>
      <c r="B62" s="27" t="n">
        <v>45314</v>
      </c>
      <c r="C62" s="0" t="n">
        <v>2024</v>
      </c>
      <c r="D62" s="28" t="s">
        <v>61</v>
      </c>
      <c r="E62" s="0" t="n">
        <v>1</v>
      </c>
      <c r="F62" s="28" t="s">
        <v>62</v>
      </c>
      <c r="G62" s="28" t="s">
        <v>63</v>
      </c>
      <c r="H62" s="28" t="s">
        <v>100</v>
      </c>
      <c r="I62" s="28" t="s">
        <v>101</v>
      </c>
      <c r="J62" s="28" t="s">
        <v>66</v>
      </c>
      <c r="K62" s="28" t="s">
        <v>67</v>
      </c>
      <c r="L62" s="28" t="s">
        <v>68</v>
      </c>
      <c r="M62" s="28" t="s">
        <v>69</v>
      </c>
      <c r="N62" s="28" t="s">
        <v>70</v>
      </c>
      <c r="O62" s="29" t="n">
        <v>5</v>
      </c>
      <c r="P62" s="30" t="n">
        <v>1176</v>
      </c>
      <c r="Q62" s="30" t="n">
        <v>744</v>
      </c>
      <c r="R62" s="30" t="n">
        <f aca="false">ROUND(O62*P62,2)</f>
        <v>5880</v>
      </c>
      <c r="S62" s="30" t="n">
        <f aca="false">ROUND(O62*Q62,2)</f>
        <v>3720</v>
      </c>
      <c r="T62" s="30" t="n">
        <f aca="false">ROUND(R62*SUMIFS(Parametros!$E$23:$E$38,Parametros!$B$23:$B$38,J62,Parametros!$C$23:$C$38,C62,Parametros!$D$23:$D$38,D62),2)</f>
        <v>70.56</v>
      </c>
      <c r="U62" s="30" t="n">
        <f aca="false">R62-S62-T62</f>
        <v>2089.44</v>
      </c>
    </row>
    <row r="63" customFormat="false" ht="15" hidden="false" customHeight="false" outlineLevel="0" collapsed="false">
      <c r="A63" s="0" t="n">
        <v>62</v>
      </c>
      <c r="B63" s="27" t="n">
        <v>45294</v>
      </c>
      <c r="C63" s="0" t="n">
        <v>2024</v>
      </c>
      <c r="D63" s="28" t="s">
        <v>61</v>
      </c>
      <c r="E63" s="0" t="n">
        <v>1</v>
      </c>
      <c r="F63" s="28" t="s">
        <v>62</v>
      </c>
      <c r="G63" s="28" t="s">
        <v>63</v>
      </c>
      <c r="H63" s="28" t="s">
        <v>100</v>
      </c>
      <c r="I63" s="28" t="s">
        <v>101</v>
      </c>
      <c r="J63" s="28" t="s">
        <v>71</v>
      </c>
      <c r="K63" s="28" t="s">
        <v>67</v>
      </c>
      <c r="L63" s="28" t="s">
        <v>68</v>
      </c>
      <c r="M63" s="28" t="s">
        <v>69</v>
      </c>
      <c r="N63" s="28" t="s">
        <v>70</v>
      </c>
      <c r="O63" s="29" t="n">
        <v>2</v>
      </c>
      <c r="P63" s="30" t="n">
        <v>1176</v>
      </c>
      <c r="Q63" s="30" t="n">
        <v>744</v>
      </c>
      <c r="R63" s="30" t="n">
        <f aca="false">ROUND(O63*P63,2)</f>
        <v>2352</v>
      </c>
      <c r="S63" s="30" t="n">
        <f aca="false">ROUND(O63*Q63,2)</f>
        <v>1488</v>
      </c>
      <c r="T63" s="30" t="n">
        <f aca="false">ROUND(R63*SUMIFS(Parametros!$E$23:$E$38,Parametros!$B$23:$B$38,J63,Parametros!$C$23:$C$38,C63,Parametros!$D$23:$D$38,D63),2)</f>
        <v>98.78</v>
      </c>
      <c r="U63" s="30" t="n">
        <f aca="false">R63-S63-T63</f>
        <v>765.22</v>
      </c>
    </row>
    <row r="64" customFormat="false" ht="15" hidden="false" customHeight="false" outlineLevel="0" collapsed="false">
      <c r="A64" s="0" t="n">
        <v>63</v>
      </c>
      <c r="B64" s="27" t="n">
        <v>45301</v>
      </c>
      <c r="C64" s="0" t="n">
        <v>2024</v>
      </c>
      <c r="D64" s="28" t="s">
        <v>61</v>
      </c>
      <c r="E64" s="0" t="n">
        <v>1</v>
      </c>
      <c r="F64" s="28" t="s">
        <v>62</v>
      </c>
      <c r="G64" s="28" t="s">
        <v>63</v>
      </c>
      <c r="H64" s="28" t="s">
        <v>100</v>
      </c>
      <c r="I64" s="28" t="s">
        <v>101</v>
      </c>
      <c r="J64" s="28" t="s">
        <v>66</v>
      </c>
      <c r="K64" s="28" t="s">
        <v>67</v>
      </c>
      <c r="L64" s="28" t="s">
        <v>68</v>
      </c>
      <c r="M64" s="28" t="s">
        <v>72</v>
      </c>
      <c r="N64" s="28" t="s">
        <v>73</v>
      </c>
      <c r="O64" s="29" t="n">
        <v>5</v>
      </c>
      <c r="P64" s="30" t="n">
        <v>441</v>
      </c>
      <c r="Q64" s="30" t="n">
        <v>272.25</v>
      </c>
      <c r="R64" s="30" t="n">
        <f aca="false">ROUND(O64*P64,2)</f>
        <v>2205</v>
      </c>
      <c r="S64" s="30" t="n">
        <f aca="false">ROUND(O64*Q64,2)</f>
        <v>1361.25</v>
      </c>
      <c r="T64" s="30" t="n">
        <f aca="false">ROUND(R64*SUMIFS(Parametros!$E$23:$E$38,Parametros!$B$23:$B$38,J64,Parametros!$C$23:$C$38,C64,Parametros!$D$23:$D$38,D64),2)</f>
        <v>26.46</v>
      </c>
      <c r="U64" s="30" t="n">
        <f aca="false">R64-S64-T64</f>
        <v>817.29</v>
      </c>
    </row>
    <row r="65" customFormat="false" ht="15" hidden="false" customHeight="false" outlineLevel="0" collapsed="false">
      <c r="A65" s="0" t="n">
        <v>64</v>
      </c>
      <c r="B65" s="27" t="n">
        <v>45308</v>
      </c>
      <c r="C65" s="0" t="n">
        <v>2024</v>
      </c>
      <c r="D65" s="28" t="s">
        <v>61</v>
      </c>
      <c r="E65" s="0" t="n">
        <v>1</v>
      </c>
      <c r="F65" s="28" t="s">
        <v>62</v>
      </c>
      <c r="G65" s="28" t="s">
        <v>63</v>
      </c>
      <c r="H65" s="28" t="s">
        <v>100</v>
      </c>
      <c r="I65" s="28" t="s">
        <v>101</v>
      </c>
      <c r="J65" s="28" t="s">
        <v>71</v>
      </c>
      <c r="K65" s="28" t="s">
        <v>67</v>
      </c>
      <c r="L65" s="28" t="s">
        <v>68</v>
      </c>
      <c r="M65" s="28" t="s">
        <v>72</v>
      </c>
      <c r="N65" s="28" t="s">
        <v>73</v>
      </c>
      <c r="O65" s="29" t="n">
        <v>2</v>
      </c>
      <c r="P65" s="30" t="n">
        <v>441</v>
      </c>
      <c r="Q65" s="30" t="n">
        <v>272.25</v>
      </c>
      <c r="R65" s="30" t="n">
        <f aca="false">ROUND(O65*P65,2)</f>
        <v>882</v>
      </c>
      <c r="S65" s="30" t="n">
        <f aca="false">ROUND(O65*Q65,2)</f>
        <v>544.5</v>
      </c>
      <c r="T65" s="30" t="n">
        <f aca="false">ROUND(R65*SUMIFS(Parametros!$E$23:$E$38,Parametros!$B$23:$B$38,J65,Parametros!$C$23:$C$38,C65,Parametros!$D$23:$D$38,D65),2)</f>
        <v>37.04</v>
      </c>
      <c r="U65" s="30" t="n">
        <f aca="false">R65-S65-T65</f>
        <v>300.46</v>
      </c>
    </row>
    <row r="66" customFormat="false" ht="15" hidden="false" customHeight="false" outlineLevel="0" collapsed="false">
      <c r="A66" s="0" t="n">
        <v>65</v>
      </c>
      <c r="B66" s="27" t="n">
        <v>45315</v>
      </c>
      <c r="C66" s="0" t="n">
        <v>2024</v>
      </c>
      <c r="D66" s="28" t="s">
        <v>61</v>
      </c>
      <c r="E66" s="0" t="n">
        <v>1</v>
      </c>
      <c r="F66" s="28" t="s">
        <v>62</v>
      </c>
      <c r="G66" s="28" t="s">
        <v>63</v>
      </c>
      <c r="H66" s="28" t="s">
        <v>100</v>
      </c>
      <c r="I66" s="28" t="s">
        <v>101</v>
      </c>
      <c r="J66" s="28" t="s">
        <v>66</v>
      </c>
      <c r="K66" s="28" t="s">
        <v>67</v>
      </c>
      <c r="L66" s="28" t="s">
        <v>68</v>
      </c>
      <c r="M66" s="28" t="s">
        <v>74</v>
      </c>
      <c r="N66" s="28" t="s">
        <v>75</v>
      </c>
      <c r="O66" s="29" t="n">
        <v>7</v>
      </c>
      <c r="P66" s="30" t="n">
        <v>1617</v>
      </c>
      <c r="Q66" s="30" t="n">
        <v>1122</v>
      </c>
      <c r="R66" s="30" t="n">
        <f aca="false">ROUND(O66*P66,2)</f>
        <v>11319</v>
      </c>
      <c r="S66" s="30" t="n">
        <f aca="false">ROUND(O66*Q66,2)</f>
        <v>7854</v>
      </c>
      <c r="T66" s="30" t="n">
        <f aca="false">ROUND(R66*SUMIFS(Parametros!$E$23:$E$38,Parametros!$B$23:$B$38,J66,Parametros!$C$23:$C$38,C66,Parametros!$D$23:$D$38,D66),2)</f>
        <v>135.83</v>
      </c>
      <c r="U66" s="30" t="n">
        <f aca="false">R66-S66-T66</f>
        <v>3329.17</v>
      </c>
    </row>
    <row r="67" customFormat="false" ht="15" hidden="false" customHeight="false" outlineLevel="0" collapsed="false">
      <c r="A67" s="0" t="n">
        <v>66</v>
      </c>
      <c r="B67" s="27" t="n">
        <v>45295</v>
      </c>
      <c r="C67" s="0" t="n">
        <v>2024</v>
      </c>
      <c r="D67" s="28" t="s">
        <v>61</v>
      </c>
      <c r="E67" s="0" t="n">
        <v>1</v>
      </c>
      <c r="F67" s="28" t="s">
        <v>62</v>
      </c>
      <c r="G67" s="28" t="s">
        <v>63</v>
      </c>
      <c r="H67" s="28" t="s">
        <v>100</v>
      </c>
      <c r="I67" s="28" t="s">
        <v>101</v>
      </c>
      <c r="J67" s="28" t="s">
        <v>71</v>
      </c>
      <c r="K67" s="28" t="s">
        <v>67</v>
      </c>
      <c r="L67" s="28" t="s">
        <v>68</v>
      </c>
      <c r="M67" s="28" t="s">
        <v>74</v>
      </c>
      <c r="N67" s="28" t="s">
        <v>75</v>
      </c>
      <c r="O67" s="29" t="n">
        <v>2</v>
      </c>
      <c r="P67" s="30" t="n">
        <v>1617</v>
      </c>
      <c r="Q67" s="30" t="n">
        <v>1122</v>
      </c>
      <c r="R67" s="30" t="n">
        <f aca="false">ROUND(O67*P67,2)</f>
        <v>3234</v>
      </c>
      <c r="S67" s="30" t="n">
        <f aca="false">ROUND(O67*Q67,2)</f>
        <v>2244</v>
      </c>
      <c r="T67" s="30" t="n">
        <f aca="false">ROUND(R67*SUMIFS(Parametros!$E$23:$E$38,Parametros!$B$23:$B$38,J67,Parametros!$C$23:$C$38,C67,Parametros!$D$23:$D$38,D67),2)</f>
        <v>135.83</v>
      </c>
      <c r="U67" s="30" t="n">
        <f aca="false">R67-S67-T67</f>
        <v>854.17</v>
      </c>
    </row>
    <row r="68" customFormat="false" ht="15" hidden="false" customHeight="false" outlineLevel="0" collapsed="false">
      <c r="A68" s="0" t="n">
        <v>67</v>
      </c>
      <c r="B68" s="27" t="n">
        <v>45302</v>
      </c>
      <c r="C68" s="0" t="n">
        <v>2024</v>
      </c>
      <c r="D68" s="28" t="s">
        <v>61</v>
      </c>
      <c r="E68" s="0" t="n">
        <v>1</v>
      </c>
      <c r="F68" s="28" t="s">
        <v>62</v>
      </c>
      <c r="G68" s="28" t="s">
        <v>63</v>
      </c>
      <c r="H68" s="28" t="s">
        <v>100</v>
      </c>
      <c r="I68" s="28" t="s">
        <v>101</v>
      </c>
      <c r="J68" s="28" t="s">
        <v>66</v>
      </c>
      <c r="K68" s="28" t="s">
        <v>76</v>
      </c>
      <c r="L68" s="28" t="s">
        <v>77</v>
      </c>
      <c r="M68" s="28" t="s">
        <v>78</v>
      </c>
      <c r="N68" s="28" t="s">
        <v>79</v>
      </c>
      <c r="O68" s="29" t="n">
        <v>29</v>
      </c>
      <c r="P68" s="30" t="n">
        <v>27.44</v>
      </c>
      <c r="Q68" s="30" t="n">
        <v>13.44</v>
      </c>
      <c r="R68" s="30" t="n">
        <f aca="false">ROUND(O68*P68,2)</f>
        <v>795.76</v>
      </c>
      <c r="S68" s="30" t="n">
        <f aca="false">ROUND(O68*Q68,2)</f>
        <v>389.76</v>
      </c>
      <c r="T68" s="30" t="n">
        <f aca="false">ROUND(R68*SUMIFS(Parametros!$E$23:$E$38,Parametros!$B$23:$B$38,J68,Parametros!$C$23:$C$38,C68,Parametros!$D$23:$D$38,D68),2)</f>
        <v>9.55</v>
      </c>
      <c r="U68" s="30" t="n">
        <f aca="false">R68-S68-T68</f>
        <v>396.45</v>
      </c>
    </row>
    <row r="69" customFormat="false" ht="15" hidden="false" customHeight="false" outlineLevel="0" collapsed="false">
      <c r="A69" s="0" t="n">
        <v>68</v>
      </c>
      <c r="B69" s="27" t="n">
        <v>45309</v>
      </c>
      <c r="C69" s="0" t="n">
        <v>2024</v>
      </c>
      <c r="D69" s="28" t="s">
        <v>61</v>
      </c>
      <c r="E69" s="0" t="n">
        <v>1</v>
      </c>
      <c r="F69" s="28" t="s">
        <v>62</v>
      </c>
      <c r="G69" s="28" t="s">
        <v>63</v>
      </c>
      <c r="H69" s="28" t="s">
        <v>100</v>
      </c>
      <c r="I69" s="28" t="s">
        <v>101</v>
      </c>
      <c r="J69" s="28" t="s">
        <v>71</v>
      </c>
      <c r="K69" s="28" t="s">
        <v>76</v>
      </c>
      <c r="L69" s="28" t="s">
        <v>77</v>
      </c>
      <c r="M69" s="28" t="s">
        <v>78</v>
      </c>
      <c r="N69" s="28" t="s">
        <v>79</v>
      </c>
      <c r="O69" s="29" t="n">
        <v>11</v>
      </c>
      <c r="P69" s="30" t="n">
        <v>27.44</v>
      </c>
      <c r="Q69" s="30" t="n">
        <v>13.44</v>
      </c>
      <c r="R69" s="30" t="n">
        <f aca="false">ROUND(O69*P69,2)</f>
        <v>301.84</v>
      </c>
      <c r="S69" s="30" t="n">
        <f aca="false">ROUND(O69*Q69,2)</f>
        <v>147.84</v>
      </c>
      <c r="T69" s="30" t="n">
        <f aca="false">ROUND(R69*SUMIFS(Parametros!$E$23:$E$38,Parametros!$B$23:$B$38,J69,Parametros!$C$23:$C$38,C69,Parametros!$D$23:$D$38,D69),2)</f>
        <v>12.68</v>
      </c>
      <c r="U69" s="30" t="n">
        <f aca="false">R69-S69-T69</f>
        <v>141.32</v>
      </c>
    </row>
    <row r="70" customFormat="false" ht="15" hidden="false" customHeight="false" outlineLevel="0" collapsed="false">
      <c r="A70" s="0" t="n">
        <v>69</v>
      </c>
      <c r="B70" s="27" t="n">
        <v>45316</v>
      </c>
      <c r="C70" s="0" t="n">
        <v>2024</v>
      </c>
      <c r="D70" s="28" t="s">
        <v>61</v>
      </c>
      <c r="E70" s="0" t="n">
        <v>1</v>
      </c>
      <c r="F70" s="28" t="s">
        <v>62</v>
      </c>
      <c r="G70" s="28" t="s">
        <v>63</v>
      </c>
      <c r="H70" s="28" t="s">
        <v>100</v>
      </c>
      <c r="I70" s="28" t="s">
        <v>101</v>
      </c>
      <c r="J70" s="28" t="s">
        <v>66</v>
      </c>
      <c r="K70" s="28" t="s">
        <v>76</v>
      </c>
      <c r="L70" s="28" t="s">
        <v>77</v>
      </c>
      <c r="M70" s="28" t="s">
        <v>80</v>
      </c>
      <c r="N70" s="28" t="s">
        <v>81</v>
      </c>
      <c r="O70" s="29" t="n">
        <v>30</v>
      </c>
      <c r="P70" s="30" t="n">
        <v>93.1</v>
      </c>
      <c r="Q70" s="30" t="n">
        <v>47.98</v>
      </c>
      <c r="R70" s="30" t="n">
        <f aca="false">ROUND(O70*P70,2)</f>
        <v>2793</v>
      </c>
      <c r="S70" s="30" t="n">
        <f aca="false">ROUND(O70*Q70,2)</f>
        <v>1439.4</v>
      </c>
      <c r="T70" s="30" t="n">
        <f aca="false">ROUND(R70*SUMIFS(Parametros!$E$23:$E$38,Parametros!$B$23:$B$38,J70,Parametros!$C$23:$C$38,C70,Parametros!$D$23:$D$38,D70),2)</f>
        <v>33.52</v>
      </c>
      <c r="U70" s="30" t="n">
        <f aca="false">R70-S70-T70</f>
        <v>1320.08</v>
      </c>
    </row>
    <row r="71" customFormat="false" ht="15" hidden="false" customHeight="false" outlineLevel="0" collapsed="false">
      <c r="A71" s="0" t="n">
        <v>70</v>
      </c>
      <c r="B71" s="27" t="n">
        <v>45296</v>
      </c>
      <c r="C71" s="0" t="n">
        <v>2024</v>
      </c>
      <c r="D71" s="28" t="s">
        <v>61</v>
      </c>
      <c r="E71" s="0" t="n">
        <v>1</v>
      </c>
      <c r="F71" s="28" t="s">
        <v>62</v>
      </c>
      <c r="G71" s="28" t="s">
        <v>63</v>
      </c>
      <c r="H71" s="28" t="s">
        <v>100</v>
      </c>
      <c r="I71" s="28" t="s">
        <v>101</v>
      </c>
      <c r="J71" s="28" t="s">
        <v>71</v>
      </c>
      <c r="K71" s="28" t="s">
        <v>76</v>
      </c>
      <c r="L71" s="28" t="s">
        <v>77</v>
      </c>
      <c r="M71" s="28" t="s">
        <v>80</v>
      </c>
      <c r="N71" s="28" t="s">
        <v>81</v>
      </c>
      <c r="O71" s="29" t="n">
        <v>9</v>
      </c>
      <c r="P71" s="30" t="n">
        <v>93.1</v>
      </c>
      <c r="Q71" s="30" t="n">
        <v>47.98</v>
      </c>
      <c r="R71" s="30" t="n">
        <f aca="false">ROUND(O71*P71,2)</f>
        <v>837.9</v>
      </c>
      <c r="S71" s="30" t="n">
        <f aca="false">ROUND(O71*Q71,2)</f>
        <v>431.82</v>
      </c>
      <c r="T71" s="30" t="n">
        <f aca="false">ROUND(R71*SUMIFS(Parametros!$E$23:$E$38,Parametros!$B$23:$B$38,J71,Parametros!$C$23:$C$38,C71,Parametros!$D$23:$D$38,D71),2)</f>
        <v>35.19</v>
      </c>
      <c r="U71" s="30" t="n">
        <f aca="false">R71-S71-T71</f>
        <v>370.89</v>
      </c>
    </row>
    <row r="72" customFormat="false" ht="15" hidden="false" customHeight="false" outlineLevel="0" collapsed="false">
      <c r="A72" s="0" t="n">
        <v>71</v>
      </c>
      <c r="B72" s="27" t="n">
        <v>45303</v>
      </c>
      <c r="C72" s="0" t="n">
        <v>2024</v>
      </c>
      <c r="D72" s="28" t="s">
        <v>61</v>
      </c>
      <c r="E72" s="0" t="n">
        <v>1</v>
      </c>
      <c r="F72" s="28" t="s">
        <v>62</v>
      </c>
      <c r="G72" s="28" t="s">
        <v>63</v>
      </c>
      <c r="H72" s="28" t="s">
        <v>100</v>
      </c>
      <c r="I72" s="28" t="s">
        <v>101</v>
      </c>
      <c r="J72" s="28" t="s">
        <v>66</v>
      </c>
      <c r="K72" s="28" t="s">
        <v>76</v>
      </c>
      <c r="L72" s="28" t="s">
        <v>77</v>
      </c>
      <c r="M72" s="28" t="s">
        <v>82</v>
      </c>
      <c r="N72" s="28" t="s">
        <v>83</v>
      </c>
      <c r="O72" s="29" t="n">
        <v>28</v>
      </c>
      <c r="P72" s="30" t="n">
        <v>63.7</v>
      </c>
      <c r="Q72" s="30" t="n">
        <v>35.43</v>
      </c>
      <c r="R72" s="30" t="n">
        <f aca="false">ROUND(O72*P72,2)</f>
        <v>1783.6</v>
      </c>
      <c r="S72" s="30" t="n">
        <f aca="false">ROUND(O72*Q72,2)</f>
        <v>992.04</v>
      </c>
      <c r="T72" s="30" t="n">
        <f aca="false">ROUND(R72*SUMIFS(Parametros!$E$23:$E$38,Parametros!$B$23:$B$38,J72,Parametros!$C$23:$C$38,C72,Parametros!$D$23:$D$38,D72),2)</f>
        <v>21.4</v>
      </c>
      <c r="U72" s="30" t="n">
        <f aca="false">R72-S72-T72</f>
        <v>770.16</v>
      </c>
    </row>
    <row r="73" customFormat="false" ht="15" hidden="false" customHeight="false" outlineLevel="0" collapsed="false">
      <c r="A73" s="0" t="n">
        <v>72</v>
      </c>
      <c r="B73" s="27" t="n">
        <v>45310</v>
      </c>
      <c r="C73" s="0" t="n">
        <v>2024</v>
      </c>
      <c r="D73" s="28" t="s">
        <v>61</v>
      </c>
      <c r="E73" s="0" t="n">
        <v>1</v>
      </c>
      <c r="F73" s="28" t="s">
        <v>62</v>
      </c>
      <c r="G73" s="28" t="s">
        <v>63</v>
      </c>
      <c r="H73" s="28" t="s">
        <v>100</v>
      </c>
      <c r="I73" s="28" t="s">
        <v>101</v>
      </c>
      <c r="J73" s="28" t="s">
        <v>71</v>
      </c>
      <c r="K73" s="28" t="s">
        <v>76</v>
      </c>
      <c r="L73" s="28" t="s">
        <v>77</v>
      </c>
      <c r="M73" s="28" t="s">
        <v>82</v>
      </c>
      <c r="N73" s="28" t="s">
        <v>83</v>
      </c>
      <c r="O73" s="29" t="n">
        <v>12</v>
      </c>
      <c r="P73" s="30" t="n">
        <v>63.7</v>
      </c>
      <c r="Q73" s="30" t="n">
        <v>35.43</v>
      </c>
      <c r="R73" s="30" t="n">
        <f aca="false">ROUND(O73*P73,2)</f>
        <v>764.4</v>
      </c>
      <c r="S73" s="30" t="n">
        <f aca="false">ROUND(O73*Q73,2)</f>
        <v>425.16</v>
      </c>
      <c r="T73" s="30" t="n">
        <f aca="false">ROUND(R73*SUMIFS(Parametros!$E$23:$E$38,Parametros!$B$23:$B$38,J73,Parametros!$C$23:$C$38,C73,Parametros!$D$23:$D$38,D73),2)</f>
        <v>32.1</v>
      </c>
      <c r="U73" s="30" t="n">
        <f aca="false">R73-S73-T73</f>
        <v>307.14</v>
      </c>
    </row>
    <row r="74" customFormat="false" ht="15" hidden="false" customHeight="false" outlineLevel="0" collapsed="false">
      <c r="A74" s="0" t="n">
        <v>73</v>
      </c>
      <c r="B74" s="27" t="n">
        <v>45317</v>
      </c>
      <c r="C74" s="0" t="n">
        <v>2024</v>
      </c>
      <c r="D74" s="28" t="s">
        <v>61</v>
      </c>
      <c r="E74" s="0" t="n">
        <v>1</v>
      </c>
      <c r="F74" s="28" t="s">
        <v>62</v>
      </c>
      <c r="G74" s="28" t="s">
        <v>63</v>
      </c>
      <c r="H74" s="28" t="s">
        <v>100</v>
      </c>
      <c r="I74" s="28" t="s">
        <v>101</v>
      </c>
      <c r="J74" s="28" t="s">
        <v>66</v>
      </c>
      <c r="K74" s="28" t="s">
        <v>84</v>
      </c>
      <c r="L74" s="28" t="s">
        <v>85</v>
      </c>
      <c r="M74" s="28" t="s">
        <v>86</v>
      </c>
      <c r="N74" s="28" t="s">
        <v>87</v>
      </c>
      <c r="O74" s="29" t="n">
        <v>11</v>
      </c>
      <c r="P74" s="30" t="n">
        <v>117.6</v>
      </c>
      <c r="Q74" s="30" t="n">
        <v>63.6</v>
      </c>
      <c r="R74" s="30" t="n">
        <f aca="false">ROUND(O74*P74,2)</f>
        <v>1293.6</v>
      </c>
      <c r="S74" s="30" t="n">
        <f aca="false">ROUND(O74*Q74,2)</f>
        <v>699.6</v>
      </c>
      <c r="T74" s="30" t="n">
        <f aca="false">ROUND(R74*SUMIFS(Parametros!$E$23:$E$38,Parametros!$B$23:$B$38,J74,Parametros!$C$23:$C$38,C74,Parametros!$D$23:$D$38,D74),2)</f>
        <v>15.52</v>
      </c>
      <c r="U74" s="30" t="n">
        <f aca="false">R74-S74-T74</f>
        <v>578.48</v>
      </c>
    </row>
    <row r="75" customFormat="false" ht="15" hidden="false" customHeight="false" outlineLevel="0" collapsed="false">
      <c r="A75" s="0" t="n">
        <v>74</v>
      </c>
      <c r="B75" s="27" t="n">
        <v>45297</v>
      </c>
      <c r="C75" s="0" t="n">
        <v>2024</v>
      </c>
      <c r="D75" s="28" t="s">
        <v>61</v>
      </c>
      <c r="E75" s="0" t="n">
        <v>1</v>
      </c>
      <c r="F75" s="28" t="s">
        <v>62</v>
      </c>
      <c r="G75" s="28" t="s">
        <v>63</v>
      </c>
      <c r="H75" s="28" t="s">
        <v>100</v>
      </c>
      <c r="I75" s="28" t="s">
        <v>101</v>
      </c>
      <c r="J75" s="28" t="s">
        <v>71</v>
      </c>
      <c r="K75" s="28" t="s">
        <v>84</v>
      </c>
      <c r="L75" s="28" t="s">
        <v>85</v>
      </c>
      <c r="M75" s="28" t="s">
        <v>86</v>
      </c>
      <c r="N75" s="28" t="s">
        <v>87</v>
      </c>
      <c r="O75" s="29" t="n">
        <v>4</v>
      </c>
      <c r="P75" s="30" t="n">
        <v>117.6</v>
      </c>
      <c r="Q75" s="30" t="n">
        <v>63.6</v>
      </c>
      <c r="R75" s="30" t="n">
        <f aca="false">ROUND(O75*P75,2)</f>
        <v>470.4</v>
      </c>
      <c r="S75" s="30" t="n">
        <f aca="false">ROUND(O75*Q75,2)</f>
        <v>254.4</v>
      </c>
      <c r="T75" s="30" t="n">
        <f aca="false">ROUND(R75*SUMIFS(Parametros!$E$23:$E$38,Parametros!$B$23:$B$38,J75,Parametros!$C$23:$C$38,C75,Parametros!$D$23:$D$38,D75),2)</f>
        <v>19.76</v>
      </c>
      <c r="U75" s="30" t="n">
        <f aca="false">R75-S75-T75</f>
        <v>196.24</v>
      </c>
    </row>
    <row r="76" customFormat="false" ht="15" hidden="false" customHeight="false" outlineLevel="0" collapsed="false">
      <c r="A76" s="0" t="n">
        <v>75</v>
      </c>
      <c r="B76" s="27" t="n">
        <v>45304</v>
      </c>
      <c r="C76" s="0" t="n">
        <v>2024</v>
      </c>
      <c r="D76" s="28" t="s">
        <v>61</v>
      </c>
      <c r="E76" s="0" t="n">
        <v>1</v>
      </c>
      <c r="F76" s="28" t="s">
        <v>62</v>
      </c>
      <c r="G76" s="28" t="s">
        <v>63</v>
      </c>
      <c r="H76" s="28" t="s">
        <v>100</v>
      </c>
      <c r="I76" s="28" t="s">
        <v>101</v>
      </c>
      <c r="J76" s="28" t="s">
        <v>66</v>
      </c>
      <c r="K76" s="28" t="s">
        <v>84</v>
      </c>
      <c r="L76" s="28" t="s">
        <v>85</v>
      </c>
      <c r="M76" s="28" t="s">
        <v>88</v>
      </c>
      <c r="N76" s="28" t="s">
        <v>89</v>
      </c>
      <c r="O76" s="29" t="n">
        <v>11</v>
      </c>
      <c r="P76" s="30" t="n">
        <v>83.3</v>
      </c>
      <c r="Q76" s="30" t="n">
        <v>48.02</v>
      </c>
      <c r="R76" s="30" t="n">
        <f aca="false">ROUND(O76*P76,2)</f>
        <v>916.3</v>
      </c>
      <c r="S76" s="30" t="n">
        <f aca="false">ROUND(O76*Q76,2)</f>
        <v>528.22</v>
      </c>
      <c r="T76" s="30" t="n">
        <f aca="false">ROUND(R76*SUMIFS(Parametros!$E$23:$E$38,Parametros!$B$23:$B$38,J76,Parametros!$C$23:$C$38,C76,Parametros!$D$23:$D$38,D76),2)</f>
        <v>11</v>
      </c>
      <c r="U76" s="30" t="n">
        <f aca="false">R76-S76-T76</f>
        <v>377.08</v>
      </c>
    </row>
    <row r="77" customFormat="false" ht="15" hidden="false" customHeight="false" outlineLevel="0" collapsed="false">
      <c r="A77" s="0" t="n">
        <v>76</v>
      </c>
      <c r="B77" s="27" t="n">
        <v>45311</v>
      </c>
      <c r="C77" s="0" t="n">
        <v>2024</v>
      </c>
      <c r="D77" s="28" t="s">
        <v>61</v>
      </c>
      <c r="E77" s="0" t="n">
        <v>1</v>
      </c>
      <c r="F77" s="28" t="s">
        <v>62</v>
      </c>
      <c r="G77" s="28" t="s">
        <v>63</v>
      </c>
      <c r="H77" s="28" t="s">
        <v>100</v>
      </c>
      <c r="I77" s="28" t="s">
        <v>101</v>
      </c>
      <c r="J77" s="28" t="s">
        <v>71</v>
      </c>
      <c r="K77" s="28" t="s">
        <v>84</v>
      </c>
      <c r="L77" s="28" t="s">
        <v>85</v>
      </c>
      <c r="M77" s="28" t="s">
        <v>88</v>
      </c>
      <c r="N77" s="28" t="s">
        <v>89</v>
      </c>
      <c r="O77" s="29" t="n">
        <v>5</v>
      </c>
      <c r="P77" s="30" t="n">
        <v>83.3</v>
      </c>
      <c r="Q77" s="30" t="n">
        <v>48.02</v>
      </c>
      <c r="R77" s="30" t="n">
        <f aca="false">ROUND(O77*P77,2)</f>
        <v>416.5</v>
      </c>
      <c r="S77" s="30" t="n">
        <f aca="false">ROUND(O77*Q77,2)</f>
        <v>240.1</v>
      </c>
      <c r="T77" s="30" t="n">
        <f aca="false">ROUND(R77*SUMIFS(Parametros!$E$23:$E$38,Parametros!$B$23:$B$38,J77,Parametros!$C$23:$C$38,C77,Parametros!$D$23:$D$38,D77),2)</f>
        <v>17.49</v>
      </c>
      <c r="U77" s="30" t="n">
        <f aca="false">R77-S77-T77</f>
        <v>158.91</v>
      </c>
    </row>
    <row r="78" customFormat="false" ht="15" hidden="false" customHeight="false" outlineLevel="0" collapsed="false">
      <c r="A78" s="0" t="n">
        <v>77</v>
      </c>
      <c r="B78" s="27" t="n">
        <v>45318</v>
      </c>
      <c r="C78" s="0" t="n">
        <v>2024</v>
      </c>
      <c r="D78" s="28" t="s">
        <v>61</v>
      </c>
      <c r="E78" s="0" t="n">
        <v>1</v>
      </c>
      <c r="F78" s="28" t="s">
        <v>62</v>
      </c>
      <c r="G78" s="28" t="s">
        <v>63</v>
      </c>
      <c r="H78" s="28" t="s">
        <v>100</v>
      </c>
      <c r="I78" s="28" t="s">
        <v>101</v>
      </c>
      <c r="J78" s="28" t="s">
        <v>66</v>
      </c>
      <c r="K78" s="28" t="s">
        <v>90</v>
      </c>
      <c r="L78" s="28" t="s">
        <v>91</v>
      </c>
      <c r="M78" s="28" t="s">
        <v>92</v>
      </c>
      <c r="N78" s="28" t="s">
        <v>93</v>
      </c>
      <c r="O78" s="29" t="n">
        <v>15</v>
      </c>
      <c r="P78" s="30" t="n">
        <v>127.4</v>
      </c>
      <c r="Q78" s="30" t="n">
        <v>76.05</v>
      </c>
      <c r="R78" s="30" t="n">
        <f aca="false">ROUND(O78*P78,2)</f>
        <v>1911</v>
      </c>
      <c r="S78" s="30" t="n">
        <f aca="false">ROUND(O78*Q78,2)</f>
        <v>1140.75</v>
      </c>
      <c r="T78" s="30" t="n">
        <f aca="false">ROUND(R78*SUMIFS(Parametros!$E$23:$E$38,Parametros!$B$23:$B$38,J78,Parametros!$C$23:$C$38,C78,Parametros!$D$23:$D$38,D78),2)</f>
        <v>22.93</v>
      </c>
      <c r="U78" s="30" t="n">
        <f aca="false">R78-S78-T78</f>
        <v>747.32</v>
      </c>
    </row>
    <row r="79" customFormat="false" ht="15" hidden="false" customHeight="false" outlineLevel="0" collapsed="false">
      <c r="A79" s="0" t="n">
        <v>78</v>
      </c>
      <c r="B79" s="27" t="n">
        <v>45298</v>
      </c>
      <c r="C79" s="0" t="n">
        <v>2024</v>
      </c>
      <c r="D79" s="28" t="s">
        <v>61</v>
      </c>
      <c r="E79" s="0" t="n">
        <v>1</v>
      </c>
      <c r="F79" s="28" t="s">
        <v>62</v>
      </c>
      <c r="G79" s="28" t="s">
        <v>63</v>
      </c>
      <c r="H79" s="28" t="s">
        <v>100</v>
      </c>
      <c r="I79" s="28" t="s">
        <v>101</v>
      </c>
      <c r="J79" s="28" t="s">
        <v>71</v>
      </c>
      <c r="K79" s="28" t="s">
        <v>90</v>
      </c>
      <c r="L79" s="28" t="s">
        <v>91</v>
      </c>
      <c r="M79" s="28" t="s">
        <v>92</v>
      </c>
      <c r="N79" s="28" t="s">
        <v>93</v>
      </c>
      <c r="O79" s="29" t="n">
        <v>6</v>
      </c>
      <c r="P79" s="30" t="n">
        <v>127.4</v>
      </c>
      <c r="Q79" s="30" t="n">
        <v>76.05</v>
      </c>
      <c r="R79" s="30" t="n">
        <f aca="false">ROUND(O79*P79,2)</f>
        <v>764.4</v>
      </c>
      <c r="S79" s="30" t="n">
        <f aca="false">ROUND(O79*Q79,2)</f>
        <v>456.3</v>
      </c>
      <c r="T79" s="30" t="n">
        <f aca="false">ROUND(R79*SUMIFS(Parametros!$E$23:$E$38,Parametros!$B$23:$B$38,J79,Parametros!$C$23:$C$38,C79,Parametros!$D$23:$D$38,D79),2)</f>
        <v>32.1</v>
      </c>
      <c r="U79" s="30" t="n">
        <f aca="false">R79-S79-T79</f>
        <v>276</v>
      </c>
    </row>
    <row r="80" customFormat="false" ht="15" hidden="false" customHeight="false" outlineLevel="0" collapsed="false">
      <c r="A80" s="0" t="n">
        <v>79</v>
      </c>
      <c r="B80" s="27" t="n">
        <v>45305</v>
      </c>
      <c r="C80" s="0" t="n">
        <v>2024</v>
      </c>
      <c r="D80" s="28" t="s">
        <v>61</v>
      </c>
      <c r="E80" s="0" t="n">
        <v>1</v>
      </c>
      <c r="F80" s="28" t="s">
        <v>62</v>
      </c>
      <c r="G80" s="28" t="s">
        <v>63</v>
      </c>
      <c r="H80" s="28" t="s">
        <v>100</v>
      </c>
      <c r="I80" s="28" t="s">
        <v>101</v>
      </c>
      <c r="J80" s="28" t="s">
        <v>66</v>
      </c>
      <c r="K80" s="28" t="s">
        <v>90</v>
      </c>
      <c r="L80" s="28" t="s">
        <v>91</v>
      </c>
      <c r="M80" s="28" t="s">
        <v>94</v>
      </c>
      <c r="N80" s="28" t="s">
        <v>95</v>
      </c>
      <c r="O80" s="29" t="n">
        <v>18</v>
      </c>
      <c r="P80" s="30" t="n">
        <v>34.3</v>
      </c>
      <c r="Q80" s="30" t="n">
        <v>17.85</v>
      </c>
      <c r="R80" s="30" t="n">
        <f aca="false">ROUND(O80*P80,2)</f>
        <v>617.4</v>
      </c>
      <c r="S80" s="30" t="n">
        <f aca="false">ROUND(O80*Q80,2)</f>
        <v>321.3</v>
      </c>
      <c r="T80" s="30" t="n">
        <f aca="false">ROUND(R80*SUMIFS(Parametros!$E$23:$E$38,Parametros!$B$23:$B$38,J80,Parametros!$C$23:$C$38,C80,Parametros!$D$23:$D$38,D80),2)</f>
        <v>7.41</v>
      </c>
      <c r="U80" s="30" t="n">
        <f aca="false">R80-S80-T80</f>
        <v>288.69</v>
      </c>
    </row>
    <row r="81" customFormat="false" ht="15" hidden="false" customHeight="false" outlineLevel="0" collapsed="false">
      <c r="A81" s="0" t="n">
        <v>80</v>
      </c>
      <c r="B81" s="27" t="n">
        <v>45312</v>
      </c>
      <c r="C81" s="0" t="n">
        <v>2024</v>
      </c>
      <c r="D81" s="28" t="s">
        <v>61</v>
      </c>
      <c r="E81" s="0" t="n">
        <v>1</v>
      </c>
      <c r="F81" s="28" t="s">
        <v>62</v>
      </c>
      <c r="G81" s="28" t="s">
        <v>63</v>
      </c>
      <c r="H81" s="28" t="s">
        <v>100</v>
      </c>
      <c r="I81" s="28" t="s">
        <v>101</v>
      </c>
      <c r="J81" s="28" t="s">
        <v>71</v>
      </c>
      <c r="K81" s="28" t="s">
        <v>90</v>
      </c>
      <c r="L81" s="28" t="s">
        <v>91</v>
      </c>
      <c r="M81" s="28" t="s">
        <v>94</v>
      </c>
      <c r="N81" s="28" t="s">
        <v>95</v>
      </c>
      <c r="O81" s="29" t="n">
        <v>6</v>
      </c>
      <c r="P81" s="30" t="n">
        <v>34.3</v>
      </c>
      <c r="Q81" s="30" t="n">
        <v>17.85</v>
      </c>
      <c r="R81" s="30" t="n">
        <f aca="false">ROUND(O81*P81,2)</f>
        <v>205.8</v>
      </c>
      <c r="S81" s="30" t="n">
        <f aca="false">ROUND(O81*Q81,2)</f>
        <v>107.1</v>
      </c>
      <c r="T81" s="30" t="n">
        <f aca="false">ROUND(R81*SUMIFS(Parametros!$E$23:$E$38,Parametros!$B$23:$B$38,J81,Parametros!$C$23:$C$38,C81,Parametros!$D$23:$D$38,D81),2)</f>
        <v>8.64</v>
      </c>
      <c r="U81" s="30" t="n">
        <f aca="false">R81-S81-T81</f>
        <v>90.06</v>
      </c>
    </row>
    <row r="82" customFormat="false" ht="15" hidden="false" customHeight="false" outlineLevel="0" collapsed="false">
      <c r="A82" s="0" t="n">
        <v>81</v>
      </c>
      <c r="B82" s="27" t="n">
        <v>45292</v>
      </c>
      <c r="C82" s="0" t="n">
        <v>2024</v>
      </c>
      <c r="D82" s="28" t="s">
        <v>61</v>
      </c>
      <c r="E82" s="0" t="n">
        <v>1</v>
      </c>
      <c r="F82" s="28" t="s">
        <v>62</v>
      </c>
      <c r="G82" s="28" t="s">
        <v>63</v>
      </c>
      <c r="H82" s="28" t="s">
        <v>102</v>
      </c>
      <c r="I82" s="28" t="s">
        <v>103</v>
      </c>
      <c r="J82" s="28" t="s">
        <v>66</v>
      </c>
      <c r="K82" s="28" t="s">
        <v>67</v>
      </c>
      <c r="L82" s="28" t="s">
        <v>68</v>
      </c>
      <c r="M82" s="28" t="s">
        <v>69</v>
      </c>
      <c r="N82" s="28" t="s">
        <v>70</v>
      </c>
      <c r="O82" s="29" t="n">
        <v>6</v>
      </c>
      <c r="P82" s="30" t="n">
        <v>1176</v>
      </c>
      <c r="Q82" s="30" t="n">
        <v>744</v>
      </c>
      <c r="R82" s="30" t="n">
        <f aca="false">ROUND(O82*P82,2)</f>
        <v>7056</v>
      </c>
      <c r="S82" s="30" t="n">
        <f aca="false">ROUND(O82*Q82,2)</f>
        <v>4464</v>
      </c>
      <c r="T82" s="30" t="n">
        <f aca="false">ROUND(R82*SUMIFS(Parametros!$E$23:$E$38,Parametros!$B$23:$B$38,J82,Parametros!$C$23:$C$38,C82,Parametros!$D$23:$D$38,D82),2)</f>
        <v>84.67</v>
      </c>
      <c r="U82" s="30" t="n">
        <f aca="false">R82-S82-T82</f>
        <v>2507.33</v>
      </c>
    </row>
    <row r="83" customFormat="false" ht="15" hidden="false" customHeight="false" outlineLevel="0" collapsed="false">
      <c r="A83" s="0" t="n">
        <v>82</v>
      </c>
      <c r="B83" s="27" t="n">
        <v>45299</v>
      </c>
      <c r="C83" s="0" t="n">
        <v>2024</v>
      </c>
      <c r="D83" s="28" t="s">
        <v>61</v>
      </c>
      <c r="E83" s="0" t="n">
        <v>1</v>
      </c>
      <c r="F83" s="28" t="s">
        <v>62</v>
      </c>
      <c r="G83" s="28" t="s">
        <v>63</v>
      </c>
      <c r="H83" s="28" t="s">
        <v>102</v>
      </c>
      <c r="I83" s="28" t="s">
        <v>103</v>
      </c>
      <c r="J83" s="28" t="s">
        <v>71</v>
      </c>
      <c r="K83" s="28" t="s">
        <v>67</v>
      </c>
      <c r="L83" s="28" t="s">
        <v>68</v>
      </c>
      <c r="M83" s="28" t="s">
        <v>69</v>
      </c>
      <c r="N83" s="28" t="s">
        <v>70</v>
      </c>
      <c r="O83" s="29" t="n">
        <v>2</v>
      </c>
      <c r="P83" s="30" t="n">
        <v>1176</v>
      </c>
      <c r="Q83" s="30" t="n">
        <v>744</v>
      </c>
      <c r="R83" s="30" t="n">
        <f aca="false">ROUND(O83*P83,2)</f>
        <v>2352</v>
      </c>
      <c r="S83" s="30" t="n">
        <f aca="false">ROUND(O83*Q83,2)</f>
        <v>1488</v>
      </c>
      <c r="T83" s="30" t="n">
        <f aca="false">ROUND(R83*SUMIFS(Parametros!$E$23:$E$38,Parametros!$B$23:$B$38,J83,Parametros!$C$23:$C$38,C83,Parametros!$D$23:$D$38,D83),2)</f>
        <v>98.78</v>
      </c>
      <c r="U83" s="30" t="n">
        <f aca="false">R83-S83-T83</f>
        <v>765.22</v>
      </c>
    </row>
    <row r="84" customFormat="false" ht="15" hidden="false" customHeight="false" outlineLevel="0" collapsed="false">
      <c r="A84" s="0" t="n">
        <v>83</v>
      </c>
      <c r="B84" s="27" t="n">
        <v>45306</v>
      </c>
      <c r="C84" s="0" t="n">
        <v>2024</v>
      </c>
      <c r="D84" s="28" t="s">
        <v>61</v>
      </c>
      <c r="E84" s="0" t="n">
        <v>1</v>
      </c>
      <c r="F84" s="28" t="s">
        <v>62</v>
      </c>
      <c r="G84" s="28" t="s">
        <v>63</v>
      </c>
      <c r="H84" s="28" t="s">
        <v>102</v>
      </c>
      <c r="I84" s="28" t="s">
        <v>103</v>
      </c>
      <c r="J84" s="28" t="s">
        <v>66</v>
      </c>
      <c r="K84" s="28" t="s">
        <v>67</v>
      </c>
      <c r="L84" s="28" t="s">
        <v>68</v>
      </c>
      <c r="M84" s="28" t="s">
        <v>72</v>
      </c>
      <c r="N84" s="28" t="s">
        <v>73</v>
      </c>
      <c r="O84" s="29" t="n">
        <v>5</v>
      </c>
      <c r="P84" s="30" t="n">
        <v>441</v>
      </c>
      <c r="Q84" s="30" t="n">
        <v>272.25</v>
      </c>
      <c r="R84" s="30" t="n">
        <f aca="false">ROUND(O84*P84,2)</f>
        <v>2205</v>
      </c>
      <c r="S84" s="30" t="n">
        <f aca="false">ROUND(O84*Q84,2)</f>
        <v>1361.25</v>
      </c>
      <c r="T84" s="30" t="n">
        <f aca="false">ROUND(R84*SUMIFS(Parametros!$E$23:$E$38,Parametros!$B$23:$B$38,J84,Parametros!$C$23:$C$38,C84,Parametros!$D$23:$D$38,D84),2)</f>
        <v>26.46</v>
      </c>
      <c r="U84" s="30" t="n">
        <f aca="false">R84-S84-T84</f>
        <v>817.29</v>
      </c>
    </row>
    <row r="85" customFormat="false" ht="15" hidden="false" customHeight="false" outlineLevel="0" collapsed="false">
      <c r="A85" s="0" t="n">
        <v>84</v>
      </c>
      <c r="B85" s="27" t="n">
        <v>45313</v>
      </c>
      <c r="C85" s="0" t="n">
        <v>2024</v>
      </c>
      <c r="D85" s="28" t="s">
        <v>61</v>
      </c>
      <c r="E85" s="0" t="n">
        <v>1</v>
      </c>
      <c r="F85" s="28" t="s">
        <v>62</v>
      </c>
      <c r="G85" s="28" t="s">
        <v>63</v>
      </c>
      <c r="H85" s="28" t="s">
        <v>102</v>
      </c>
      <c r="I85" s="28" t="s">
        <v>103</v>
      </c>
      <c r="J85" s="28" t="s">
        <v>71</v>
      </c>
      <c r="K85" s="28" t="s">
        <v>67</v>
      </c>
      <c r="L85" s="28" t="s">
        <v>68</v>
      </c>
      <c r="M85" s="28" t="s">
        <v>72</v>
      </c>
      <c r="N85" s="28" t="s">
        <v>73</v>
      </c>
      <c r="O85" s="29" t="n">
        <v>2</v>
      </c>
      <c r="P85" s="30" t="n">
        <v>441</v>
      </c>
      <c r="Q85" s="30" t="n">
        <v>272.25</v>
      </c>
      <c r="R85" s="30" t="n">
        <f aca="false">ROUND(O85*P85,2)</f>
        <v>882</v>
      </c>
      <c r="S85" s="30" t="n">
        <f aca="false">ROUND(O85*Q85,2)</f>
        <v>544.5</v>
      </c>
      <c r="T85" s="30" t="n">
        <f aca="false">ROUND(R85*SUMIFS(Parametros!$E$23:$E$38,Parametros!$B$23:$B$38,J85,Parametros!$C$23:$C$38,C85,Parametros!$D$23:$D$38,D85),2)</f>
        <v>37.04</v>
      </c>
      <c r="U85" s="30" t="n">
        <f aca="false">R85-S85-T85</f>
        <v>300.46</v>
      </c>
    </row>
    <row r="86" customFormat="false" ht="15" hidden="false" customHeight="false" outlineLevel="0" collapsed="false">
      <c r="A86" s="0" t="n">
        <v>85</v>
      </c>
      <c r="B86" s="27" t="n">
        <v>45293</v>
      </c>
      <c r="C86" s="0" t="n">
        <v>2024</v>
      </c>
      <c r="D86" s="28" t="s">
        <v>61</v>
      </c>
      <c r="E86" s="0" t="n">
        <v>1</v>
      </c>
      <c r="F86" s="28" t="s">
        <v>62</v>
      </c>
      <c r="G86" s="28" t="s">
        <v>63</v>
      </c>
      <c r="H86" s="28" t="s">
        <v>102</v>
      </c>
      <c r="I86" s="28" t="s">
        <v>103</v>
      </c>
      <c r="J86" s="28" t="s">
        <v>66</v>
      </c>
      <c r="K86" s="28" t="s">
        <v>67</v>
      </c>
      <c r="L86" s="28" t="s">
        <v>68</v>
      </c>
      <c r="M86" s="28" t="s">
        <v>74</v>
      </c>
      <c r="N86" s="28" t="s">
        <v>75</v>
      </c>
      <c r="O86" s="29" t="n">
        <v>7</v>
      </c>
      <c r="P86" s="30" t="n">
        <v>1617</v>
      </c>
      <c r="Q86" s="30" t="n">
        <v>1122</v>
      </c>
      <c r="R86" s="30" t="n">
        <f aca="false">ROUND(O86*P86,2)</f>
        <v>11319</v>
      </c>
      <c r="S86" s="30" t="n">
        <f aca="false">ROUND(O86*Q86,2)</f>
        <v>7854</v>
      </c>
      <c r="T86" s="30" t="n">
        <f aca="false">ROUND(R86*SUMIFS(Parametros!$E$23:$E$38,Parametros!$B$23:$B$38,J86,Parametros!$C$23:$C$38,C86,Parametros!$D$23:$D$38,D86),2)</f>
        <v>135.83</v>
      </c>
      <c r="U86" s="30" t="n">
        <f aca="false">R86-S86-T86</f>
        <v>3329.17</v>
      </c>
    </row>
    <row r="87" customFormat="false" ht="15" hidden="false" customHeight="false" outlineLevel="0" collapsed="false">
      <c r="A87" s="0" t="n">
        <v>86</v>
      </c>
      <c r="B87" s="27" t="n">
        <v>45300</v>
      </c>
      <c r="C87" s="0" t="n">
        <v>2024</v>
      </c>
      <c r="D87" s="28" t="s">
        <v>61</v>
      </c>
      <c r="E87" s="0" t="n">
        <v>1</v>
      </c>
      <c r="F87" s="28" t="s">
        <v>62</v>
      </c>
      <c r="G87" s="28" t="s">
        <v>63</v>
      </c>
      <c r="H87" s="28" t="s">
        <v>102</v>
      </c>
      <c r="I87" s="28" t="s">
        <v>103</v>
      </c>
      <c r="J87" s="28" t="s">
        <v>71</v>
      </c>
      <c r="K87" s="28" t="s">
        <v>67</v>
      </c>
      <c r="L87" s="28" t="s">
        <v>68</v>
      </c>
      <c r="M87" s="28" t="s">
        <v>74</v>
      </c>
      <c r="N87" s="28" t="s">
        <v>75</v>
      </c>
      <c r="O87" s="29" t="n">
        <v>2</v>
      </c>
      <c r="P87" s="30" t="n">
        <v>1617</v>
      </c>
      <c r="Q87" s="30" t="n">
        <v>1122</v>
      </c>
      <c r="R87" s="30" t="n">
        <f aca="false">ROUND(O87*P87,2)</f>
        <v>3234</v>
      </c>
      <c r="S87" s="30" t="n">
        <f aca="false">ROUND(O87*Q87,2)</f>
        <v>2244</v>
      </c>
      <c r="T87" s="30" t="n">
        <f aca="false">ROUND(R87*SUMIFS(Parametros!$E$23:$E$38,Parametros!$B$23:$B$38,J87,Parametros!$C$23:$C$38,C87,Parametros!$D$23:$D$38,D87),2)</f>
        <v>135.83</v>
      </c>
      <c r="U87" s="30" t="n">
        <f aca="false">R87-S87-T87</f>
        <v>854.17</v>
      </c>
    </row>
    <row r="88" customFormat="false" ht="15" hidden="false" customHeight="false" outlineLevel="0" collapsed="false">
      <c r="A88" s="0" t="n">
        <v>87</v>
      </c>
      <c r="B88" s="27" t="n">
        <v>45307</v>
      </c>
      <c r="C88" s="0" t="n">
        <v>2024</v>
      </c>
      <c r="D88" s="28" t="s">
        <v>61</v>
      </c>
      <c r="E88" s="0" t="n">
        <v>1</v>
      </c>
      <c r="F88" s="28" t="s">
        <v>62</v>
      </c>
      <c r="G88" s="28" t="s">
        <v>63</v>
      </c>
      <c r="H88" s="28" t="s">
        <v>102</v>
      </c>
      <c r="I88" s="28" t="s">
        <v>103</v>
      </c>
      <c r="J88" s="28" t="s">
        <v>66</v>
      </c>
      <c r="K88" s="28" t="s">
        <v>76</v>
      </c>
      <c r="L88" s="28" t="s">
        <v>77</v>
      </c>
      <c r="M88" s="28" t="s">
        <v>78</v>
      </c>
      <c r="N88" s="28" t="s">
        <v>79</v>
      </c>
      <c r="O88" s="29" t="n">
        <v>23</v>
      </c>
      <c r="P88" s="30" t="n">
        <v>27.44</v>
      </c>
      <c r="Q88" s="30" t="n">
        <v>13.44</v>
      </c>
      <c r="R88" s="30" t="n">
        <f aca="false">ROUND(O88*P88,2)</f>
        <v>631.12</v>
      </c>
      <c r="S88" s="30" t="n">
        <f aca="false">ROUND(O88*Q88,2)</f>
        <v>309.12</v>
      </c>
      <c r="T88" s="30" t="n">
        <f aca="false">ROUND(R88*SUMIFS(Parametros!$E$23:$E$38,Parametros!$B$23:$B$38,J88,Parametros!$C$23:$C$38,C88,Parametros!$D$23:$D$38,D88),2)</f>
        <v>7.57</v>
      </c>
      <c r="U88" s="30" t="n">
        <f aca="false">R88-S88-T88</f>
        <v>314.43</v>
      </c>
    </row>
    <row r="89" customFormat="false" ht="15" hidden="false" customHeight="false" outlineLevel="0" collapsed="false">
      <c r="A89" s="0" t="n">
        <v>88</v>
      </c>
      <c r="B89" s="27" t="n">
        <v>45314</v>
      </c>
      <c r="C89" s="0" t="n">
        <v>2024</v>
      </c>
      <c r="D89" s="28" t="s">
        <v>61</v>
      </c>
      <c r="E89" s="0" t="n">
        <v>1</v>
      </c>
      <c r="F89" s="28" t="s">
        <v>62</v>
      </c>
      <c r="G89" s="28" t="s">
        <v>63</v>
      </c>
      <c r="H89" s="28" t="s">
        <v>102</v>
      </c>
      <c r="I89" s="28" t="s">
        <v>103</v>
      </c>
      <c r="J89" s="28" t="s">
        <v>71</v>
      </c>
      <c r="K89" s="28" t="s">
        <v>76</v>
      </c>
      <c r="L89" s="28" t="s">
        <v>77</v>
      </c>
      <c r="M89" s="28" t="s">
        <v>78</v>
      </c>
      <c r="N89" s="28" t="s">
        <v>79</v>
      </c>
      <c r="O89" s="29" t="n">
        <v>10</v>
      </c>
      <c r="P89" s="30" t="n">
        <v>27.44</v>
      </c>
      <c r="Q89" s="30" t="n">
        <v>13.44</v>
      </c>
      <c r="R89" s="30" t="n">
        <f aca="false">ROUND(O89*P89,2)</f>
        <v>274.4</v>
      </c>
      <c r="S89" s="30" t="n">
        <f aca="false">ROUND(O89*Q89,2)</f>
        <v>134.4</v>
      </c>
      <c r="T89" s="30" t="n">
        <f aca="false">ROUND(R89*SUMIFS(Parametros!$E$23:$E$38,Parametros!$B$23:$B$38,J89,Parametros!$C$23:$C$38,C89,Parametros!$D$23:$D$38,D89),2)</f>
        <v>11.52</v>
      </c>
      <c r="U89" s="30" t="n">
        <f aca="false">R89-S89-T89</f>
        <v>128.48</v>
      </c>
    </row>
    <row r="90" customFormat="false" ht="15" hidden="false" customHeight="false" outlineLevel="0" collapsed="false">
      <c r="A90" s="0" t="n">
        <v>89</v>
      </c>
      <c r="B90" s="27" t="n">
        <v>45294</v>
      </c>
      <c r="C90" s="0" t="n">
        <v>2024</v>
      </c>
      <c r="D90" s="28" t="s">
        <v>61</v>
      </c>
      <c r="E90" s="0" t="n">
        <v>1</v>
      </c>
      <c r="F90" s="28" t="s">
        <v>62</v>
      </c>
      <c r="G90" s="28" t="s">
        <v>63</v>
      </c>
      <c r="H90" s="28" t="s">
        <v>102</v>
      </c>
      <c r="I90" s="28" t="s">
        <v>103</v>
      </c>
      <c r="J90" s="28" t="s">
        <v>66</v>
      </c>
      <c r="K90" s="28" t="s">
        <v>76</v>
      </c>
      <c r="L90" s="28" t="s">
        <v>77</v>
      </c>
      <c r="M90" s="28" t="s">
        <v>80</v>
      </c>
      <c r="N90" s="28" t="s">
        <v>81</v>
      </c>
      <c r="O90" s="29" t="n">
        <v>29</v>
      </c>
      <c r="P90" s="30" t="n">
        <v>93.1</v>
      </c>
      <c r="Q90" s="30" t="n">
        <v>47.98</v>
      </c>
      <c r="R90" s="30" t="n">
        <f aca="false">ROUND(O90*P90,2)</f>
        <v>2699.9</v>
      </c>
      <c r="S90" s="30" t="n">
        <f aca="false">ROUND(O90*Q90,2)</f>
        <v>1391.42</v>
      </c>
      <c r="T90" s="30" t="n">
        <f aca="false">ROUND(R90*SUMIFS(Parametros!$E$23:$E$38,Parametros!$B$23:$B$38,J90,Parametros!$C$23:$C$38,C90,Parametros!$D$23:$D$38,D90),2)</f>
        <v>32.4</v>
      </c>
      <c r="U90" s="30" t="n">
        <f aca="false">R90-S90-T90</f>
        <v>1276.08</v>
      </c>
    </row>
    <row r="91" customFormat="false" ht="15" hidden="false" customHeight="false" outlineLevel="0" collapsed="false">
      <c r="A91" s="0" t="n">
        <v>90</v>
      </c>
      <c r="B91" s="27" t="n">
        <v>45301</v>
      </c>
      <c r="C91" s="0" t="n">
        <v>2024</v>
      </c>
      <c r="D91" s="28" t="s">
        <v>61</v>
      </c>
      <c r="E91" s="0" t="n">
        <v>1</v>
      </c>
      <c r="F91" s="28" t="s">
        <v>62</v>
      </c>
      <c r="G91" s="28" t="s">
        <v>63</v>
      </c>
      <c r="H91" s="28" t="s">
        <v>102</v>
      </c>
      <c r="I91" s="28" t="s">
        <v>103</v>
      </c>
      <c r="J91" s="28" t="s">
        <v>71</v>
      </c>
      <c r="K91" s="28" t="s">
        <v>76</v>
      </c>
      <c r="L91" s="28" t="s">
        <v>77</v>
      </c>
      <c r="M91" s="28" t="s">
        <v>80</v>
      </c>
      <c r="N91" s="28" t="s">
        <v>81</v>
      </c>
      <c r="O91" s="29" t="n">
        <v>10</v>
      </c>
      <c r="P91" s="30" t="n">
        <v>93.1</v>
      </c>
      <c r="Q91" s="30" t="n">
        <v>47.98</v>
      </c>
      <c r="R91" s="30" t="n">
        <f aca="false">ROUND(O91*P91,2)</f>
        <v>931</v>
      </c>
      <c r="S91" s="30" t="n">
        <f aca="false">ROUND(O91*Q91,2)</f>
        <v>479.8</v>
      </c>
      <c r="T91" s="30" t="n">
        <f aca="false">ROUND(R91*SUMIFS(Parametros!$E$23:$E$38,Parametros!$B$23:$B$38,J91,Parametros!$C$23:$C$38,C91,Parametros!$D$23:$D$38,D91),2)</f>
        <v>39.1</v>
      </c>
      <c r="U91" s="30" t="n">
        <f aca="false">R91-S91-T91</f>
        <v>412.1</v>
      </c>
    </row>
    <row r="92" customFormat="false" ht="15" hidden="false" customHeight="false" outlineLevel="0" collapsed="false">
      <c r="A92" s="0" t="n">
        <v>91</v>
      </c>
      <c r="B92" s="27" t="n">
        <v>45308</v>
      </c>
      <c r="C92" s="0" t="n">
        <v>2024</v>
      </c>
      <c r="D92" s="28" t="s">
        <v>61</v>
      </c>
      <c r="E92" s="0" t="n">
        <v>1</v>
      </c>
      <c r="F92" s="28" t="s">
        <v>62</v>
      </c>
      <c r="G92" s="28" t="s">
        <v>63</v>
      </c>
      <c r="H92" s="28" t="s">
        <v>102</v>
      </c>
      <c r="I92" s="28" t="s">
        <v>103</v>
      </c>
      <c r="J92" s="28" t="s">
        <v>66</v>
      </c>
      <c r="K92" s="28" t="s">
        <v>76</v>
      </c>
      <c r="L92" s="28" t="s">
        <v>77</v>
      </c>
      <c r="M92" s="28" t="s">
        <v>82</v>
      </c>
      <c r="N92" s="28" t="s">
        <v>83</v>
      </c>
      <c r="O92" s="29" t="n">
        <v>25</v>
      </c>
      <c r="P92" s="30" t="n">
        <v>63.7</v>
      </c>
      <c r="Q92" s="30" t="n">
        <v>35.43</v>
      </c>
      <c r="R92" s="30" t="n">
        <f aca="false">ROUND(O92*P92,2)</f>
        <v>1592.5</v>
      </c>
      <c r="S92" s="30" t="n">
        <f aca="false">ROUND(O92*Q92,2)</f>
        <v>885.75</v>
      </c>
      <c r="T92" s="30" t="n">
        <f aca="false">ROUND(R92*SUMIFS(Parametros!$E$23:$E$38,Parametros!$B$23:$B$38,J92,Parametros!$C$23:$C$38,C92,Parametros!$D$23:$D$38,D92),2)</f>
        <v>19.11</v>
      </c>
      <c r="U92" s="30" t="n">
        <f aca="false">R92-S92-T92</f>
        <v>687.64</v>
      </c>
    </row>
    <row r="93" customFormat="false" ht="15" hidden="false" customHeight="false" outlineLevel="0" collapsed="false">
      <c r="A93" s="0" t="n">
        <v>92</v>
      </c>
      <c r="B93" s="27" t="n">
        <v>45315</v>
      </c>
      <c r="C93" s="0" t="n">
        <v>2024</v>
      </c>
      <c r="D93" s="28" t="s">
        <v>61</v>
      </c>
      <c r="E93" s="0" t="n">
        <v>1</v>
      </c>
      <c r="F93" s="28" t="s">
        <v>62</v>
      </c>
      <c r="G93" s="28" t="s">
        <v>63</v>
      </c>
      <c r="H93" s="28" t="s">
        <v>102</v>
      </c>
      <c r="I93" s="28" t="s">
        <v>103</v>
      </c>
      <c r="J93" s="28" t="s">
        <v>71</v>
      </c>
      <c r="K93" s="28" t="s">
        <v>76</v>
      </c>
      <c r="L93" s="28" t="s">
        <v>77</v>
      </c>
      <c r="M93" s="28" t="s">
        <v>82</v>
      </c>
      <c r="N93" s="28" t="s">
        <v>83</v>
      </c>
      <c r="O93" s="29" t="n">
        <v>11</v>
      </c>
      <c r="P93" s="30" t="n">
        <v>63.7</v>
      </c>
      <c r="Q93" s="30" t="n">
        <v>35.43</v>
      </c>
      <c r="R93" s="30" t="n">
        <f aca="false">ROUND(O93*P93,2)</f>
        <v>700.7</v>
      </c>
      <c r="S93" s="30" t="n">
        <f aca="false">ROUND(O93*Q93,2)</f>
        <v>389.73</v>
      </c>
      <c r="T93" s="30" t="n">
        <f aca="false">ROUND(R93*SUMIFS(Parametros!$E$23:$E$38,Parametros!$B$23:$B$38,J93,Parametros!$C$23:$C$38,C93,Parametros!$D$23:$D$38,D93),2)</f>
        <v>29.43</v>
      </c>
      <c r="U93" s="30" t="n">
        <f aca="false">R93-S93-T93</f>
        <v>281.54</v>
      </c>
    </row>
    <row r="94" customFormat="false" ht="15" hidden="false" customHeight="false" outlineLevel="0" collapsed="false">
      <c r="A94" s="0" t="n">
        <v>93</v>
      </c>
      <c r="B94" s="27" t="n">
        <v>45295</v>
      </c>
      <c r="C94" s="0" t="n">
        <v>2024</v>
      </c>
      <c r="D94" s="28" t="s">
        <v>61</v>
      </c>
      <c r="E94" s="0" t="n">
        <v>1</v>
      </c>
      <c r="F94" s="28" t="s">
        <v>62</v>
      </c>
      <c r="G94" s="28" t="s">
        <v>63</v>
      </c>
      <c r="H94" s="28" t="s">
        <v>102</v>
      </c>
      <c r="I94" s="28" t="s">
        <v>103</v>
      </c>
      <c r="J94" s="28" t="s">
        <v>66</v>
      </c>
      <c r="K94" s="28" t="s">
        <v>84</v>
      </c>
      <c r="L94" s="28" t="s">
        <v>85</v>
      </c>
      <c r="M94" s="28" t="s">
        <v>86</v>
      </c>
      <c r="N94" s="28" t="s">
        <v>87</v>
      </c>
      <c r="O94" s="29" t="n">
        <v>12</v>
      </c>
      <c r="P94" s="30" t="n">
        <v>117.6</v>
      </c>
      <c r="Q94" s="30" t="n">
        <v>63.6</v>
      </c>
      <c r="R94" s="30" t="n">
        <f aca="false">ROUND(O94*P94,2)</f>
        <v>1411.2</v>
      </c>
      <c r="S94" s="30" t="n">
        <f aca="false">ROUND(O94*Q94,2)</f>
        <v>763.2</v>
      </c>
      <c r="T94" s="30" t="n">
        <f aca="false">ROUND(R94*SUMIFS(Parametros!$E$23:$E$38,Parametros!$B$23:$B$38,J94,Parametros!$C$23:$C$38,C94,Parametros!$D$23:$D$38,D94),2)</f>
        <v>16.93</v>
      </c>
      <c r="U94" s="30" t="n">
        <f aca="false">R94-S94-T94</f>
        <v>631.07</v>
      </c>
    </row>
    <row r="95" customFormat="false" ht="15" hidden="false" customHeight="false" outlineLevel="0" collapsed="false">
      <c r="A95" s="0" t="n">
        <v>94</v>
      </c>
      <c r="B95" s="27" t="n">
        <v>45302</v>
      </c>
      <c r="C95" s="0" t="n">
        <v>2024</v>
      </c>
      <c r="D95" s="28" t="s">
        <v>61</v>
      </c>
      <c r="E95" s="0" t="n">
        <v>1</v>
      </c>
      <c r="F95" s="28" t="s">
        <v>62</v>
      </c>
      <c r="G95" s="28" t="s">
        <v>63</v>
      </c>
      <c r="H95" s="28" t="s">
        <v>102</v>
      </c>
      <c r="I95" s="28" t="s">
        <v>103</v>
      </c>
      <c r="J95" s="28" t="s">
        <v>71</v>
      </c>
      <c r="K95" s="28" t="s">
        <v>84</v>
      </c>
      <c r="L95" s="28" t="s">
        <v>85</v>
      </c>
      <c r="M95" s="28" t="s">
        <v>86</v>
      </c>
      <c r="N95" s="28" t="s">
        <v>87</v>
      </c>
      <c r="O95" s="29" t="n">
        <v>5</v>
      </c>
      <c r="P95" s="30" t="n">
        <v>117.6</v>
      </c>
      <c r="Q95" s="30" t="n">
        <v>63.6</v>
      </c>
      <c r="R95" s="30" t="n">
        <f aca="false">ROUND(O95*P95,2)</f>
        <v>588</v>
      </c>
      <c r="S95" s="30" t="n">
        <f aca="false">ROUND(O95*Q95,2)</f>
        <v>318</v>
      </c>
      <c r="T95" s="30" t="n">
        <f aca="false">ROUND(R95*SUMIFS(Parametros!$E$23:$E$38,Parametros!$B$23:$B$38,J95,Parametros!$C$23:$C$38,C95,Parametros!$D$23:$D$38,D95),2)</f>
        <v>24.7</v>
      </c>
      <c r="U95" s="30" t="n">
        <f aca="false">R95-S95-T95</f>
        <v>245.3</v>
      </c>
    </row>
    <row r="96" customFormat="false" ht="15" hidden="false" customHeight="false" outlineLevel="0" collapsed="false">
      <c r="A96" s="0" t="n">
        <v>95</v>
      </c>
      <c r="B96" s="27" t="n">
        <v>45309</v>
      </c>
      <c r="C96" s="0" t="n">
        <v>2024</v>
      </c>
      <c r="D96" s="28" t="s">
        <v>61</v>
      </c>
      <c r="E96" s="0" t="n">
        <v>1</v>
      </c>
      <c r="F96" s="28" t="s">
        <v>62</v>
      </c>
      <c r="G96" s="28" t="s">
        <v>63</v>
      </c>
      <c r="H96" s="28" t="s">
        <v>102</v>
      </c>
      <c r="I96" s="28" t="s">
        <v>103</v>
      </c>
      <c r="J96" s="28" t="s">
        <v>66</v>
      </c>
      <c r="K96" s="28" t="s">
        <v>84</v>
      </c>
      <c r="L96" s="28" t="s">
        <v>85</v>
      </c>
      <c r="M96" s="28" t="s">
        <v>88</v>
      </c>
      <c r="N96" s="28" t="s">
        <v>89</v>
      </c>
      <c r="O96" s="29" t="n">
        <v>11</v>
      </c>
      <c r="P96" s="30" t="n">
        <v>83.3</v>
      </c>
      <c r="Q96" s="30" t="n">
        <v>48.02</v>
      </c>
      <c r="R96" s="30" t="n">
        <f aca="false">ROUND(O96*P96,2)</f>
        <v>916.3</v>
      </c>
      <c r="S96" s="30" t="n">
        <f aca="false">ROUND(O96*Q96,2)</f>
        <v>528.22</v>
      </c>
      <c r="T96" s="30" t="n">
        <f aca="false">ROUND(R96*SUMIFS(Parametros!$E$23:$E$38,Parametros!$B$23:$B$38,J96,Parametros!$C$23:$C$38,C96,Parametros!$D$23:$D$38,D96),2)</f>
        <v>11</v>
      </c>
      <c r="U96" s="30" t="n">
        <f aca="false">R96-S96-T96</f>
        <v>377.08</v>
      </c>
    </row>
    <row r="97" customFormat="false" ht="15" hidden="false" customHeight="false" outlineLevel="0" collapsed="false">
      <c r="A97" s="0" t="n">
        <v>96</v>
      </c>
      <c r="B97" s="27" t="n">
        <v>45316</v>
      </c>
      <c r="C97" s="0" t="n">
        <v>2024</v>
      </c>
      <c r="D97" s="28" t="s">
        <v>61</v>
      </c>
      <c r="E97" s="0" t="n">
        <v>1</v>
      </c>
      <c r="F97" s="28" t="s">
        <v>62</v>
      </c>
      <c r="G97" s="28" t="s">
        <v>63</v>
      </c>
      <c r="H97" s="28" t="s">
        <v>102</v>
      </c>
      <c r="I97" s="28" t="s">
        <v>103</v>
      </c>
      <c r="J97" s="28" t="s">
        <v>71</v>
      </c>
      <c r="K97" s="28" t="s">
        <v>84</v>
      </c>
      <c r="L97" s="28" t="s">
        <v>85</v>
      </c>
      <c r="M97" s="28" t="s">
        <v>88</v>
      </c>
      <c r="N97" s="28" t="s">
        <v>89</v>
      </c>
      <c r="O97" s="29" t="n">
        <v>4</v>
      </c>
      <c r="P97" s="30" t="n">
        <v>83.3</v>
      </c>
      <c r="Q97" s="30" t="n">
        <v>48.02</v>
      </c>
      <c r="R97" s="30" t="n">
        <f aca="false">ROUND(O97*P97,2)</f>
        <v>333.2</v>
      </c>
      <c r="S97" s="30" t="n">
        <f aca="false">ROUND(O97*Q97,2)</f>
        <v>192.08</v>
      </c>
      <c r="T97" s="30" t="n">
        <f aca="false">ROUND(R97*SUMIFS(Parametros!$E$23:$E$38,Parametros!$B$23:$B$38,J97,Parametros!$C$23:$C$38,C97,Parametros!$D$23:$D$38,D97),2)</f>
        <v>13.99</v>
      </c>
      <c r="U97" s="30" t="n">
        <f aca="false">R97-S97-T97</f>
        <v>127.13</v>
      </c>
    </row>
    <row r="98" customFormat="false" ht="15" hidden="false" customHeight="false" outlineLevel="0" collapsed="false">
      <c r="A98" s="0" t="n">
        <v>97</v>
      </c>
      <c r="B98" s="27" t="n">
        <v>45296</v>
      </c>
      <c r="C98" s="0" t="n">
        <v>2024</v>
      </c>
      <c r="D98" s="28" t="s">
        <v>61</v>
      </c>
      <c r="E98" s="0" t="n">
        <v>1</v>
      </c>
      <c r="F98" s="28" t="s">
        <v>62</v>
      </c>
      <c r="G98" s="28" t="s">
        <v>63</v>
      </c>
      <c r="H98" s="28" t="s">
        <v>102</v>
      </c>
      <c r="I98" s="28" t="s">
        <v>103</v>
      </c>
      <c r="J98" s="28" t="s">
        <v>66</v>
      </c>
      <c r="K98" s="28" t="s">
        <v>90</v>
      </c>
      <c r="L98" s="28" t="s">
        <v>91</v>
      </c>
      <c r="M98" s="28" t="s">
        <v>92</v>
      </c>
      <c r="N98" s="28" t="s">
        <v>93</v>
      </c>
      <c r="O98" s="29" t="n">
        <v>14</v>
      </c>
      <c r="P98" s="30" t="n">
        <v>127.4</v>
      </c>
      <c r="Q98" s="30" t="n">
        <v>76.05</v>
      </c>
      <c r="R98" s="30" t="n">
        <f aca="false">ROUND(O98*P98,2)</f>
        <v>1783.6</v>
      </c>
      <c r="S98" s="30" t="n">
        <f aca="false">ROUND(O98*Q98,2)</f>
        <v>1064.7</v>
      </c>
      <c r="T98" s="30" t="n">
        <f aca="false">ROUND(R98*SUMIFS(Parametros!$E$23:$E$38,Parametros!$B$23:$B$38,J98,Parametros!$C$23:$C$38,C98,Parametros!$D$23:$D$38,D98),2)</f>
        <v>21.4</v>
      </c>
      <c r="U98" s="30" t="n">
        <f aca="false">R98-S98-T98</f>
        <v>697.5</v>
      </c>
    </row>
    <row r="99" customFormat="false" ht="15" hidden="false" customHeight="false" outlineLevel="0" collapsed="false">
      <c r="A99" s="0" t="n">
        <v>98</v>
      </c>
      <c r="B99" s="27" t="n">
        <v>45303</v>
      </c>
      <c r="C99" s="0" t="n">
        <v>2024</v>
      </c>
      <c r="D99" s="28" t="s">
        <v>61</v>
      </c>
      <c r="E99" s="0" t="n">
        <v>1</v>
      </c>
      <c r="F99" s="28" t="s">
        <v>62</v>
      </c>
      <c r="G99" s="28" t="s">
        <v>63</v>
      </c>
      <c r="H99" s="28" t="s">
        <v>102</v>
      </c>
      <c r="I99" s="28" t="s">
        <v>103</v>
      </c>
      <c r="J99" s="28" t="s">
        <v>71</v>
      </c>
      <c r="K99" s="28" t="s">
        <v>90</v>
      </c>
      <c r="L99" s="28" t="s">
        <v>91</v>
      </c>
      <c r="M99" s="28" t="s">
        <v>92</v>
      </c>
      <c r="N99" s="28" t="s">
        <v>93</v>
      </c>
      <c r="O99" s="29" t="n">
        <v>6</v>
      </c>
      <c r="P99" s="30" t="n">
        <v>127.4</v>
      </c>
      <c r="Q99" s="30" t="n">
        <v>76.05</v>
      </c>
      <c r="R99" s="30" t="n">
        <f aca="false">ROUND(O99*P99,2)</f>
        <v>764.4</v>
      </c>
      <c r="S99" s="30" t="n">
        <f aca="false">ROUND(O99*Q99,2)</f>
        <v>456.3</v>
      </c>
      <c r="T99" s="30" t="n">
        <f aca="false">ROUND(R99*SUMIFS(Parametros!$E$23:$E$38,Parametros!$B$23:$B$38,J99,Parametros!$C$23:$C$38,C99,Parametros!$D$23:$D$38,D99),2)</f>
        <v>32.1</v>
      </c>
      <c r="U99" s="30" t="n">
        <f aca="false">R99-S99-T99</f>
        <v>276</v>
      </c>
    </row>
    <row r="100" customFormat="false" ht="15" hidden="false" customHeight="false" outlineLevel="0" collapsed="false">
      <c r="A100" s="0" t="n">
        <v>99</v>
      </c>
      <c r="B100" s="27" t="n">
        <v>45310</v>
      </c>
      <c r="C100" s="0" t="n">
        <v>2024</v>
      </c>
      <c r="D100" s="28" t="s">
        <v>61</v>
      </c>
      <c r="E100" s="0" t="n">
        <v>1</v>
      </c>
      <c r="F100" s="28" t="s">
        <v>62</v>
      </c>
      <c r="G100" s="28" t="s">
        <v>63</v>
      </c>
      <c r="H100" s="28" t="s">
        <v>102</v>
      </c>
      <c r="I100" s="28" t="s">
        <v>103</v>
      </c>
      <c r="J100" s="28" t="s">
        <v>66</v>
      </c>
      <c r="K100" s="28" t="s">
        <v>90</v>
      </c>
      <c r="L100" s="28" t="s">
        <v>91</v>
      </c>
      <c r="M100" s="28" t="s">
        <v>94</v>
      </c>
      <c r="N100" s="28" t="s">
        <v>95</v>
      </c>
      <c r="O100" s="29" t="n">
        <v>14</v>
      </c>
      <c r="P100" s="30" t="n">
        <v>34.3</v>
      </c>
      <c r="Q100" s="30" t="n">
        <v>17.85</v>
      </c>
      <c r="R100" s="30" t="n">
        <f aca="false">ROUND(O100*P100,2)</f>
        <v>480.2</v>
      </c>
      <c r="S100" s="30" t="n">
        <f aca="false">ROUND(O100*Q100,2)</f>
        <v>249.9</v>
      </c>
      <c r="T100" s="30" t="n">
        <f aca="false">ROUND(R100*SUMIFS(Parametros!$E$23:$E$38,Parametros!$B$23:$B$38,J100,Parametros!$C$23:$C$38,C100,Parametros!$D$23:$D$38,D100),2)</f>
        <v>5.76</v>
      </c>
      <c r="U100" s="30" t="n">
        <f aca="false">R100-S100-T100</f>
        <v>224.54</v>
      </c>
    </row>
    <row r="101" customFormat="false" ht="15" hidden="false" customHeight="false" outlineLevel="0" collapsed="false">
      <c r="A101" s="0" t="n">
        <v>100</v>
      </c>
      <c r="B101" s="27" t="n">
        <v>45317</v>
      </c>
      <c r="C101" s="0" t="n">
        <v>2024</v>
      </c>
      <c r="D101" s="28" t="s">
        <v>61</v>
      </c>
      <c r="E101" s="0" t="n">
        <v>1</v>
      </c>
      <c r="F101" s="28" t="s">
        <v>62</v>
      </c>
      <c r="G101" s="28" t="s">
        <v>63</v>
      </c>
      <c r="H101" s="28" t="s">
        <v>102</v>
      </c>
      <c r="I101" s="28" t="s">
        <v>103</v>
      </c>
      <c r="J101" s="28" t="s">
        <v>71</v>
      </c>
      <c r="K101" s="28" t="s">
        <v>90</v>
      </c>
      <c r="L101" s="28" t="s">
        <v>91</v>
      </c>
      <c r="M101" s="28" t="s">
        <v>94</v>
      </c>
      <c r="N101" s="28" t="s">
        <v>95</v>
      </c>
      <c r="O101" s="29" t="n">
        <v>6</v>
      </c>
      <c r="P101" s="30" t="n">
        <v>34.3</v>
      </c>
      <c r="Q101" s="30" t="n">
        <v>17.85</v>
      </c>
      <c r="R101" s="30" t="n">
        <f aca="false">ROUND(O101*P101,2)</f>
        <v>205.8</v>
      </c>
      <c r="S101" s="30" t="n">
        <f aca="false">ROUND(O101*Q101,2)</f>
        <v>107.1</v>
      </c>
      <c r="T101" s="30" t="n">
        <f aca="false">ROUND(R101*SUMIFS(Parametros!$E$23:$E$38,Parametros!$B$23:$B$38,J101,Parametros!$C$23:$C$38,C101,Parametros!$D$23:$D$38,D101),2)</f>
        <v>8.64</v>
      </c>
      <c r="U101" s="30" t="n">
        <f aca="false">R101-S101-T101</f>
        <v>90.06</v>
      </c>
    </row>
    <row r="102" customFormat="false" ht="15" hidden="false" customHeight="false" outlineLevel="0" collapsed="false">
      <c r="A102" s="0" t="n">
        <v>101</v>
      </c>
      <c r="B102" s="27" t="n">
        <v>45328</v>
      </c>
      <c r="C102" s="0" t="n">
        <v>2024</v>
      </c>
      <c r="D102" s="28" t="s">
        <v>61</v>
      </c>
      <c r="E102" s="0" t="n">
        <v>2</v>
      </c>
      <c r="F102" s="28" t="s">
        <v>104</v>
      </c>
      <c r="G102" s="28" t="s">
        <v>105</v>
      </c>
      <c r="H102" s="28" t="s">
        <v>64</v>
      </c>
      <c r="I102" s="28" t="s">
        <v>65</v>
      </c>
      <c r="J102" s="28" t="s">
        <v>66</v>
      </c>
      <c r="K102" s="28" t="s">
        <v>67</v>
      </c>
      <c r="L102" s="28" t="s">
        <v>68</v>
      </c>
      <c r="M102" s="28" t="s">
        <v>69</v>
      </c>
      <c r="N102" s="28" t="s">
        <v>70</v>
      </c>
      <c r="O102" s="29" t="n">
        <v>18</v>
      </c>
      <c r="P102" s="30" t="n">
        <v>1176</v>
      </c>
      <c r="Q102" s="30" t="n">
        <v>744</v>
      </c>
      <c r="R102" s="30" t="n">
        <f aca="false">ROUND(O102*P102,2)</f>
        <v>21168</v>
      </c>
      <c r="S102" s="30" t="n">
        <f aca="false">ROUND(O102*Q102,2)</f>
        <v>13392</v>
      </c>
      <c r="T102" s="30" t="n">
        <f aca="false">ROUND(R102*SUMIFS(Parametros!$E$23:$E$38,Parametros!$B$23:$B$38,J102,Parametros!$C$23:$C$38,C102,Parametros!$D$23:$D$38,D102),2)</f>
        <v>254.02</v>
      </c>
      <c r="U102" s="30" t="n">
        <f aca="false">R102-S102-T102</f>
        <v>7521.98</v>
      </c>
    </row>
    <row r="103" customFormat="false" ht="15" hidden="false" customHeight="false" outlineLevel="0" collapsed="false">
      <c r="A103" s="0" t="n">
        <v>102</v>
      </c>
      <c r="B103" s="27" t="n">
        <v>45335</v>
      </c>
      <c r="C103" s="0" t="n">
        <v>2024</v>
      </c>
      <c r="D103" s="28" t="s">
        <v>61</v>
      </c>
      <c r="E103" s="0" t="n">
        <v>2</v>
      </c>
      <c r="F103" s="28" t="s">
        <v>104</v>
      </c>
      <c r="G103" s="28" t="s">
        <v>105</v>
      </c>
      <c r="H103" s="28" t="s">
        <v>64</v>
      </c>
      <c r="I103" s="28" t="s">
        <v>65</v>
      </c>
      <c r="J103" s="28" t="s">
        <v>71</v>
      </c>
      <c r="K103" s="28" t="s">
        <v>67</v>
      </c>
      <c r="L103" s="28" t="s">
        <v>68</v>
      </c>
      <c r="M103" s="28" t="s">
        <v>69</v>
      </c>
      <c r="N103" s="28" t="s">
        <v>70</v>
      </c>
      <c r="O103" s="29" t="n">
        <v>6</v>
      </c>
      <c r="P103" s="30" t="n">
        <v>1176</v>
      </c>
      <c r="Q103" s="30" t="n">
        <v>744</v>
      </c>
      <c r="R103" s="30" t="n">
        <f aca="false">ROUND(O103*P103,2)</f>
        <v>7056</v>
      </c>
      <c r="S103" s="30" t="n">
        <f aca="false">ROUND(O103*Q103,2)</f>
        <v>4464</v>
      </c>
      <c r="T103" s="30" t="n">
        <f aca="false">ROUND(R103*SUMIFS(Parametros!$E$23:$E$38,Parametros!$B$23:$B$38,J103,Parametros!$C$23:$C$38,C103,Parametros!$D$23:$D$38,D103),2)</f>
        <v>296.35</v>
      </c>
      <c r="U103" s="30" t="n">
        <f aca="false">R103-S103-T103</f>
        <v>2295.65</v>
      </c>
    </row>
    <row r="104" customFormat="false" ht="15" hidden="false" customHeight="false" outlineLevel="0" collapsed="false">
      <c r="A104" s="0" t="n">
        <v>103</v>
      </c>
      <c r="B104" s="27" t="n">
        <v>45342</v>
      </c>
      <c r="C104" s="0" t="n">
        <v>2024</v>
      </c>
      <c r="D104" s="28" t="s">
        <v>61</v>
      </c>
      <c r="E104" s="0" t="n">
        <v>2</v>
      </c>
      <c r="F104" s="28" t="s">
        <v>104</v>
      </c>
      <c r="G104" s="28" t="s">
        <v>105</v>
      </c>
      <c r="H104" s="28" t="s">
        <v>64</v>
      </c>
      <c r="I104" s="28" t="s">
        <v>65</v>
      </c>
      <c r="J104" s="28" t="s">
        <v>66</v>
      </c>
      <c r="K104" s="28" t="s">
        <v>67</v>
      </c>
      <c r="L104" s="28" t="s">
        <v>68</v>
      </c>
      <c r="M104" s="28" t="s">
        <v>72</v>
      </c>
      <c r="N104" s="28" t="s">
        <v>73</v>
      </c>
      <c r="O104" s="29" t="n">
        <v>16</v>
      </c>
      <c r="P104" s="30" t="n">
        <v>441</v>
      </c>
      <c r="Q104" s="30" t="n">
        <v>272.25</v>
      </c>
      <c r="R104" s="30" t="n">
        <f aca="false">ROUND(O104*P104,2)</f>
        <v>7056</v>
      </c>
      <c r="S104" s="30" t="n">
        <f aca="false">ROUND(O104*Q104,2)</f>
        <v>4356</v>
      </c>
      <c r="T104" s="30" t="n">
        <f aca="false">ROUND(R104*SUMIFS(Parametros!$E$23:$E$38,Parametros!$B$23:$B$38,J104,Parametros!$C$23:$C$38,C104,Parametros!$D$23:$D$38,D104),2)</f>
        <v>84.67</v>
      </c>
      <c r="U104" s="30" t="n">
        <f aca="false">R104-S104-T104</f>
        <v>2615.33</v>
      </c>
    </row>
    <row r="105" customFormat="false" ht="15" hidden="false" customHeight="false" outlineLevel="0" collapsed="false">
      <c r="A105" s="0" t="n">
        <v>104</v>
      </c>
      <c r="B105" s="27" t="n">
        <v>45349</v>
      </c>
      <c r="C105" s="0" t="n">
        <v>2024</v>
      </c>
      <c r="D105" s="28" t="s">
        <v>61</v>
      </c>
      <c r="E105" s="0" t="n">
        <v>2</v>
      </c>
      <c r="F105" s="28" t="s">
        <v>104</v>
      </c>
      <c r="G105" s="28" t="s">
        <v>105</v>
      </c>
      <c r="H105" s="28" t="s">
        <v>64</v>
      </c>
      <c r="I105" s="28" t="s">
        <v>65</v>
      </c>
      <c r="J105" s="28" t="s">
        <v>71</v>
      </c>
      <c r="K105" s="28" t="s">
        <v>67</v>
      </c>
      <c r="L105" s="28" t="s">
        <v>68</v>
      </c>
      <c r="M105" s="28" t="s">
        <v>72</v>
      </c>
      <c r="N105" s="28" t="s">
        <v>73</v>
      </c>
      <c r="O105" s="29" t="n">
        <v>8</v>
      </c>
      <c r="P105" s="30" t="n">
        <v>441</v>
      </c>
      <c r="Q105" s="30" t="n">
        <v>272.25</v>
      </c>
      <c r="R105" s="30" t="n">
        <f aca="false">ROUND(O105*P105,2)</f>
        <v>3528</v>
      </c>
      <c r="S105" s="30" t="n">
        <f aca="false">ROUND(O105*Q105,2)</f>
        <v>2178</v>
      </c>
      <c r="T105" s="30" t="n">
        <f aca="false">ROUND(R105*SUMIFS(Parametros!$E$23:$E$38,Parametros!$B$23:$B$38,J105,Parametros!$C$23:$C$38,C105,Parametros!$D$23:$D$38,D105),2)</f>
        <v>148.18</v>
      </c>
      <c r="U105" s="30" t="n">
        <f aca="false">R105-S105-T105</f>
        <v>1201.82</v>
      </c>
    </row>
    <row r="106" customFormat="false" ht="15" hidden="false" customHeight="false" outlineLevel="0" collapsed="false">
      <c r="A106" s="0" t="n">
        <v>105</v>
      </c>
      <c r="B106" s="27" t="n">
        <v>45329</v>
      </c>
      <c r="C106" s="0" t="n">
        <v>2024</v>
      </c>
      <c r="D106" s="28" t="s">
        <v>61</v>
      </c>
      <c r="E106" s="0" t="n">
        <v>2</v>
      </c>
      <c r="F106" s="28" t="s">
        <v>104</v>
      </c>
      <c r="G106" s="28" t="s">
        <v>105</v>
      </c>
      <c r="H106" s="28" t="s">
        <v>64</v>
      </c>
      <c r="I106" s="28" t="s">
        <v>65</v>
      </c>
      <c r="J106" s="28" t="s">
        <v>66</v>
      </c>
      <c r="K106" s="28" t="s">
        <v>67</v>
      </c>
      <c r="L106" s="28" t="s">
        <v>68</v>
      </c>
      <c r="M106" s="28" t="s">
        <v>74</v>
      </c>
      <c r="N106" s="28" t="s">
        <v>75</v>
      </c>
      <c r="O106" s="29" t="n">
        <v>14</v>
      </c>
      <c r="P106" s="30" t="n">
        <v>1617</v>
      </c>
      <c r="Q106" s="30" t="n">
        <v>1122</v>
      </c>
      <c r="R106" s="30" t="n">
        <f aca="false">ROUND(O106*P106,2)</f>
        <v>22638</v>
      </c>
      <c r="S106" s="30" t="n">
        <f aca="false">ROUND(O106*Q106,2)</f>
        <v>15708</v>
      </c>
      <c r="T106" s="30" t="n">
        <f aca="false">ROUND(R106*SUMIFS(Parametros!$E$23:$E$38,Parametros!$B$23:$B$38,J106,Parametros!$C$23:$C$38,C106,Parametros!$D$23:$D$38,D106),2)</f>
        <v>271.66</v>
      </c>
      <c r="U106" s="30" t="n">
        <f aca="false">R106-S106-T106</f>
        <v>6658.34</v>
      </c>
    </row>
    <row r="107" customFormat="false" ht="15" hidden="false" customHeight="false" outlineLevel="0" collapsed="false">
      <c r="A107" s="0" t="n">
        <v>106</v>
      </c>
      <c r="B107" s="27" t="n">
        <v>45336</v>
      </c>
      <c r="C107" s="0" t="n">
        <v>2024</v>
      </c>
      <c r="D107" s="28" t="s">
        <v>61</v>
      </c>
      <c r="E107" s="0" t="n">
        <v>2</v>
      </c>
      <c r="F107" s="28" t="s">
        <v>104</v>
      </c>
      <c r="G107" s="28" t="s">
        <v>105</v>
      </c>
      <c r="H107" s="28" t="s">
        <v>64</v>
      </c>
      <c r="I107" s="28" t="s">
        <v>65</v>
      </c>
      <c r="J107" s="28" t="s">
        <v>71</v>
      </c>
      <c r="K107" s="28" t="s">
        <v>67</v>
      </c>
      <c r="L107" s="28" t="s">
        <v>68</v>
      </c>
      <c r="M107" s="28" t="s">
        <v>74</v>
      </c>
      <c r="N107" s="28" t="s">
        <v>75</v>
      </c>
      <c r="O107" s="29" t="n">
        <v>6</v>
      </c>
      <c r="P107" s="30" t="n">
        <v>1617</v>
      </c>
      <c r="Q107" s="30" t="n">
        <v>1122</v>
      </c>
      <c r="R107" s="30" t="n">
        <f aca="false">ROUND(O107*P107,2)</f>
        <v>9702</v>
      </c>
      <c r="S107" s="30" t="n">
        <f aca="false">ROUND(O107*Q107,2)</f>
        <v>6732</v>
      </c>
      <c r="T107" s="30" t="n">
        <f aca="false">ROUND(R107*SUMIFS(Parametros!$E$23:$E$38,Parametros!$B$23:$B$38,J107,Parametros!$C$23:$C$38,C107,Parametros!$D$23:$D$38,D107),2)</f>
        <v>407.48</v>
      </c>
      <c r="U107" s="30" t="n">
        <f aca="false">R107-S107-T107</f>
        <v>2562.52</v>
      </c>
    </row>
    <row r="108" customFormat="false" ht="15" hidden="false" customHeight="false" outlineLevel="0" collapsed="false">
      <c r="A108" s="0" t="n">
        <v>107</v>
      </c>
      <c r="B108" s="27" t="n">
        <v>45343</v>
      </c>
      <c r="C108" s="0" t="n">
        <v>2024</v>
      </c>
      <c r="D108" s="28" t="s">
        <v>61</v>
      </c>
      <c r="E108" s="0" t="n">
        <v>2</v>
      </c>
      <c r="F108" s="28" t="s">
        <v>104</v>
      </c>
      <c r="G108" s="28" t="s">
        <v>105</v>
      </c>
      <c r="H108" s="28" t="s">
        <v>64</v>
      </c>
      <c r="I108" s="28" t="s">
        <v>65</v>
      </c>
      <c r="J108" s="28" t="s">
        <v>66</v>
      </c>
      <c r="K108" s="28" t="s">
        <v>76</v>
      </c>
      <c r="L108" s="28" t="s">
        <v>77</v>
      </c>
      <c r="M108" s="28" t="s">
        <v>78</v>
      </c>
      <c r="N108" s="28" t="s">
        <v>79</v>
      </c>
      <c r="O108" s="29" t="n">
        <v>83</v>
      </c>
      <c r="P108" s="30" t="n">
        <v>27.44</v>
      </c>
      <c r="Q108" s="30" t="n">
        <v>13.44</v>
      </c>
      <c r="R108" s="30" t="n">
        <f aca="false">ROUND(O108*P108,2)</f>
        <v>2277.52</v>
      </c>
      <c r="S108" s="30" t="n">
        <f aca="false">ROUND(O108*Q108,2)</f>
        <v>1115.52</v>
      </c>
      <c r="T108" s="30" t="n">
        <f aca="false">ROUND(R108*SUMIFS(Parametros!$E$23:$E$38,Parametros!$B$23:$B$38,J108,Parametros!$C$23:$C$38,C108,Parametros!$D$23:$D$38,D108),2)</f>
        <v>27.33</v>
      </c>
      <c r="U108" s="30" t="n">
        <f aca="false">R108-S108-T108</f>
        <v>1134.67</v>
      </c>
    </row>
    <row r="109" customFormat="false" ht="15" hidden="false" customHeight="false" outlineLevel="0" collapsed="false">
      <c r="A109" s="0" t="n">
        <v>108</v>
      </c>
      <c r="B109" s="27" t="n">
        <v>45323</v>
      </c>
      <c r="C109" s="0" t="n">
        <v>2024</v>
      </c>
      <c r="D109" s="28" t="s">
        <v>61</v>
      </c>
      <c r="E109" s="0" t="n">
        <v>2</v>
      </c>
      <c r="F109" s="28" t="s">
        <v>104</v>
      </c>
      <c r="G109" s="28" t="s">
        <v>105</v>
      </c>
      <c r="H109" s="28" t="s">
        <v>64</v>
      </c>
      <c r="I109" s="28" t="s">
        <v>65</v>
      </c>
      <c r="J109" s="28" t="s">
        <v>71</v>
      </c>
      <c r="K109" s="28" t="s">
        <v>76</v>
      </c>
      <c r="L109" s="28" t="s">
        <v>77</v>
      </c>
      <c r="M109" s="28" t="s">
        <v>78</v>
      </c>
      <c r="N109" s="28" t="s">
        <v>79</v>
      </c>
      <c r="O109" s="29" t="n">
        <v>35</v>
      </c>
      <c r="P109" s="30" t="n">
        <v>27.44</v>
      </c>
      <c r="Q109" s="30" t="n">
        <v>13.44</v>
      </c>
      <c r="R109" s="30" t="n">
        <f aca="false">ROUND(O109*P109,2)</f>
        <v>960.4</v>
      </c>
      <c r="S109" s="30" t="n">
        <f aca="false">ROUND(O109*Q109,2)</f>
        <v>470.4</v>
      </c>
      <c r="T109" s="30" t="n">
        <f aca="false">ROUND(R109*SUMIFS(Parametros!$E$23:$E$38,Parametros!$B$23:$B$38,J109,Parametros!$C$23:$C$38,C109,Parametros!$D$23:$D$38,D109),2)</f>
        <v>40.34</v>
      </c>
      <c r="U109" s="30" t="n">
        <f aca="false">R109-S109-T109</f>
        <v>449.66</v>
      </c>
    </row>
    <row r="110" customFormat="false" ht="15" hidden="false" customHeight="false" outlineLevel="0" collapsed="false">
      <c r="A110" s="0" t="n">
        <v>109</v>
      </c>
      <c r="B110" s="27" t="n">
        <v>45330</v>
      </c>
      <c r="C110" s="0" t="n">
        <v>2024</v>
      </c>
      <c r="D110" s="28" t="s">
        <v>61</v>
      </c>
      <c r="E110" s="0" t="n">
        <v>2</v>
      </c>
      <c r="F110" s="28" t="s">
        <v>104</v>
      </c>
      <c r="G110" s="28" t="s">
        <v>105</v>
      </c>
      <c r="H110" s="28" t="s">
        <v>64</v>
      </c>
      <c r="I110" s="28" t="s">
        <v>65</v>
      </c>
      <c r="J110" s="28" t="s">
        <v>66</v>
      </c>
      <c r="K110" s="28" t="s">
        <v>76</v>
      </c>
      <c r="L110" s="28" t="s">
        <v>77</v>
      </c>
      <c r="M110" s="28" t="s">
        <v>80</v>
      </c>
      <c r="N110" s="28" t="s">
        <v>81</v>
      </c>
      <c r="O110" s="29" t="n">
        <v>72</v>
      </c>
      <c r="P110" s="30" t="n">
        <v>93.1</v>
      </c>
      <c r="Q110" s="30" t="n">
        <v>47.98</v>
      </c>
      <c r="R110" s="30" t="n">
        <f aca="false">ROUND(O110*P110,2)</f>
        <v>6703.2</v>
      </c>
      <c r="S110" s="30" t="n">
        <f aca="false">ROUND(O110*Q110,2)</f>
        <v>3454.56</v>
      </c>
      <c r="T110" s="30" t="n">
        <f aca="false">ROUND(R110*SUMIFS(Parametros!$E$23:$E$38,Parametros!$B$23:$B$38,J110,Parametros!$C$23:$C$38,C110,Parametros!$D$23:$D$38,D110),2)</f>
        <v>80.44</v>
      </c>
      <c r="U110" s="30" t="n">
        <f aca="false">R110-S110-T110</f>
        <v>3168.2</v>
      </c>
    </row>
    <row r="111" customFormat="false" ht="15" hidden="false" customHeight="false" outlineLevel="0" collapsed="false">
      <c r="A111" s="0" t="n">
        <v>110</v>
      </c>
      <c r="B111" s="27" t="n">
        <v>45337</v>
      </c>
      <c r="C111" s="0" t="n">
        <v>2024</v>
      </c>
      <c r="D111" s="28" t="s">
        <v>61</v>
      </c>
      <c r="E111" s="0" t="n">
        <v>2</v>
      </c>
      <c r="F111" s="28" t="s">
        <v>104</v>
      </c>
      <c r="G111" s="28" t="s">
        <v>105</v>
      </c>
      <c r="H111" s="28" t="s">
        <v>64</v>
      </c>
      <c r="I111" s="28" t="s">
        <v>65</v>
      </c>
      <c r="J111" s="28" t="s">
        <v>71</v>
      </c>
      <c r="K111" s="28" t="s">
        <v>76</v>
      </c>
      <c r="L111" s="28" t="s">
        <v>77</v>
      </c>
      <c r="M111" s="28" t="s">
        <v>80</v>
      </c>
      <c r="N111" s="28" t="s">
        <v>81</v>
      </c>
      <c r="O111" s="29" t="n">
        <v>27</v>
      </c>
      <c r="P111" s="30" t="n">
        <v>93.1</v>
      </c>
      <c r="Q111" s="30" t="n">
        <v>47.98</v>
      </c>
      <c r="R111" s="30" t="n">
        <f aca="false">ROUND(O111*P111,2)</f>
        <v>2513.7</v>
      </c>
      <c r="S111" s="30" t="n">
        <f aca="false">ROUND(O111*Q111,2)</f>
        <v>1295.46</v>
      </c>
      <c r="T111" s="30" t="n">
        <f aca="false">ROUND(R111*SUMIFS(Parametros!$E$23:$E$38,Parametros!$B$23:$B$38,J111,Parametros!$C$23:$C$38,C111,Parametros!$D$23:$D$38,D111),2)</f>
        <v>105.58</v>
      </c>
      <c r="U111" s="30" t="n">
        <f aca="false">R111-S111-T111</f>
        <v>1112.66</v>
      </c>
    </row>
    <row r="112" customFormat="false" ht="15" hidden="false" customHeight="false" outlineLevel="0" collapsed="false">
      <c r="A112" s="0" t="n">
        <v>111</v>
      </c>
      <c r="B112" s="27" t="n">
        <v>45344</v>
      </c>
      <c r="C112" s="0" t="n">
        <v>2024</v>
      </c>
      <c r="D112" s="28" t="s">
        <v>61</v>
      </c>
      <c r="E112" s="0" t="n">
        <v>2</v>
      </c>
      <c r="F112" s="28" t="s">
        <v>104</v>
      </c>
      <c r="G112" s="28" t="s">
        <v>105</v>
      </c>
      <c r="H112" s="28" t="s">
        <v>64</v>
      </c>
      <c r="I112" s="28" t="s">
        <v>65</v>
      </c>
      <c r="J112" s="28" t="s">
        <v>66</v>
      </c>
      <c r="K112" s="28" t="s">
        <v>76</v>
      </c>
      <c r="L112" s="28" t="s">
        <v>77</v>
      </c>
      <c r="M112" s="28" t="s">
        <v>82</v>
      </c>
      <c r="N112" s="28" t="s">
        <v>83</v>
      </c>
      <c r="O112" s="29" t="n">
        <v>72</v>
      </c>
      <c r="P112" s="30" t="n">
        <v>63.7</v>
      </c>
      <c r="Q112" s="30" t="n">
        <v>35.43</v>
      </c>
      <c r="R112" s="30" t="n">
        <f aca="false">ROUND(O112*P112,2)</f>
        <v>4586.4</v>
      </c>
      <c r="S112" s="30" t="n">
        <f aca="false">ROUND(O112*Q112,2)</f>
        <v>2550.96</v>
      </c>
      <c r="T112" s="30" t="n">
        <f aca="false">ROUND(R112*SUMIFS(Parametros!$E$23:$E$38,Parametros!$B$23:$B$38,J112,Parametros!$C$23:$C$38,C112,Parametros!$D$23:$D$38,D112),2)</f>
        <v>55.04</v>
      </c>
      <c r="U112" s="30" t="n">
        <f aca="false">R112-S112-T112</f>
        <v>1980.4</v>
      </c>
    </row>
    <row r="113" customFormat="false" ht="15" hidden="false" customHeight="false" outlineLevel="0" collapsed="false">
      <c r="A113" s="0" t="n">
        <v>112</v>
      </c>
      <c r="B113" s="27" t="n">
        <v>45324</v>
      </c>
      <c r="C113" s="0" t="n">
        <v>2024</v>
      </c>
      <c r="D113" s="28" t="s">
        <v>61</v>
      </c>
      <c r="E113" s="0" t="n">
        <v>2</v>
      </c>
      <c r="F113" s="28" t="s">
        <v>104</v>
      </c>
      <c r="G113" s="28" t="s">
        <v>105</v>
      </c>
      <c r="H113" s="28" t="s">
        <v>64</v>
      </c>
      <c r="I113" s="28" t="s">
        <v>65</v>
      </c>
      <c r="J113" s="28" t="s">
        <v>71</v>
      </c>
      <c r="K113" s="28" t="s">
        <v>76</v>
      </c>
      <c r="L113" s="28" t="s">
        <v>77</v>
      </c>
      <c r="M113" s="28" t="s">
        <v>82</v>
      </c>
      <c r="N113" s="28" t="s">
        <v>83</v>
      </c>
      <c r="O113" s="29" t="n">
        <v>27</v>
      </c>
      <c r="P113" s="30" t="n">
        <v>63.7</v>
      </c>
      <c r="Q113" s="30" t="n">
        <v>35.43</v>
      </c>
      <c r="R113" s="30" t="n">
        <f aca="false">ROUND(O113*P113,2)</f>
        <v>1719.9</v>
      </c>
      <c r="S113" s="30" t="n">
        <f aca="false">ROUND(O113*Q113,2)</f>
        <v>956.61</v>
      </c>
      <c r="T113" s="30" t="n">
        <f aca="false">ROUND(R113*SUMIFS(Parametros!$E$23:$E$38,Parametros!$B$23:$B$38,J113,Parametros!$C$23:$C$38,C113,Parametros!$D$23:$D$38,D113),2)</f>
        <v>72.24</v>
      </c>
      <c r="U113" s="30" t="n">
        <f aca="false">R113-S113-T113</f>
        <v>691.05</v>
      </c>
    </row>
    <row r="114" customFormat="false" ht="15" hidden="false" customHeight="false" outlineLevel="0" collapsed="false">
      <c r="A114" s="0" t="n">
        <v>113</v>
      </c>
      <c r="B114" s="27" t="n">
        <v>45331</v>
      </c>
      <c r="C114" s="0" t="n">
        <v>2024</v>
      </c>
      <c r="D114" s="28" t="s">
        <v>61</v>
      </c>
      <c r="E114" s="0" t="n">
        <v>2</v>
      </c>
      <c r="F114" s="28" t="s">
        <v>104</v>
      </c>
      <c r="G114" s="28" t="s">
        <v>105</v>
      </c>
      <c r="H114" s="28" t="s">
        <v>64</v>
      </c>
      <c r="I114" s="28" t="s">
        <v>65</v>
      </c>
      <c r="J114" s="28" t="s">
        <v>66</v>
      </c>
      <c r="K114" s="28" t="s">
        <v>84</v>
      </c>
      <c r="L114" s="28" t="s">
        <v>85</v>
      </c>
      <c r="M114" s="28" t="s">
        <v>86</v>
      </c>
      <c r="N114" s="28" t="s">
        <v>87</v>
      </c>
      <c r="O114" s="29" t="n">
        <v>40</v>
      </c>
      <c r="P114" s="30" t="n">
        <v>117.6</v>
      </c>
      <c r="Q114" s="30" t="n">
        <v>63.6</v>
      </c>
      <c r="R114" s="30" t="n">
        <f aca="false">ROUND(O114*P114,2)</f>
        <v>4704</v>
      </c>
      <c r="S114" s="30" t="n">
        <f aca="false">ROUND(O114*Q114,2)</f>
        <v>2544</v>
      </c>
      <c r="T114" s="30" t="n">
        <f aca="false">ROUND(R114*SUMIFS(Parametros!$E$23:$E$38,Parametros!$B$23:$B$38,J114,Parametros!$C$23:$C$38,C114,Parametros!$D$23:$D$38,D114),2)</f>
        <v>56.45</v>
      </c>
      <c r="U114" s="30" t="n">
        <f aca="false">R114-S114-T114</f>
        <v>2103.55</v>
      </c>
    </row>
    <row r="115" customFormat="false" ht="15" hidden="false" customHeight="false" outlineLevel="0" collapsed="false">
      <c r="A115" s="0" t="n">
        <v>114</v>
      </c>
      <c r="B115" s="27" t="n">
        <v>45338</v>
      </c>
      <c r="C115" s="0" t="n">
        <v>2024</v>
      </c>
      <c r="D115" s="28" t="s">
        <v>61</v>
      </c>
      <c r="E115" s="0" t="n">
        <v>2</v>
      </c>
      <c r="F115" s="28" t="s">
        <v>104</v>
      </c>
      <c r="G115" s="28" t="s">
        <v>105</v>
      </c>
      <c r="H115" s="28" t="s">
        <v>64</v>
      </c>
      <c r="I115" s="28" t="s">
        <v>65</v>
      </c>
      <c r="J115" s="28" t="s">
        <v>71</v>
      </c>
      <c r="K115" s="28" t="s">
        <v>84</v>
      </c>
      <c r="L115" s="28" t="s">
        <v>85</v>
      </c>
      <c r="M115" s="28" t="s">
        <v>86</v>
      </c>
      <c r="N115" s="28" t="s">
        <v>87</v>
      </c>
      <c r="O115" s="29" t="n">
        <v>12</v>
      </c>
      <c r="P115" s="30" t="n">
        <v>117.6</v>
      </c>
      <c r="Q115" s="30" t="n">
        <v>63.6</v>
      </c>
      <c r="R115" s="30" t="n">
        <f aca="false">ROUND(O115*P115,2)</f>
        <v>1411.2</v>
      </c>
      <c r="S115" s="30" t="n">
        <f aca="false">ROUND(O115*Q115,2)</f>
        <v>763.2</v>
      </c>
      <c r="T115" s="30" t="n">
        <f aca="false">ROUND(R115*SUMIFS(Parametros!$E$23:$E$38,Parametros!$B$23:$B$38,J115,Parametros!$C$23:$C$38,C115,Parametros!$D$23:$D$38,D115),2)</f>
        <v>59.27</v>
      </c>
      <c r="U115" s="30" t="n">
        <f aca="false">R115-S115-T115</f>
        <v>588.73</v>
      </c>
    </row>
    <row r="116" customFormat="false" ht="15" hidden="false" customHeight="false" outlineLevel="0" collapsed="false">
      <c r="A116" s="0" t="n">
        <v>115</v>
      </c>
      <c r="B116" s="27" t="n">
        <v>45345</v>
      </c>
      <c r="C116" s="0" t="n">
        <v>2024</v>
      </c>
      <c r="D116" s="28" t="s">
        <v>61</v>
      </c>
      <c r="E116" s="0" t="n">
        <v>2</v>
      </c>
      <c r="F116" s="28" t="s">
        <v>104</v>
      </c>
      <c r="G116" s="28" t="s">
        <v>105</v>
      </c>
      <c r="H116" s="28" t="s">
        <v>64</v>
      </c>
      <c r="I116" s="28" t="s">
        <v>65</v>
      </c>
      <c r="J116" s="28" t="s">
        <v>66</v>
      </c>
      <c r="K116" s="28" t="s">
        <v>84</v>
      </c>
      <c r="L116" s="28" t="s">
        <v>85</v>
      </c>
      <c r="M116" s="28" t="s">
        <v>88</v>
      </c>
      <c r="N116" s="28" t="s">
        <v>89</v>
      </c>
      <c r="O116" s="29" t="n">
        <v>38</v>
      </c>
      <c r="P116" s="30" t="n">
        <v>83.3</v>
      </c>
      <c r="Q116" s="30" t="n">
        <v>48.02</v>
      </c>
      <c r="R116" s="30" t="n">
        <f aca="false">ROUND(O116*P116,2)</f>
        <v>3165.4</v>
      </c>
      <c r="S116" s="30" t="n">
        <f aca="false">ROUND(O116*Q116,2)</f>
        <v>1824.76</v>
      </c>
      <c r="T116" s="30" t="n">
        <f aca="false">ROUND(R116*SUMIFS(Parametros!$E$23:$E$38,Parametros!$B$23:$B$38,J116,Parametros!$C$23:$C$38,C116,Parametros!$D$23:$D$38,D116),2)</f>
        <v>37.98</v>
      </c>
      <c r="U116" s="30" t="n">
        <f aca="false">R116-S116-T116</f>
        <v>1302.66</v>
      </c>
    </row>
    <row r="117" customFormat="false" ht="15" hidden="false" customHeight="false" outlineLevel="0" collapsed="false">
      <c r="A117" s="0" t="n">
        <v>116</v>
      </c>
      <c r="B117" s="27" t="n">
        <v>45325</v>
      </c>
      <c r="C117" s="0" t="n">
        <v>2024</v>
      </c>
      <c r="D117" s="28" t="s">
        <v>61</v>
      </c>
      <c r="E117" s="0" t="n">
        <v>2</v>
      </c>
      <c r="F117" s="28" t="s">
        <v>104</v>
      </c>
      <c r="G117" s="28" t="s">
        <v>105</v>
      </c>
      <c r="H117" s="28" t="s">
        <v>64</v>
      </c>
      <c r="I117" s="28" t="s">
        <v>65</v>
      </c>
      <c r="J117" s="28" t="s">
        <v>71</v>
      </c>
      <c r="K117" s="28" t="s">
        <v>84</v>
      </c>
      <c r="L117" s="28" t="s">
        <v>85</v>
      </c>
      <c r="M117" s="28" t="s">
        <v>88</v>
      </c>
      <c r="N117" s="28" t="s">
        <v>89</v>
      </c>
      <c r="O117" s="29" t="n">
        <v>15</v>
      </c>
      <c r="P117" s="30" t="n">
        <v>83.3</v>
      </c>
      <c r="Q117" s="30" t="n">
        <v>48.02</v>
      </c>
      <c r="R117" s="30" t="n">
        <f aca="false">ROUND(O117*P117,2)</f>
        <v>1249.5</v>
      </c>
      <c r="S117" s="30" t="n">
        <f aca="false">ROUND(O117*Q117,2)</f>
        <v>720.3</v>
      </c>
      <c r="T117" s="30" t="n">
        <f aca="false">ROUND(R117*SUMIFS(Parametros!$E$23:$E$38,Parametros!$B$23:$B$38,J117,Parametros!$C$23:$C$38,C117,Parametros!$D$23:$D$38,D117),2)</f>
        <v>52.48</v>
      </c>
      <c r="U117" s="30" t="n">
        <f aca="false">R117-S117-T117</f>
        <v>476.72</v>
      </c>
    </row>
    <row r="118" customFormat="false" ht="15" hidden="false" customHeight="false" outlineLevel="0" collapsed="false">
      <c r="A118" s="0" t="n">
        <v>117</v>
      </c>
      <c r="B118" s="27" t="n">
        <v>45332</v>
      </c>
      <c r="C118" s="0" t="n">
        <v>2024</v>
      </c>
      <c r="D118" s="28" t="s">
        <v>61</v>
      </c>
      <c r="E118" s="0" t="n">
        <v>2</v>
      </c>
      <c r="F118" s="28" t="s">
        <v>104</v>
      </c>
      <c r="G118" s="28" t="s">
        <v>105</v>
      </c>
      <c r="H118" s="28" t="s">
        <v>64</v>
      </c>
      <c r="I118" s="28" t="s">
        <v>65</v>
      </c>
      <c r="J118" s="28" t="s">
        <v>66</v>
      </c>
      <c r="K118" s="28" t="s">
        <v>90</v>
      </c>
      <c r="L118" s="28" t="s">
        <v>91</v>
      </c>
      <c r="M118" s="28" t="s">
        <v>92</v>
      </c>
      <c r="N118" s="28" t="s">
        <v>93</v>
      </c>
      <c r="O118" s="29" t="n">
        <v>47</v>
      </c>
      <c r="P118" s="30" t="n">
        <v>127.4</v>
      </c>
      <c r="Q118" s="30" t="n">
        <v>76.05</v>
      </c>
      <c r="R118" s="30" t="n">
        <f aca="false">ROUND(O118*P118,2)</f>
        <v>5987.8</v>
      </c>
      <c r="S118" s="30" t="n">
        <f aca="false">ROUND(O118*Q118,2)</f>
        <v>3574.35</v>
      </c>
      <c r="T118" s="30" t="n">
        <f aca="false">ROUND(R118*SUMIFS(Parametros!$E$23:$E$38,Parametros!$B$23:$B$38,J118,Parametros!$C$23:$C$38,C118,Parametros!$D$23:$D$38,D118),2)</f>
        <v>71.85</v>
      </c>
      <c r="U118" s="30" t="n">
        <f aca="false">R118-S118-T118</f>
        <v>2341.6</v>
      </c>
    </row>
    <row r="119" customFormat="false" ht="15" hidden="false" customHeight="false" outlineLevel="0" collapsed="false">
      <c r="A119" s="0" t="n">
        <v>118</v>
      </c>
      <c r="B119" s="27" t="n">
        <v>45339</v>
      </c>
      <c r="C119" s="0" t="n">
        <v>2024</v>
      </c>
      <c r="D119" s="28" t="s">
        <v>61</v>
      </c>
      <c r="E119" s="0" t="n">
        <v>2</v>
      </c>
      <c r="F119" s="28" t="s">
        <v>104</v>
      </c>
      <c r="G119" s="28" t="s">
        <v>105</v>
      </c>
      <c r="H119" s="28" t="s">
        <v>64</v>
      </c>
      <c r="I119" s="28" t="s">
        <v>65</v>
      </c>
      <c r="J119" s="28" t="s">
        <v>71</v>
      </c>
      <c r="K119" s="28" t="s">
        <v>90</v>
      </c>
      <c r="L119" s="28" t="s">
        <v>91</v>
      </c>
      <c r="M119" s="28" t="s">
        <v>92</v>
      </c>
      <c r="N119" s="28" t="s">
        <v>93</v>
      </c>
      <c r="O119" s="29" t="n">
        <v>19</v>
      </c>
      <c r="P119" s="30" t="n">
        <v>127.4</v>
      </c>
      <c r="Q119" s="30" t="n">
        <v>76.05</v>
      </c>
      <c r="R119" s="30" t="n">
        <f aca="false">ROUND(O119*P119,2)</f>
        <v>2420.6</v>
      </c>
      <c r="S119" s="30" t="n">
        <f aca="false">ROUND(O119*Q119,2)</f>
        <v>1444.95</v>
      </c>
      <c r="T119" s="30" t="n">
        <f aca="false">ROUND(R119*SUMIFS(Parametros!$E$23:$E$38,Parametros!$B$23:$B$38,J119,Parametros!$C$23:$C$38,C119,Parametros!$D$23:$D$38,D119),2)</f>
        <v>101.67</v>
      </c>
      <c r="U119" s="30" t="n">
        <f aca="false">R119-S119-T119</f>
        <v>873.98</v>
      </c>
    </row>
    <row r="120" customFormat="false" ht="15" hidden="false" customHeight="false" outlineLevel="0" collapsed="false">
      <c r="A120" s="0" t="n">
        <v>119</v>
      </c>
      <c r="B120" s="27" t="n">
        <v>45346</v>
      </c>
      <c r="C120" s="0" t="n">
        <v>2024</v>
      </c>
      <c r="D120" s="28" t="s">
        <v>61</v>
      </c>
      <c r="E120" s="0" t="n">
        <v>2</v>
      </c>
      <c r="F120" s="28" t="s">
        <v>104</v>
      </c>
      <c r="G120" s="28" t="s">
        <v>105</v>
      </c>
      <c r="H120" s="28" t="s">
        <v>64</v>
      </c>
      <c r="I120" s="28" t="s">
        <v>65</v>
      </c>
      <c r="J120" s="28" t="s">
        <v>66</v>
      </c>
      <c r="K120" s="28" t="s">
        <v>90</v>
      </c>
      <c r="L120" s="28" t="s">
        <v>91</v>
      </c>
      <c r="M120" s="28" t="s">
        <v>94</v>
      </c>
      <c r="N120" s="28" t="s">
        <v>95</v>
      </c>
      <c r="O120" s="29" t="n">
        <v>52</v>
      </c>
      <c r="P120" s="30" t="n">
        <v>34.3</v>
      </c>
      <c r="Q120" s="30" t="n">
        <v>17.85</v>
      </c>
      <c r="R120" s="30" t="n">
        <f aca="false">ROUND(O120*P120,2)</f>
        <v>1783.6</v>
      </c>
      <c r="S120" s="30" t="n">
        <f aca="false">ROUND(O120*Q120,2)</f>
        <v>928.2</v>
      </c>
      <c r="T120" s="30" t="n">
        <f aca="false">ROUND(R120*SUMIFS(Parametros!$E$23:$E$38,Parametros!$B$23:$B$38,J120,Parametros!$C$23:$C$38,C120,Parametros!$D$23:$D$38,D120),2)</f>
        <v>21.4</v>
      </c>
      <c r="U120" s="30" t="n">
        <f aca="false">R120-S120-T120</f>
        <v>834</v>
      </c>
    </row>
    <row r="121" customFormat="false" ht="15" hidden="false" customHeight="false" outlineLevel="0" collapsed="false">
      <c r="A121" s="0" t="n">
        <v>120</v>
      </c>
      <c r="B121" s="27" t="n">
        <v>45326</v>
      </c>
      <c r="C121" s="0" t="n">
        <v>2024</v>
      </c>
      <c r="D121" s="28" t="s">
        <v>61</v>
      </c>
      <c r="E121" s="0" t="n">
        <v>2</v>
      </c>
      <c r="F121" s="28" t="s">
        <v>104</v>
      </c>
      <c r="G121" s="28" t="s">
        <v>105</v>
      </c>
      <c r="H121" s="28" t="s">
        <v>64</v>
      </c>
      <c r="I121" s="28" t="s">
        <v>65</v>
      </c>
      <c r="J121" s="28" t="s">
        <v>71</v>
      </c>
      <c r="K121" s="28" t="s">
        <v>90</v>
      </c>
      <c r="L121" s="28" t="s">
        <v>91</v>
      </c>
      <c r="M121" s="28" t="s">
        <v>94</v>
      </c>
      <c r="N121" s="28" t="s">
        <v>95</v>
      </c>
      <c r="O121" s="29" t="n">
        <v>20</v>
      </c>
      <c r="P121" s="30" t="n">
        <v>34.3</v>
      </c>
      <c r="Q121" s="30" t="n">
        <v>17.85</v>
      </c>
      <c r="R121" s="30" t="n">
        <f aca="false">ROUND(O121*P121,2)</f>
        <v>686</v>
      </c>
      <c r="S121" s="30" t="n">
        <f aca="false">ROUND(O121*Q121,2)</f>
        <v>357</v>
      </c>
      <c r="T121" s="30" t="n">
        <f aca="false">ROUND(R121*SUMIFS(Parametros!$E$23:$E$38,Parametros!$B$23:$B$38,J121,Parametros!$C$23:$C$38,C121,Parametros!$D$23:$D$38,D121),2)</f>
        <v>28.81</v>
      </c>
      <c r="U121" s="30" t="n">
        <f aca="false">R121-S121-T121</f>
        <v>300.19</v>
      </c>
    </row>
    <row r="122" customFormat="false" ht="15" hidden="false" customHeight="false" outlineLevel="0" collapsed="false">
      <c r="A122" s="0" t="n">
        <v>121</v>
      </c>
      <c r="B122" s="27" t="n">
        <v>45333</v>
      </c>
      <c r="C122" s="0" t="n">
        <v>2024</v>
      </c>
      <c r="D122" s="28" t="s">
        <v>61</v>
      </c>
      <c r="E122" s="0" t="n">
        <v>2</v>
      </c>
      <c r="F122" s="28" t="s">
        <v>104</v>
      </c>
      <c r="G122" s="28" t="s">
        <v>105</v>
      </c>
      <c r="H122" s="28" t="s">
        <v>96</v>
      </c>
      <c r="I122" s="28" t="s">
        <v>97</v>
      </c>
      <c r="J122" s="28" t="s">
        <v>66</v>
      </c>
      <c r="K122" s="28" t="s">
        <v>67</v>
      </c>
      <c r="L122" s="28" t="s">
        <v>68</v>
      </c>
      <c r="M122" s="28" t="s">
        <v>69</v>
      </c>
      <c r="N122" s="28" t="s">
        <v>70</v>
      </c>
      <c r="O122" s="29" t="n">
        <v>10</v>
      </c>
      <c r="P122" s="30" t="n">
        <v>1176</v>
      </c>
      <c r="Q122" s="30" t="n">
        <v>744</v>
      </c>
      <c r="R122" s="30" t="n">
        <f aca="false">ROUND(O122*P122,2)</f>
        <v>11760</v>
      </c>
      <c r="S122" s="30" t="n">
        <f aca="false">ROUND(O122*Q122,2)</f>
        <v>7440</v>
      </c>
      <c r="T122" s="30" t="n">
        <f aca="false">ROUND(R122*SUMIFS(Parametros!$E$23:$E$38,Parametros!$B$23:$B$38,J122,Parametros!$C$23:$C$38,C122,Parametros!$D$23:$D$38,D122),2)</f>
        <v>141.12</v>
      </c>
      <c r="U122" s="30" t="n">
        <f aca="false">R122-S122-T122</f>
        <v>4178.88</v>
      </c>
    </row>
    <row r="123" customFormat="false" ht="15" hidden="false" customHeight="false" outlineLevel="0" collapsed="false">
      <c r="A123" s="0" t="n">
        <v>122</v>
      </c>
      <c r="B123" s="27" t="n">
        <v>45340</v>
      </c>
      <c r="C123" s="0" t="n">
        <v>2024</v>
      </c>
      <c r="D123" s="28" t="s">
        <v>61</v>
      </c>
      <c r="E123" s="0" t="n">
        <v>2</v>
      </c>
      <c r="F123" s="28" t="s">
        <v>104</v>
      </c>
      <c r="G123" s="28" t="s">
        <v>105</v>
      </c>
      <c r="H123" s="28" t="s">
        <v>96</v>
      </c>
      <c r="I123" s="28" t="s">
        <v>97</v>
      </c>
      <c r="J123" s="28" t="s">
        <v>71</v>
      </c>
      <c r="K123" s="28" t="s">
        <v>67</v>
      </c>
      <c r="L123" s="28" t="s">
        <v>68</v>
      </c>
      <c r="M123" s="28" t="s">
        <v>69</v>
      </c>
      <c r="N123" s="28" t="s">
        <v>70</v>
      </c>
      <c r="O123" s="29" t="n">
        <v>3</v>
      </c>
      <c r="P123" s="30" t="n">
        <v>1176</v>
      </c>
      <c r="Q123" s="30" t="n">
        <v>744</v>
      </c>
      <c r="R123" s="30" t="n">
        <f aca="false">ROUND(O123*P123,2)</f>
        <v>3528</v>
      </c>
      <c r="S123" s="30" t="n">
        <f aca="false">ROUND(O123*Q123,2)</f>
        <v>2232</v>
      </c>
      <c r="T123" s="30" t="n">
        <f aca="false">ROUND(R123*SUMIFS(Parametros!$E$23:$E$38,Parametros!$B$23:$B$38,J123,Parametros!$C$23:$C$38,C123,Parametros!$D$23:$D$38,D123),2)</f>
        <v>148.18</v>
      </c>
      <c r="U123" s="30" t="n">
        <f aca="false">R123-S123-T123</f>
        <v>1147.82</v>
      </c>
    </row>
    <row r="124" customFormat="false" ht="15" hidden="false" customHeight="false" outlineLevel="0" collapsed="false">
      <c r="A124" s="0" t="n">
        <v>123</v>
      </c>
      <c r="B124" s="27" t="n">
        <v>45347</v>
      </c>
      <c r="C124" s="0" t="n">
        <v>2024</v>
      </c>
      <c r="D124" s="28" t="s">
        <v>61</v>
      </c>
      <c r="E124" s="0" t="n">
        <v>2</v>
      </c>
      <c r="F124" s="28" t="s">
        <v>104</v>
      </c>
      <c r="G124" s="28" t="s">
        <v>105</v>
      </c>
      <c r="H124" s="28" t="s">
        <v>96</v>
      </c>
      <c r="I124" s="28" t="s">
        <v>97</v>
      </c>
      <c r="J124" s="28" t="s">
        <v>66</v>
      </c>
      <c r="K124" s="28" t="s">
        <v>67</v>
      </c>
      <c r="L124" s="28" t="s">
        <v>68</v>
      </c>
      <c r="M124" s="28" t="s">
        <v>72</v>
      </c>
      <c r="N124" s="28" t="s">
        <v>73</v>
      </c>
      <c r="O124" s="29" t="n">
        <v>9</v>
      </c>
      <c r="P124" s="30" t="n">
        <v>441</v>
      </c>
      <c r="Q124" s="30" t="n">
        <v>272.25</v>
      </c>
      <c r="R124" s="30" t="n">
        <f aca="false">ROUND(O124*P124,2)</f>
        <v>3969</v>
      </c>
      <c r="S124" s="30" t="n">
        <f aca="false">ROUND(O124*Q124,2)</f>
        <v>2450.25</v>
      </c>
      <c r="T124" s="30" t="n">
        <f aca="false">ROUND(R124*SUMIFS(Parametros!$E$23:$E$38,Parametros!$B$23:$B$38,J124,Parametros!$C$23:$C$38,C124,Parametros!$D$23:$D$38,D124),2)</f>
        <v>47.63</v>
      </c>
      <c r="U124" s="30" t="n">
        <f aca="false">R124-S124-T124</f>
        <v>1471.12</v>
      </c>
    </row>
    <row r="125" customFormat="false" ht="15" hidden="false" customHeight="false" outlineLevel="0" collapsed="false">
      <c r="A125" s="0" t="n">
        <v>124</v>
      </c>
      <c r="B125" s="27" t="n">
        <v>45327</v>
      </c>
      <c r="C125" s="0" t="n">
        <v>2024</v>
      </c>
      <c r="D125" s="28" t="s">
        <v>61</v>
      </c>
      <c r="E125" s="0" t="n">
        <v>2</v>
      </c>
      <c r="F125" s="28" t="s">
        <v>104</v>
      </c>
      <c r="G125" s="28" t="s">
        <v>105</v>
      </c>
      <c r="H125" s="28" t="s">
        <v>96</v>
      </c>
      <c r="I125" s="28" t="s">
        <v>97</v>
      </c>
      <c r="J125" s="28" t="s">
        <v>71</v>
      </c>
      <c r="K125" s="28" t="s">
        <v>67</v>
      </c>
      <c r="L125" s="28" t="s">
        <v>68</v>
      </c>
      <c r="M125" s="28" t="s">
        <v>72</v>
      </c>
      <c r="N125" s="28" t="s">
        <v>73</v>
      </c>
      <c r="O125" s="29" t="n">
        <v>3</v>
      </c>
      <c r="P125" s="30" t="n">
        <v>441</v>
      </c>
      <c r="Q125" s="30" t="n">
        <v>272.25</v>
      </c>
      <c r="R125" s="30" t="n">
        <f aca="false">ROUND(O125*P125,2)</f>
        <v>1323</v>
      </c>
      <c r="S125" s="30" t="n">
        <f aca="false">ROUND(O125*Q125,2)</f>
        <v>816.75</v>
      </c>
      <c r="T125" s="30" t="n">
        <f aca="false">ROUND(R125*SUMIFS(Parametros!$E$23:$E$38,Parametros!$B$23:$B$38,J125,Parametros!$C$23:$C$38,C125,Parametros!$D$23:$D$38,D125),2)</f>
        <v>55.57</v>
      </c>
      <c r="U125" s="30" t="n">
        <f aca="false">R125-S125-T125</f>
        <v>450.68</v>
      </c>
    </row>
    <row r="126" customFormat="false" ht="15" hidden="false" customHeight="false" outlineLevel="0" collapsed="false">
      <c r="A126" s="0" t="n">
        <v>125</v>
      </c>
      <c r="B126" s="27" t="n">
        <v>45334</v>
      </c>
      <c r="C126" s="0" t="n">
        <v>2024</v>
      </c>
      <c r="D126" s="28" t="s">
        <v>61</v>
      </c>
      <c r="E126" s="0" t="n">
        <v>2</v>
      </c>
      <c r="F126" s="28" t="s">
        <v>104</v>
      </c>
      <c r="G126" s="28" t="s">
        <v>105</v>
      </c>
      <c r="H126" s="28" t="s">
        <v>96</v>
      </c>
      <c r="I126" s="28" t="s">
        <v>97</v>
      </c>
      <c r="J126" s="28" t="s">
        <v>66</v>
      </c>
      <c r="K126" s="28" t="s">
        <v>67</v>
      </c>
      <c r="L126" s="28" t="s">
        <v>68</v>
      </c>
      <c r="M126" s="28" t="s">
        <v>74</v>
      </c>
      <c r="N126" s="28" t="s">
        <v>75</v>
      </c>
      <c r="O126" s="29" t="n">
        <v>10</v>
      </c>
      <c r="P126" s="30" t="n">
        <v>1617</v>
      </c>
      <c r="Q126" s="30" t="n">
        <v>1122</v>
      </c>
      <c r="R126" s="30" t="n">
        <f aca="false">ROUND(O126*P126,2)</f>
        <v>16170</v>
      </c>
      <c r="S126" s="30" t="n">
        <f aca="false">ROUND(O126*Q126,2)</f>
        <v>11220</v>
      </c>
      <c r="T126" s="30" t="n">
        <f aca="false">ROUND(R126*SUMIFS(Parametros!$E$23:$E$38,Parametros!$B$23:$B$38,J126,Parametros!$C$23:$C$38,C126,Parametros!$D$23:$D$38,D126),2)</f>
        <v>194.04</v>
      </c>
      <c r="U126" s="30" t="n">
        <f aca="false">R126-S126-T126</f>
        <v>4755.96</v>
      </c>
    </row>
    <row r="127" customFormat="false" ht="15" hidden="false" customHeight="false" outlineLevel="0" collapsed="false">
      <c r="A127" s="0" t="n">
        <v>126</v>
      </c>
      <c r="B127" s="27" t="n">
        <v>45341</v>
      </c>
      <c r="C127" s="0" t="n">
        <v>2024</v>
      </c>
      <c r="D127" s="28" t="s">
        <v>61</v>
      </c>
      <c r="E127" s="0" t="n">
        <v>2</v>
      </c>
      <c r="F127" s="28" t="s">
        <v>104</v>
      </c>
      <c r="G127" s="28" t="s">
        <v>105</v>
      </c>
      <c r="H127" s="28" t="s">
        <v>96</v>
      </c>
      <c r="I127" s="28" t="s">
        <v>97</v>
      </c>
      <c r="J127" s="28" t="s">
        <v>71</v>
      </c>
      <c r="K127" s="28" t="s">
        <v>67</v>
      </c>
      <c r="L127" s="28" t="s">
        <v>68</v>
      </c>
      <c r="M127" s="28" t="s">
        <v>74</v>
      </c>
      <c r="N127" s="28" t="s">
        <v>75</v>
      </c>
      <c r="O127" s="29" t="n">
        <v>4</v>
      </c>
      <c r="P127" s="30" t="n">
        <v>1617</v>
      </c>
      <c r="Q127" s="30" t="n">
        <v>1122</v>
      </c>
      <c r="R127" s="30" t="n">
        <f aca="false">ROUND(O127*P127,2)</f>
        <v>6468</v>
      </c>
      <c r="S127" s="30" t="n">
        <f aca="false">ROUND(O127*Q127,2)</f>
        <v>4488</v>
      </c>
      <c r="T127" s="30" t="n">
        <f aca="false">ROUND(R127*SUMIFS(Parametros!$E$23:$E$38,Parametros!$B$23:$B$38,J127,Parametros!$C$23:$C$38,C127,Parametros!$D$23:$D$38,D127),2)</f>
        <v>271.66</v>
      </c>
      <c r="U127" s="30" t="n">
        <f aca="false">R127-S127-T127</f>
        <v>1708.34</v>
      </c>
    </row>
    <row r="128" customFormat="false" ht="15" hidden="false" customHeight="false" outlineLevel="0" collapsed="false">
      <c r="A128" s="0" t="n">
        <v>127</v>
      </c>
      <c r="B128" s="27" t="n">
        <v>45348</v>
      </c>
      <c r="C128" s="0" t="n">
        <v>2024</v>
      </c>
      <c r="D128" s="28" t="s">
        <v>61</v>
      </c>
      <c r="E128" s="0" t="n">
        <v>2</v>
      </c>
      <c r="F128" s="28" t="s">
        <v>104</v>
      </c>
      <c r="G128" s="28" t="s">
        <v>105</v>
      </c>
      <c r="H128" s="28" t="s">
        <v>96</v>
      </c>
      <c r="I128" s="28" t="s">
        <v>97</v>
      </c>
      <c r="J128" s="28" t="s">
        <v>66</v>
      </c>
      <c r="K128" s="28" t="s">
        <v>76</v>
      </c>
      <c r="L128" s="28" t="s">
        <v>77</v>
      </c>
      <c r="M128" s="28" t="s">
        <v>78</v>
      </c>
      <c r="N128" s="28" t="s">
        <v>79</v>
      </c>
      <c r="O128" s="29" t="n">
        <v>44</v>
      </c>
      <c r="P128" s="30" t="n">
        <v>27.44</v>
      </c>
      <c r="Q128" s="30" t="n">
        <v>13.44</v>
      </c>
      <c r="R128" s="30" t="n">
        <f aca="false">ROUND(O128*P128,2)</f>
        <v>1207.36</v>
      </c>
      <c r="S128" s="30" t="n">
        <f aca="false">ROUND(O128*Q128,2)</f>
        <v>591.36</v>
      </c>
      <c r="T128" s="30" t="n">
        <f aca="false">ROUND(R128*SUMIFS(Parametros!$E$23:$E$38,Parametros!$B$23:$B$38,J128,Parametros!$C$23:$C$38,C128,Parametros!$D$23:$D$38,D128),2)</f>
        <v>14.49</v>
      </c>
      <c r="U128" s="30" t="n">
        <f aca="false">R128-S128-T128</f>
        <v>601.51</v>
      </c>
    </row>
    <row r="129" customFormat="false" ht="15" hidden="false" customHeight="false" outlineLevel="0" collapsed="false">
      <c r="A129" s="0" t="n">
        <v>128</v>
      </c>
      <c r="B129" s="27" t="n">
        <v>45328</v>
      </c>
      <c r="C129" s="0" t="n">
        <v>2024</v>
      </c>
      <c r="D129" s="28" t="s">
        <v>61</v>
      </c>
      <c r="E129" s="0" t="n">
        <v>2</v>
      </c>
      <c r="F129" s="28" t="s">
        <v>104</v>
      </c>
      <c r="G129" s="28" t="s">
        <v>105</v>
      </c>
      <c r="H129" s="28" t="s">
        <v>96</v>
      </c>
      <c r="I129" s="28" t="s">
        <v>97</v>
      </c>
      <c r="J129" s="28" t="s">
        <v>71</v>
      </c>
      <c r="K129" s="28" t="s">
        <v>76</v>
      </c>
      <c r="L129" s="28" t="s">
        <v>77</v>
      </c>
      <c r="M129" s="28" t="s">
        <v>78</v>
      </c>
      <c r="N129" s="28" t="s">
        <v>79</v>
      </c>
      <c r="O129" s="29" t="n">
        <v>16</v>
      </c>
      <c r="P129" s="30" t="n">
        <v>27.44</v>
      </c>
      <c r="Q129" s="30" t="n">
        <v>13.44</v>
      </c>
      <c r="R129" s="30" t="n">
        <f aca="false">ROUND(O129*P129,2)</f>
        <v>439.04</v>
      </c>
      <c r="S129" s="30" t="n">
        <f aca="false">ROUND(O129*Q129,2)</f>
        <v>215.04</v>
      </c>
      <c r="T129" s="30" t="n">
        <f aca="false">ROUND(R129*SUMIFS(Parametros!$E$23:$E$38,Parametros!$B$23:$B$38,J129,Parametros!$C$23:$C$38,C129,Parametros!$D$23:$D$38,D129),2)</f>
        <v>18.44</v>
      </c>
      <c r="U129" s="30" t="n">
        <f aca="false">R129-S129-T129</f>
        <v>205.56</v>
      </c>
    </row>
    <row r="130" customFormat="false" ht="15" hidden="false" customHeight="false" outlineLevel="0" collapsed="false">
      <c r="A130" s="0" t="n">
        <v>129</v>
      </c>
      <c r="B130" s="27" t="n">
        <v>45335</v>
      </c>
      <c r="C130" s="0" t="n">
        <v>2024</v>
      </c>
      <c r="D130" s="28" t="s">
        <v>61</v>
      </c>
      <c r="E130" s="0" t="n">
        <v>2</v>
      </c>
      <c r="F130" s="28" t="s">
        <v>104</v>
      </c>
      <c r="G130" s="28" t="s">
        <v>105</v>
      </c>
      <c r="H130" s="28" t="s">
        <v>96</v>
      </c>
      <c r="I130" s="28" t="s">
        <v>97</v>
      </c>
      <c r="J130" s="28" t="s">
        <v>66</v>
      </c>
      <c r="K130" s="28" t="s">
        <v>76</v>
      </c>
      <c r="L130" s="28" t="s">
        <v>77</v>
      </c>
      <c r="M130" s="28" t="s">
        <v>80</v>
      </c>
      <c r="N130" s="28" t="s">
        <v>81</v>
      </c>
      <c r="O130" s="29" t="n">
        <v>45</v>
      </c>
      <c r="P130" s="30" t="n">
        <v>93.1</v>
      </c>
      <c r="Q130" s="30" t="n">
        <v>47.98</v>
      </c>
      <c r="R130" s="30" t="n">
        <f aca="false">ROUND(O130*P130,2)</f>
        <v>4189.5</v>
      </c>
      <c r="S130" s="30" t="n">
        <f aca="false">ROUND(O130*Q130,2)</f>
        <v>2159.1</v>
      </c>
      <c r="T130" s="30" t="n">
        <f aca="false">ROUND(R130*SUMIFS(Parametros!$E$23:$E$38,Parametros!$B$23:$B$38,J130,Parametros!$C$23:$C$38,C130,Parametros!$D$23:$D$38,D130),2)</f>
        <v>50.27</v>
      </c>
      <c r="U130" s="30" t="n">
        <f aca="false">R130-S130-T130</f>
        <v>1980.13</v>
      </c>
    </row>
    <row r="131" customFormat="false" ht="15" hidden="false" customHeight="false" outlineLevel="0" collapsed="false">
      <c r="A131" s="0" t="n">
        <v>130</v>
      </c>
      <c r="B131" s="27" t="n">
        <v>45342</v>
      </c>
      <c r="C131" s="0" t="n">
        <v>2024</v>
      </c>
      <c r="D131" s="28" t="s">
        <v>61</v>
      </c>
      <c r="E131" s="0" t="n">
        <v>2</v>
      </c>
      <c r="F131" s="28" t="s">
        <v>104</v>
      </c>
      <c r="G131" s="28" t="s">
        <v>105</v>
      </c>
      <c r="H131" s="28" t="s">
        <v>96</v>
      </c>
      <c r="I131" s="28" t="s">
        <v>97</v>
      </c>
      <c r="J131" s="28" t="s">
        <v>71</v>
      </c>
      <c r="K131" s="28" t="s">
        <v>76</v>
      </c>
      <c r="L131" s="28" t="s">
        <v>77</v>
      </c>
      <c r="M131" s="28" t="s">
        <v>80</v>
      </c>
      <c r="N131" s="28" t="s">
        <v>81</v>
      </c>
      <c r="O131" s="29" t="n">
        <v>17</v>
      </c>
      <c r="P131" s="30" t="n">
        <v>93.1</v>
      </c>
      <c r="Q131" s="30" t="n">
        <v>47.98</v>
      </c>
      <c r="R131" s="30" t="n">
        <f aca="false">ROUND(O131*P131,2)</f>
        <v>1582.7</v>
      </c>
      <c r="S131" s="30" t="n">
        <f aca="false">ROUND(O131*Q131,2)</f>
        <v>815.66</v>
      </c>
      <c r="T131" s="30" t="n">
        <f aca="false">ROUND(R131*SUMIFS(Parametros!$E$23:$E$38,Parametros!$B$23:$B$38,J131,Parametros!$C$23:$C$38,C131,Parametros!$D$23:$D$38,D131),2)</f>
        <v>66.47</v>
      </c>
      <c r="U131" s="30" t="n">
        <f aca="false">R131-S131-T131</f>
        <v>700.57</v>
      </c>
    </row>
    <row r="132" customFormat="false" ht="15" hidden="false" customHeight="false" outlineLevel="0" collapsed="false">
      <c r="A132" s="0" t="n">
        <v>131</v>
      </c>
      <c r="B132" s="27" t="n">
        <v>45349</v>
      </c>
      <c r="C132" s="0" t="n">
        <v>2024</v>
      </c>
      <c r="D132" s="28" t="s">
        <v>61</v>
      </c>
      <c r="E132" s="0" t="n">
        <v>2</v>
      </c>
      <c r="F132" s="28" t="s">
        <v>104</v>
      </c>
      <c r="G132" s="28" t="s">
        <v>105</v>
      </c>
      <c r="H132" s="28" t="s">
        <v>96</v>
      </c>
      <c r="I132" s="28" t="s">
        <v>97</v>
      </c>
      <c r="J132" s="28" t="s">
        <v>66</v>
      </c>
      <c r="K132" s="28" t="s">
        <v>76</v>
      </c>
      <c r="L132" s="28" t="s">
        <v>77</v>
      </c>
      <c r="M132" s="28" t="s">
        <v>82</v>
      </c>
      <c r="N132" s="28" t="s">
        <v>83</v>
      </c>
      <c r="O132" s="29" t="n">
        <v>39</v>
      </c>
      <c r="P132" s="30" t="n">
        <v>63.7</v>
      </c>
      <c r="Q132" s="30" t="n">
        <v>35.43</v>
      </c>
      <c r="R132" s="30" t="n">
        <f aca="false">ROUND(O132*P132,2)</f>
        <v>2484.3</v>
      </c>
      <c r="S132" s="30" t="n">
        <f aca="false">ROUND(O132*Q132,2)</f>
        <v>1381.77</v>
      </c>
      <c r="T132" s="30" t="n">
        <f aca="false">ROUND(R132*SUMIFS(Parametros!$E$23:$E$38,Parametros!$B$23:$B$38,J132,Parametros!$C$23:$C$38,C132,Parametros!$D$23:$D$38,D132),2)</f>
        <v>29.81</v>
      </c>
      <c r="U132" s="30" t="n">
        <f aca="false">R132-S132-T132</f>
        <v>1072.72</v>
      </c>
    </row>
    <row r="133" customFormat="false" ht="15" hidden="false" customHeight="false" outlineLevel="0" collapsed="false">
      <c r="A133" s="0" t="n">
        <v>132</v>
      </c>
      <c r="B133" s="27" t="n">
        <v>45329</v>
      </c>
      <c r="C133" s="0" t="n">
        <v>2024</v>
      </c>
      <c r="D133" s="28" t="s">
        <v>61</v>
      </c>
      <c r="E133" s="0" t="n">
        <v>2</v>
      </c>
      <c r="F133" s="28" t="s">
        <v>104</v>
      </c>
      <c r="G133" s="28" t="s">
        <v>105</v>
      </c>
      <c r="H133" s="28" t="s">
        <v>96</v>
      </c>
      <c r="I133" s="28" t="s">
        <v>97</v>
      </c>
      <c r="J133" s="28" t="s">
        <v>71</v>
      </c>
      <c r="K133" s="28" t="s">
        <v>76</v>
      </c>
      <c r="L133" s="28" t="s">
        <v>77</v>
      </c>
      <c r="M133" s="28" t="s">
        <v>82</v>
      </c>
      <c r="N133" s="28" t="s">
        <v>83</v>
      </c>
      <c r="O133" s="29" t="n">
        <v>16</v>
      </c>
      <c r="P133" s="30" t="n">
        <v>63.7</v>
      </c>
      <c r="Q133" s="30" t="n">
        <v>35.43</v>
      </c>
      <c r="R133" s="30" t="n">
        <f aca="false">ROUND(O133*P133,2)</f>
        <v>1019.2</v>
      </c>
      <c r="S133" s="30" t="n">
        <f aca="false">ROUND(O133*Q133,2)</f>
        <v>566.88</v>
      </c>
      <c r="T133" s="30" t="n">
        <f aca="false">ROUND(R133*SUMIFS(Parametros!$E$23:$E$38,Parametros!$B$23:$B$38,J133,Parametros!$C$23:$C$38,C133,Parametros!$D$23:$D$38,D133),2)</f>
        <v>42.81</v>
      </c>
      <c r="U133" s="30" t="n">
        <f aca="false">R133-S133-T133</f>
        <v>409.51</v>
      </c>
    </row>
    <row r="134" customFormat="false" ht="15" hidden="false" customHeight="false" outlineLevel="0" collapsed="false">
      <c r="A134" s="0" t="n">
        <v>133</v>
      </c>
      <c r="B134" s="27" t="n">
        <v>45336</v>
      </c>
      <c r="C134" s="0" t="n">
        <v>2024</v>
      </c>
      <c r="D134" s="28" t="s">
        <v>61</v>
      </c>
      <c r="E134" s="0" t="n">
        <v>2</v>
      </c>
      <c r="F134" s="28" t="s">
        <v>104</v>
      </c>
      <c r="G134" s="28" t="s">
        <v>105</v>
      </c>
      <c r="H134" s="28" t="s">
        <v>96</v>
      </c>
      <c r="I134" s="28" t="s">
        <v>97</v>
      </c>
      <c r="J134" s="28" t="s">
        <v>66</v>
      </c>
      <c r="K134" s="28" t="s">
        <v>84</v>
      </c>
      <c r="L134" s="28" t="s">
        <v>85</v>
      </c>
      <c r="M134" s="28" t="s">
        <v>86</v>
      </c>
      <c r="N134" s="28" t="s">
        <v>87</v>
      </c>
      <c r="O134" s="29" t="n">
        <v>24</v>
      </c>
      <c r="P134" s="30" t="n">
        <v>117.6</v>
      </c>
      <c r="Q134" s="30" t="n">
        <v>63.6</v>
      </c>
      <c r="R134" s="30" t="n">
        <f aca="false">ROUND(O134*P134,2)</f>
        <v>2822.4</v>
      </c>
      <c r="S134" s="30" t="n">
        <f aca="false">ROUND(O134*Q134,2)</f>
        <v>1526.4</v>
      </c>
      <c r="T134" s="30" t="n">
        <f aca="false">ROUND(R134*SUMIFS(Parametros!$E$23:$E$38,Parametros!$B$23:$B$38,J134,Parametros!$C$23:$C$38,C134,Parametros!$D$23:$D$38,D134),2)</f>
        <v>33.87</v>
      </c>
      <c r="U134" s="30" t="n">
        <f aca="false">R134-S134-T134</f>
        <v>1262.13</v>
      </c>
    </row>
    <row r="135" customFormat="false" ht="15" hidden="false" customHeight="false" outlineLevel="0" collapsed="false">
      <c r="A135" s="0" t="n">
        <v>134</v>
      </c>
      <c r="B135" s="27" t="n">
        <v>45343</v>
      </c>
      <c r="C135" s="0" t="n">
        <v>2024</v>
      </c>
      <c r="D135" s="28" t="s">
        <v>61</v>
      </c>
      <c r="E135" s="0" t="n">
        <v>2</v>
      </c>
      <c r="F135" s="28" t="s">
        <v>104</v>
      </c>
      <c r="G135" s="28" t="s">
        <v>105</v>
      </c>
      <c r="H135" s="28" t="s">
        <v>96</v>
      </c>
      <c r="I135" s="28" t="s">
        <v>97</v>
      </c>
      <c r="J135" s="28" t="s">
        <v>71</v>
      </c>
      <c r="K135" s="28" t="s">
        <v>84</v>
      </c>
      <c r="L135" s="28" t="s">
        <v>85</v>
      </c>
      <c r="M135" s="28" t="s">
        <v>86</v>
      </c>
      <c r="N135" s="28" t="s">
        <v>87</v>
      </c>
      <c r="O135" s="29" t="n">
        <v>8</v>
      </c>
      <c r="P135" s="30" t="n">
        <v>117.6</v>
      </c>
      <c r="Q135" s="30" t="n">
        <v>63.6</v>
      </c>
      <c r="R135" s="30" t="n">
        <f aca="false">ROUND(O135*P135,2)</f>
        <v>940.8</v>
      </c>
      <c r="S135" s="30" t="n">
        <f aca="false">ROUND(O135*Q135,2)</f>
        <v>508.8</v>
      </c>
      <c r="T135" s="30" t="n">
        <f aca="false">ROUND(R135*SUMIFS(Parametros!$E$23:$E$38,Parametros!$B$23:$B$38,J135,Parametros!$C$23:$C$38,C135,Parametros!$D$23:$D$38,D135),2)</f>
        <v>39.51</v>
      </c>
      <c r="U135" s="30" t="n">
        <f aca="false">R135-S135-T135</f>
        <v>392.49</v>
      </c>
    </row>
    <row r="136" customFormat="false" ht="15" hidden="false" customHeight="false" outlineLevel="0" collapsed="false">
      <c r="A136" s="0" t="n">
        <v>135</v>
      </c>
      <c r="B136" s="27" t="n">
        <v>45323</v>
      </c>
      <c r="C136" s="0" t="n">
        <v>2024</v>
      </c>
      <c r="D136" s="28" t="s">
        <v>61</v>
      </c>
      <c r="E136" s="0" t="n">
        <v>2</v>
      </c>
      <c r="F136" s="28" t="s">
        <v>104</v>
      </c>
      <c r="G136" s="28" t="s">
        <v>105</v>
      </c>
      <c r="H136" s="28" t="s">
        <v>96</v>
      </c>
      <c r="I136" s="28" t="s">
        <v>97</v>
      </c>
      <c r="J136" s="28" t="s">
        <v>66</v>
      </c>
      <c r="K136" s="28" t="s">
        <v>84</v>
      </c>
      <c r="L136" s="28" t="s">
        <v>85</v>
      </c>
      <c r="M136" s="28" t="s">
        <v>88</v>
      </c>
      <c r="N136" s="28" t="s">
        <v>89</v>
      </c>
      <c r="O136" s="29" t="n">
        <v>17</v>
      </c>
      <c r="P136" s="30" t="n">
        <v>83.3</v>
      </c>
      <c r="Q136" s="30" t="n">
        <v>48.02</v>
      </c>
      <c r="R136" s="30" t="n">
        <f aca="false">ROUND(O136*P136,2)</f>
        <v>1416.1</v>
      </c>
      <c r="S136" s="30" t="n">
        <f aca="false">ROUND(O136*Q136,2)</f>
        <v>816.34</v>
      </c>
      <c r="T136" s="30" t="n">
        <f aca="false">ROUND(R136*SUMIFS(Parametros!$E$23:$E$38,Parametros!$B$23:$B$38,J136,Parametros!$C$23:$C$38,C136,Parametros!$D$23:$D$38,D136),2)</f>
        <v>16.99</v>
      </c>
      <c r="U136" s="30" t="n">
        <f aca="false">R136-S136-T136</f>
        <v>582.77</v>
      </c>
    </row>
    <row r="137" customFormat="false" ht="15" hidden="false" customHeight="false" outlineLevel="0" collapsed="false">
      <c r="A137" s="0" t="n">
        <v>136</v>
      </c>
      <c r="B137" s="27" t="n">
        <v>45330</v>
      </c>
      <c r="C137" s="0" t="n">
        <v>2024</v>
      </c>
      <c r="D137" s="28" t="s">
        <v>61</v>
      </c>
      <c r="E137" s="0" t="n">
        <v>2</v>
      </c>
      <c r="F137" s="28" t="s">
        <v>104</v>
      </c>
      <c r="G137" s="28" t="s">
        <v>105</v>
      </c>
      <c r="H137" s="28" t="s">
        <v>96</v>
      </c>
      <c r="I137" s="28" t="s">
        <v>97</v>
      </c>
      <c r="J137" s="28" t="s">
        <v>71</v>
      </c>
      <c r="K137" s="28" t="s">
        <v>84</v>
      </c>
      <c r="L137" s="28" t="s">
        <v>85</v>
      </c>
      <c r="M137" s="28" t="s">
        <v>88</v>
      </c>
      <c r="N137" s="28" t="s">
        <v>89</v>
      </c>
      <c r="O137" s="29" t="n">
        <v>9</v>
      </c>
      <c r="P137" s="30" t="n">
        <v>83.3</v>
      </c>
      <c r="Q137" s="30" t="n">
        <v>48.02</v>
      </c>
      <c r="R137" s="30" t="n">
        <f aca="false">ROUND(O137*P137,2)</f>
        <v>749.7</v>
      </c>
      <c r="S137" s="30" t="n">
        <f aca="false">ROUND(O137*Q137,2)</f>
        <v>432.18</v>
      </c>
      <c r="T137" s="30" t="n">
        <f aca="false">ROUND(R137*SUMIFS(Parametros!$E$23:$E$38,Parametros!$B$23:$B$38,J137,Parametros!$C$23:$C$38,C137,Parametros!$D$23:$D$38,D137),2)</f>
        <v>31.49</v>
      </c>
      <c r="U137" s="30" t="n">
        <f aca="false">R137-S137-T137</f>
        <v>286.03</v>
      </c>
    </row>
    <row r="138" customFormat="false" ht="15" hidden="false" customHeight="false" outlineLevel="0" collapsed="false">
      <c r="A138" s="0" t="n">
        <v>137</v>
      </c>
      <c r="B138" s="27" t="n">
        <v>45337</v>
      </c>
      <c r="C138" s="0" t="n">
        <v>2024</v>
      </c>
      <c r="D138" s="28" t="s">
        <v>61</v>
      </c>
      <c r="E138" s="0" t="n">
        <v>2</v>
      </c>
      <c r="F138" s="28" t="s">
        <v>104</v>
      </c>
      <c r="G138" s="28" t="s">
        <v>105</v>
      </c>
      <c r="H138" s="28" t="s">
        <v>96</v>
      </c>
      <c r="I138" s="28" t="s">
        <v>97</v>
      </c>
      <c r="J138" s="28" t="s">
        <v>66</v>
      </c>
      <c r="K138" s="28" t="s">
        <v>90</v>
      </c>
      <c r="L138" s="28" t="s">
        <v>91</v>
      </c>
      <c r="M138" s="28" t="s">
        <v>92</v>
      </c>
      <c r="N138" s="28" t="s">
        <v>93</v>
      </c>
      <c r="O138" s="29" t="n">
        <v>24</v>
      </c>
      <c r="P138" s="30" t="n">
        <v>127.4</v>
      </c>
      <c r="Q138" s="30" t="n">
        <v>76.05</v>
      </c>
      <c r="R138" s="30" t="n">
        <f aca="false">ROUND(O138*P138,2)</f>
        <v>3057.6</v>
      </c>
      <c r="S138" s="30" t="n">
        <f aca="false">ROUND(O138*Q138,2)</f>
        <v>1825.2</v>
      </c>
      <c r="T138" s="30" t="n">
        <f aca="false">ROUND(R138*SUMIFS(Parametros!$E$23:$E$38,Parametros!$B$23:$B$38,J138,Parametros!$C$23:$C$38,C138,Parametros!$D$23:$D$38,D138),2)</f>
        <v>36.69</v>
      </c>
      <c r="U138" s="30" t="n">
        <f aca="false">R138-S138-T138</f>
        <v>1195.71</v>
      </c>
    </row>
    <row r="139" customFormat="false" ht="15" hidden="false" customHeight="false" outlineLevel="0" collapsed="false">
      <c r="A139" s="0" t="n">
        <v>138</v>
      </c>
      <c r="B139" s="27" t="n">
        <v>45344</v>
      </c>
      <c r="C139" s="0" t="n">
        <v>2024</v>
      </c>
      <c r="D139" s="28" t="s">
        <v>61</v>
      </c>
      <c r="E139" s="0" t="n">
        <v>2</v>
      </c>
      <c r="F139" s="28" t="s">
        <v>104</v>
      </c>
      <c r="G139" s="28" t="s">
        <v>105</v>
      </c>
      <c r="H139" s="28" t="s">
        <v>96</v>
      </c>
      <c r="I139" s="28" t="s">
        <v>97</v>
      </c>
      <c r="J139" s="28" t="s">
        <v>71</v>
      </c>
      <c r="K139" s="28" t="s">
        <v>90</v>
      </c>
      <c r="L139" s="28" t="s">
        <v>91</v>
      </c>
      <c r="M139" s="28" t="s">
        <v>92</v>
      </c>
      <c r="N139" s="28" t="s">
        <v>93</v>
      </c>
      <c r="O139" s="29" t="n">
        <v>10</v>
      </c>
      <c r="P139" s="30" t="n">
        <v>127.4</v>
      </c>
      <c r="Q139" s="30" t="n">
        <v>76.05</v>
      </c>
      <c r="R139" s="30" t="n">
        <f aca="false">ROUND(O139*P139,2)</f>
        <v>1274</v>
      </c>
      <c r="S139" s="30" t="n">
        <f aca="false">ROUND(O139*Q139,2)</f>
        <v>760.5</v>
      </c>
      <c r="T139" s="30" t="n">
        <f aca="false">ROUND(R139*SUMIFS(Parametros!$E$23:$E$38,Parametros!$B$23:$B$38,J139,Parametros!$C$23:$C$38,C139,Parametros!$D$23:$D$38,D139),2)</f>
        <v>53.51</v>
      </c>
      <c r="U139" s="30" t="n">
        <f aca="false">R139-S139-T139</f>
        <v>459.99</v>
      </c>
    </row>
    <row r="140" customFormat="false" ht="15" hidden="false" customHeight="false" outlineLevel="0" collapsed="false">
      <c r="A140" s="0" t="n">
        <v>139</v>
      </c>
      <c r="B140" s="27" t="n">
        <v>45324</v>
      </c>
      <c r="C140" s="0" t="n">
        <v>2024</v>
      </c>
      <c r="D140" s="28" t="s">
        <v>61</v>
      </c>
      <c r="E140" s="0" t="n">
        <v>2</v>
      </c>
      <c r="F140" s="28" t="s">
        <v>104</v>
      </c>
      <c r="G140" s="28" t="s">
        <v>105</v>
      </c>
      <c r="H140" s="28" t="s">
        <v>96</v>
      </c>
      <c r="I140" s="28" t="s">
        <v>97</v>
      </c>
      <c r="J140" s="28" t="s">
        <v>66</v>
      </c>
      <c r="K140" s="28" t="s">
        <v>90</v>
      </c>
      <c r="L140" s="28" t="s">
        <v>91</v>
      </c>
      <c r="M140" s="28" t="s">
        <v>94</v>
      </c>
      <c r="N140" s="28" t="s">
        <v>95</v>
      </c>
      <c r="O140" s="29" t="n">
        <v>23</v>
      </c>
      <c r="P140" s="30" t="n">
        <v>34.3</v>
      </c>
      <c r="Q140" s="30" t="n">
        <v>17.85</v>
      </c>
      <c r="R140" s="30" t="n">
        <f aca="false">ROUND(O140*P140,2)</f>
        <v>788.9</v>
      </c>
      <c r="S140" s="30" t="n">
        <f aca="false">ROUND(O140*Q140,2)</f>
        <v>410.55</v>
      </c>
      <c r="T140" s="30" t="n">
        <f aca="false">ROUND(R140*SUMIFS(Parametros!$E$23:$E$38,Parametros!$B$23:$B$38,J140,Parametros!$C$23:$C$38,C140,Parametros!$D$23:$D$38,D140),2)</f>
        <v>9.47</v>
      </c>
      <c r="U140" s="30" t="n">
        <f aca="false">R140-S140-T140</f>
        <v>368.88</v>
      </c>
    </row>
    <row r="141" customFormat="false" ht="15" hidden="false" customHeight="false" outlineLevel="0" collapsed="false">
      <c r="A141" s="0" t="n">
        <v>140</v>
      </c>
      <c r="B141" s="27" t="n">
        <v>45331</v>
      </c>
      <c r="C141" s="0" t="n">
        <v>2024</v>
      </c>
      <c r="D141" s="28" t="s">
        <v>61</v>
      </c>
      <c r="E141" s="0" t="n">
        <v>2</v>
      </c>
      <c r="F141" s="28" t="s">
        <v>104</v>
      </c>
      <c r="G141" s="28" t="s">
        <v>105</v>
      </c>
      <c r="H141" s="28" t="s">
        <v>96</v>
      </c>
      <c r="I141" s="28" t="s">
        <v>97</v>
      </c>
      <c r="J141" s="28" t="s">
        <v>71</v>
      </c>
      <c r="K141" s="28" t="s">
        <v>90</v>
      </c>
      <c r="L141" s="28" t="s">
        <v>91</v>
      </c>
      <c r="M141" s="28" t="s">
        <v>94</v>
      </c>
      <c r="N141" s="28" t="s">
        <v>95</v>
      </c>
      <c r="O141" s="29" t="n">
        <v>9</v>
      </c>
      <c r="P141" s="30" t="n">
        <v>34.3</v>
      </c>
      <c r="Q141" s="30" t="n">
        <v>17.85</v>
      </c>
      <c r="R141" s="30" t="n">
        <f aca="false">ROUND(O141*P141,2)</f>
        <v>308.7</v>
      </c>
      <c r="S141" s="30" t="n">
        <f aca="false">ROUND(O141*Q141,2)</f>
        <v>160.65</v>
      </c>
      <c r="T141" s="30" t="n">
        <f aca="false">ROUND(R141*SUMIFS(Parametros!$E$23:$E$38,Parametros!$B$23:$B$38,J141,Parametros!$C$23:$C$38,C141,Parametros!$D$23:$D$38,D141),2)</f>
        <v>12.97</v>
      </c>
      <c r="U141" s="30" t="n">
        <f aca="false">R141-S141-T141</f>
        <v>135.08</v>
      </c>
    </row>
    <row r="142" customFormat="false" ht="15" hidden="false" customHeight="false" outlineLevel="0" collapsed="false">
      <c r="A142" s="0" t="n">
        <v>141</v>
      </c>
      <c r="B142" s="27" t="n">
        <v>45338</v>
      </c>
      <c r="C142" s="0" t="n">
        <v>2024</v>
      </c>
      <c r="D142" s="28" t="s">
        <v>61</v>
      </c>
      <c r="E142" s="0" t="n">
        <v>2</v>
      </c>
      <c r="F142" s="28" t="s">
        <v>104</v>
      </c>
      <c r="G142" s="28" t="s">
        <v>105</v>
      </c>
      <c r="H142" s="28" t="s">
        <v>98</v>
      </c>
      <c r="I142" s="28" t="s">
        <v>99</v>
      </c>
      <c r="J142" s="28" t="s">
        <v>66</v>
      </c>
      <c r="K142" s="28" t="s">
        <v>67</v>
      </c>
      <c r="L142" s="28" t="s">
        <v>68</v>
      </c>
      <c r="M142" s="28" t="s">
        <v>69</v>
      </c>
      <c r="N142" s="28" t="s">
        <v>70</v>
      </c>
      <c r="O142" s="29" t="n">
        <v>7</v>
      </c>
      <c r="P142" s="30" t="n">
        <v>1176</v>
      </c>
      <c r="Q142" s="30" t="n">
        <v>744</v>
      </c>
      <c r="R142" s="30" t="n">
        <f aca="false">ROUND(O142*P142,2)</f>
        <v>8232</v>
      </c>
      <c r="S142" s="30" t="n">
        <f aca="false">ROUND(O142*Q142,2)</f>
        <v>5208</v>
      </c>
      <c r="T142" s="30" t="n">
        <f aca="false">ROUND(R142*SUMIFS(Parametros!$E$23:$E$38,Parametros!$B$23:$B$38,J142,Parametros!$C$23:$C$38,C142,Parametros!$D$23:$D$38,D142),2)</f>
        <v>98.78</v>
      </c>
      <c r="U142" s="30" t="n">
        <f aca="false">R142-S142-T142</f>
        <v>2925.22</v>
      </c>
    </row>
    <row r="143" customFormat="false" ht="15" hidden="false" customHeight="false" outlineLevel="0" collapsed="false">
      <c r="A143" s="0" t="n">
        <v>142</v>
      </c>
      <c r="B143" s="27" t="n">
        <v>45345</v>
      </c>
      <c r="C143" s="0" t="n">
        <v>2024</v>
      </c>
      <c r="D143" s="28" t="s">
        <v>61</v>
      </c>
      <c r="E143" s="0" t="n">
        <v>2</v>
      </c>
      <c r="F143" s="28" t="s">
        <v>104</v>
      </c>
      <c r="G143" s="28" t="s">
        <v>105</v>
      </c>
      <c r="H143" s="28" t="s">
        <v>98</v>
      </c>
      <c r="I143" s="28" t="s">
        <v>99</v>
      </c>
      <c r="J143" s="28" t="s">
        <v>71</v>
      </c>
      <c r="K143" s="28" t="s">
        <v>67</v>
      </c>
      <c r="L143" s="28" t="s">
        <v>68</v>
      </c>
      <c r="M143" s="28" t="s">
        <v>69</v>
      </c>
      <c r="N143" s="28" t="s">
        <v>70</v>
      </c>
      <c r="O143" s="29" t="n">
        <v>3</v>
      </c>
      <c r="P143" s="30" t="n">
        <v>1176</v>
      </c>
      <c r="Q143" s="30" t="n">
        <v>744</v>
      </c>
      <c r="R143" s="30" t="n">
        <f aca="false">ROUND(O143*P143,2)</f>
        <v>3528</v>
      </c>
      <c r="S143" s="30" t="n">
        <f aca="false">ROUND(O143*Q143,2)</f>
        <v>2232</v>
      </c>
      <c r="T143" s="30" t="n">
        <f aca="false">ROUND(R143*SUMIFS(Parametros!$E$23:$E$38,Parametros!$B$23:$B$38,J143,Parametros!$C$23:$C$38,C143,Parametros!$D$23:$D$38,D143),2)</f>
        <v>148.18</v>
      </c>
      <c r="U143" s="30" t="n">
        <f aca="false">R143-S143-T143</f>
        <v>1147.82</v>
      </c>
    </row>
    <row r="144" customFormat="false" ht="15" hidden="false" customHeight="false" outlineLevel="0" collapsed="false">
      <c r="A144" s="0" t="n">
        <v>143</v>
      </c>
      <c r="B144" s="27" t="n">
        <v>45325</v>
      </c>
      <c r="C144" s="0" t="n">
        <v>2024</v>
      </c>
      <c r="D144" s="28" t="s">
        <v>61</v>
      </c>
      <c r="E144" s="0" t="n">
        <v>2</v>
      </c>
      <c r="F144" s="28" t="s">
        <v>104</v>
      </c>
      <c r="G144" s="28" t="s">
        <v>105</v>
      </c>
      <c r="H144" s="28" t="s">
        <v>98</v>
      </c>
      <c r="I144" s="28" t="s">
        <v>99</v>
      </c>
      <c r="J144" s="28" t="s">
        <v>66</v>
      </c>
      <c r="K144" s="28" t="s">
        <v>67</v>
      </c>
      <c r="L144" s="28" t="s">
        <v>68</v>
      </c>
      <c r="M144" s="28" t="s">
        <v>72</v>
      </c>
      <c r="N144" s="28" t="s">
        <v>73</v>
      </c>
      <c r="O144" s="29" t="n">
        <v>8</v>
      </c>
      <c r="P144" s="30" t="n">
        <v>441</v>
      </c>
      <c r="Q144" s="30" t="n">
        <v>272.25</v>
      </c>
      <c r="R144" s="30" t="n">
        <f aca="false">ROUND(O144*P144,2)</f>
        <v>3528</v>
      </c>
      <c r="S144" s="30" t="n">
        <f aca="false">ROUND(O144*Q144,2)</f>
        <v>2178</v>
      </c>
      <c r="T144" s="30" t="n">
        <f aca="false">ROUND(R144*SUMIFS(Parametros!$E$23:$E$38,Parametros!$B$23:$B$38,J144,Parametros!$C$23:$C$38,C144,Parametros!$D$23:$D$38,D144),2)</f>
        <v>42.34</v>
      </c>
      <c r="U144" s="30" t="n">
        <f aca="false">R144-S144-T144</f>
        <v>1307.66</v>
      </c>
    </row>
    <row r="145" customFormat="false" ht="15" hidden="false" customHeight="false" outlineLevel="0" collapsed="false">
      <c r="A145" s="0" t="n">
        <v>144</v>
      </c>
      <c r="B145" s="27" t="n">
        <v>45332</v>
      </c>
      <c r="C145" s="0" t="n">
        <v>2024</v>
      </c>
      <c r="D145" s="28" t="s">
        <v>61</v>
      </c>
      <c r="E145" s="0" t="n">
        <v>2</v>
      </c>
      <c r="F145" s="28" t="s">
        <v>104</v>
      </c>
      <c r="G145" s="28" t="s">
        <v>105</v>
      </c>
      <c r="H145" s="28" t="s">
        <v>98</v>
      </c>
      <c r="I145" s="28" t="s">
        <v>99</v>
      </c>
      <c r="J145" s="28" t="s">
        <v>71</v>
      </c>
      <c r="K145" s="28" t="s">
        <v>67</v>
      </c>
      <c r="L145" s="28" t="s">
        <v>68</v>
      </c>
      <c r="M145" s="28" t="s">
        <v>72</v>
      </c>
      <c r="N145" s="28" t="s">
        <v>73</v>
      </c>
      <c r="O145" s="29" t="n">
        <v>2</v>
      </c>
      <c r="P145" s="30" t="n">
        <v>441</v>
      </c>
      <c r="Q145" s="30" t="n">
        <v>272.25</v>
      </c>
      <c r="R145" s="30" t="n">
        <f aca="false">ROUND(O145*P145,2)</f>
        <v>882</v>
      </c>
      <c r="S145" s="30" t="n">
        <f aca="false">ROUND(O145*Q145,2)</f>
        <v>544.5</v>
      </c>
      <c r="T145" s="30" t="n">
        <f aca="false">ROUND(R145*SUMIFS(Parametros!$E$23:$E$38,Parametros!$B$23:$B$38,J145,Parametros!$C$23:$C$38,C145,Parametros!$D$23:$D$38,D145),2)</f>
        <v>37.04</v>
      </c>
      <c r="U145" s="30" t="n">
        <f aca="false">R145-S145-T145</f>
        <v>300.46</v>
      </c>
    </row>
    <row r="146" customFormat="false" ht="15" hidden="false" customHeight="false" outlineLevel="0" collapsed="false">
      <c r="A146" s="0" t="n">
        <v>145</v>
      </c>
      <c r="B146" s="27" t="n">
        <v>45339</v>
      </c>
      <c r="C146" s="0" t="n">
        <v>2024</v>
      </c>
      <c r="D146" s="28" t="s">
        <v>61</v>
      </c>
      <c r="E146" s="0" t="n">
        <v>2</v>
      </c>
      <c r="F146" s="28" t="s">
        <v>104</v>
      </c>
      <c r="G146" s="28" t="s">
        <v>105</v>
      </c>
      <c r="H146" s="28" t="s">
        <v>98</v>
      </c>
      <c r="I146" s="28" t="s">
        <v>99</v>
      </c>
      <c r="J146" s="28" t="s">
        <v>66</v>
      </c>
      <c r="K146" s="28" t="s">
        <v>67</v>
      </c>
      <c r="L146" s="28" t="s">
        <v>68</v>
      </c>
      <c r="M146" s="28" t="s">
        <v>74</v>
      </c>
      <c r="N146" s="28" t="s">
        <v>75</v>
      </c>
      <c r="O146" s="29" t="n">
        <v>7</v>
      </c>
      <c r="P146" s="30" t="n">
        <v>1617</v>
      </c>
      <c r="Q146" s="30" t="n">
        <v>1122</v>
      </c>
      <c r="R146" s="30" t="n">
        <f aca="false">ROUND(O146*P146,2)</f>
        <v>11319</v>
      </c>
      <c r="S146" s="30" t="n">
        <f aca="false">ROUND(O146*Q146,2)</f>
        <v>7854</v>
      </c>
      <c r="T146" s="30" t="n">
        <f aca="false">ROUND(R146*SUMIFS(Parametros!$E$23:$E$38,Parametros!$B$23:$B$38,J146,Parametros!$C$23:$C$38,C146,Parametros!$D$23:$D$38,D146),2)</f>
        <v>135.83</v>
      </c>
      <c r="U146" s="30" t="n">
        <f aca="false">R146-S146-T146</f>
        <v>3329.17</v>
      </c>
    </row>
    <row r="147" customFormat="false" ht="15" hidden="false" customHeight="false" outlineLevel="0" collapsed="false">
      <c r="A147" s="0" t="n">
        <v>146</v>
      </c>
      <c r="B147" s="27" t="n">
        <v>45346</v>
      </c>
      <c r="C147" s="0" t="n">
        <v>2024</v>
      </c>
      <c r="D147" s="28" t="s">
        <v>61</v>
      </c>
      <c r="E147" s="0" t="n">
        <v>2</v>
      </c>
      <c r="F147" s="28" t="s">
        <v>104</v>
      </c>
      <c r="G147" s="28" t="s">
        <v>105</v>
      </c>
      <c r="H147" s="28" t="s">
        <v>98</v>
      </c>
      <c r="I147" s="28" t="s">
        <v>99</v>
      </c>
      <c r="J147" s="28" t="s">
        <v>71</v>
      </c>
      <c r="K147" s="28" t="s">
        <v>67</v>
      </c>
      <c r="L147" s="28" t="s">
        <v>68</v>
      </c>
      <c r="M147" s="28" t="s">
        <v>74</v>
      </c>
      <c r="N147" s="28" t="s">
        <v>75</v>
      </c>
      <c r="O147" s="29" t="n">
        <v>3</v>
      </c>
      <c r="P147" s="30" t="n">
        <v>1617</v>
      </c>
      <c r="Q147" s="30" t="n">
        <v>1122</v>
      </c>
      <c r="R147" s="30" t="n">
        <f aca="false">ROUND(O147*P147,2)</f>
        <v>4851</v>
      </c>
      <c r="S147" s="30" t="n">
        <f aca="false">ROUND(O147*Q147,2)</f>
        <v>3366</v>
      </c>
      <c r="T147" s="30" t="n">
        <f aca="false">ROUND(R147*SUMIFS(Parametros!$E$23:$E$38,Parametros!$B$23:$B$38,J147,Parametros!$C$23:$C$38,C147,Parametros!$D$23:$D$38,D147),2)</f>
        <v>203.74</v>
      </c>
      <c r="U147" s="30" t="n">
        <f aca="false">R147-S147-T147</f>
        <v>1281.26</v>
      </c>
    </row>
    <row r="148" customFormat="false" ht="15" hidden="false" customHeight="false" outlineLevel="0" collapsed="false">
      <c r="A148" s="0" t="n">
        <v>147</v>
      </c>
      <c r="B148" s="27" t="n">
        <v>45326</v>
      </c>
      <c r="C148" s="0" t="n">
        <v>2024</v>
      </c>
      <c r="D148" s="28" t="s">
        <v>61</v>
      </c>
      <c r="E148" s="0" t="n">
        <v>2</v>
      </c>
      <c r="F148" s="28" t="s">
        <v>104</v>
      </c>
      <c r="G148" s="28" t="s">
        <v>105</v>
      </c>
      <c r="H148" s="28" t="s">
        <v>98</v>
      </c>
      <c r="I148" s="28" t="s">
        <v>99</v>
      </c>
      <c r="J148" s="28" t="s">
        <v>66</v>
      </c>
      <c r="K148" s="28" t="s">
        <v>76</v>
      </c>
      <c r="L148" s="28" t="s">
        <v>77</v>
      </c>
      <c r="M148" s="28" t="s">
        <v>78</v>
      </c>
      <c r="N148" s="28" t="s">
        <v>79</v>
      </c>
      <c r="O148" s="29" t="n">
        <v>30</v>
      </c>
      <c r="P148" s="30" t="n">
        <v>27.44</v>
      </c>
      <c r="Q148" s="30" t="n">
        <v>13.44</v>
      </c>
      <c r="R148" s="30" t="n">
        <f aca="false">ROUND(O148*P148,2)</f>
        <v>823.2</v>
      </c>
      <c r="S148" s="30" t="n">
        <f aca="false">ROUND(O148*Q148,2)</f>
        <v>403.2</v>
      </c>
      <c r="T148" s="30" t="n">
        <f aca="false">ROUND(R148*SUMIFS(Parametros!$E$23:$E$38,Parametros!$B$23:$B$38,J148,Parametros!$C$23:$C$38,C148,Parametros!$D$23:$D$38,D148),2)</f>
        <v>9.88</v>
      </c>
      <c r="U148" s="30" t="n">
        <f aca="false">R148-S148-T148</f>
        <v>410.12</v>
      </c>
    </row>
    <row r="149" customFormat="false" ht="15" hidden="false" customHeight="false" outlineLevel="0" collapsed="false">
      <c r="A149" s="0" t="n">
        <v>148</v>
      </c>
      <c r="B149" s="27" t="n">
        <v>45333</v>
      </c>
      <c r="C149" s="0" t="n">
        <v>2024</v>
      </c>
      <c r="D149" s="28" t="s">
        <v>61</v>
      </c>
      <c r="E149" s="0" t="n">
        <v>2</v>
      </c>
      <c r="F149" s="28" t="s">
        <v>104</v>
      </c>
      <c r="G149" s="28" t="s">
        <v>105</v>
      </c>
      <c r="H149" s="28" t="s">
        <v>98</v>
      </c>
      <c r="I149" s="28" t="s">
        <v>99</v>
      </c>
      <c r="J149" s="28" t="s">
        <v>71</v>
      </c>
      <c r="K149" s="28" t="s">
        <v>76</v>
      </c>
      <c r="L149" s="28" t="s">
        <v>77</v>
      </c>
      <c r="M149" s="28" t="s">
        <v>78</v>
      </c>
      <c r="N149" s="28" t="s">
        <v>79</v>
      </c>
      <c r="O149" s="29" t="n">
        <v>14</v>
      </c>
      <c r="P149" s="30" t="n">
        <v>27.44</v>
      </c>
      <c r="Q149" s="30" t="n">
        <v>13.44</v>
      </c>
      <c r="R149" s="30" t="n">
        <f aca="false">ROUND(O149*P149,2)</f>
        <v>384.16</v>
      </c>
      <c r="S149" s="30" t="n">
        <f aca="false">ROUND(O149*Q149,2)</f>
        <v>188.16</v>
      </c>
      <c r="T149" s="30" t="n">
        <f aca="false">ROUND(R149*SUMIFS(Parametros!$E$23:$E$38,Parametros!$B$23:$B$38,J149,Parametros!$C$23:$C$38,C149,Parametros!$D$23:$D$38,D149),2)</f>
        <v>16.13</v>
      </c>
      <c r="U149" s="30" t="n">
        <f aca="false">R149-S149-T149</f>
        <v>179.87</v>
      </c>
    </row>
    <row r="150" customFormat="false" ht="15" hidden="false" customHeight="false" outlineLevel="0" collapsed="false">
      <c r="A150" s="0" t="n">
        <v>149</v>
      </c>
      <c r="B150" s="27" t="n">
        <v>45340</v>
      </c>
      <c r="C150" s="0" t="n">
        <v>2024</v>
      </c>
      <c r="D150" s="28" t="s">
        <v>61</v>
      </c>
      <c r="E150" s="0" t="n">
        <v>2</v>
      </c>
      <c r="F150" s="28" t="s">
        <v>104</v>
      </c>
      <c r="G150" s="28" t="s">
        <v>105</v>
      </c>
      <c r="H150" s="28" t="s">
        <v>98</v>
      </c>
      <c r="I150" s="28" t="s">
        <v>99</v>
      </c>
      <c r="J150" s="28" t="s">
        <v>66</v>
      </c>
      <c r="K150" s="28" t="s">
        <v>76</v>
      </c>
      <c r="L150" s="28" t="s">
        <v>77</v>
      </c>
      <c r="M150" s="28" t="s">
        <v>80</v>
      </c>
      <c r="N150" s="28" t="s">
        <v>81</v>
      </c>
      <c r="O150" s="29" t="n">
        <v>34</v>
      </c>
      <c r="P150" s="30" t="n">
        <v>93.1</v>
      </c>
      <c r="Q150" s="30" t="n">
        <v>47.98</v>
      </c>
      <c r="R150" s="30" t="n">
        <f aca="false">ROUND(O150*P150,2)</f>
        <v>3165.4</v>
      </c>
      <c r="S150" s="30" t="n">
        <f aca="false">ROUND(O150*Q150,2)</f>
        <v>1631.32</v>
      </c>
      <c r="T150" s="30" t="n">
        <f aca="false">ROUND(R150*SUMIFS(Parametros!$E$23:$E$38,Parametros!$B$23:$B$38,J150,Parametros!$C$23:$C$38,C150,Parametros!$D$23:$D$38,D150),2)</f>
        <v>37.98</v>
      </c>
      <c r="U150" s="30" t="n">
        <f aca="false">R150-S150-T150</f>
        <v>1496.1</v>
      </c>
    </row>
    <row r="151" customFormat="false" ht="15" hidden="false" customHeight="false" outlineLevel="0" collapsed="false">
      <c r="A151" s="0" t="n">
        <v>150</v>
      </c>
      <c r="B151" s="27" t="n">
        <v>45347</v>
      </c>
      <c r="C151" s="0" t="n">
        <v>2024</v>
      </c>
      <c r="D151" s="28" t="s">
        <v>61</v>
      </c>
      <c r="E151" s="0" t="n">
        <v>2</v>
      </c>
      <c r="F151" s="28" t="s">
        <v>104</v>
      </c>
      <c r="G151" s="28" t="s">
        <v>105</v>
      </c>
      <c r="H151" s="28" t="s">
        <v>98</v>
      </c>
      <c r="I151" s="28" t="s">
        <v>99</v>
      </c>
      <c r="J151" s="28" t="s">
        <v>71</v>
      </c>
      <c r="K151" s="28" t="s">
        <v>76</v>
      </c>
      <c r="L151" s="28" t="s">
        <v>77</v>
      </c>
      <c r="M151" s="28" t="s">
        <v>80</v>
      </c>
      <c r="N151" s="28" t="s">
        <v>81</v>
      </c>
      <c r="O151" s="29" t="n">
        <v>14</v>
      </c>
      <c r="P151" s="30" t="n">
        <v>93.1</v>
      </c>
      <c r="Q151" s="30" t="n">
        <v>47.98</v>
      </c>
      <c r="R151" s="30" t="n">
        <f aca="false">ROUND(O151*P151,2)</f>
        <v>1303.4</v>
      </c>
      <c r="S151" s="30" t="n">
        <f aca="false">ROUND(O151*Q151,2)</f>
        <v>671.72</v>
      </c>
      <c r="T151" s="30" t="n">
        <f aca="false">ROUND(R151*SUMIFS(Parametros!$E$23:$E$38,Parametros!$B$23:$B$38,J151,Parametros!$C$23:$C$38,C151,Parametros!$D$23:$D$38,D151),2)</f>
        <v>54.74</v>
      </c>
      <c r="U151" s="30" t="n">
        <f aca="false">R151-S151-T151</f>
        <v>576.94</v>
      </c>
    </row>
    <row r="152" customFormat="false" ht="15" hidden="false" customHeight="false" outlineLevel="0" collapsed="false">
      <c r="A152" s="0" t="n">
        <v>151</v>
      </c>
      <c r="B152" s="27" t="n">
        <v>45327</v>
      </c>
      <c r="C152" s="0" t="n">
        <v>2024</v>
      </c>
      <c r="D152" s="28" t="s">
        <v>61</v>
      </c>
      <c r="E152" s="0" t="n">
        <v>2</v>
      </c>
      <c r="F152" s="28" t="s">
        <v>104</v>
      </c>
      <c r="G152" s="28" t="s">
        <v>105</v>
      </c>
      <c r="H152" s="28" t="s">
        <v>98</v>
      </c>
      <c r="I152" s="28" t="s">
        <v>99</v>
      </c>
      <c r="J152" s="28" t="s">
        <v>66</v>
      </c>
      <c r="K152" s="28" t="s">
        <v>76</v>
      </c>
      <c r="L152" s="28" t="s">
        <v>77</v>
      </c>
      <c r="M152" s="28" t="s">
        <v>82</v>
      </c>
      <c r="N152" s="28" t="s">
        <v>83</v>
      </c>
      <c r="O152" s="29" t="n">
        <v>37</v>
      </c>
      <c r="P152" s="30" t="n">
        <v>63.7</v>
      </c>
      <c r="Q152" s="30" t="n">
        <v>35.43</v>
      </c>
      <c r="R152" s="30" t="n">
        <f aca="false">ROUND(O152*P152,2)</f>
        <v>2356.9</v>
      </c>
      <c r="S152" s="30" t="n">
        <f aca="false">ROUND(O152*Q152,2)</f>
        <v>1310.91</v>
      </c>
      <c r="T152" s="30" t="n">
        <f aca="false">ROUND(R152*SUMIFS(Parametros!$E$23:$E$38,Parametros!$B$23:$B$38,J152,Parametros!$C$23:$C$38,C152,Parametros!$D$23:$D$38,D152),2)</f>
        <v>28.28</v>
      </c>
      <c r="U152" s="30" t="n">
        <f aca="false">R152-S152-T152</f>
        <v>1017.71</v>
      </c>
    </row>
    <row r="153" customFormat="false" ht="15" hidden="false" customHeight="false" outlineLevel="0" collapsed="false">
      <c r="A153" s="0" t="n">
        <v>152</v>
      </c>
      <c r="B153" s="27" t="n">
        <v>45334</v>
      </c>
      <c r="C153" s="0" t="n">
        <v>2024</v>
      </c>
      <c r="D153" s="28" t="s">
        <v>61</v>
      </c>
      <c r="E153" s="0" t="n">
        <v>2</v>
      </c>
      <c r="F153" s="28" t="s">
        <v>104</v>
      </c>
      <c r="G153" s="28" t="s">
        <v>105</v>
      </c>
      <c r="H153" s="28" t="s">
        <v>98</v>
      </c>
      <c r="I153" s="28" t="s">
        <v>99</v>
      </c>
      <c r="J153" s="28" t="s">
        <v>71</v>
      </c>
      <c r="K153" s="28" t="s">
        <v>76</v>
      </c>
      <c r="L153" s="28" t="s">
        <v>77</v>
      </c>
      <c r="M153" s="28" t="s">
        <v>82</v>
      </c>
      <c r="N153" s="28" t="s">
        <v>83</v>
      </c>
      <c r="O153" s="29" t="n">
        <v>14</v>
      </c>
      <c r="P153" s="30" t="n">
        <v>63.7</v>
      </c>
      <c r="Q153" s="30" t="n">
        <v>35.43</v>
      </c>
      <c r="R153" s="30" t="n">
        <f aca="false">ROUND(O153*P153,2)</f>
        <v>891.8</v>
      </c>
      <c r="S153" s="30" t="n">
        <f aca="false">ROUND(O153*Q153,2)</f>
        <v>496.02</v>
      </c>
      <c r="T153" s="30" t="n">
        <f aca="false">ROUND(R153*SUMIFS(Parametros!$E$23:$E$38,Parametros!$B$23:$B$38,J153,Parametros!$C$23:$C$38,C153,Parametros!$D$23:$D$38,D153),2)</f>
        <v>37.46</v>
      </c>
      <c r="U153" s="30" t="n">
        <f aca="false">R153-S153-T153</f>
        <v>358.32</v>
      </c>
    </row>
    <row r="154" customFormat="false" ht="15" hidden="false" customHeight="false" outlineLevel="0" collapsed="false">
      <c r="A154" s="0" t="n">
        <v>153</v>
      </c>
      <c r="B154" s="27" t="n">
        <v>45341</v>
      </c>
      <c r="C154" s="0" t="n">
        <v>2024</v>
      </c>
      <c r="D154" s="28" t="s">
        <v>61</v>
      </c>
      <c r="E154" s="0" t="n">
        <v>2</v>
      </c>
      <c r="F154" s="28" t="s">
        <v>104</v>
      </c>
      <c r="G154" s="28" t="s">
        <v>105</v>
      </c>
      <c r="H154" s="28" t="s">
        <v>98</v>
      </c>
      <c r="I154" s="28" t="s">
        <v>99</v>
      </c>
      <c r="J154" s="28" t="s">
        <v>66</v>
      </c>
      <c r="K154" s="28" t="s">
        <v>84</v>
      </c>
      <c r="L154" s="28" t="s">
        <v>85</v>
      </c>
      <c r="M154" s="28" t="s">
        <v>86</v>
      </c>
      <c r="N154" s="28" t="s">
        <v>87</v>
      </c>
      <c r="O154" s="29" t="n">
        <v>16</v>
      </c>
      <c r="P154" s="30" t="n">
        <v>117.6</v>
      </c>
      <c r="Q154" s="30" t="n">
        <v>63.6</v>
      </c>
      <c r="R154" s="30" t="n">
        <f aca="false">ROUND(O154*P154,2)</f>
        <v>1881.6</v>
      </c>
      <c r="S154" s="30" t="n">
        <f aca="false">ROUND(O154*Q154,2)</f>
        <v>1017.6</v>
      </c>
      <c r="T154" s="30" t="n">
        <f aca="false">ROUND(R154*SUMIFS(Parametros!$E$23:$E$38,Parametros!$B$23:$B$38,J154,Parametros!$C$23:$C$38,C154,Parametros!$D$23:$D$38,D154),2)</f>
        <v>22.58</v>
      </c>
      <c r="U154" s="30" t="n">
        <f aca="false">R154-S154-T154</f>
        <v>841.42</v>
      </c>
    </row>
    <row r="155" customFormat="false" ht="15" hidden="false" customHeight="false" outlineLevel="0" collapsed="false">
      <c r="A155" s="0" t="n">
        <v>154</v>
      </c>
      <c r="B155" s="27" t="n">
        <v>45348</v>
      </c>
      <c r="C155" s="0" t="n">
        <v>2024</v>
      </c>
      <c r="D155" s="28" t="s">
        <v>61</v>
      </c>
      <c r="E155" s="0" t="n">
        <v>2</v>
      </c>
      <c r="F155" s="28" t="s">
        <v>104</v>
      </c>
      <c r="G155" s="28" t="s">
        <v>105</v>
      </c>
      <c r="H155" s="28" t="s">
        <v>98</v>
      </c>
      <c r="I155" s="28" t="s">
        <v>99</v>
      </c>
      <c r="J155" s="28" t="s">
        <v>71</v>
      </c>
      <c r="K155" s="28" t="s">
        <v>84</v>
      </c>
      <c r="L155" s="28" t="s">
        <v>85</v>
      </c>
      <c r="M155" s="28" t="s">
        <v>86</v>
      </c>
      <c r="N155" s="28" t="s">
        <v>87</v>
      </c>
      <c r="O155" s="29" t="n">
        <v>6</v>
      </c>
      <c r="P155" s="30" t="n">
        <v>117.6</v>
      </c>
      <c r="Q155" s="30" t="n">
        <v>63.6</v>
      </c>
      <c r="R155" s="30" t="n">
        <f aca="false">ROUND(O155*P155,2)</f>
        <v>705.6</v>
      </c>
      <c r="S155" s="30" t="n">
        <f aca="false">ROUND(O155*Q155,2)</f>
        <v>381.6</v>
      </c>
      <c r="T155" s="30" t="n">
        <f aca="false">ROUND(R155*SUMIFS(Parametros!$E$23:$E$38,Parametros!$B$23:$B$38,J155,Parametros!$C$23:$C$38,C155,Parametros!$D$23:$D$38,D155),2)</f>
        <v>29.64</v>
      </c>
      <c r="U155" s="30" t="n">
        <f aca="false">R155-S155-T155</f>
        <v>294.36</v>
      </c>
    </row>
    <row r="156" customFormat="false" ht="15" hidden="false" customHeight="false" outlineLevel="0" collapsed="false">
      <c r="A156" s="0" t="n">
        <v>155</v>
      </c>
      <c r="B156" s="27" t="n">
        <v>45328</v>
      </c>
      <c r="C156" s="0" t="n">
        <v>2024</v>
      </c>
      <c r="D156" s="28" t="s">
        <v>61</v>
      </c>
      <c r="E156" s="0" t="n">
        <v>2</v>
      </c>
      <c r="F156" s="28" t="s">
        <v>104</v>
      </c>
      <c r="G156" s="28" t="s">
        <v>105</v>
      </c>
      <c r="H156" s="28" t="s">
        <v>98</v>
      </c>
      <c r="I156" s="28" t="s">
        <v>99</v>
      </c>
      <c r="J156" s="28" t="s">
        <v>66</v>
      </c>
      <c r="K156" s="28" t="s">
        <v>84</v>
      </c>
      <c r="L156" s="28" t="s">
        <v>85</v>
      </c>
      <c r="M156" s="28" t="s">
        <v>88</v>
      </c>
      <c r="N156" s="28" t="s">
        <v>89</v>
      </c>
      <c r="O156" s="29" t="n">
        <v>13</v>
      </c>
      <c r="P156" s="30" t="n">
        <v>83.3</v>
      </c>
      <c r="Q156" s="30" t="n">
        <v>48.02</v>
      </c>
      <c r="R156" s="30" t="n">
        <f aca="false">ROUND(O156*P156,2)</f>
        <v>1082.9</v>
      </c>
      <c r="S156" s="30" t="n">
        <f aca="false">ROUND(O156*Q156,2)</f>
        <v>624.26</v>
      </c>
      <c r="T156" s="30" t="n">
        <f aca="false">ROUND(R156*SUMIFS(Parametros!$E$23:$E$38,Parametros!$B$23:$B$38,J156,Parametros!$C$23:$C$38,C156,Parametros!$D$23:$D$38,D156),2)</f>
        <v>12.99</v>
      </c>
      <c r="U156" s="30" t="n">
        <f aca="false">R156-S156-T156</f>
        <v>445.65</v>
      </c>
    </row>
    <row r="157" customFormat="false" ht="15" hidden="false" customHeight="false" outlineLevel="0" collapsed="false">
      <c r="A157" s="0" t="n">
        <v>156</v>
      </c>
      <c r="B157" s="27" t="n">
        <v>45335</v>
      </c>
      <c r="C157" s="0" t="n">
        <v>2024</v>
      </c>
      <c r="D157" s="28" t="s">
        <v>61</v>
      </c>
      <c r="E157" s="0" t="n">
        <v>2</v>
      </c>
      <c r="F157" s="28" t="s">
        <v>104</v>
      </c>
      <c r="G157" s="28" t="s">
        <v>105</v>
      </c>
      <c r="H157" s="28" t="s">
        <v>98</v>
      </c>
      <c r="I157" s="28" t="s">
        <v>99</v>
      </c>
      <c r="J157" s="28" t="s">
        <v>71</v>
      </c>
      <c r="K157" s="28" t="s">
        <v>84</v>
      </c>
      <c r="L157" s="28" t="s">
        <v>85</v>
      </c>
      <c r="M157" s="28" t="s">
        <v>88</v>
      </c>
      <c r="N157" s="28" t="s">
        <v>89</v>
      </c>
      <c r="O157" s="29" t="n">
        <v>5</v>
      </c>
      <c r="P157" s="30" t="n">
        <v>83.3</v>
      </c>
      <c r="Q157" s="30" t="n">
        <v>48.02</v>
      </c>
      <c r="R157" s="30" t="n">
        <f aca="false">ROUND(O157*P157,2)</f>
        <v>416.5</v>
      </c>
      <c r="S157" s="30" t="n">
        <f aca="false">ROUND(O157*Q157,2)</f>
        <v>240.1</v>
      </c>
      <c r="T157" s="30" t="n">
        <f aca="false">ROUND(R157*SUMIFS(Parametros!$E$23:$E$38,Parametros!$B$23:$B$38,J157,Parametros!$C$23:$C$38,C157,Parametros!$D$23:$D$38,D157),2)</f>
        <v>17.49</v>
      </c>
      <c r="U157" s="30" t="n">
        <f aca="false">R157-S157-T157</f>
        <v>158.91</v>
      </c>
    </row>
    <row r="158" customFormat="false" ht="15" hidden="false" customHeight="false" outlineLevel="0" collapsed="false">
      <c r="A158" s="0" t="n">
        <v>157</v>
      </c>
      <c r="B158" s="27" t="n">
        <v>45342</v>
      </c>
      <c r="C158" s="0" t="n">
        <v>2024</v>
      </c>
      <c r="D158" s="28" t="s">
        <v>61</v>
      </c>
      <c r="E158" s="0" t="n">
        <v>2</v>
      </c>
      <c r="F158" s="28" t="s">
        <v>104</v>
      </c>
      <c r="G158" s="28" t="s">
        <v>105</v>
      </c>
      <c r="H158" s="28" t="s">
        <v>98</v>
      </c>
      <c r="I158" s="28" t="s">
        <v>99</v>
      </c>
      <c r="J158" s="28" t="s">
        <v>66</v>
      </c>
      <c r="K158" s="28" t="s">
        <v>90</v>
      </c>
      <c r="L158" s="28" t="s">
        <v>91</v>
      </c>
      <c r="M158" s="28" t="s">
        <v>92</v>
      </c>
      <c r="N158" s="28" t="s">
        <v>93</v>
      </c>
      <c r="O158" s="29" t="n">
        <v>18</v>
      </c>
      <c r="P158" s="30" t="n">
        <v>127.4</v>
      </c>
      <c r="Q158" s="30" t="n">
        <v>76.05</v>
      </c>
      <c r="R158" s="30" t="n">
        <f aca="false">ROUND(O158*P158,2)</f>
        <v>2293.2</v>
      </c>
      <c r="S158" s="30" t="n">
        <f aca="false">ROUND(O158*Q158,2)</f>
        <v>1368.9</v>
      </c>
      <c r="T158" s="30" t="n">
        <f aca="false">ROUND(R158*SUMIFS(Parametros!$E$23:$E$38,Parametros!$B$23:$B$38,J158,Parametros!$C$23:$C$38,C158,Parametros!$D$23:$D$38,D158),2)</f>
        <v>27.52</v>
      </c>
      <c r="U158" s="30" t="n">
        <f aca="false">R158-S158-T158</f>
        <v>896.78</v>
      </c>
    </row>
    <row r="159" customFormat="false" ht="15" hidden="false" customHeight="false" outlineLevel="0" collapsed="false">
      <c r="A159" s="0" t="n">
        <v>158</v>
      </c>
      <c r="B159" s="27" t="n">
        <v>45349</v>
      </c>
      <c r="C159" s="0" t="n">
        <v>2024</v>
      </c>
      <c r="D159" s="28" t="s">
        <v>61</v>
      </c>
      <c r="E159" s="0" t="n">
        <v>2</v>
      </c>
      <c r="F159" s="28" t="s">
        <v>104</v>
      </c>
      <c r="G159" s="28" t="s">
        <v>105</v>
      </c>
      <c r="H159" s="28" t="s">
        <v>98</v>
      </c>
      <c r="I159" s="28" t="s">
        <v>99</v>
      </c>
      <c r="J159" s="28" t="s">
        <v>71</v>
      </c>
      <c r="K159" s="28" t="s">
        <v>90</v>
      </c>
      <c r="L159" s="28" t="s">
        <v>91</v>
      </c>
      <c r="M159" s="28" t="s">
        <v>92</v>
      </c>
      <c r="N159" s="28" t="s">
        <v>93</v>
      </c>
      <c r="O159" s="29" t="n">
        <v>7</v>
      </c>
      <c r="P159" s="30" t="n">
        <v>127.4</v>
      </c>
      <c r="Q159" s="30" t="n">
        <v>76.05</v>
      </c>
      <c r="R159" s="30" t="n">
        <f aca="false">ROUND(O159*P159,2)</f>
        <v>891.8</v>
      </c>
      <c r="S159" s="30" t="n">
        <f aca="false">ROUND(O159*Q159,2)</f>
        <v>532.35</v>
      </c>
      <c r="T159" s="30" t="n">
        <f aca="false">ROUND(R159*SUMIFS(Parametros!$E$23:$E$38,Parametros!$B$23:$B$38,J159,Parametros!$C$23:$C$38,C159,Parametros!$D$23:$D$38,D159),2)</f>
        <v>37.46</v>
      </c>
      <c r="U159" s="30" t="n">
        <f aca="false">R159-S159-T159</f>
        <v>321.99</v>
      </c>
    </row>
    <row r="160" customFormat="false" ht="15" hidden="false" customHeight="false" outlineLevel="0" collapsed="false">
      <c r="A160" s="0" t="n">
        <v>159</v>
      </c>
      <c r="B160" s="27" t="n">
        <v>45329</v>
      </c>
      <c r="C160" s="0" t="n">
        <v>2024</v>
      </c>
      <c r="D160" s="28" t="s">
        <v>61</v>
      </c>
      <c r="E160" s="0" t="n">
        <v>2</v>
      </c>
      <c r="F160" s="28" t="s">
        <v>104</v>
      </c>
      <c r="G160" s="28" t="s">
        <v>105</v>
      </c>
      <c r="H160" s="28" t="s">
        <v>98</v>
      </c>
      <c r="I160" s="28" t="s">
        <v>99</v>
      </c>
      <c r="J160" s="28" t="s">
        <v>66</v>
      </c>
      <c r="K160" s="28" t="s">
        <v>90</v>
      </c>
      <c r="L160" s="28" t="s">
        <v>91</v>
      </c>
      <c r="M160" s="28" t="s">
        <v>94</v>
      </c>
      <c r="N160" s="28" t="s">
        <v>95</v>
      </c>
      <c r="O160" s="29" t="n">
        <v>18</v>
      </c>
      <c r="P160" s="30" t="n">
        <v>34.3</v>
      </c>
      <c r="Q160" s="30" t="n">
        <v>17.85</v>
      </c>
      <c r="R160" s="30" t="n">
        <f aca="false">ROUND(O160*P160,2)</f>
        <v>617.4</v>
      </c>
      <c r="S160" s="30" t="n">
        <f aca="false">ROUND(O160*Q160,2)</f>
        <v>321.3</v>
      </c>
      <c r="T160" s="30" t="n">
        <f aca="false">ROUND(R160*SUMIFS(Parametros!$E$23:$E$38,Parametros!$B$23:$B$38,J160,Parametros!$C$23:$C$38,C160,Parametros!$D$23:$D$38,D160),2)</f>
        <v>7.41</v>
      </c>
      <c r="U160" s="30" t="n">
        <f aca="false">R160-S160-T160</f>
        <v>288.69</v>
      </c>
    </row>
    <row r="161" customFormat="false" ht="15" hidden="false" customHeight="false" outlineLevel="0" collapsed="false">
      <c r="A161" s="0" t="n">
        <v>160</v>
      </c>
      <c r="B161" s="27" t="n">
        <v>45336</v>
      </c>
      <c r="C161" s="0" t="n">
        <v>2024</v>
      </c>
      <c r="D161" s="28" t="s">
        <v>61</v>
      </c>
      <c r="E161" s="0" t="n">
        <v>2</v>
      </c>
      <c r="F161" s="28" t="s">
        <v>104</v>
      </c>
      <c r="G161" s="28" t="s">
        <v>105</v>
      </c>
      <c r="H161" s="28" t="s">
        <v>98</v>
      </c>
      <c r="I161" s="28" t="s">
        <v>99</v>
      </c>
      <c r="J161" s="28" t="s">
        <v>71</v>
      </c>
      <c r="K161" s="28" t="s">
        <v>90</v>
      </c>
      <c r="L161" s="28" t="s">
        <v>91</v>
      </c>
      <c r="M161" s="28" t="s">
        <v>94</v>
      </c>
      <c r="N161" s="28" t="s">
        <v>95</v>
      </c>
      <c r="O161" s="29" t="n">
        <v>7</v>
      </c>
      <c r="P161" s="30" t="n">
        <v>34.3</v>
      </c>
      <c r="Q161" s="30" t="n">
        <v>17.85</v>
      </c>
      <c r="R161" s="30" t="n">
        <f aca="false">ROUND(O161*P161,2)</f>
        <v>240.1</v>
      </c>
      <c r="S161" s="30" t="n">
        <f aca="false">ROUND(O161*Q161,2)</f>
        <v>124.95</v>
      </c>
      <c r="T161" s="30" t="n">
        <f aca="false">ROUND(R161*SUMIFS(Parametros!$E$23:$E$38,Parametros!$B$23:$B$38,J161,Parametros!$C$23:$C$38,C161,Parametros!$D$23:$D$38,D161),2)</f>
        <v>10.08</v>
      </c>
      <c r="U161" s="30" t="n">
        <f aca="false">R161-S161-T161</f>
        <v>105.07</v>
      </c>
    </row>
    <row r="162" customFormat="false" ht="15" hidden="false" customHeight="false" outlineLevel="0" collapsed="false">
      <c r="A162" s="0" t="n">
        <v>161</v>
      </c>
      <c r="B162" s="27" t="n">
        <v>45343</v>
      </c>
      <c r="C162" s="0" t="n">
        <v>2024</v>
      </c>
      <c r="D162" s="28" t="s">
        <v>61</v>
      </c>
      <c r="E162" s="0" t="n">
        <v>2</v>
      </c>
      <c r="F162" s="28" t="s">
        <v>104</v>
      </c>
      <c r="G162" s="28" t="s">
        <v>105</v>
      </c>
      <c r="H162" s="28" t="s">
        <v>100</v>
      </c>
      <c r="I162" s="28" t="s">
        <v>101</v>
      </c>
      <c r="J162" s="28" t="s">
        <v>66</v>
      </c>
      <c r="K162" s="28" t="s">
        <v>67</v>
      </c>
      <c r="L162" s="28" t="s">
        <v>68</v>
      </c>
      <c r="M162" s="28" t="s">
        <v>69</v>
      </c>
      <c r="N162" s="28" t="s">
        <v>70</v>
      </c>
      <c r="O162" s="29" t="n">
        <v>5</v>
      </c>
      <c r="P162" s="30" t="n">
        <v>1176</v>
      </c>
      <c r="Q162" s="30" t="n">
        <v>744</v>
      </c>
      <c r="R162" s="30" t="n">
        <f aca="false">ROUND(O162*P162,2)</f>
        <v>5880</v>
      </c>
      <c r="S162" s="30" t="n">
        <f aca="false">ROUND(O162*Q162,2)</f>
        <v>3720</v>
      </c>
      <c r="T162" s="30" t="n">
        <f aca="false">ROUND(R162*SUMIFS(Parametros!$E$23:$E$38,Parametros!$B$23:$B$38,J162,Parametros!$C$23:$C$38,C162,Parametros!$D$23:$D$38,D162),2)</f>
        <v>70.56</v>
      </c>
      <c r="U162" s="30" t="n">
        <f aca="false">R162-S162-T162</f>
        <v>2089.44</v>
      </c>
    </row>
    <row r="163" customFormat="false" ht="15" hidden="false" customHeight="false" outlineLevel="0" collapsed="false">
      <c r="A163" s="0" t="n">
        <v>162</v>
      </c>
      <c r="B163" s="27" t="n">
        <v>45323</v>
      </c>
      <c r="C163" s="0" t="n">
        <v>2024</v>
      </c>
      <c r="D163" s="28" t="s">
        <v>61</v>
      </c>
      <c r="E163" s="0" t="n">
        <v>2</v>
      </c>
      <c r="F163" s="28" t="s">
        <v>104</v>
      </c>
      <c r="G163" s="28" t="s">
        <v>105</v>
      </c>
      <c r="H163" s="28" t="s">
        <v>100</v>
      </c>
      <c r="I163" s="28" t="s">
        <v>101</v>
      </c>
      <c r="J163" s="28" t="s">
        <v>71</v>
      </c>
      <c r="K163" s="28" t="s">
        <v>67</v>
      </c>
      <c r="L163" s="28" t="s">
        <v>68</v>
      </c>
      <c r="M163" s="28" t="s">
        <v>69</v>
      </c>
      <c r="N163" s="28" t="s">
        <v>70</v>
      </c>
      <c r="O163" s="29" t="n">
        <v>2</v>
      </c>
      <c r="P163" s="30" t="n">
        <v>1176</v>
      </c>
      <c r="Q163" s="30" t="n">
        <v>744</v>
      </c>
      <c r="R163" s="30" t="n">
        <f aca="false">ROUND(O163*P163,2)</f>
        <v>2352</v>
      </c>
      <c r="S163" s="30" t="n">
        <f aca="false">ROUND(O163*Q163,2)</f>
        <v>1488</v>
      </c>
      <c r="T163" s="30" t="n">
        <f aca="false">ROUND(R163*SUMIFS(Parametros!$E$23:$E$38,Parametros!$B$23:$B$38,J163,Parametros!$C$23:$C$38,C163,Parametros!$D$23:$D$38,D163),2)</f>
        <v>98.78</v>
      </c>
      <c r="U163" s="30" t="n">
        <f aca="false">R163-S163-T163</f>
        <v>765.22</v>
      </c>
    </row>
    <row r="164" customFormat="false" ht="15" hidden="false" customHeight="false" outlineLevel="0" collapsed="false">
      <c r="A164" s="0" t="n">
        <v>163</v>
      </c>
      <c r="B164" s="27" t="n">
        <v>45330</v>
      </c>
      <c r="C164" s="0" t="n">
        <v>2024</v>
      </c>
      <c r="D164" s="28" t="s">
        <v>61</v>
      </c>
      <c r="E164" s="0" t="n">
        <v>2</v>
      </c>
      <c r="F164" s="28" t="s">
        <v>104</v>
      </c>
      <c r="G164" s="28" t="s">
        <v>105</v>
      </c>
      <c r="H164" s="28" t="s">
        <v>100</v>
      </c>
      <c r="I164" s="28" t="s">
        <v>101</v>
      </c>
      <c r="J164" s="28" t="s">
        <v>66</v>
      </c>
      <c r="K164" s="28" t="s">
        <v>67</v>
      </c>
      <c r="L164" s="28" t="s">
        <v>68</v>
      </c>
      <c r="M164" s="28" t="s">
        <v>72</v>
      </c>
      <c r="N164" s="28" t="s">
        <v>73</v>
      </c>
      <c r="O164" s="29" t="n">
        <v>6</v>
      </c>
      <c r="P164" s="30" t="n">
        <v>441</v>
      </c>
      <c r="Q164" s="30" t="n">
        <v>272.25</v>
      </c>
      <c r="R164" s="30" t="n">
        <f aca="false">ROUND(O164*P164,2)</f>
        <v>2646</v>
      </c>
      <c r="S164" s="30" t="n">
        <f aca="false">ROUND(O164*Q164,2)</f>
        <v>1633.5</v>
      </c>
      <c r="T164" s="30" t="n">
        <f aca="false">ROUND(R164*SUMIFS(Parametros!$E$23:$E$38,Parametros!$B$23:$B$38,J164,Parametros!$C$23:$C$38,C164,Parametros!$D$23:$D$38,D164),2)</f>
        <v>31.75</v>
      </c>
      <c r="U164" s="30" t="n">
        <f aca="false">R164-S164-T164</f>
        <v>980.75</v>
      </c>
    </row>
    <row r="165" customFormat="false" ht="15" hidden="false" customHeight="false" outlineLevel="0" collapsed="false">
      <c r="A165" s="0" t="n">
        <v>164</v>
      </c>
      <c r="B165" s="27" t="n">
        <v>45337</v>
      </c>
      <c r="C165" s="0" t="n">
        <v>2024</v>
      </c>
      <c r="D165" s="28" t="s">
        <v>61</v>
      </c>
      <c r="E165" s="0" t="n">
        <v>2</v>
      </c>
      <c r="F165" s="28" t="s">
        <v>104</v>
      </c>
      <c r="G165" s="28" t="s">
        <v>105</v>
      </c>
      <c r="H165" s="28" t="s">
        <v>100</v>
      </c>
      <c r="I165" s="28" t="s">
        <v>101</v>
      </c>
      <c r="J165" s="28" t="s">
        <v>71</v>
      </c>
      <c r="K165" s="28" t="s">
        <v>67</v>
      </c>
      <c r="L165" s="28" t="s">
        <v>68</v>
      </c>
      <c r="M165" s="28" t="s">
        <v>72</v>
      </c>
      <c r="N165" s="28" t="s">
        <v>73</v>
      </c>
      <c r="O165" s="29" t="n">
        <v>2</v>
      </c>
      <c r="P165" s="30" t="n">
        <v>441</v>
      </c>
      <c r="Q165" s="30" t="n">
        <v>272.25</v>
      </c>
      <c r="R165" s="30" t="n">
        <f aca="false">ROUND(O165*P165,2)</f>
        <v>882</v>
      </c>
      <c r="S165" s="30" t="n">
        <f aca="false">ROUND(O165*Q165,2)</f>
        <v>544.5</v>
      </c>
      <c r="T165" s="30" t="n">
        <f aca="false">ROUND(R165*SUMIFS(Parametros!$E$23:$E$38,Parametros!$B$23:$B$38,J165,Parametros!$C$23:$C$38,C165,Parametros!$D$23:$D$38,D165),2)</f>
        <v>37.04</v>
      </c>
      <c r="U165" s="30" t="n">
        <f aca="false">R165-S165-T165</f>
        <v>300.46</v>
      </c>
    </row>
    <row r="166" customFormat="false" ht="15" hidden="false" customHeight="false" outlineLevel="0" collapsed="false">
      <c r="A166" s="0" t="n">
        <v>165</v>
      </c>
      <c r="B166" s="27" t="n">
        <v>45344</v>
      </c>
      <c r="C166" s="0" t="n">
        <v>2024</v>
      </c>
      <c r="D166" s="28" t="s">
        <v>61</v>
      </c>
      <c r="E166" s="0" t="n">
        <v>2</v>
      </c>
      <c r="F166" s="28" t="s">
        <v>104</v>
      </c>
      <c r="G166" s="28" t="s">
        <v>105</v>
      </c>
      <c r="H166" s="28" t="s">
        <v>100</v>
      </c>
      <c r="I166" s="28" t="s">
        <v>101</v>
      </c>
      <c r="J166" s="28" t="s">
        <v>66</v>
      </c>
      <c r="K166" s="28" t="s">
        <v>67</v>
      </c>
      <c r="L166" s="28" t="s">
        <v>68</v>
      </c>
      <c r="M166" s="28" t="s">
        <v>74</v>
      </c>
      <c r="N166" s="28" t="s">
        <v>75</v>
      </c>
      <c r="O166" s="29" t="n">
        <v>6</v>
      </c>
      <c r="P166" s="30" t="n">
        <v>1617</v>
      </c>
      <c r="Q166" s="30" t="n">
        <v>1122</v>
      </c>
      <c r="R166" s="30" t="n">
        <f aca="false">ROUND(O166*P166,2)</f>
        <v>9702</v>
      </c>
      <c r="S166" s="30" t="n">
        <f aca="false">ROUND(O166*Q166,2)</f>
        <v>6732</v>
      </c>
      <c r="T166" s="30" t="n">
        <f aca="false">ROUND(R166*SUMIFS(Parametros!$E$23:$E$38,Parametros!$B$23:$B$38,J166,Parametros!$C$23:$C$38,C166,Parametros!$D$23:$D$38,D166),2)</f>
        <v>116.42</v>
      </c>
      <c r="U166" s="30" t="n">
        <f aca="false">R166-S166-T166</f>
        <v>2853.58</v>
      </c>
    </row>
    <row r="167" customFormat="false" ht="15" hidden="false" customHeight="false" outlineLevel="0" collapsed="false">
      <c r="A167" s="0" t="n">
        <v>166</v>
      </c>
      <c r="B167" s="27" t="n">
        <v>45324</v>
      </c>
      <c r="C167" s="0" t="n">
        <v>2024</v>
      </c>
      <c r="D167" s="28" t="s">
        <v>61</v>
      </c>
      <c r="E167" s="0" t="n">
        <v>2</v>
      </c>
      <c r="F167" s="28" t="s">
        <v>104</v>
      </c>
      <c r="G167" s="28" t="s">
        <v>105</v>
      </c>
      <c r="H167" s="28" t="s">
        <v>100</v>
      </c>
      <c r="I167" s="28" t="s">
        <v>101</v>
      </c>
      <c r="J167" s="28" t="s">
        <v>71</v>
      </c>
      <c r="K167" s="28" t="s">
        <v>67</v>
      </c>
      <c r="L167" s="28" t="s">
        <v>68</v>
      </c>
      <c r="M167" s="28" t="s">
        <v>74</v>
      </c>
      <c r="N167" s="28" t="s">
        <v>75</v>
      </c>
      <c r="O167" s="29" t="n">
        <v>2</v>
      </c>
      <c r="P167" s="30" t="n">
        <v>1617</v>
      </c>
      <c r="Q167" s="30" t="n">
        <v>1122</v>
      </c>
      <c r="R167" s="30" t="n">
        <f aca="false">ROUND(O167*P167,2)</f>
        <v>3234</v>
      </c>
      <c r="S167" s="30" t="n">
        <f aca="false">ROUND(O167*Q167,2)</f>
        <v>2244</v>
      </c>
      <c r="T167" s="30" t="n">
        <f aca="false">ROUND(R167*SUMIFS(Parametros!$E$23:$E$38,Parametros!$B$23:$B$38,J167,Parametros!$C$23:$C$38,C167,Parametros!$D$23:$D$38,D167),2)</f>
        <v>135.83</v>
      </c>
      <c r="U167" s="30" t="n">
        <f aca="false">R167-S167-T167</f>
        <v>854.17</v>
      </c>
    </row>
    <row r="168" customFormat="false" ht="15" hidden="false" customHeight="false" outlineLevel="0" collapsed="false">
      <c r="A168" s="0" t="n">
        <v>167</v>
      </c>
      <c r="B168" s="27" t="n">
        <v>45331</v>
      </c>
      <c r="C168" s="0" t="n">
        <v>2024</v>
      </c>
      <c r="D168" s="28" t="s">
        <v>61</v>
      </c>
      <c r="E168" s="0" t="n">
        <v>2</v>
      </c>
      <c r="F168" s="28" t="s">
        <v>104</v>
      </c>
      <c r="G168" s="28" t="s">
        <v>105</v>
      </c>
      <c r="H168" s="28" t="s">
        <v>100</v>
      </c>
      <c r="I168" s="28" t="s">
        <v>101</v>
      </c>
      <c r="J168" s="28" t="s">
        <v>66</v>
      </c>
      <c r="K168" s="28" t="s">
        <v>76</v>
      </c>
      <c r="L168" s="28" t="s">
        <v>77</v>
      </c>
      <c r="M168" s="28" t="s">
        <v>78</v>
      </c>
      <c r="N168" s="28" t="s">
        <v>79</v>
      </c>
      <c r="O168" s="29" t="n">
        <v>24</v>
      </c>
      <c r="P168" s="30" t="n">
        <v>27.44</v>
      </c>
      <c r="Q168" s="30" t="n">
        <v>13.44</v>
      </c>
      <c r="R168" s="30" t="n">
        <f aca="false">ROUND(O168*P168,2)</f>
        <v>658.56</v>
      </c>
      <c r="S168" s="30" t="n">
        <f aca="false">ROUND(O168*Q168,2)</f>
        <v>322.56</v>
      </c>
      <c r="T168" s="30" t="n">
        <f aca="false">ROUND(R168*SUMIFS(Parametros!$E$23:$E$38,Parametros!$B$23:$B$38,J168,Parametros!$C$23:$C$38,C168,Parametros!$D$23:$D$38,D168),2)</f>
        <v>7.9</v>
      </c>
      <c r="U168" s="30" t="n">
        <f aca="false">R168-S168-T168</f>
        <v>328.1</v>
      </c>
    </row>
    <row r="169" customFormat="false" ht="15" hidden="false" customHeight="false" outlineLevel="0" collapsed="false">
      <c r="A169" s="0" t="n">
        <v>168</v>
      </c>
      <c r="B169" s="27" t="n">
        <v>45338</v>
      </c>
      <c r="C169" s="0" t="n">
        <v>2024</v>
      </c>
      <c r="D169" s="28" t="s">
        <v>61</v>
      </c>
      <c r="E169" s="0" t="n">
        <v>2</v>
      </c>
      <c r="F169" s="28" t="s">
        <v>104</v>
      </c>
      <c r="G169" s="28" t="s">
        <v>105</v>
      </c>
      <c r="H169" s="28" t="s">
        <v>100</v>
      </c>
      <c r="I169" s="28" t="s">
        <v>101</v>
      </c>
      <c r="J169" s="28" t="s">
        <v>71</v>
      </c>
      <c r="K169" s="28" t="s">
        <v>76</v>
      </c>
      <c r="L169" s="28" t="s">
        <v>77</v>
      </c>
      <c r="M169" s="28" t="s">
        <v>78</v>
      </c>
      <c r="N169" s="28" t="s">
        <v>79</v>
      </c>
      <c r="O169" s="29" t="n">
        <v>8</v>
      </c>
      <c r="P169" s="30" t="n">
        <v>27.44</v>
      </c>
      <c r="Q169" s="30" t="n">
        <v>13.44</v>
      </c>
      <c r="R169" s="30" t="n">
        <f aca="false">ROUND(O169*P169,2)</f>
        <v>219.52</v>
      </c>
      <c r="S169" s="30" t="n">
        <f aca="false">ROUND(O169*Q169,2)</f>
        <v>107.52</v>
      </c>
      <c r="T169" s="30" t="n">
        <f aca="false">ROUND(R169*SUMIFS(Parametros!$E$23:$E$38,Parametros!$B$23:$B$38,J169,Parametros!$C$23:$C$38,C169,Parametros!$D$23:$D$38,D169),2)</f>
        <v>9.22</v>
      </c>
      <c r="U169" s="30" t="n">
        <f aca="false">R169-S169-T169</f>
        <v>102.78</v>
      </c>
    </row>
    <row r="170" customFormat="false" ht="15" hidden="false" customHeight="false" outlineLevel="0" collapsed="false">
      <c r="A170" s="0" t="n">
        <v>169</v>
      </c>
      <c r="B170" s="27" t="n">
        <v>45345</v>
      </c>
      <c r="C170" s="0" t="n">
        <v>2024</v>
      </c>
      <c r="D170" s="28" t="s">
        <v>61</v>
      </c>
      <c r="E170" s="0" t="n">
        <v>2</v>
      </c>
      <c r="F170" s="28" t="s">
        <v>104</v>
      </c>
      <c r="G170" s="28" t="s">
        <v>105</v>
      </c>
      <c r="H170" s="28" t="s">
        <v>100</v>
      </c>
      <c r="I170" s="28" t="s">
        <v>101</v>
      </c>
      <c r="J170" s="28" t="s">
        <v>66</v>
      </c>
      <c r="K170" s="28" t="s">
        <v>76</v>
      </c>
      <c r="L170" s="28" t="s">
        <v>77</v>
      </c>
      <c r="M170" s="28" t="s">
        <v>80</v>
      </c>
      <c r="N170" s="28" t="s">
        <v>81</v>
      </c>
      <c r="O170" s="29" t="n">
        <v>25</v>
      </c>
      <c r="P170" s="30" t="n">
        <v>93.1</v>
      </c>
      <c r="Q170" s="30" t="n">
        <v>47.98</v>
      </c>
      <c r="R170" s="30" t="n">
        <f aca="false">ROUND(O170*P170,2)</f>
        <v>2327.5</v>
      </c>
      <c r="S170" s="30" t="n">
        <f aca="false">ROUND(O170*Q170,2)</f>
        <v>1199.5</v>
      </c>
      <c r="T170" s="30" t="n">
        <f aca="false">ROUND(R170*SUMIFS(Parametros!$E$23:$E$38,Parametros!$B$23:$B$38,J170,Parametros!$C$23:$C$38,C170,Parametros!$D$23:$D$38,D170),2)</f>
        <v>27.93</v>
      </c>
      <c r="U170" s="30" t="n">
        <f aca="false">R170-S170-T170</f>
        <v>1100.07</v>
      </c>
    </row>
    <row r="171" customFormat="false" ht="15" hidden="false" customHeight="false" outlineLevel="0" collapsed="false">
      <c r="A171" s="0" t="n">
        <v>170</v>
      </c>
      <c r="B171" s="27" t="n">
        <v>45325</v>
      </c>
      <c r="C171" s="0" t="n">
        <v>2024</v>
      </c>
      <c r="D171" s="28" t="s">
        <v>61</v>
      </c>
      <c r="E171" s="0" t="n">
        <v>2</v>
      </c>
      <c r="F171" s="28" t="s">
        <v>104</v>
      </c>
      <c r="G171" s="28" t="s">
        <v>105</v>
      </c>
      <c r="H171" s="28" t="s">
        <v>100</v>
      </c>
      <c r="I171" s="28" t="s">
        <v>101</v>
      </c>
      <c r="J171" s="28" t="s">
        <v>71</v>
      </c>
      <c r="K171" s="28" t="s">
        <v>76</v>
      </c>
      <c r="L171" s="28" t="s">
        <v>77</v>
      </c>
      <c r="M171" s="28" t="s">
        <v>80</v>
      </c>
      <c r="N171" s="28" t="s">
        <v>81</v>
      </c>
      <c r="O171" s="29" t="n">
        <v>10</v>
      </c>
      <c r="P171" s="30" t="n">
        <v>93.1</v>
      </c>
      <c r="Q171" s="30" t="n">
        <v>47.98</v>
      </c>
      <c r="R171" s="30" t="n">
        <f aca="false">ROUND(O171*P171,2)</f>
        <v>931</v>
      </c>
      <c r="S171" s="30" t="n">
        <f aca="false">ROUND(O171*Q171,2)</f>
        <v>479.8</v>
      </c>
      <c r="T171" s="30" t="n">
        <f aca="false">ROUND(R171*SUMIFS(Parametros!$E$23:$E$38,Parametros!$B$23:$B$38,J171,Parametros!$C$23:$C$38,C171,Parametros!$D$23:$D$38,D171),2)</f>
        <v>39.1</v>
      </c>
      <c r="U171" s="30" t="n">
        <f aca="false">R171-S171-T171</f>
        <v>412.1</v>
      </c>
    </row>
    <row r="172" customFormat="false" ht="15" hidden="false" customHeight="false" outlineLevel="0" collapsed="false">
      <c r="A172" s="0" t="n">
        <v>171</v>
      </c>
      <c r="B172" s="27" t="n">
        <v>45332</v>
      </c>
      <c r="C172" s="0" t="n">
        <v>2024</v>
      </c>
      <c r="D172" s="28" t="s">
        <v>61</v>
      </c>
      <c r="E172" s="0" t="n">
        <v>2</v>
      </c>
      <c r="F172" s="28" t="s">
        <v>104</v>
      </c>
      <c r="G172" s="28" t="s">
        <v>105</v>
      </c>
      <c r="H172" s="28" t="s">
        <v>100</v>
      </c>
      <c r="I172" s="28" t="s">
        <v>101</v>
      </c>
      <c r="J172" s="28" t="s">
        <v>66</v>
      </c>
      <c r="K172" s="28" t="s">
        <v>76</v>
      </c>
      <c r="L172" s="28" t="s">
        <v>77</v>
      </c>
      <c r="M172" s="28" t="s">
        <v>82</v>
      </c>
      <c r="N172" s="28" t="s">
        <v>83</v>
      </c>
      <c r="O172" s="29" t="n">
        <v>28</v>
      </c>
      <c r="P172" s="30" t="n">
        <v>63.7</v>
      </c>
      <c r="Q172" s="30" t="n">
        <v>35.43</v>
      </c>
      <c r="R172" s="30" t="n">
        <f aca="false">ROUND(O172*P172,2)</f>
        <v>1783.6</v>
      </c>
      <c r="S172" s="30" t="n">
        <f aca="false">ROUND(O172*Q172,2)</f>
        <v>992.04</v>
      </c>
      <c r="T172" s="30" t="n">
        <f aca="false">ROUND(R172*SUMIFS(Parametros!$E$23:$E$38,Parametros!$B$23:$B$38,J172,Parametros!$C$23:$C$38,C172,Parametros!$D$23:$D$38,D172),2)</f>
        <v>21.4</v>
      </c>
      <c r="U172" s="30" t="n">
        <f aca="false">R172-S172-T172</f>
        <v>770.16</v>
      </c>
    </row>
    <row r="173" customFormat="false" ht="15" hidden="false" customHeight="false" outlineLevel="0" collapsed="false">
      <c r="A173" s="0" t="n">
        <v>172</v>
      </c>
      <c r="B173" s="27" t="n">
        <v>45339</v>
      </c>
      <c r="C173" s="0" t="n">
        <v>2024</v>
      </c>
      <c r="D173" s="28" t="s">
        <v>61</v>
      </c>
      <c r="E173" s="0" t="n">
        <v>2</v>
      </c>
      <c r="F173" s="28" t="s">
        <v>104</v>
      </c>
      <c r="G173" s="28" t="s">
        <v>105</v>
      </c>
      <c r="H173" s="28" t="s">
        <v>100</v>
      </c>
      <c r="I173" s="28" t="s">
        <v>101</v>
      </c>
      <c r="J173" s="28" t="s">
        <v>71</v>
      </c>
      <c r="K173" s="28" t="s">
        <v>76</v>
      </c>
      <c r="L173" s="28" t="s">
        <v>77</v>
      </c>
      <c r="M173" s="28" t="s">
        <v>82</v>
      </c>
      <c r="N173" s="28" t="s">
        <v>83</v>
      </c>
      <c r="O173" s="29" t="n">
        <v>10</v>
      </c>
      <c r="P173" s="30" t="n">
        <v>63.7</v>
      </c>
      <c r="Q173" s="30" t="n">
        <v>35.43</v>
      </c>
      <c r="R173" s="30" t="n">
        <f aca="false">ROUND(O173*P173,2)</f>
        <v>637</v>
      </c>
      <c r="S173" s="30" t="n">
        <f aca="false">ROUND(O173*Q173,2)</f>
        <v>354.3</v>
      </c>
      <c r="T173" s="30" t="n">
        <f aca="false">ROUND(R173*SUMIFS(Parametros!$E$23:$E$38,Parametros!$B$23:$B$38,J173,Parametros!$C$23:$C$38,C173,Parametros!$D$23:$D$38,D173),2)</f>
        <v>26.75</v>
      </c>
      <c r="U173" s="30" t="n">
        <f aca="false">R173-S173-T173</f>
        <v>255.95</v>
      </c>
    </row>
    <row r="174" customFormat="false" ht="15" hidden="false" customHeight="false" outlineLevel="0" collapsed="false">
      <c r="A174" s="0" t="n">
        <v>173</v>
      </c>
      <c r="B174" s="27" t="n">
        <v>45346</v>
      </c>
      <c r="C174" s="0" t="n">
        <v>2024</v>
      </c>
      <c r="D174" s="28" t="s">
        <v>61</v>
      </c>
      <c r="E174" s="0" t="n">
        <v>2</v>
      </c>
      <c r="F174" s="28" t="s">
        <v>104</v>
      </c>
      <c r="G174" s="28" t="s">
        <v>105</v>
      </c>
      <c r="H174" s="28" t="s">
        <v>100</v>
      </c>
      <c r="I174" s="28" t="s">
        <v>101</v>
      </c>
      <c r="J174" s="28" t="s">
        <v>66</v>
      </c>
      <c r="K174" s="28" t="s">
        <v>84</v>
      </c>
      <c r="L174" s="28" t="s">
        <v>85</v>
      </c>
      <c r="M174" s="28" t="s">
        <v>86</v>
      </c>
      <c r="N174" s="28" t="s">
        <v>87</v>
      </c>
      <c r="O174" s="29" t="n">
        <v>12</v>
      </c>
      <c r="P174" s="30" t="n">
        <v>117.6</v>
      </c>
      <c r="Q174" s="30" t="n">
        <v>63.6</v>
      </c>
      <c r="R174" s="30" t="n">
        <f aca="false">ROUND(O174*P174,2)</f>
        <v>1411.2</v>
      </c>
      <c r="S174" s="30" t="n">
        <f aca="false">ROUND(O174*Q174,2)</f>
        <v>763.2</v>
      </c>
      <c r="T174" s="30" t="n">
        <f aca="false">ROUND(R174*SUMIFS(Parametros!$E$23:$E$38,Parametros!$B$23:$B$38,J174,Parametros!$C$23:$C$38,C174,Parametros!$D$23:$D$38,D174),2)</f>
        <v>16.93</v>
      </c>
      <c r="U174" s="30" t="n">
        <f aca="false">R174-S174-T174</f>
        <v>631.07</v>
      </c>
    </row>
    <row r="175" customFormat="false" ht="15" hidden="false" customHeight="false" outlineLevel="0" collapsed="false">
      <c r="A175" s="0" t="n">
        <v>174</v>
      </c>
      <c r="B175" s="27" t="n">
        <v>45326</v>
      </c>
      <c r="C175" s="0" t="n">
        <v>2024</v>
      </c>
      <c r="D175" s="28" t="s">
        <v>61</v>
      </c>
      <c r="E175" s="0" t="n">
        <v>2</v>
      </c>
      <c r="F175" s="28" t="s">
        <v>104</v>
      </c>
      <c r="G175" s="28" t="s">
        <v>105</v>
      </c>
      <c r="H175" s="28" t="s">
        <v>100</v>
      </c>
      <c r="I175" s="28" t="s">
        <v>101</v>
      </c>
      <c r="J175" s="28" t="s">
        <v>71</v>
      </c>
      <c r="K175" s="28" t="s">
        <v>84</v>
      </c>
      <c r="L175" s="28" t="s">
        <v>85</v>
      </c>
      <c r="M175" s="28" t="s">
        <v>86</v>
      </c>
      <c r="N175" s="28" t="s">
        <v>87</v>
      </c>
      <c r="O175" s="29" t="n">
        <v>4</v>
      </c>
      <c r="P175" s="30" t="n">
        <v>117.6</v>
      </c>
      <c r="Q175" s="30" t="n">
        <v>63.6</v>
      </c>
      <c r="R175" s="30" t="n">
        <f aca="false">ROUND(O175*P175,2)</f>
        <v>470.4</v>
      </c>
      <c r="S175" s="30" t="n">
        <f aca="false">ROUND(O175*Q175,2)</f>
        <v>254.4</v>
      </c>
      <c r="T175" s="30" t="n">
        <f aca="false">ROUND(R175*SUMIFS(Parametros!$E$23:$E$38,Parametros!$B$23:$B$38,J175,Parametros!$C$23:$C$38,C175,Parametros!$D$23:$D$38,D175),2)</f>
        <v>19.76</v>
      </c>
      <c r="U175" s="30" t="n">
        <f aca="false">R175-S175-T175</f>
        <v>196.24</v>
      </c>
    </row>
    <row r="176" customFormat="false" ht="15" hidden="false" customHeight="false" outlineLevel="0" collapsed="false">
      <c r="A176" s="0" t="n">
        <v>175</v>
      </c>
      <c r="B176" s="27" t="n">
        <v>45333</v>
      </c>
      <c r="C176" s="0" t="n">
        <v>2024</v>
      </c>
      <c r="D176" s="28" t="s">
        <v>61</v>
      </c>
      <c r="E176" s="0" t="n">
        <v>2</v>
      </c>
      <c r="F176" s="28" t="s">
        <v>104</v>
      </c>
      <c r="G176" s="28" t="s">
        <v>105</v>
      </c>
      <c r="H176" s="28" t="s">
        <v>100</v>
      </c>
      <c r="I176" s="28" t="s">
        <v>101</v>
      </c>
      <c r="J176" s="28" t="s">
        <v>66</v>
      </c>
      <c r="K176" s="28" t="s">
        <v>84</v>
      </c>
      <c r="L176" s="28" t="s">
        <v>85</v>
      </c>
      <c r="M176" s="28" t="s">
        <v>88</v>
      </c>
      <c r="N176" s="28" t="s">
        <v>89</v>
      </c>
      <c r="O176" s="29" t="n">
        <v>12</v>
      </c>
      <c r="P176" s="30" t="n">
        <v>83.3</v>
      </c>
      <c r="Q176" s="30" t="n">
        <v>48.02</v>
      </c>
      <c r="R176" s="30" t="n">
        <f aca="false">ROUND(O176*P176,2)</f>
        <v>999.6</v>
      </c>
      <c r="S176" s="30" t="n">
        <f aca="false">ROUND(O176*Q176,2)</f>
        <v>576.24</v>
      </c>
      <c r="T176" s="30" t="n">
        <f aca="false">ROUND(R176*SUMIFS(Parametros!$E$23:$E$38,Parametros!$B$23:$B$38,J176,Parametros!$C$23:$C$38,C176,Parametros!$D$23:$D$38,D176),2)</f>
        <v>12</v>
      </c>
      <c r="U176" s="30" t="n">
        <f aca="false">R176-S176-T176</f>
        <v>411.36</v>
      </c>
    </row>
    <row r="177" customFormat="false" ht="15" hidden="false" customHeight="false" outlineLevel="0" collapsed="false">
      <c r="A177" s="0" t="n">
        <v>176</v>
      </c>
      <c r="B177" s="27" t="n">
        <v>45340</v>
      </c>
      <c r="C177" s="0" t="n">
        <v>2024</v>
      </c>
      <c r="D177" s="28" t="s">
        <v>61</v>
      </c>
      <c r="E177" s="0" t="n">
        <v>2</v>
      </c>
      <c r="F177" s="28" t="s">
        <v>104</v>
      </c>
      <c r="G177" s="28" t="s">
        <v>105</v>
      </c>
      <c r="H177" s="28" t="s">
        <v>100</v>
      </c>
      <c r="I177" s="28" t="s">
        <v>101</v>
      </c>
      <c r="J177" s="28" t="s">
        <v>71</v>
      </c>
      <c r="K177" s="28" t="s">
        <v>84</v>
      </c>
      <c r="L177" s="28" t="s">
        <v>85</v>
      </c>
      <c r="M177" s="28" t="s">
        <v>88</v>
      </c>
      <c r="N177" s="28" t="s">
        <v>89</v>
      </c>
      <c r="O177" s="29" t="n">
        <v>4</v>
      </c>
      <c r="P177" s="30" t="n">
        <v>83.3</v>
      </c>
      <c r="Q177" s="30" t="n">
        <v>48.02</v>
      </c>
      <c r="R177" s="30" t="n">
        <f aca="false">ROUND(O177*P177,2)</f>
        <v>333.2</v>
      </c>
      <c r="S177" s="30" t="n">
        <f aca="false">ROUND(O177*Q177,2)</f>
        <v>192.08</v>
      </c>
      <c r="T177" s="30" t="n">
        <f aca="false">ROUND(R177*SUMIFS(Parametros!$E$23:$E$38,Parametros!$B$23:$B$38,J177,Parametros!$C$23:$C$38,C177,Parametros!$D$23:$D$38,D177),2)</f>
        <v>13.99</v>
      </c>
      <c r="U177" s="30" t="n">
        <f aca="false">R177-S177-T177</f>
        <v>127.13</v>
      </c>
    </row>
    <row r="178" customFormat="false" ht="15" hidden="false" customHeight="false" outlineLevel="0" collapsed="false">
      <c r="A178" s="0" t="n">
        <v>177</v>
      </c>
      <c r="B178" s="27" t="n">
        <v>45347</v>
      </c>
      <c r="C178" s="0" t="n">
        <v>2024</v>
      </c>
      <c r="D178" s="28" t="s">
        <v>61</v>
      </c>
      <c r="E178" s="0" t="n">
        <v>2</v>
      </c>
      <c r="F178" s="28" t="s">
        <v>104</v>
      </c>
      <c r="G178" s="28" t="s">
        <v>105</v>
      </c>
      <c r="H178" s="28" t="s">
        <v>100</v>
      </c>
      <c r="I178" s="28" t="s">
        <v>101</v>
      </c>
      <c r="J178" s="28" t="s">
        <v>66</v>
      </c>
      <c r="K178" s="28" t="s">
        <v>90</v>
      </c>
      <c r="L178" s="28" t="s">
        <v>91</v>
      </c>
      <c r="M178" s="28" t="s">
        <v>92</v>
      </c>
      <c r="N178" s="28" t="s">
        <v>93</v>
      </c>
      <c r="O178" s="29" t="n">
        <v>14</v>
      </c>
      <c r="P178" s="30" t="n">
        <v>127.4</v>
      </c>
      <c r="Q178" s="30" t="n">
        <v>76.05</v>
      </c>
      <c r="R178" s="30" t="n">
        <f aca="false">ROUND(O178*P178,2)</f>
        <v>1783.6</v>
      </c>
      <c r="S178" s="30" t="n">
        <f aca="false">ROUND(O178*Q178,2)</f>
        <v>1064.7</v>
      </c>
      <c r="T178" s="30" t="n">
        <f aca="false">ROUND(R178*SUMIFS(Parametros!$E$23:$E$38,Parametros!$B$23:$B$38,J178,Parametros!$C$23:$C$38,C178,Parametros!$D$23:$D$38,D178),2)</f>
        <v>21.4</v>
      </c>
      <c r="U178" s="30" t="n">
        <f aca="false">R178-S178-T178</f>
        <v>697.5</v>
      </c>
    </row>
    <row r="179" customFormat="false" ht="15" hidden="false" customHeight="false" outlineLevel="0" collapsed="false">
      <c r="A179" s="0" t="n">
        <v>178</v>
      </c>
      <c r="B179" s="27" t="n">
        <v>45327</v>
      </c>
      <c r="C179" s="0" t="n">
        <v>2024</v>
      </c>
      <c r="D179" s="28" t="s">
        <v>61</v>
      </c>
      <c r="E179" s="0" t="n">
        <v>2</v>
      </c>
      <c r="F179" s="28" t="s">
        <v>104</v>
      </c>
      <c r="G179" s="28" t="s">
        <v>105</v>
      </c>
      <c r="H179" s="28" t="s">
        <v>100</v>
      </c>
      <c r="I179" s="28" t="s">
        <v>101</v>
      </c>
      <c r="J179" s="28" t="s">
        <v>71</v>
      </c>
      <c r="K179" s="28" t="s">
        <v>90</v>
      </c>
      <c r="L179" s="28" t="s">
        <v>91</v>
      </c>
      <c r="M179" s="28" t="s">
        <v>92</v>
      </c>
      <c r="N179" s="28" t="s">
        <v>93</v>
      </c>
      <c r="O179" s="29" t="n">
        <v>6</v>
      </c>
      <c r="P179" s="30" t="n">
        <v>127.4</v>
      </c>
      <c r="Q179" s="30" t="n">
        <v>76.05</v>
      </c>
      <c r="R179" s="30" t="n">
        <f aca="false">ROUND(O179*P179,2)</f>
        <v>764.4</v>
      </c>
      <c r="S179" s="30" t="n">
        <f aca="false">ROUND(O179*Q179,2)</f>
        <v>456.3</v>
      </c>
      <c r="T179" s="30" t="n">
        <f aca="false">ROUND(R179*SUMIFS(Parametros!$E$23:$E$38,Parametros!$B$23:$B$38,J179,Parametros!$C$23:$C$38,C179,Parametros!$D$23:$D$38,D179),2)</f>
        <v>32.1</v>
      </c>
      <c r="U179" s="30" t="n">
        <f aca="false">R179-S179-T179</f>
        <v>276</v>
      </c>
    </row>
    <row r="180" customFormat="false" ht="15" hidden="false" customHeight="false" outlineLevel="0" collapsed="false">
      <c r="A180" s="0" t="n">
        <v>179</v>
      </c>
      <c r="B180" s="27" t="n">
        <v>45334</v>
      </c>
      <c r="C180" s="0" t="n">
        <v>2024</v>
      </c>
      <c r="D180" s="28" t="s">
        <v>61</v>
      </c>
      <c r="E180" s="0" t="n">
        <v>2</v>
      </c>
      <c r="F180" s="28" t="s">
        <v>104</v>
      </c>
      <c r="G180" s="28" t="s">
        <v>105</v>
      </c>
      <c r="H180" s="28" t="s">
        <v>100</v>
      </c>
      <c r="I180" s="28" t="s">
        <v>101</v>
      </c>
      <c r="J180" s="28" t="s">
        <v>66</v>
      </c>
      <c r="K180" s="28" t="s">
        <v>90</v>
      </c>
      <c r="L180" s="28" t="s">
        <v>91</v>
      </c>
      <c r="M180" s="28" t="s">
        <v>94</v>
      </c>
      <c r="N180" s="28" t="s">
        <v>95</v>
      </c>
      <c r="O180" s="29" t="n">
        <v>13</v>
      </c>
      <c r="P180" s="30" t="n">
        <v>34.3</v>
      </c>
      <c r="Q180" s="30" t="n">
        <v>17.85</v>
      </c>
      <c r="R180" s="30" t="n">
        <f aca="false">ROUND(O180*P180,2)</f>
        <v>445.9</v>
      </c>
      <c r="S180" s="30" t="n">
        <f aca="false">ROUND(O180*Q180,2)</f>
        <v>232.05</v>
      </c>
      <c r="T180" s="30" t="n">
        <f aca="false">ROUND(R180*SUMIFS(Parametros!$E$23:$E$38,Parametros!$B$23:$B$38,J180,Parametros!$C$23:$C$38,C180,Parametros!$D$23:$D$38,D180),2)</f>
        <v>5.35</v>
      </c>
      <c r="U180" s="30" t="n">
        <f aca="false">R180-S180-T180</f>
        <v>208.5</v>
      </c>
    </row>
    <row r="181" customFormat="false" ht="15" hidden="false" customHeight="false" outlineLevel="0" collapsed="false">
      <c r="A181" s="0" t="n">
        <v>180</v>
      </c>
      <c r="B181" s="27" t="n">
        <v>45341</v>
      </c>
      <c r="C181" s="0" t="n">
        <v>2024</v>
      </c>
      <c r="D181" s="28" t="s">
        <v>61</v>
      </c>
      <c r="E181" s="0" t="n">
        <v>2</v>
      </c>
      <c r="F181" s="28" t="s">
        <v>104</v>
      </c>
      <c r="G181" s="28" t="s">
        <v>105</v>
      </c>
      <c r="H181" s="28" t="s">
        <v>100</v>
      </c>
      <c r="I181" s="28" t="s">
        <v>101</v>
      </c>
      <c r="J181" s="28" t="s">
        <v>71</v>
      </c>
      <c r="K181" s="28" t="s">
        <v>90</v>
      </c>
      <c r="L181" s="28" t="s">
        <v>91</v>
      </c>
      <c r="M181" s="28" t="s">
        <v>94</v>
      </c>
      <c r="N181" s="28" t="s">
        <v>95</v>
      </c>
      <c r="O181" s="29" t="n">
        <v>5</v>
      </c>
      <c r="P181" s="30" t="n">
        <v>34.3</v>
      </c>
      <c r="Q181" s="30" t="n">
        <v>17.85</v>
      </c>
      <c r="R181" s="30" t="n">
        <f aca="false">ROUND(O181*P181,2)</f>
        <v>171.5</v>
      </c>
      <c r="S181" s="30" t="n">
        <f aca="false">ROUND(O181*Q181,2)</f>
        <v>89.25</v>
      </c>
      <c r="T181" s="30" t="n">
        <f aca="false">ROUND(R181*SUMIFS(Parametros!$E$23:$E$38,Parametros!$B$23:$B$38,J181,Parametros!$C$23:$C$38,C181,Parametros!$D$23:$D$38,D181),2)</f>
        <v>7.2</v>
      </c>
      <c r="U181" s="30" t="n">
        <f aca="false">R181-S181-T181</f>
        <v>75.05</v>
      </c>
    </row>
    <row r="182" customFormat="false" ht="15" hidden="false" customHeight="false" outlineLevel="0" collapsed="false">
      <c r="A182" s="0" t="n">
        <v>181</v>
      </c>
      <c r="B182" s="27" t="n">
        <v>45348</v>
      </c>
      <c r="C182" s="0" t="n">
        <v>2024</v>
      </c>
      <c r="D182" s="28" t="s">
        <v>61</v>
      </c>
      <c r="E182" s="0" t="n">
        <v>2</v>
      </c>
      <c r="F182" s="28" t="s">
        <v>104</v>
      </c>
      <c r="G182" s="28" t="s">
        <v>105</v>
      </c>
      <c r="H182" s="28" t="s">
        <v>102</v>
      </c>
      <c r="I182" s="28" t="s">
        <v>103</v>
      </c>
      <c r="J182" s="28" t="s">
        <v>66</v>
      </c>
      <c r="K182" s="28" t="s">
        <v>67</v>
      </c>
      <c r="L182" s="28" t="s">
        <v>68</v>
      </c>
      <c r="M182" s="28" t="s">
        <v>69</v>
      </c>
      <c r="N182" s="28" t="s">
        <v>70</v>
      </c>
      <c r="O182" s="29" t="n">
        <v>5</v>
      </c>
      <c r="P182" s="30" t="n">
        <v>1176</v>
      </c>
      <c r="Q182" s="30" t="n">
        <v>744</v>
      </c>
      <c r="R182" s="30" t="n">
        <f aca="false">ROUND(O182*P182,2)</f>
        <v>5880</v>
      </c>
      <c r="S182" s="30" t="n">
        <f aca="false">ROUND(O182*Q182,2)</f>
        <v>3720</v>
      </c>
      <c r="T182" s="30" t="n">
        <f aca="false">ROUND(R182*SUMIFS(Parametros!$E$23:$E$38,Parametros!$B$23:$B$38,J182,Parametros!$C$23:$C$38,C182,Parametros!$D$23:$D$38,D182),2)</f>
        <v>70.56</v>
      </c>
      <c r="U182" s="30" t="n">
        <f aca="false">R182-S182-T182</f>
        <v>2089.44</v>
      </c>
    </row>
    <row r="183" customFormat="false" ht="15" hidden="false" customHeight="false" outlineLevel="0" collapsed="false">
      <c r="A183" s="0" t="n">
        <v>182</v>
      </c>
      <c r="B183" s="27" t="n">
        <v>45328</v>
      </c>
      <c r="C183" s="0" t="n">
        <v>2024</v>
      </c>
      <c r="D183" s="28" t="s">
        <v>61</v>
      </c>
      <c r="E183" s="0" t="n">
        <v>2</v>
      </c>
      <c r="F183" s="28" t="s">
        <v>104</v>
      </c>
      <c r="G183" s="28" t="s">
        <v>105</v>
      </c>
      <c r="H183" s="28" t="s">
        <v>102</v>
      </c>
      <c r="I183" s="28" t="s">
        <v>103</v>
      </c>
      <c r="J183" s="28" t="s">
        <v>71</v>
      </c>
      <c r="K183" s="28" t="s">
        <v>67</v>
      </c>
      <c r="L183" s="28" t="s">
        <v>68</v>
      </c>
      <c r="M183" s="28" t="s">
        <v>69</v>
      </c>
      <c r="N183" s="28" t="s">
        <v>70</v>
      </c>
      <c r="O183" s="29" t="n">
        <v>2</v>
      </c>
      <c r="P183" s="30" t="n">
        <v>1176</v>
      </c>
      <c r="Q183" s="30" t="n">
        <v>744</v>
      </c>
      <c r="R183" s="30" t="n">
        <f aca="false">ROUND(O183*P183,2)</f>
        <v>2352</v>
      </c>
      <c r="S183" s="30" t="n">
        <f aca="false">ROUND(O183*Q183,2)</f>
        <v>1488</v>
      </c>
      <c r="T183" s="30" t="n">
        <f aca="false">ROUND(R183*SUMIFS(Parametros!$E$23:$E$38,Parametros!$B$23:$B$38,J183,Parametros!$C$23:$C$38,C183,Parametros!$D$23:$D$38,D183),2)</f>
        <v>98.78</v>
      </c>
      <c r="U183" s="30" t="n">
        <f aca="false">R183-S183-T183</f>
        <v>765.22</v>
      </c>
    </row>
    <row r="184" customFormat="false" ht="15" hidden="false" customHeight="false" outlineLevel="0" collapsed="false">
      <c r="A184" s="0" t="n">
        <v>183</v>
      </c>
      <c r="B184" s="27" t="n">
        <v>45335</v>
      </c>
      <c r="C184" s="0" t="n">
        <v>2024</v>
      </c>
      <c r="D184" s="28" t="s">
        <v>61</v>
      </c>
      <c r="E184" s="0" t="n">
        <v>2</v>
      </c>
      <c r="F184" s="28" t="s">
        <v>104</v>
      </c>
      <c r="G184" s="28" t="s">
        <v>105</v>
      </c>
      <c r="H184" s="28" t="s">
        <v>102</v>
      </c>
      <c r="I184" s="28" t="s">
        <v>103</v>
      </c>
      <c r="J184" s="28" t="s">
        <v>66</v>
      </c>
      <c r="K184" s="28" t="s">
        <v>67</v>
      </c>
      <c r="L184" s="28" t="s">
        <v>68</v>
      </c>
      <c r="M184" s="28" t="s">
        <v>72</v>
      </c>
      <c r="N184" s="28" t="s">
        <v>73</v>
      </c>
      <c r="O184" s="29" t="n">
        <v>5</v>
      </c>
      <c r="P184" s="30" t="n">
        <v>441</v>
      </c>
      <c r="Q184" s="30" t="n">
        <v>272.25</v>
      </c>
      <c r="R184" s="30" t="n">
        <f aca="false">ROUND(O184*P184,2)</f>
        <v>2205</v>
      </c>
      <c r="S184" s="30" t="n">
        <f aca="false">ROUND(O184*Q184,2)</f>
        <v>1361.25</v>
      </c>
      <c r="T184" s="30" t="n">
        <f aca="false">ROUND(R184*SUMIFS(Parametros!$E$23:$E$38,Parametros!$B$23:$B$38,J184,Parametros!$C$23:$C$38,C184,Parametros!$D$23:$D$38,D184),2)</f>
        <v>26.46</v>
      </c>
      <c r="U184" s="30" t="n">
        <f aca="false">R184-S184-T184</f>
        <v>817.29</v>
      </c>
    </row>
    <row r="185" customFormat="false" ht="15" hidden="false" customHeight="false" outlineLevel="0" collapsed="false">
      <c r="A185" s="0" t="n">
        <v>184</v>
      </c>
      <c r="B185" s="27" t="n">
        <v>45342</v>
      </c>
      <c r="C185" s="0" t="n">
        <v>2024</v>
      </c>
      <c r="D185" s="28" t="s">
        <v>61</v>
      </c>
      <c r="E185" s="0" t="n">
        <v>2</v>
      </c>
      <c r="F185" s="28" t="s">
        <v>104</v>
      </c>
      <c r="G185" s="28" t="s">
        <v>105</v>
      </c>
      <c r="H185" s="28" t="s">
        <v>102</v>
      </c>
      <c r="I185" s="28" t="s">
        <v>103</v>
      </c>
      <c r="J185" s="28" t="s">
        <v>71</v>
      </c>
      <c r="K185" s="28" t="s">
        <v>67</v>
      </c>
      <c r="L185" s="28" t="s">
        <v>68</v>
      </c>
      <c r="M185" s="28" t="s">
        <v>72</v>
      </c>
      <c r="N185" s="28" t="s">
        <v>73</v>
      </c>
      <c r="O185" s="29" t="n">
        <v>2</v>
      </c>
      <c r="P185" s="30" t="n">
        <v>441</v>
      </c>
      <c r="Q185" s="30" t="n">
        <v>272.25</v>
      </c>
      <c r="R185" s="30" t="n">
        <f aca="false">ROUND(O185*P185,2)</f>
        <v>882</v>
      </c>
      <c r="S185" s="30" t="n">
        <f aca="false">ROUND(O185*Q185,2)</f>
        <v>544.5</v>
      </c>
      <c r="T185" s="30" t="n">
        <f aca="false">ROUND(R185*SUMIFS(Parametros!$E$23:$E$38,Parametros!$B$23:$B$38,J185,Parametros!$C$23:$C$38,C185,Parametros!$D$23:$D$38,D185),2)</f>
        <v>37.04</v>
      </c>
      <c r="U185" s="30" t="n">
        <f aca="false">R185-S185-T185</f>
        <v>300.46</v>
      </c>
    </row>
    <row r="186" customFormat="false" ht="15" hidden="false" customHeight="false" outlineLevel="0" collapsed="false">
      <c r="A186" s="0" t="n">
        <v>185</v>
      </c>
      <c r="B186" s="27" t="n">
        <v>45349</v>
      </c>
      <c r="C186" s="0" t="n">
        <v>2024</v>
      </c>
      <c r="D186" s="28" t="s">
        <v>61</v>
      </c>
      <c r="E186" s="0" t="n">
        <v>2</v>
      </c>
      <c r="F186" s="28" t="s">
        <v>104</v>
      </c>
      <c r="G186" s="28" t="s">
        <v>105</v>
      </c>
      <c r="H186" s="28" t="s">
        <v>102</v>
      </c>
      <c r="I186" s="28" t="s">
        <v>103</v>
      </c>
      <c r="J186" s="28" t="s">
        <v>66</v>
      </c>
      <c r="K186" s="28" t="s">
        <v>67</v>
      </c>
      <c r="L186" s="28" t="s">
        <v>68</v>
      </c>
      <c r="M186" s="28" t="s">
        <v>74</v>
      </c>
      <c r="N186" s="28" t="s">
        <v>75</v>
      </c>
      <c r="O186" s="29" t="n">
        <v>4</v>
      </c>
      <c r="P186" s="30" t="n">
        <v>1617</v>
      </c>
      <c r="Q186" s="30" t="n">
        <v>1122</v>
      </c>
      <c r="R186" s="30" t="n">
        <f aca="false">ROUND(O186*P186,2)</f>
        <v>6468</v>
      </c>
      <c r="S186" s="30" t="n">
        <f aca="false">ROUND(O186*Q186,2)</f>
        <v>4488</v>
      </c>
      <c r="T186" s="30" t="n">
        <f aca="false">ROUND(R186*SUMIFS(Parametros!$E$23:$E$38,Parametros!$B$23:$B$38,J186,Parametros!$C$23:$C$38,C186,Parametros!$D$23:$D$38,D186),2)</f>
        <v>77.62</v>
      </c>
      <c r="U186" s="30" t="n">
        <f aca="false">R186-S186-T186</f>
        <v>1902.38</v>
      </c>
    </row>
    <row r="187" customFormat="false" ht="15" hidden="false" customHeight="false" outlineLevel="0" collapsed="false">
      <c r="A187" s="0" t="n">
        <v>186</v>
      </c>
      <c r="B187" s="27" t="n">
        <v>45329</v>
      </c>
      <c r="C187" s="0" t="n">
        <v>2024</v>
      </c>
      <c r="D187" s="28" t="s">
        <v>61</v>
      </c>
      <c r="E187" s="0" t="n">
        <v>2</v>
      </c>
      <c r="F187" s="28" t="s">
        <v>104</v>
      </c>
      <c r="G187" s="28" t="s">
        <v>105</v>
      </c>
      <c r="H187" s="28" t="s">
        <v>102</v>
      </c>
      <c r="I187" s="28" t="s">
        <v>103</v>
      </c>
      <c r="J187" s="28" t="s">
        <v>71</v>
      </c>
      <c r="K187" s="28" t="s">
        <v>67</v>
      </c>
      <c r="L187" s="28" t="s">
        <v>68</v>
      </c>
      <c r="M187" s="28" t="s">
        <v>74</v>
      </c>
      <c r="N187" s="28" t="s">
        <v>75</v>
      </c>
      <c r="O187" s="29" t="n">
        <v>2</v>
      </c>
      <c r="P187" s="30" t="n">
        <v>1617</v>
      </c>
      <c r="Q187" s="30" t="n">
        <v>1122</v>
      </c>
      <c r="R187" s="30" t="n">
        <f aca="false">ROUND(O187*P187,2)</f>
        <v>3234</v>
      </c>
      <c r="S187" s="30" t="n">
        <f aca="false">ROUND(O187*Q187,2)</f>
        <v>2244</v>
      </c>
      <c r="T187" s="30" t="n">
        <f aca="false">ROUND(R187*SUMIFS(Parametros!$E$23:$E$38,Parametros!$B$23:$B$38,J187,Parametros!$C$23:$C$38,C187,Parametros!$D$23:$D$38,D187),2)</f>
        <v>135.83</v>
      </c>
      <c r="U187" s="30" t="n">
        <f aca="false">R187-S187-T187</f>
        <v>854.17</v>
      </c>
    </row>
    <row r="188" customFormat="false" ht="15" hidden="false" customHeight="false" outlineLevel="0" collapsed="false">
      <c r="A188" s="0" t="n">
        <v>187</v>
      </c>
      <c r="B188" s="27" t="n">
        <v>45336</v>
      </c>
      <c r="C188" s="0" t="n">
        <v>2024</v>
      </c>
      <c r="D188" s="28" t="s">
        <v>61</v>
      </c>
      <c r="E188" s="0" t="n">
        <v>2</v>
      </c>
      <c r="F188" s="28" t="s">
        <v>104</v>
      </c>
      <c r="G188" s="28" t="s">
        <v>105</v>
      </c>
      <c r="H188" s="28" t="s">
        <v>102</v>
      </c>
      <c r="I188" s="28" t="s">
        <v>103</v>
      </c>
      <c r="J188" s="28" t="s">
        <v>66</v>
      </c>
      <c r="K188" s="28" t="s">
        <v>76</v>
      </c>
      <c r="L188" s="28" t="s">
        <v>77</v>
      </c>
      <c r="M188" s="28" t="s">
        <v>78</v>
      </c>
      <c r="N188" s="28" t="s">
        <v>79</v>
      </c>
      <c r="O188" s="29" t="n">
        <v>22</v>
      </c>
      <c r="P188" s="30" t="n">
        <v>27.44</v>
      </c>
      <c r="Q188" s="30" t="n">
        <v>13.44</v>
      </c>
      <c r="R188" s="30" t="n">
        <f aca="false">ROUND(O188*P188,2)</f>
        <v>603.68</v>
      </c>
      <c r="S188" s="30" t="n">
        <f aca="false">ROUND(O188*Q188,2)</f>
        <v>295.68</v>
      </c>
      <c r="T188" s="30" t="n">
        <f aca="false">ROUND(R188*SUMIFS(Parametros!$E$23:$E$38,Parametros!$B$23:$B$38,J188,Parametros!$C$23:$C$38,C188,Parametros!$D$23:$D$38,D188),2)</f>
        <v>7.24</v>
      </c>
      <c r="U188" s="30" t="n">
        <f aca="false">R188-S188-T188</f>
        <v>300.76</v>
      </c>
    </row>
    <row r="189" customFormat="false" ht="15" hidden="false" customHeight="false" outlineLevel="0" collapsed="false">
      <c r="A189" s="0" t="n">
        <v>188</v>
      </c>
      <c r="B189" s="27" t="n">
        <v>45343</v>
      </c>
      <c r="C189" s="0" t="n">
        <v>2024</v>
      </c>
      <c r="D189" s="28" t="s">
        <v>61</v>
      </c>
      <c r="E189" s="0" t="n">
        <v>2</v>
      </c>
      <c r="F189" s="28" t="s">
        <v>104</v>
      </c>
      <c r="G189" s="28" t="s">
        <v>105</v>
      </c>
      <c r="H189" s="28" t="s">
        <v>102</v>
      </c>
      <c r="I189" s="28" t="s">
        <v>103</v>
      </c>
      <c r="J189" s="28" t="s">
        <v>71</v>
      </c>
      <c r="K189" s="28" t="s">
        <v>76</v>
      </c>
      <c r="L189" s="28" t="s">
        <v>77</v>
      </c>
      <c r="M189" s="28" t="s">
        <v>78</v>
      </c>
      <c r="N189" s="28" t="s">
        <v>79</v>
      </c>
      <c r="O189" s="29" t="n">
        <v>9</v>
      </c>
      <c r="P189" s="30" t="n">
        <v>27.44</v>
      </c>
      <c r="Q189" s="30" t="n">
        <v>13.44</v>
      </c>
      <c r="R189" s="30" t="n">
        <f aca="false">ROUND(O189*P189,2)</f>
        <v>246.96</v>
      </c>
      <c r="S189" s="30" t="n">
        <f aca="false">ROUND(O189*Q189,2)</f>
        <v>120.96</v>
      </c>
      <c r="T189" s="30" t="n">
        <f aca="false">ROUND(R189*SUMIFS(Parametros!$E$23:$E$38,Parametros!$B$23:$B$38,J189,Parametros!$C$23:$C$38,C189,Parametros!$D$23:$D$38,D189),2)</f>
        <v>10.37</v>
      </c>
      <c r="U189" s="30" t="n">
        <f aca="false">R189-S189-T189</f>
        <v>115.63</v>
      </c>
    </row>
    <row r="190" customFormat="false" ht="15" hidden="false" customHeight="false" outlineLevel="0" collapsed="false">
      <c r="A190" s="0" t="n">
        <v>189</v>
      </c>
      <c r="B190" s="27" t="n">
        <v>45323</v>
      </c>
      <c r="C190" s="0" t="n">
        <v>2024</v>
      </c>
      <c r="D190" s="28" t="s">
        <v>61</v>
      </c>
      <c r="E190" s="0" t="n">
        <v>2</v>
      </c>
      <c r="F190" s="28" t="s">
        <v>104</v>
      </c>
      <c r="G190" s="28" t="s">
        <v>105</v>
      </c>
      <c r="H190" s="28" t="s">
        <v>102</v>
      </c>
      <c r="I190" s="28" t="s">
        <v>103</v>
      </c>
      <c r="J190" s="28" t="s">
        <v>66</v>
      </c>
      <c r="K190" s="28" t="s">
        <v>76</v>
      </c>
      <c r="L190" s="28" t="s">
        <v>77</v>
      </c>
      <c r="M190" s="28" t="s">
        <v>80</v>
      </c>
      <c r="N190" s="28" t="s">
        <v>81</v>
      </c>
      <c r="O190" s="29" t="n">
        <v>21</v>
      </c>
      <c r="P190" s="30" t="n">
        <v>93.1</v>
      </c>
      <c r="Q190" s="30" t="n">
        <v>47.98</v>
      </c>
      <c r="R190" s="30" t="n">
        <f aca="false">ROUND(O190*P190,2)</f>
        <v>1955.1</v>
      </c>
      <c r="S190" s="30" t="n">
        <f aca="false">ROUND(O190*Q190,2)</f>
        <v>1007.58</v>
      </c>
      <c r="T190" s="30" t="n">
        <f aca="false">ROUND(R190*SUMIFS(Parametros!$E$23:$E$38,Parametros!$B$23:$B$38,J190,Parametros!$C$23:$C$38,C190,Parametros!$D$23:$D$38,D190),2)</f>
        <v>23.46</v>
      </c>
      <c r="U190" s="30" t="n">
        <f aca="false">R190-S190-T190</f>
        <v>924.06</v>
      </c>
    </row>
    <row r="191" customFormat="false" ht="15" hidden="false" customHeight="false" outlineLevel="0" collapsed="false">
      <c r="A191" s="0" t="n">
        <v>190</v>
      </c>
      <c r="B191" s="27" t="n">
        <v>45330</v>
      </c>
      <c r="C191" s="0" t="n">
        <v>2024</v>
      </c>
      <c r="D191" s="28" t="s">
        <v>61</v>
      </c>
      <c r="E191" s="0" t="n">
        <v>2</v>
      </c>
      <c r="F191" s="28" t="s">
        <v>104</v>
      </c>
      <c r="G191" s="28" t="s">
        <v>105</v>
      </c>
      <c r="H191" s="28" t="s">
        <v>102</v>
      </c>
      <c r="I191" s="28" t="s">
        <v>103</v>
      </c>
      <c r="J191" s="28" t="s">
        <v>71</v>
      </c>
      <c r="K191" s="28" t="s">
        <v>76</v>
      </c>
      <c r="L191" s="28" t="s">
        <v>77</v>
      </c>
      <c r="M191" s="28" t="s">
        <v>80</v>
      </c>
      <c r="N191" s="28" t="s">
        <v>81</v>
      </c>
      <c r="O191" s="29" t="n">
        <v>9</v>
      </c>
      <c r="P191" s="30" t="n">
        <v>93.1</v>
      </c>
      <c r="Q191" s="30" t="n">
        <v>47.98</v>
      </c>
      <c r="R191" s="30" t="n">
        <f aca="false">ROUND(O191*P191,2)</f>
        <v>837.9</v>
      </c>
      <c r="S191" s="30" t="n">
        <f aca="false">ROUND(O191*Q191,2)</f>
        <v>431.82</v>
      </c>
      <c r="T191" s="30" t="n">
        <f aca="false">ROUND(R191*SUMIFS(Parametros!$E$23:$E$38,Parametros!$B$23:$B$38,J191,Parametros!$C$23:$C$38,C191,Parametros!$D$23:$D$38,D191),2)</f>
        <v>35.19</v>
      </c>
      <c r="U191" s="30" t="n">
        <f aca="false">R191-S191-T191</f>
        <v>370.89</v>
      </c>
    </row>
    <row r="192" customFormat="false" ht="15" hidden="false" customHeight="false" outlineLevel="0" collapsed="false">
      <c r="A192" s="0" t="n">
        <v>191</v>
      </c>
      <c r="B192" s="27" t="n">
        <v>45337</v>
      </c>
      <c r="C192" s="0" t="n">
        <v>2024</v>
      </c>
      <c r="D192" s="28" t="s">
        <v>61</v>
      </c>
      <c r="E192" s="0" t="n">
        <v>2</v>
      </c>
      <c r="F192" s="28" t="s">
        <v>104</v>
      </c>
      <c r="G192" s="28" t="s">
        <v>105</v>
      </c>
      <c r="H192" s="28" t="s">
        <v>102</v>
      </c>
      <c r="I192" s="28" t="s">
        <v>103</v>
      </c>
      <c r="J192" s="28" t="s">
        <v>66</v>
      </c>
      <c r="K192" s="28" t="s">
        <v>76</v>
      </c>
      <c r="L192" s="28" t="s">
        <v>77</v>
      </c>
      <c r="M192" s="28" t="s">
        <v>82</v>
      </c>
      <c r="N192" s="28" t="s">
        <v>83</v>
      </c>
      <c r="O192" s="29" t="n">
        <v>24</v>
      </c>
      <c r="P192" s="30" t="n">
        <v>63.7</v>
      </c>
      <c r="Q192" s="30" t="n">
        <v>35.43</v>
      </c>
      <c r="R192" s="30" t="n">
        <f aca="false">ROUND(O192*P192,2)</f>
        <v>1528.8</v>
      </c>
      <c r="S192" s="30" t="n">
        <f aca="false">ROUND(O192*Q192,2)</f>
        <v>850.32</v>
      </c>
      <c r="T192" s="30" t="n">
        <f aca="false">ROUND(R192*SUMIFS(Parametros!$E$23:$E$38,Parametros!$B$23:$B$38,J192,Parametros!$C$23:$C$38,C192,Parametros!$D$23:$D$38,D192),2)</f>
        <v>18.35</v>
      </c>
      <c r="U192" s="30" t="n">
        <f aca="false">R192-S192-T192</f>
        <v>660.13</v>
      </c>
    </row>
    <row r="193" customFormat="false" ht="15" hidden="false" customHeight="false" outlineLevel="0" collapsed="false">
      <c r="A193" s="0" t="n">
        <v>192</v>
      </c>
      <c r="B193" s="27" t="n">
        <v>45344</v>
      </c>
      <c r="C193" s="0" t="n">
        <v>2024</v>
      </c>
      <c r="D193" s="28" t="s">
        <v>61</v>
      </c>
      <c r="E193" s="0" t="n">
        <v>2</v>
      </c>
      <c r="F193" s="28" t="s">
        <v>104</v>
      </c>
      <c r="G193" s="28" t="s">
        <v>105</v>
      </c>
      <c r="H193" s="28" t="s">
        <v>102</v>
      </c>
      <c r="I193" s="28" t="s">
        <v>103</v>
      </c>
      <c r="J193" s="28" t="s">
        <v>71</v>
      </c>
      <c r="K193" s="28" t="s">
        <v>76</v>
      </c>
      <c r="L193" s="28" t="s">
        <v>77</v>
      </c>
      <c r="M193" s="28" t="s">
        <v>82</v>
      </c>
      <c r="N193" s="28" t="s">
        <v>83</v>
      </c>
      <c r="O193" s="29" t="n">
        <v>10</v>
      </c>
      <c r="P193" s="30" t="n">
        <v>63.7</v>
      </c>
      <c r="Q193" s="30" t="n">
        <v>35.43</v>
      </c>
      <c r="R193" s="30" t="n">
        <f aca="false">ROUND(O193*P193,2)</f>
        <v>637</v>
      </c>
      <c r="S193" s="30" t="n">
        <f aca="false">ROUND(O193*Q193,2)</f>
        <v>354.3</v>
      </c>
      <c r="T193" s="30" t="n">
        <f aca="false">ROUND(R193*SUMIFS(Parametros!$E$23:$E$38,Parametros!$B$23:$B$38,J193,Parametros!$C$23:$C$38,C193,Parametros!$D$23:$D$38,D193),2)</f>
        <v>26.75</v>
      </c>
      <c r="U193" s="30" t="n">
        <f aca="false">R193-S193-T193</f>
        <v>255.95</v>
      </c>
    </row>
    <row r="194" customFormat="false" ht="15" hidden="false" customHeight="false" outlineLevel="0" collapsed="false">
      <c r="A194" s="0" t="n">
        <v>193</v>
      </c>
      <c r="B194" s="27" t="n">
        <v>45324</v>
      </c>
      <c r="C194" s="0" t="n">
        <v>2024</v>
      </c>
      <c r="D194" s="28" t="s">
        <v>61</v>
      </c>
      <c r="E194" s="0" t="n">
        <v>2</v>
      </c>
      <c r="F194" s="28" t="s">
        <v>104</v>
      </c>
      <c r="G194" s="28" t="s">
        <v>105</v>
      </c>
      <c r="H194" s="28" t="s">
        <v>102</v>
      </c>
      <c r="I194" s="28" t="s">
        <v>103</v>
      </c>
      <c r="J194" s="28" t="s">
        <v>66</v>
      </c>
      <c r="K194" s="28" t="s">
        <v>84</v>
      </c>
      <c r="L194" s="28" t="s">
        <v>85</v>
      </c>
      <c r="M194" s="28" t="s">
        <v>86</v>
      </c>
      <c r="N194" s="28" t="s">
        <v>87</v>
      </c>
      <c r="O194" s="29" t="n">
        <v>10</v>
      </c>
      <c r="P194" s="30" t="n">
        <v>117.6</v>
      </c>
      <c r="Q194" s="30" t="n">
        <v>63.6</v>
      </c>
      <c r="R194" s="30" t="n">
        <f aca="false">ROUND(O194*P194,2)</f>
        <v>1176</v>
      </c>
      <c r="S194" s="30" t="n">
        <f aca="false">ROUND(O194*Q194,2)</f>
        <v>636</v>
      </c>
      <c r="T194" s="30" t="n">
        <f aca="false">ROUND(R194*SUMIFS(Parametros!$E$23:$E$38,Parametros!$B$23:$B$38,J194,Parametros!$C$23:$C$38,C194,Parametros!$D$23:$D$38,D194),2)</f>
        <v>14.11</v>
      </c>
      <c r="U194" s="30" t="n">
        <f aca="false">R194-S194-T194</f>
        <v>525.89</v>
      </c>
    </row>
    <row r="195" customFormat="false" ht="15" hidden="false" customHeight="false" outlineLevel="0" collapsed="false">
      <c r="A195" s="0" t="n">
        <v>194</v>
      </c>
      <c r="B195" s="27" t="n">
        <v>45331</v>
      </c>
      <c r="C195" s="0" t="n">
        <v>2024</v>
      </c>
      <c r="D195" s="28" t="s">
        <v>61</v>
      </c>
      <c r="E195" s="0" t="n">
        <v>2</v>
      </c>
      <c r="F195" s="28" t="s">
        <v>104</v>
      </c>
      <c r="G195" s="28" t="s">
        <v>105</v>
      </c>
      <c r="H195" s="28" t="s">
        <v>102</v>
      </c>
      <c r="I195" s="28" t="s">
        <v>103</v>
      </c>
      <c r="J195" s="28" t="s">
        <v>71</v>
      </c>
      <c r="K195" s="28" t="s">
        <v>84</v>
      </c>
      <c r="L195" s="28" t="s">
        <v>85</v>
      </c>
      <c r="M195" s="28" t="s">
        <v>86</v>
      </c>
      <c r="N195" s="28" t="s">
        <v>87</v>
      </c>
      <c r="O195" s="29" t="n">
        <v>5</v>
      </c>
      <c r="P195" s="30" t="n">
        <v>117.6</v>
      </c>
      <c r="Q195" s="30" t="n">
        <v>63.6</v>
      </c>
      <c r="R195" s="30" t="n">
        <f aca="false">ROUND(O195*P195,2)</f>
        <v>588</v>
      </c>
      <c r="S195" s="30" t="n">
        <f aca="false">ROUND(O195*Q195,2)</f>
        <v>318</v>
      </c>
      <c r="T195" s="30" t="n">
        <f aca="false">ROUND(R195*SUMIFS(Parametros!$E$23:$E$38,Parametros!$B$23:$B$38,J195,Parametros!$C$23:$C$38,C195,Parametros!$D$23:$D$38,D195),2)</f>
        <v>24.7</v>
      </c>
      <c r="U195" s="30" t="n">
        <f aca="false">R195-S195-T195</f>
        <v>245.3</v>
      </c>
    </row>
    <row r="196" customFormat="false" ht="15" hidden="false" customHeight="false" outlineLevel="0" collapsed="false">
      <c r="A196" s="0" t="n">
        <v>195</v>
      </c>
      <c r="B196" s="27" t="n">
        <v>45338</v>
      </c>
      <c r="C196" s="0" t="n">
        <v>2024</v>
      </c>
      <c r="D196" s="28" t="s">
        <v>61</v>
      </c>
      <c r="E196" s="0" t="n">
        <v>2</v>
      </c>
      <c r="F196" s="28" t="s">
        <v>104</v>
      </c>
      <c r="G196" s="28" t="s">
        <v>105</v>
      </c>
      <c r="H196" s="28" t="s">
        <v>102</v>
      </c>
      <c r="I196" s="28" t="s">
        <v>103</v>
      </c>
      <c r="J196" s="28" t="s">
        <v>66</v>
      </c>
      <c r="K196" s="28" t="s">
        <v>84</v>
      </c>
      <c r="L196" s="28" t="s">
        <v>85</v>
      </c>
      <c r="M196" s="28" t="s">
        <v>88</v>
      </c>
      <c r="N196" s="28" t="s">
        <v>89</v>
      </c>
      <c r="O196" s="29" t="n">
        <v>12</v>
      </c>
      <c r="P196" s="30" t="n">
        <v>83.3</v>
      </c>
      <c r="Q196" s="30" t="n">
        <v>48.02</v>
      </c>
      <c r="R196" s="30" t="n">
        <f aca="false">ROUND(O196*P196,2)</f>
        <v>999.6</v>
      </c>
      <c r="S196" s="30" t="n">
        <f aca="false">ROUND(O196*Q196,2)</f>
        <v>576.24</v>
      </c>
      <c r="T196" s="30" t="n">
        <f aca="false">ROUND(R196*SUMIFS(Parametros!$E$23:$E$38,Parametros!$B$23:$B$38,J196,Parametros!$C$23:$C$38,C196,Parametros!$D$23:$D$38,D196),2)</f>
        <v>12</v>
      </c>
      <c r="U196" s="30" t="n">
        <f aca="false">R196-S196-T196</f>
        <v>411.36</v>
      </c>
    </row>
    <row r="197" customFormat="false" ht="15" hidden="false" customHeight="false" outlineLevel="0" collapsed="false">
      <c r="A197" s="0" t="n">
        <v>196</v>
      </c>
      <c r="B197" s="27" t="n">
        <v>45345</v>
      </c>
      <c r="C197" s="0" t="n">
        <v>2024</v>
      </c>
      <c r="D197" s="28" t="s">
        <v>61</v>
      </c>
      <c r="E197" s="0" t="n">
        <v>2</v>
      </c>
      <c r="F197" s="28" t="s">
        <v>104</v>
      </c>
      <c r="G197" s="28" t="s">
        <v>105</v>
      </c>
      <c r="H197" s="28" t="s">
        <v>102</v>
      </c>
      <c r="I197" s="28" t="s">
        <v>103</v>
      </c>
      <c r="J197" s="28" t="s">
        <v>71</v>
      </c>
      <c r="K197" s="28" t="s">
        <v>84</v>
      </c>
      <c r="L197" s="28" t="s">
        <v>85</v>
      </c>
      <c r="M197" s="28" t="s">
        <v>88</v>
      </c>
      <c r="N197" s="28" t="s">
        <v>89</v>
      </c>
      <c r="O197" s="29" t="n">
        <v>4</v>
      </c>
      <c r="P197" s="30" t="n">
        <v>83.3</v>
      </c>
      <c r="Q197" s="30" t="n">
        <v>48.02</v>
      </c>
      <c r="R197" s="30" t="n">
        <f aca="false">ROUND(O197*P197,2)</f>
        <v>333.2</v>
      </c>
      <c r="S197" s="30" t="n">
        <f aca="false">ROUND(O197*Q197,2)</f>
        <v>192.08</v>
      </c>
      <c r="T197" s="30" t="n">
        <f aca="false">ROUND(R197*SUMIFS(Parametros!$E$23:$E$38,Parametros!$B$23:$B$38,J197,Parametros!$C$23:$C$38,C197,Parametros!$D$23:$D$38,D197),2)</f>
        <v>13.99</v>
      </c>
      <c r="U197" s="30" t="n">
        <f aca="false">R197-S197-T197</f>
        <v>127.13</v>
      </c>
    </row>
    <row r="198" customFormat="false" ht="15" hidden="false" customHeight="false" outlineLevel="0" collapsed="false">
      <c r="A198" s="0" t="n">
        <v>197</v>
      </c>
      <c r="B198" s="27" t="n">
        <v>45325</v>
      </c>
      <c r="C198" s="0" t="n">
        <v>2024</v>
      </c>
      <c r="D198" s="28" t="s">
        <v>61</v>
      </c>
      <c r="E198" s="0" t="n">
        <v>2</v>
      </c>
      <c r="F198" s="28" t="s">
        <v>104</v>
      </c>
      <c r="G198" s="28" t="s">
        <v>105</v>
      </c>
      <c r="H198" s="28" t="s">
        <v>102</v>
      </c>
      <c r="I198" s="28" t="s">
        <v>103</v>
      </c>
      <c r="J198" s="28" t="s">
        <v>66</v>
      </c>
      <c r="K198" s="28" t="s">
        <v>90</v>
      </c>
      <c r="L198" s="28" t="s">
        <v>91</v>
      </c>
      <c r="M198" s="28" t="s">
        <v>92</v>
      </c>
      <c r="N198" s="28" t="s">
        <v>93</v>
      </c>
      <c r="O198" s="29" t="n">
        <v>16</v>
      </c>
      <c r="P198" s="30" t="n">
        <v>127.4</v>
      </c>
      <c r="Q198" s="30" t="n">
        <v>76.05</v>
      </c>
      <c r="R198" s="30" t="n">
        <f aca="false">ROUND(O198*P198,2)</f>
        <v>2038.4</v>
      </c>
      <c r="S198" s="30" t="n">
        <f aca="false">ROUND(O198*Q198,2)</f>
        <v>1216.8</v>
      </c>
      <c r="T198" s="30" t="n">
        <f aca="false">ROUND(R198*SUMIFS(Parametros!$E$23:$E$38,Parametros!$B$23:$B$38,J198,Parametros!$C$23:$C$38,C198,Parametros!$D$23:$D$38,D198),2)</f>
        <v>24.46</v>
      </c>
      <c r="U198" s="30" t="n">
        <f aca="false">R198-S198-T198</f>
        <v>797.14</v>
      </c>
    </row>
    <row r="199" customFormat="false" ht="15" hidden="false" customHeight="false" outlineLevel="0" collapsed="false">
      <c r="A199" s="0" t="n">
        <v>198</v>
      </c>
      <c r="B199" s="27" t="n">
        <v>45332</v>
      </c>
      <c r="C199" s="0" t="n">
        <v>2024</v>
      </c>
      <c r="D199" s="28" t="s">
        <v>61</v>
      </c>
      <c r="E199" s="0" t="n">
        <v>2</v>
      </c>
      <c r="F199" s="28" t="s">
        <v>104</v>
      </c>
      <c r="G199" s="28" t="s">
        <v>105</v>
      </c>
      <c r="H199" s="28" t="s">
        <v>102</v>
      </c>
      <c r="I199" s="28" t="s">
        <v>103</v>
      </c>
      <c r="J199" s="28" t="s">
        <v>71</v>
      </c>
      <c r="K199" s="28" t="s">
        <v>90</v>
      </c>
      <c r="L199" s="28" t="s">
        <v>91</v>
      </c>
      <c r="M199" s="28" t="s">
        <v>92</v>
      </c>
      <c r="N199" s="28" t="s">
        <v>93</v>
      </c>
      <c r="O199" s="29" t="n">
        <v>7</v>
      </c>
      <c r="P199" s="30" t="n">
        <v>127.4</v>
      </c>
      <c r="Q199" s="30" t="n">
        <v>76.05</v>
      </c>
      <c r="R199" s="30" t="n">
        <f aca="false">ROUND(O199*P199,2)</f>
        <v>891.8</v>
      </c>
      <c r="S199" s="30" t="n">
        <f aca="false">ROUND(O199*Q199,2)</f>
        <v>532.35</v>
      </c>
      <c r="T199" s="30" t="n">
        <f aca="false">ROUND(R199*SUMIFS(Parametros!$E$23:$E$38,Parametros!$B$23:$B$38,J199,Parametros!$C$23:$C$38,C199,Parametros!$D$23:$D$38,D199),2)</f>
        <v>37.46</v>
      </c>
      <c r="U199" s="30" t="n">
        <f aca="false">R199-S199-T199</f>
        <v>321.99</v>
      </c>
    </row>
    <row r="200" customFormat="false" ht="15" hidden="false" customHeight="false" outlineLevel="0" collapsed="false">
      <c r="A200" s="0" t="n">
        <v>199</v>
      </c>
      <c r="B200" s="27" t="n">
        <v>45339</v>
      </c>
      <c r="C200" s="0" t="n">
        <v>2024</v>
      </c>
      <c r="D200" s="28" t="s">
        <v>61</v>
      </c>
      <c r="E200" s="0" t="n">
        <v>2</v>
      </c>
      <c r="F200" s="28" t="s">
        <v>104</v>
      </c>
      <c r="G200" s="28" t="s">
        <v>105</v>
      </c>
      <c r="H200" s="28" t="s">
        <v>102</v>
      </c>
      <c r="I200" s="28" t="s">
        <v>103</v>
      </c>
      <c r="J200" s="28" t="s">
        <v>66</v>
      </c>
      <c r="K200" s="28" t="s">
        <v>90</v>
      </c>
      <c r="L200" s="28" t="s">
        <v>91</v>
      </c>
      <c r="M200" s="28" t="s">
        <v>94</v>
      </c>
      <c r="N200" s="28" t="s">
        <v>95</v>
      </c>
      <c r="O200" s="29" t="n">
        <v>14</v>
      </c>
      <c r="P200" s="30" t="n">
        <v>34.3</v>
      </c>
      <c r="Q200" s="30" t="n">
        <v>17.85</v>
      </c>
      <c r="R200" s="30" t="n">
        <f aca="false">ROUND(O200*P200,2)</f>
        <v>480.2</v>
      </c>
      <c r="S200" s="30" t="n">
        <f aca="false">ROUND(O200*Q200,2)</f>
        <v>249.9</v>
      </c>
      <c r="T200" s="30" t="n">
        <f aca="false">ROUND(R200*SUMIFS(Parametros!$E$23:$E$38,Parametros!$B$23:$B$38,J200,Parametros!$C$23:$C$38,C200,Parametros!$D$23:$D$38,D200),2)</f>
        <v>5.76</v>
      </c>
      <c r="U200" s="30" t="n">
        <f aca="false">R200-S200-T200</f>
        <v>224.54</v>
      </c>
    </row>
    <row r="201" customFormat="false" ht="15" hidden="false" customHeight="false" outlineLevel="0" collapsed="false">
      <c r="A201" s="0" t="n">
        <v>200</v>
      </c>
      <c r="B201" s="27" t="n">
        <v>45346</v>
      </c>
      <c r="C201" s="0" t="n">
        <v>2024</v>
      </c>
      <c r="D201" s="28" t="s">
        <v>61</v>
      </c>
      <c r="E201" s="0" t="n">
        <v>2</v>
      </c>
      <c r="F201" s="28" t="s">
        <v>104</v>
      </c>
      <c r="G201" s="28" t="s">
        <v>105</v>
      </c>
      <c r="H201" s="28" t="s">
        <v>102</v>
      </c>
      <c r="I201" s="28" t="s">
        <v>103</v>
      </c>
      <c r="J201" s="28" t="s">
        <v>71</v>
      </c>
      <c r="K201" s="28" t="s">
        <v>90</v>
      </c>
      <c r="L201" s="28" t="s">
        <v>91</v>
      </c>
      <c r="M201" s="28" t="s">
        <v>94</v>
      </c>
      <c r="N201" s="28" t="s">
        <v>95</v>
      </c>
      <c r="O201" s="29" t="n">
        <v>6</v>
      </c>
      <c r="P201" s="30" t="n">
        <v>34.3</v>
      </c>
      <c r="Q201" s="30" t="n">
        <v>17.85</v>
      </c>
      <c r="R201" s="30" t="n">
        <f aca="false">ROUND(O201*P201,2)</f>
        <v>205.8</v>
      </c>
      <c r="S201" s="30" t="n">
        <f aca="false">ROUND(O201*Q201,2)</f>
        <v>107.1</v>
      </c>
      <c r="T201" s="30" t="n">
        <f aca="false">ROUND(R201*SUMIFS(Parametros!$E$23:$E$38,Parametros!$B$23:$B$38,J201,Parametros!$C$23:$C$38,C201,Parametros!$D$23:$D$38,D201),2)</f>
        <v>8.64</v>
      </c>
      <c r="U201" s="30" t="n">
        <f aca="false">R201-S201-T201</f>
        <v>90.06</v>
      </c>
    </row>
    <row r="202" customFormat="false" ht="15" hidden="false" customHeight="false" outlineLevel="0" collapsed="false">
      <c r="A202" s="0" t="n">
        <v>201</v>
      </c>
      <c r="B202" s="27" t="n">
        <v>45355</v>
      </c>
      <c r="C202" s="0" t="n">
        <v>2024</v>
      </c>
      <c r="D202" s="28" t="s">
        <v>61</v>
      </c>
      <c r="E202" s="0" t="n">
        <v>3</v>
      </c>
      <c r="F202" s="28" t="s">
        <v>106</v>
      </c>
      <c r="G202" s="28" t="s">
        <v>107</v>
      </c>
      <c r="H202" s="28" t="s">
        <v>64</v>
      </c>
      <c r="I202" s="28" t="s">
        <v>65</v>
      </c>
      <c r="J202" s="28" t="s">
        <v>66</v>
      </c>
      <c r="K202" s="28" t="s">
        <v>67</v>
      </c>
      <c r="L202" s="28" t="s">
        <v>68</v>
      </c>
      <c r="M202" s="28" t="s">
        <v>69</v>
      </c>
      <c r="N202" s="28" t="s">
        <v>70</v>
      </c>
      <c r="O202" s="29" t="n">
        <v>18</v>
      </c>
      <c r="P202" s="30" t="n">
        <v>1176</v>
      </c>
      <c r="Q202" s="30" t="n">
        <v>744</v>
      </c>
      <c r="R202" s="30" t="n">
        <f aca="false">ROUND(O202*P202,2)</f>
        <v>21168</v>
      </c>
      <c r="S202" s="30" t="n">
        <f aca="false">ROUND(O202*Q202,2)</f>
        <v>13392</v>
      </c>
      <c r="T202" s="30" t="n">
        <f aca="false">ROUND(R202*SUMIFS(Parametros!$E$23:$E$38,Parametros!$B$23:$B$38,J202,Parametros!$C$23:$C$38,C202,Parametros!$D$23:$D$38,D202),2)</f>
        <v>254.02</v>
      </c>
      <c r="U202" s="30" t="n">
        <f aca="false">R202-S202-T202</f>
        <v>7521.98</v>
      </c>
    </row>
    <row r="203" customFormat="false" ht="15" hidden="false" customHeight="false" outlineLevel="0" collapsed="false">
      <c r="A203" s="0" t="n">
        <v>202</v>
      </c>
      <c r="B203" s="27" t="n">
        <v>45362</v>
      </c>
      <c r="C203" s="0" t="n">
        <v>2024</v>
      </c>
      <c r="D203" s="28" t="s">
        <v>61</v>
      </c>
      <c r="E203" s="0" t="n">
        <v>3</v>
      </c>
      <c r="F203" s="28" t="s">
        <v>106</v>
      </c>
      <c r="G203" s="28" t="s">
        <v>107</v>
      </c>
      <c r="H203" s="28" t="s">
        <v>64</v>
      </c>
      <c r="I203" s="28" t="s">
        <v>65</v>
      </c>
      <c r="J203" s="28" t="s">
        <v>71</v>
      </c>
      <c r="K203" s="28" t="s">
        <v>67</v>
      </c>
      <c r="L203" s="28" t="s">
        <v>68</v>
      </c>
      <c r="M203" s="28" t="s">
        <v>69</v>
      </c>
      <c r="N203" s="28" t="s">
        <v>70</v>
      </c>
      <c r="O203" s="29" t="n">
        <v>8</v>
      </c>
      <c r="P203" s="30" t="n">
        <v>1176</v>
      </c>
      <c r="Q203" s="30" t="n">
        <v>744</v>
      </c>
      <c r="R203" s="30" t="n">
        <f aca="false">ROUND(O203*P203,2)</f>
        <v>9408</v>
      </c>
      <c r="S203" s="30" t="n">
        <f aca="false">ROUND(O203*Q203,2)</f>
        <v>5952</v>
      </c>
      <c r="T203" s="30" t="n">
        <f aca="false">ROUND(R203*SUMIFS(Parametros!$E$23:$E$38,Parametros!$B$23:$B$38,J203,Parametros!$C$23:$C$38,C203,Parametros!$D$23:$D$38,D203),2)</f>
        <v>395.14</v>
      </c>
      <c r="U203" s="30" t="n">
        <f aca="false">R203-S203-T203</f>
        <v>3060.86</v>
      </c>
    </row>
    <row r="204" customFormat="false" ht="15" hidden="false" customHeight="false" outlineLevel="0" collapsed="false">
      <c r="A204" s="0" t="n">
        <v>203</v>
      </c>
      <c r="B204" s="27" t="n">
        <v>45369</v>
      </c>
      <c r="C204" s="0" t="n">
        <v>2024</v>
      </c>
      <c r="D204" s="28" t="s">
        <v>61</v>
      </c>
      <c r="E204" s="0" t="n">
        <v>3</v>
      </c>
      <c r="F204" s="28" t="s">
        <v>106</v>
      </c>
      <c r="G204" s="28" t="s">
        <v>107</v>
      </c>
      <c r="H204" s="28" t="s">
        <v>64</v>
      </c>
      <c r="I204" s="28" t="s">
        <v>65</v>
      </c>
      <c r="J204" s="28" t="s">
        <v>66</v>
      </c>
      <c r="K204" s="28" t="s">
        <v>67</v>
      </c>
      <c r="L204" s="28" t="s">
        <v>68</v>
      </c>
      <c r="M204" s="28" t="s">
        <v>72</v>
      </c>
      <c r="N204" s="28" t="s">
        <v>73</v>
      </c>
      <c r="O204" s="29" t="n">
        <v>23</v>
      </c>
      <c r="P204" s="30" t="n">
        <v>441</v>
      </c>
      <c r="Q204" s="30" t="n">
        <v>272.25</v>
      </c>
      <c r="R204" s="30" t="n">
        <f aca="false">ROUND(O204*P204,2)</f>
        <v>10143</v>
      </c>
      <c r="S204" s="30" t="n">
        <f aca="false">ROUND(O204*Q204,2)</f>
        <v>6261.75</v>
      </c>
      <c r="T204" s="30" t="n">
        <f aca="false">ROUND(R204*SUMIFS(Parametros!$E$23:$E$38,Parametros!$B$23:$B$38,J204,Parametros!$C$23:$C$38,C204,Parametros!$D$23:$D$38,D204),2)</f>
        <v>121.72</v>
      </c>
      <c r="U204" s="30" t="n">
        <f aca="false">R204-S204-T204</f>
        <v>3759.53</v>
      </c>
    </row>
    <row r="205" customFormat="false" ht="15" hidden="false" customHeight="false" outlineLevel="0" collapsed="false">
      <c r="A205" s="0" t="n">
        <v>204</v>
      </c>
      <c r="B205" s="27" t="n">
        <v>45376</v>
      </c>
      <c r="C205" s="0" t="n">
        <v>2024</v>
      </c>
      <c r="D205" s="28" t="s">
        <v>61</v>
      </c>
      <c r="E205" s="0" t="n">
        <v>3</v>
      </c>
      <c r="F205" s="28" t="s">
        <v>106</v>
      </c>
      <c r="G205" s="28" t="s">
        <v>107</v>
      </c>
      <c r="H205" s="28" t="s">
        <v>64</v>
      </c>
      <c r="I205" s="28" t="s">
        <v>65</v>
      </c>
      <c r="J205" s="28" t="s">
        <v>71</v>
      </c>
      <c r="K205" s="28" t="s">
        <v>67</v>
      </c>
      <c r="L205" s="28" t="s">
        <v>68</v>
      </c>
      <c r="M205" s="28" t="s">
        <v>72</v>
      </c>
      <c r="N205" s="28" t="s">
        <v>73</v>
      </c>
      <c r="O205" s="29" t="n">
        <v>8</v>
      </c>
      <c r="P205" s="30" t="n">
        <v>441</v>
      </c>
      <c r="Q205" s="30" t="n">
        <v>272.25</v>
      </c>
      <c r="R205" s="30" t="n">
        <f aca="false">ROUND(O205*P205,2)</f>
        <v>3528</v>
      </c>
      <c r="S205" s="30" t="n">
        <f aca="false">ROUND(O205*Q205,2)</f>
        <v>2178</v>
      </c>
      <c r="T205" s="30" t="n">
        <f aca="false">ROUND(R205*SUMIFS(Parametros!$E$23:$E$38,Parametros!$B$23:$B$38,J205,Parametros!$C$23:$C$38,C205,Parametros!$D$23:$D$38,D205),2)</f>
        <v>148.18</v>
      </c>
      <c r="U205" s="30" t="n">
        <f aca="false">R205-S205-T205</f>
        <v>1201.82</v>
      </c>
    </row>
    <row r="206" customFormat="false" ht="15" hidden="false" customHeight="false" outlineLevel="0" collapsed="false">
      <c r="A206" s="0" t="n">
        <v>205</v>
      </c>
      <c r="B206" s="27" t="n">
        <v>45356</v>
      </c>
      <c r="C206" s="0" t="n">
        <v>2024</v>
      </c>
      <c r="D206" s="28" t="s">
        <v>61</v>
      </c>
      <c r="E206" s="0" t="n">
        <v>3</v>
      </c>
      <c r="F206" s="28" t="s">
        <v>106</v>
      </c>
      <c r="G206" s="28" t="s">
        <v>107</v>
      </c>
      <c r="H206" s="28" t="s">
        <v>64</v>
      </c>
      <c r="I206" s="28" t="s">
        <v>65</v>
      </c>
      <c r="J206" s="28" t="s">
        <v>66</v>
      </c>
      <c r="K206" s="28" t="s">
        <v>67</v>
      </c>
      <c r="L206" s="28" t="s">
        <v>68</v>
      </c>
      <c r="M206" s="28" t="s">
        <v>74</v>
      </c>
      <c r="N206" s="28" t="s">
        <v>75</v>
      </c>
      <c r="O206" s="29" t="n">
        <v>20</v>
      </c>
      <c r="P206" s="30" t="n">
        <v>1617</v>
      </c>
      <c r="Q206" s="30" t="n">
        <v>1122</v>
      </c>
      <c r="R206" s="30" t="n">
        <f aca="false">ROUND(O206*P206,2)</f>
        <v>32340</v>
      </c>
      <c r="S206" s="30" t="n">
        <f aca="false">ROUND(O206*Q206,2)</f>
        <v>22440</v>
      </c>
      <c r="T206" s="30" t="n">
        <f aca="false">ROUND(R206*SUMIFS(Parametros!$E$23:$E$38,Parametros!$B$23:$B$38,J206,Parametros!$C$23:$C$38,C206,Parametros!$D$23:$D$38,D206),2)</f>
        <v>388.08</v>
      </c>
      <c r="U206" s="30" t="n">
        <f aca="false">R206-S206-T206</f>
        <v>9511.92</v>
      </c>
    </row>
    <row r="207" customFormat="false" ht="15" hidden="false" customHeight="false" outlineLevel="0" collapsed="false">
      <c r="A207" s="0" t="n">
        <v>206</v>
      </c>
      <c r="B207" s="27" t="n">
        <v>45363</v>
      </c>
      <c r="C207" s="0" t="n">
        <v>2024</v>
      </c>
      <c r="D207" s="28" t="s">
        <v>61</v>
      </c>
      <c r="E207" s="0" t="n">
        <v>3</v>
      </c>
      <c r="F207" s="28" t="s">
        <v>106</v>
      </c>
      <c r="G207" s="28" t="s">
        <v>107</v>
      </c>
      <c r="H207" s="28" t="s">
        <v>64</v>
      </c>
      <c r="I207" s="28" t="s">
        <v>65</v>
      </c>
      <c r="J207" s="28" t="s">
        <v>71</v>
      </c>
      <c r="K207" s="28" t="s">
        <v>67</v>
      </c>
      <c r="L207" s="28" t="s">
        <v>68</v>
      </c>
      <c r="M207" s="28" t="s">
        <v>74</v>
      </c>
      <c r="N207" s="28" t="s">
        <v>75</v>
      </c>
      <c r="O207" s="29" t="n">
        <v>8</v>
      </c>
      <c r="P207" s="30" t="n">
        <v>1617</v>
      </c>
      <c r="Q207" s="30" t="n">
        <v>1122</v>
      </c>
      <c r="R207" s="30" t="n">
        <f aca="false">ROUND(O207*P207,2)</f>
        <v>12936</v>
      </c>
      <c r="S207" s="30" t="n">
        <f aca="false">ROUND(O207*Q207,2)</f>
        <v>8976</v>
      </c>
      <c r="T207" s="30" t="n">
        <f aca="false">ROUND(R207*SUMIFS(Parametros!$E$23:$E$38,Parametros!$B$23:$B$38,J207,Parametros!$C$23:$C$38,C207,Parametros!$D$23:$D$38,D207),2)</f>
        <v>543.31</v>
      </c>
      <c r="U207" s="30" t="n">
        <f aca="false">R207-S207-T207</f>
        <v>3416.69</v>
      </c>
    </row>
    <row r="208" customFormat="false" ht="15" hidden="false" customHeight="false" outlineLevel="0" collapsed="false">
      <c r="A208" s="0" t="n">
        <v>207</v>
      </c>
      <c r="B208" s="27" t="n">
        <v>45370</v>
      </c>
      <c r="C208" s="0" t="n">
        <v>2024</v>
      </c>
      <c r="D208" s="28" t="s">
        <v>61</v>
      </c>
      <c r="E208" s="0" t="n">
        <v>3</v>
      </c>
      <c r="F208" s="28" t="s">
        <v>106</v>
      </c>
      <c r="G208" s="28" t="s">
        <v>107</v>
      </c>
      <c r="H208" s="28" t="s">
        <v>64</v>
      </c>
      <c r="I208" s="28" t="s">
        <v>65</v>
      </c>
      <c r="J208" s="28" t="s">
        <v>66</v>
      </c>
      <c r="K208" s="28" t="s">
        <v>76</v>
      </c>
      <c r="L208" s="28" t="s">
        <v>77</v>
      </c>
      <c r="M208" s="28" t="s">
        <v>78</v>
      </c>
      <c r="N208" s="28" t="s">
        <v>79</v>
      </c>
      <c r="O208" s="29" t="n">
        <v>98</v>
      </c>
      <c r="P208" s="30" t="n">
        <v>27.44</v>
      </c>
      <c r="Q208" s="30" t="n">
        <v>13.44</v>
      </c>
      <c r="R208" s="30" t="n">
        <f aca="false">ROUND(O208*P208,2)</f>
        <v>2689.12</v>
      </c>
      <c r="S208" s="30" t="n">
        <f aca="false">ROUND(O208*Q208,2)</f>
        <v>1317.12</v>
      </c>
      <c r="T208" s="30" t="n">
        <f aca="false">ROUND(R208*SUMIFS(Parametros!$E$23:$E$38,Parametros!$B$23:$B$38,J208,Parametros!$C$23:$C$38,C208,Parametros!$D$23:$D$38,D208),2)</f>
        <v>32.27</v>
      </c>
      <c r="U208" s="30" t="n">
        <f aca="false">R208-S208-T208</f>
        <v>1339.73</v>
      </c>
    </row>
    <row r="209" customFormat="false" ht="15" hidden="false" customHeight="false" outlineLevel="0" collapsed="false">
      <c r="A209" s="0" t="n">
        <v>208</v>
      </c>
      <c r="B209" s="27" t="n">
        <v>45377</v>
      </c>
      <c r="C209" s="0" t="n">
        <v>2024</v>
      </c>
      <c r="D209" s="28" t="s">
        <v>61</v>
      </c>
      <c r="E209" s="0" t="n">
        <v>3</v>
      </c>
      <c r="F209" s="28" t="s">
        <v>106</v>
      </c>
      <c r="G209" s="28" t="s">
        <v>107</v>
      </c>
      <c r="H209" s="28" t="s">
        <v>64</v>
      </c>
      <c r="I209" s="28" t="s">
        <v>65</v>
      </c>
      <c r="J209" s="28" t="s">
        <v>71</v>
      </c>
      <c r="K209" s="28" t="s">
        <v>76</v>
      </c>
      <c r="L209" s="28" t="s">
        <v>77</v>
      </c>
      <c r="M209" s="28" t="s">
        <v>78</v>
      </c>
      <c r="N209" s="28" t="s">
        <v>79</v>
      </c>
      <c r="O209" s="29" t="n">
        <v>41</v>
      </c>
      <c r="P209" s="30" t="n">
        <v>27.44</v>
      </c>
      <c r="Q209" s="30" t="n">
        <v>13.44</v>
      </c>
      <c r="R209" s="30" t="n">
        <f aca="false">ROUND(O209*P209,2)</f>
        <v>1125.04</v>
      </c>
      <c r="S209" s="30" t="n">
        <f aca="false">ROUND(O209*Q209,2)</f>
        <v>551.04</v>
      </c>
      <c r="T209" s="30" t="n">
        <f aca="false">ROUND(R209*SUMIFS(Parametros!$E$23:$E$38,Parametros!$B$23:$B$38,J209,Parametros!$C$23:$C$38,C209,Parametros!$D$23:$D$38,D209),2)</f>
        <v>47.25</v>
      </c>
      <c r="U209" s="30" t="n">
        <f aca="false">R209-S209-T209</f>
        <v>526.75</v>
      </c>
    </row>
    <row r="210" customFormat="false" ht="15" hidden="false" customHeight="false" outlineLevel="0" collapsed="false">
      <c r="A210" s="0" t="n">
        <v>209</v>
      </c>
      <c r="B210" s="27" t="n">
        <v>45357</v>
      </c>
      <c r="C210" s="0" t="n">
        <v>2024</v>
      </c>
      <c r="D210" s="28" t="s">
        <v>61</v>
      </c>
      <c r="E210" s="0" t="n">
        <v>3</v>
      </c>
      <c r="F210" s="28" t="s">
        <v>106</v>
      </c>
      <c r="G210" s="28" t="s">
        <v>107</v>
      </c>
      <c r="H210" s="28" t="s">
        <v>64</v>
      </c>
      <c r="I210" s="28" t="s">
        <v>65</v>
      </c>
      <c r="J210" s="28" t="s">
        <v>66</v>
      </c>
      <c r="K210" s="28" t="s">
        <v>76</v>
      </c>
      <c r="L210" s="28" t="s">
        <v>77</v>
      </c>
      <c r="M210" s="28" t="s">
        <v>80</v>
      </c>
      <c r="N210" s="28" t="s">
        <v>81</v>
      </c>
      <c r="O210" s="29" t="n">
        <v>90</v>
      </c>
      <c r="P210" s="30" t="n">
        <v>93.1</v>
      </c>
      <c r="Q210" s="30" t="n">
        <v>47.98</v>
      </c>
      <c r="R210" s="30" t="n">
        <f aca="false">ROUND(O210*P210,2)</f>
        <v>8379</v>
      </c>
      <c r="S210" s="30" t="n">
        <f aca="false">ROUND(O210*Q210,2)</f>
        <v>4318.2</v>
      </c>
      <c r="T210" s="30" t="n">
        <f aca="false">ROUND(R210*SUMIFS(Parametros!$E$23:$E$38,Parametros!$B$23:$B$38,J210,Parametros!$C$23:$C$38,C210,Parametros!$D$23:$D$38,D210),2)</f>
        <v>100.55</v>
      </c>
      <c r="U210" s="30" t="n">
        <f aca="false">R210-S210-T210</f>
        <v>3960.25</v>
      </c>
    </row>
    <row r="211" customFormat="false" ht="15" hidden="false" customHeight="false" outlineLevel="0" collapsed="false">
      <c r="A211" s="0" t="n">
        <v>210</v>
      </c>
      <c r="B211" s="27" t="n">
        <v>45364</v>
      </c>
      <c r="C211" s="0" t="n">
        <v>2024</v>
      </c>
      <c r="D211" s="28" t="s">
        <v>61</v>
      </c>
      <c r="E211" s="0" t="n">
        <v>3</v>
      </c>
      <c r="F211" s="28" t="s">
        <v>106</v>
      </c>
      <c r="G211" s="28" t="s">
        <v>107</v>
      </c>
      <c r="H211" s="28" t="s">
        <v>64</v>
      </c>
      <c r="I211" s="28" t="s">
        <v>65</v>
      </c>
      <c r="J211" s="28" t="s">
        <v>71</v>
      </c>
      <c r="K211" s="28" t="s">
        <v>76</v>
      </c>
      <c r="L211" s="28" t="s">
        <v>77</v>
      </c>
      <c r="M211" s="28" t="s">
        <v>80</v>
      </c>
      <c r="N211" s="28" t="s">
        <v>81</v>
      </c>
      <c r="O211" s="29" t="n">
        <v>31</v>
      </c>
      <c r="P211" s="30" t="n">
        <v>93.1</v>
      </c>
      <c r="Q211" s="30" t="n">
        <v>47.98</v>
      </c>
      <c r="R211" s="30" t="n">
        <f aca="false">ROUND(O211*P211,2)</f>
        <v>2886.1</v>
      </c>
      <c r="S211" s="30" t="n">
        <f aca="false">ROUND(O211*Q211,2)</f>
        <v>1487.38</v>
      </c>
      <c r="T211" s="30" t="n">
        <f aca="false">ROUND(R211*SUMIFS(Parametros!$E$23:$E$38,Parametros!$B$23:$B$38,J211,Parametros!$C$23:$C$38,C211,Parametros!$D$23:$D$38,D211),2)</f>
        <v>121.22</v>
      </c>
      <c r="U211" s="30" t="n">
        <f aca="false">R211-S211-T211</f>
        <v>1277.5</v>
      </c>
    </row>
    <row r="212" customFormat="false" ht="15" hidden="false" customHeight="false" outlineLevel="0" collapsed="false">
      <c r="A212" s="0" t="n">
        <v>211</v>
      </c>
      <c r="B212" s="27" t="n">
        <v>45371</v>
      </c>
      <c r="C212" s="0" t="n">
        <v>2024</v>
      </c>
      <c r="D212" s="28" t="s">
        <v>61</v>
      </c>
      <c r="E212" s="0" t="n">
        <v>3</v>
      </c>
      <c r="F212" s="28" t="s">
        <v>106</v>
      </c>
      <c r="G212" s="28" t="s">
        <v>107</v>
      </c>
      <c r="H212" s="28" t="s">
        <v>64</v>
      </c>
      <c r="I212" s="28" t="s">
        <v>65</v>
      </c>
      <c r="J212" s="28" t="s">
        <v>66</v>
      </c>
      <c r="K212" s="28" t="s">
        <v>76</v>
      </c>
      <c r="L212" s="28" t="s">
        <v>77</v>
      </c>
      <c r="M212" s="28" t="s">
        <v>82</v>
      </c>
      <c r="N212" s="28" t="s">
        <v>83</v>
      </c>
      <c r="O212" s="29" t="n">
        <v>107</v>
      </c>
      <c r="P212" s="30" t="n">
        <v>63.7</v>
      </c>
      <c r="Q212" s="30" t="n">
        <v>35.43</v>
      </c>
      <c r="R212" s="30" t="n">
        <f aca="false">ROUND(O212*P212,2)</f>
        <v>6815.9</v>
      </c>
      <c r="S212" s="30" t="n">
        <f aca="false">ROUND(O212*Q212,2)</f>
        <v>3791.01</v>
      </c>
      <c r="T212" s="30" t="n">
        <f aca="false">ROUND(R212*SUMIFS(Parametros!$E$23:$E$38,Parametros!$B$23:$B$38,J212,Parametros!$C$23:$C$38,C212,Parametros!$D$23:$D$38,D212),2)</f>
        <v>81.79</v>
      </c>
      <c r="U212" s="30" t="n">
        <f aca="false">R212-S212-T212</f>
        <v>2943.1</v>
      </c>
    </row>
    <row r="213" customFormat="false" ht="15" hidden="false" customHeight="false" outlineLevel="0" collapsed="false">
      <c r="A213" s="0" t="n">
        <v>212</v>
      </c>
      <c r="B213" s="27" t="n">
        <v>45378</v>
      </c>
      <c r="C213" s="0" t="n">
        <v>2024</v>
      </c>
      <c r="D213" s="28" t="s">
        <v>61</v>
      </c>
      <c r="E213" s="0" t="n">
        <v>3</v>
      </c>
      <c r="F213" s="28" t="s">
        <v>106</v>
      </c>
      <c r="G213" s="28" t="s">
        <v>107</v>
      </c>
      <c r="H213" s="28" t="s">
        <v>64</v>
      </c>
      <c r="I213" s="28" t="s">
        <v>65</v>
      </c>
      <c r="J213" s="28" t="s">
        <v>71</v>
      </c>
      <c r="K213" s="28" t="s">
        <v>76</v>
      </c>
      <c r="L213" s="28" t="s">
        <v>77</v>
      </c>
      <c r="M213" s="28" t="s">
        <v>82</v>
      </c>
      <c r="N213" s="28" t="s">
        <v>83</v>
      </c>
      <c r="O213" s="29" t="n">
        <v>31</v>
      </c>
      <c r="P213" s="30" t="n">
        <v>63.7</v>
      </c>
      <c r="Q213" s="30" t="n">
        <v>35.43</v>
      </c>
      <c r="R213" s="30" t="n">
        <f aca="false">ROUND(O213*P213,2)</f>
        <v>1974.7</v>
      </c>
      <c r="S213" s="30" t="n">
        <f aca="false">ROUND(O213*Q213,2)</f>
        <v>1098.33</v>
      </c>
      <c r="T213" s="30" t="n">
        <f aca="false">ROUND(R213*SUMIFS(Parametros!$E$23:$E$38,Parametros!$B$23:$B$38,J213,Parametros!$C$23:$C$38,C213,Parametros!$D$23:$D$38,D213),2)</f>
        <v>82.94</v>
      </c>
      <c r="U213" s="30" t="n">
        <f aca="false">R213-S213-T213</f>
        <v>793.43</v>
      </c>
    </row>
    <row r="214" customFormat="false" ht="15" hidden="false" customHeight="false" outlineLevel="0" collapsed="false">
      <c r="A214" s="0" t="n">
        <v>213</v>
      </c>
      <c r="B214" s="27" t="n">
        <v>45358</v>
      </c>
      <c r="C214" s="0" t="n">
        <v>2024</v>
      </c>
      <c r="D214" s="28" t="s">
        <v>61</v>
      </c>
      <c r="E214" s="0" t="n">
        <v>3</v>
      </c>
      <c r="F214" s="28" t="s">
        <v>106</v>
      </c>
      <c r="G214" s="28" t="s">
        <v>107</v>
      </c>
      <c r="H214" s="28" t="s">
        <v>64</v>
      </c>
      <c r="I214" s="28" t="s">
        <v>65</v>
      </c>
      <c r="J214" s="28" t="s">
        <v>66</v>
      </c>
      <c r="K214" s="28" t="s">
        <v>84</v>
      </c>
      <c r="L214" s="28" t="s">
        <v>85</v>
      </c>
      <c r="M214" s="28" t="s">
        <v>86</v>
      </c>
      <c r="N214" s="28" t="s">
        <v>87</v>
      </c>
      <c r="O214" s="29" t="n">
        <v>36</v>
      </c>
      <c r="P214" s="30" t="n">
        <v>117.6</v>
      </c>
      <c r="Q214" s="30" t="n">
        <v>63.6</v>
      </c>
      <c r="R214" s="30" t="n">
        <f aca="false">ROUND(O214*P214,2)</f>
        <v>4233.6</v>
      </c>
      <c r="S214" s="30" t="n">
        <f aca="false">ROUND(O214*Q214,2)</f>
        <v>2289.6</v>
      </c>
      <c r="T214" s="30" t="n">
        <f aca="false">ROUND(R214*SUMIFS(Parametros!$E$23:$E$38,Parametros!$B$23:$B$38,J214,Parametros!$C$23:$C$38,C214,Parametros!$D$23:$D$38,D214),2)</f>
        <v>50.8</v>
      </c>
      <c r="U214" s="30" t="n">
        <f aca="false">R214-S214-T214</f>
        <v>1893.2</v>
      </c>
    </row>
    <row r="215" customFormat="false" ht="15" hidden="false" customHeight="false" outlineLevel="0" collapsed="false">
      <c r="A215" s="0" t="n">
        <v>214</v>
      </c>
      <c r="B215" s="27" t="n">
        <v>45365</v>
      </c>
      <c r="C215" s="0" t="n">
        <v>2024</v>
      </c>
      <c r="D215" s="28" t="s">
        <v>61</v>
      </c>
      <c r="E215" s="0" t="n">
        <v>3</v>
      </c>
      <c r="F215" s="28" t="s">
        <v>106</v>
      </c>
      <c r="G215" s="28" t="s">
        <v>107</v>
      </c>
      <c r="H215" s="28" t="s">
        <v>64</v>
      </c>
      <c r="I215" s="28" t="s">
        <v>65</v>
      </c>
      <c r="J215" s="28" t="s">
        <v>71</v>
      </c>
      <c r="K215" s="28" t="s">
        <v>84</v>
      </c>
      <c r="L215" s="28" t="s">
        <v>85</v>
      </c>
      <c r="M215" s="28" t="s">
        <v>86</v>
      </c>
      <c r="N215" s="28" t="s">
        <v>87</v>
      </c>
      <c r="O215" s="29" t="n">
        <v>14</v>
      </c>
      <c r="P215" s="30" t="n">
        <v>117.6</v>
      </c>
      <c r="Q215" s="30" t="n">
        <v>63.6</v>
      </c>
      <c r="R215" s="30" t="n">
        <f aca="false">ROUND(O215*P215,2)</f>
        <v>1646.4</v>
      </c>
      <c r="S215" s="30" t="n">
        <f aca="false">ROUND(O215*Q215,2)</f>
        <v>890.4</v>
      </c>
      <c r="T215" s="30" t="n">
        <f aca="false">ROUND(R215*SUMIFS(Parametros!$E$23:$E$38,Parametros!$B$23:$B$38,J215,Parametros!$C$23:$C$38,C215,Parametros!$D$23:$D$38,D215),2)</f>
        <v>69.15</v>
      </c>
      <c r="U215" s="30" t="n">
        <f aca="false">R215-S215-T215</f>
        <v>686.85</v>
      </c>
    </row>
    <row r="216" customFormat="false" ht="15" hidden="false" customHeight="false" outlineLevel="0" collapsed="false">
      <c r="A216" s="0" t="n">
        <v>215</v>
      </c>
      <c r="B216" s="27" t="n">
        <v>45372</v>
      </c>
      <c r="C216" s="0" t="n">
        <v>2024</v>
      </c>
      <c r="D216" s="28" t="s">
        <v>61</v>
      </c>
      <c r="E216" s="0" t="n">
        <v>3</v>
      </c>
      <c r="F216" s="28" t="s">
        <v>106</v>
      </c>
      <c r="G216" s="28" t="s">
        <v>107</v>
      </c>
      <c r="H216" s="28" t="s">
        <v>64</v>
      </c>
      <c r="I216" s="28" t="s">
        <v>65</v>
      </c>
      <c r="J216" s="28" t="s">
        <v>66</v>
      </c>
      <c r="K216" s="28" t="s">
        <v>84</v>
      </c>
      <c r="L216" s="28" t="s">
        <v>85</v>
      </c>
      <c r="M216" s="28" t="s">
        <v>88</v>
      </c>
      <c r="N216" s="28" t="s">
        <v>89</v>
      </c>
      <c r="O216" s="29" t="n">
        <v>49</v>
      </c>
      <c r="P216" s="30" t="n">
        <v>83.3</v>
      </c>
      <c r="Q216" s="30" t="n">
        <v>48.02</v>
      </c>
      <c r="R216" s="30" t="n">
        <f aca="false">ROUND(O216*P216,2)</f>
        <v>4081.7</v>
      </c>
      <c r="S216" s="30" t="n">
        <f aca="false">ROUND(O216*Q216,2)</f>
        <v>2352.98</v>
      </c>
      <c r="T216" s="30" t="n">
        <f aca="false">ROUND(R216*SUMIFS(Parametros!$E$23:$E$38,Parametros!$B$23:$B$38,J216,Parametros!$C$23:$C$38,C216,Parametros!$D$23:$D$38,D216),2)</f>
        <v>48.98</v>
      </c>
      <c r="U216" s="30" t="n">
        <f aca="false">R216-S216-T216</f>
        <v>1679.74</v>
      </c>
    </row>
    <row r="217" customFormat="false" ht="15" hidden="false" customHeight="false" outlineLevel="0" collapsed="false">
      <c r="A217" s="0" t="n">
        <v>216</v>
      </c>
      <c r="B217" s="27" t="n">
        <v>45352</v>
      </c>
      <c r="C217" s="0" t="n">
        <v>2024</v>
      </c>
      <c r="D217" s="28" t="s">
        <v>61</v>
      </c>
      <c r="E217" s="0" t="n">
        <v>3</v>
      </c>
      <c r="F217" s="28" t="s">
        <v>106</v>
      </c>
      <c r="G217" s="28" t="s">
        <v>107</v>
      </c>
      <c r="H217" s="28" t="s">
        <v>64</v>
      </c>
      <c r="I217" s="28" t="s">
        <v>65</v>
      </c>
      <c r="J217" s="28" t="s">
        <v>71</v>
      </c>
      <c r="K217" s="28" t="s">
        <v>84</v>
      </c>
      <c r="L217" s="28" t="s">
        <v>85</v>
      </c>
      <c r="M217" s="28" t="s">
        <v>88</v>
      </c>
      <c r="N217" s="28" t="s">
        <v>89</v>
      </c>
      <c r="O217" s="29" t="n">
        <v>14</v>
      </c>
      <c r="P217" s="30" t="n">
        <v>83.3</v>
      </c>
      <c r="Q217" s="30" t="n">
        <v>48.02</v>
      </c>
      <c r="R217" s="30" t="n">
        <f aca="false">ROUND(O217*P217,2)</f>
        <v>1166.2</v>
      </c>
      <c r="S217" s="30" t="n">
        <f aca="false">ROUND(O217*Q217,2)</f>
        <v>672.28</v>
      </c>
      <c r="T217" s="30" t="n">
        <f aca="false">ROUND(R217*SUMIFS(Parametros!$E$23:$E$38,Parametros!$B$23:$B$38,J217,Parametros!$C$23:$C$38,C217,Parametros!$D$23:$D$38,D217),2)</f>
        <v>48.98</v>
      </c>
      <c r="U217" s="30" t="n">
        <f aca="false">R217-S217-T217</f>
        <v>444.94</v>
      </c>
    </row>
    <row r="218" customFormat="false" ht="15" hidden="false" customHeight="false" outlineLevel="0" collapsed="false">
      <c r="A218" s="0" t="n">
        <v>217</v>
      </c>
      <c r="B218" s="27" t="n">
        <v>45359</v>
      </c>
      <c r="C218" s="0" t="n">
        <v>2024</v>
      </c>
      <c r="D218" s="28" t="s">
        <v>61</v>
      </c>
      <c r="E218" s="0" t="n">
        <v>3</v>
      </c>
      <c r="F218" s="28" t="s">
        <v>106</v>
      </c>
      <c r="G218" s="28" t="s">
        <v>107</v>
      </c>
      <c r="H218" s="28" t="s">
        <v>64</v>
      </c>
      <c r="I218" s="28" t="s">
        <v>65</v>
      </c>
      <c r="J218" s="28" t="s">
        <v>66</v>
      </c>
      <c r="K218" s="28" t="s">
        <v>90</v>
      </c>
      <c r="L218" s="28" t="s">
        <v>91</v>
      </c>
      <c r="M218" s="28" t="s">
        <v>92</v>
      </c>
      <c r="N218" s="28" t="s">
        <v>93</v>
      </c>
      <c r="O218" s="29" t="n">
        <v>56</v>
      </c>
      <c r="P218" s="30" t="n">
        <v>127.4</v>
      </c>
      <c r="Q218" s="30" t="n">
        <v>76.05</v>
      </c>
      <c r="R218" s="30" t="n">
        <f aca="false">ROUND(O218*P218,2)</f>
        <v>7134.4</v>
      </c>
      <c r="S218" s="30" t="n">
        <f aca="false">ROUND(O218*Q218,2)</f>
        <v>4258.8</v>
      </c>
      <c r="T218" s="30" t="n">
        <f aca="false">ROUND(R218*SUMIFS(Parametros!$E$23:$E$38,Parametros!$B$23:$B$38,J218,Parametros!$C$23:$C$38,C218,Parametros!$D$23:$D$38,D218),2)</f>
        <v>85.61</v>
      </c>
      <c r="U218" s="30" t="n">
        <f aca="false">R218-S218-T218</f>
        <v>2789.99</v>
      </c>
    </row>
    <row r="219" customFormat="false" ht="15" hidden="false" customHeight="false" outlineLevel="0" collapsed="false">
      <c r="A219" s="0" t="n">
        <v>218</v>
      </c>
      <c r="B219" s="27" t="n">
        <v>45366</v>
      </c>
      <c r="C219" s="0" t="n">
        <v>2024</v>
      </c>
      <c r="D219" s="28" t="s">
        <v>61</v>
      </c>
      <c r="E219" s="0" t="n">
        <v>3</v>
      </c>
      <c r="F219" s="28" t="s">
        <v>106</v>
      </c>
      <c r="G219" s="28" t="s">
        <v>107</v>
      </c>
      <c r="H219" s="28" t="s">
        <v>64</v>
      </c>
      <c r="I219" s="28" t="s">
        <v>65</v>
      </c>
      <c r="J219" s="28" t="s">
        <v>71</v>
      </c>
      <c r="K219" s="28" t="s">
        <v>90</v>
      </c>
      <c r="L219" s="28" t="s">
        <v>91</v>
      </c>
      <c r="M219" s="28" t="s">
        <v>92</v>
      </c>
      <c r="N219" s="28" t="s">
        <v>93</v>
      </c>
      <c r="O219" s="29" t="n">
        <v>19</v>
      </c>
      <c r="P219" s="30" t="n">
        <v>127.4</v>
      </c>
      <c r="Q219" s="30" t="n">
        <v>76.05</v>
      </c>
      <c r="R219" s="30" t="n">
        <f aca="false">ROUND(O219*P219,2)</f>
        <v>2420.6</v>
      </c>
      <c r="S219" s="30" t="n">
        <f aca="false">ROUND(O219*Q219,2)</f>
        <v>1444.95</v>
      </c>
      <c r="T219" s="30" t="n">
        <f aca="false">ROUND(R219*SUMIFS(Parametros!$E$23:$E$38,Parametros!$B$23:$B$38,J219,Parametros!$C$23:$C$38,C219,Parametros!$D$23:$D$38,D219),2)</f>
        <v>101.67</v>
      </c>
      <c r="U219" s="30" t="n">
        <f aca="false">R219-S219-T219</f>
        <v>873.98</v>
      </c>
    </row>
    <row r="220" customFormat="false" ht="15" hidden="false" customHeight="false" outlineLevel="0" collapsed="false">
      <c r="A220" s="0" t="n">
        <v>219</v>
      </c>
      <c r="B220" s="27" t="n">
        <v>45373</v>
      </c>
      <c r="C220" s="0" t="n">
        <v>2024</v>
      </c>
      <c r="D220" s="28" t="s">
        <v>61</v>
      </c>
      <c r="E220" s="0" t="n">
        <v>3</v>
      </c>
      <c r="F220" s="28" t="s">
        <v>106</v>
      </c>
      <c r="G220" s="28" t="s">
        <v>107</v>
      </c>
      <c r="H220" s="28" t="s">
        <v>64</v>
      </c>
      <c r="I220" s="28" t="s">
        <v>65</v>
      </c>
      <c r="J220" s="28" t="s">
        <v>66</v>
      </c>
      <c r="K220" s="28" t="s">
        <v>90</v>
      </c>
      <c r="L220" s="28" t="s">
        <v>91</v>
      </c>
      <c r="M220" s="28" t="s">
        <v>94</v>
      </c>
      <c r="N220" s="28" t="s">
        <v>95</v>
      </c>
      <c r="O220" s="29" t="n">
        <v>53</v>
      </c>
      <c r="P220" s="30" t="n">
        <v>34.3</v>
      </c>
      <c r="Q220" s="30" t="n">
        <v>17.85</v>
      </c>
      <c r="R220" s="30" t="n">
        <f aca="false">ROUND(O220*P220,2)</f>
        <v>1817.9</v>
      </c>
      <c r="S220" s="30" t="n">
        <f aca="false">ROUND(O220*Q220,2)</f>
        <v>946.05</v>
      </c>
      <c r="T220" s="30" t="n">
        <f aca="false">ROUND(R220*SUMIFS(Parametros!$E$23:$E$38,Parametros!$B$23:$B$38,J220,Parametros!$C$23:$C$38,C220,Parametros!$D$23:$D$38,D220),2)</f>
        <v>21.81</v>
      </c>
      <c r="U220" s="30" t="n">
        <f aca="false">R220-S220-T220</f>
        <v>850.04</v>
      </c>
    </row>
    <row r="221" customFormat="false" ht="15" hidden="false" customHeight="false" outlineLevel="0" collapsed="false">
      <c r="A221" s="0" t="n">
        <v>220</v>
      </c>
      <c r="B221" s="27" t="n">
        <v>45353</v>
      </c>
      <c r="C221" s="0" t="n">
        <v>2024</v>
      </c>
      <c r="D221" s="28" t="s">
        <v>61</v>
      </c>
      <c r="E221" s="0" t="n">
        <v>3</v>
      </c>
      <c r="F221" s="28" t="s">
        <v>106</v>
      </c>
      <c r="G221" s="28" t="s">
        <v>107</v>
      </c>
      <c r="H221" s="28" t="s">
        <v>64</v>
      </c>
      <c r="I221" s="28" t="s">
        <v>65</v>
      </c>
      <c r="J221" s="28" t="s">
        <v>71</v>
      </c>
      <c r="K221" s="28" t="s">
        <v>90</v>
      </c>
      <c r="L221" s="28" t="s">
        <v>91</v>
      </c>
      <c r="M221" s="28" t="s">
        <v>94</v>
      </c>
      <c r="N221" s="28" t="s">
        <v>95</v>
      </c>
      <c r="O221" s="29" t="n">
        <v>25</v>
      </c>
      <c r="P221" s="30" t="n">
        <v>34.3</v>
      </c>
      <c r="Q221" s="30" t="n">
        <v>17.85</v>
      </c>
      <c r="R221" s="30" t="n">
        <f aca="false">ROUND(O221*P221,2)</f>
        <v>857.5</v>
      </c>
      <c r="S221" s="30" t="n">
        <f aca="false">ROUND(O221*Q221,2)</f>
        <v>446.25</v>
      </c>
      <c r="T221" s="30" t="n">
        <f aca="false">ROUND(R221*SUMIFS(Parametros!$E$23:$E$38,Parametros!$B$23:$B$38,J221,Parametros!$C$23:$C$38,C221,Parametros!$D$23:$D$38,D221),2)</f>
        <v>36.02</v>
      </c>
      <c r="U221" s="30" t="n">
        <f aca="false">R221-S221-T221</f>
        <v>375.23</v>
      </c>
    </row>
    <row r="222" customFormat="false" ht="15" hidden="false" customHeight="false" outlineLevel="0" collapsed="false">
      <c r="A222" s="0" t="n">
        <v>221</v>
      </c>
      <c r="B222" s="27" t="n">
        <v>45360</v>
      </c>
      <c r="C222" s="0" t="n">
        <v>2024</v>
      </c>
      <c r="D222" s="28" t="s">
        <v>61</v>
      </c>
      <c r="E222" s="0" t="n">
        <v>3</v>
      </c>
      <c r="F222" s="28" t="s">
        <v>106</v>
      </c>
      <c r="G222" s="28" t="s">
        <v>107</v>
      </c>
      <c r="H222" s="28" t="s">
        <v>96</v>
      </c>
      <c r="I222" s="28" t="s">
        <v>97</v>
      </c>
      <c r="J222" s="28" t="s">
        <v>66</v>
      </c>
      <c r="K222" s="28" t="s">
        <v>67</v>
      </c>
      <c r="L222" s="28" t="s">
        <v>68</v>
      </c>
      <c r="M222" s="28" t="s">
        <v>69</v>
      </c>
      <c r="N222" s="28" t="s">
        <v>70</v>
      </c>
      <c r="O222" s="29" t="n">
        <v>13</v>
      </c>
      <c r="P222" s="30" t="n">
        <v>1176</v>
      </c>
      <c r="Q222" s="30" t="n">
        <v>744</v>
      </c>
      <c r="R222" s="30" t="n">
        <f aca="false">ROUND(O222*P222,2)</f>
        <v>15288</v>
      </c>
      <c r="S222" s="30" t="n">
        <f aca="false">ROUND(O222*Q222,2)</f>
        <v>9672</v>
      </c>
      <c r="T222" s="30" t="n">
        <f aca="false">ROUND(R222*SUMIFS(Parametros!$E$23:$E$38,Parametros!$B$23:$B$38,J222,Parametros!$C$23:$C$38,C222,Parametros!$D$23:$D$38,D222),2)</f>
        <v>183.46</v>
      </c>
      <c r="U222" s="30" t="n">
        <f aca="false">R222-S222-T222</f>
        <v>5432.54</v>
      </c>
    </row>
    <row r="223" customFormat="false" ht="15" hidden="false" customHeight="false" outlineLevel="0" collapsed="false">
      <c r="A223" s="0" t="n">
        <v>222</v>
      </c>
      <c r="B223" s="27" t="n">
        <v>45367</v>
      </c>
      <c r="C223" s="0" t="n">
        <v>2024</v>
      </c>
      <c r="D223" s="28" t="s">
        <v>61</v>
      </c>
      <c r="E223" s="0" t="n">
        <v>3</v>
      </c>
      <c r="F223" s="28" t="s">
        <v>106</v>
      </c>
      <c r="G223" s="28" t="s">
        <v>107</v>
      </c>
      <c r="H223" s="28" t="s">
        <v>96</v>
      </c>
      <c r="I223" s="28" t="s">
        <v>97</v>
      </c>
      <c r="J223" s="28" t="s">
        <v>71</v>
      </c>
      <c r="K223" s="28" t="s">
        <v>67</v>
      </c>
      <c r="L223" s="28" t="s">
        <v>68</v>
      </c>
      <c r="M223" s="28" t="s">
        <v>69</v>
      </c>
      <c r="N223" s="28" t="s">
        <v>70</v>
      </c>
      <c r="O223" s="29" t="n">
        <v>4</v>
      </c>
      <c r="P223" s="30" t="n">
        <v>1176</v>
      </c>
      <c r="Q223" s="30" t="n">
        <v>744</v>
      </c>
      <c r="R223" s="30" t="n">
        <f aca="false">ROUND(O223*P223,2)</f>
        <v>4704</v>
      </c>
      <c r="S223" s="30" t="n">
        <f aca="false">ROUND(O223*Q223,2)</f>
        <v>2976</v>
      </c>
      <c r="T223" s="30" t="n">
        <f aca="false">ROUND(R223*SUMIFS(Parametros!$E$23:$E$38,Parametros!$B$23:$B$38,J223,Parametros!$C$23:$C$38,C223,Parametros!$D$23:$D$38,D223),2)</f>
        <v>197.57</v>
      </c>
      <c r="U223" s="30" t="n">
        <f aca="false">R223-S223-T223</f>
        <v>1530.43</v>
      </c>
    </row>
    <row r="224" customFormat="false" ht="15" hidden="false" customHeight="false" outlineLevel="0" collapsed="false">
      <c r="A224" s="0" t="n">
        <v>223</v>
      </c>
      <c r="B224" s="27" t="n">
        <v>45374</v>
      </c>
      <c r="C224" s="0" t="n">
        <v>2024</v>
      </c>
      <c r="D224" s="28" t="s">
        <v>61</v>
      </c>
      <c r="E224" s="0" t="n">
        <v>3</v>
      </c>
      <c r="F224" s="28" t="s">
        <v>106</v>
      </c>
      <c r="G224" s="28" t="s">
        <v>107</v>
      </c>
      <c r="H224" s="28" t="s">
        <v>96</v>
      </c>
      <c r="I224" s="28" t="s">
        <v>97</v>
      </c>
      <c r="J224" s="28" t="s">
        <v>66</v>
      </c>
      <c r="K224" s="28" t="s">
        <v>67</v>
      </c>
      <c r="L224" s="28" t="s">
        <v>68</v>
      </c>
      <c r="M224" s="28" t="s">
        <v>72</v>
      </c>
      <c r="N224" s="28" t="s">
        <v>73</v>
      </c>
      <c r="O224" s="29" t="n">
        <v>13</v>
      </c>
      <c r="P224" s="30" t="n">
        <v>441</v>
      </c>
      <c r="Q224" s="30" t="n">
        <v>272.25</v>
      </c>
      <c r="R224" s="30" t="n">
        <f aca="false">ROUND(O224*P224,2)</f>
        <v>5733</v>
      </c>
      <c r="S224" s="30" t="n">
        <f aca="false">ROUND(O224*Q224,2)</f>
        <v>3539.25</v>
      </c>
      <c r="T224" s="30" t="n">
        <f aca="false">ROUND(R224*SUMIFS(Parametros!$E$23:$E$38,Parametros!$B$23:$B$38,J224,Parametros!$C$23:$C$38,C224,Parametros!$D$23:$D$38,D224),2)</f>
        <v>68.8</v>
      </c>
      <c r="U224" s="30" t="n">
        <f aca="false">R224-S224-T224</f>
        <v>2124.95</v>
      </c>
    </row>
    <row r="225" customFormat="false" ht="15" hidden="false" customHeight="false" outlineLevel="0" collapsed="false">
      <c r="A225" s="0" t="n">
        <v>224</v>
      </c>
      <c r="B225" s="27" t="n">
        <v>45354</v>
      </c>
      <c r="C225" s="0" t="n">
        <v>2024</v>
      </c>
      <c r="D225" s="28" t="s">
        <v>61</v>
      </c>
      <c r="E225" s="0" t="n">
        <v>3</v>
      </c>
      <c r="F225" s="28" t="s">
        <v>106</v>
      </c>
      <c r="G225" s="28" t="s">
        <v>107</v>
      </c>
      <c r="H225" s="28" t="s">
        <v>96</v>
      </c>
      <c r="I225" s="28" t="s">
        <v>97</v>
      </c>
      <c r="J225" s="28" t="s">
        <v>71</v>
      </c>
      <c r="K225" s="28" t="s">
        <v>67</v>
      </c>
      <c r="L225" s="28" t="s">
        <v>68</v>
      </c>
      <c r="M225" s="28" t="s">
        <v>72</v>
      </c>
      <c r="N225" s="28" t="s">
        <v>73</v>
      </c>
      <c r="O225" s="29" t="n">
        <v>4</v>
      </c>
      <c r="P225" s="30" t="n">
        <v>441</v>
      </c>
      <c r="Q225" s="30" t="n">
        <v>272.25</v>
      </c>
      <c r="R225" s="30" t="n">
        <f aca="false">ROUND(O225*P225,2)</f>
        <v>1764</v>
      </c>
      <c r="S225" s="30" t="n">
        <f aca="false">ROUND(O225*Q225,2)</f>
        <v>1089</v>
      </c>
      <c r="T225" s="30" t="n">
        <f aca="false">ROUND(R225*SUMIFS(Parametros!$E$23:$E$38,Parametros!$B$23:$B$38,J225,Parametros!$C$23:$C$38,C225,Parametros!$D$23:$D$38,D225),2)</f>
        <v>74.09</v>
      </c>
      <c r="U225" s="30" t="n">
        <f aca="false">R225-S225-T225</f>
        <v>600.91</v>
      </c>
    </row>
    <row r="226" customFormat="false" ht="15" hidden="false" customHeight="false" outlineLevel="0" collapsed="false">
      <c r="A226" s="0" t="n">
        <v>225</v>
      </c>
      <c r="B226" s="27" t="n">
        <v>45361</v>
      </c>
      <c r="C226" s="0" t="n">
        <v>2024</v>
      </c>
      <c r="D226" s="28" t="s">
        <v>61</v>
      </c>
      <c r="E226" s="0" t="n">
        <v>3</v>
      </c>
      <c r="F226" s="28" t="s">
        <v>106</v>
      </c>
      <c r="G226" s="28" t="s">
        <v>107</v>
      </c>
      <c r="H226" s="28" t="s">
        <v>96</v>
      </c>
      <c r="I226" s="28" t="s">
        <v>97</v>
      </c>
      <c r="J226" s="28" t="s">
        <v>66</v>
      </c>
      <c r="K226" s="28" t="s">
        <v>67</v>
      </c>
      <c r="L226" s="28" t="s">
        <v>68</v>
      </c>
      <c r="M226" s="28" t="s">
        <v>74</v>
      </c>
      <c r="N226" s="28" t="s">
        <v>75</v>
      </c>
      <c r="O226" s="29" t="n">
        <v>11</v>
      </c>
      <c r="P226" s="30" t="n">
        <v>1617</v>
      </c>
      <c r="Q226" s="30" t="n">
        <v>1122</v>
      </c>
      <c r="R226" s="30" t="n">
        <f aca="false">ROUND(O226*P226,2)</f>
        <v>17787</v>
      </c>
      <c r="S226" s="30" t="n">
        <f aca="false">ROUND(O226*Q226,2)</f>
        <v>12342</v>
      </c>
      <c r="T226" s="30" t="n">
        <f aca="false">ROUND(R226*SUMIFS(Parametros!$E$23:$E$38,Parametros!$B$23:$B$38,J226,Parametros!$C$23:$C$38,C226,Parametros!$D$23:$D$38,D226),2)</f>
        <v>213.44</v>
      </c>
      <c r="U226" s="30" t="n">
        <f aca="false">R226-S226-T226</f>
        <v>5231.56</v>
      </c>
    </row>
    <row r="227" customFormat="false" ht="15" hidden="false" customHeight="false" outlineLevel="0" collapsed="false">
      <c r="A227" s="0" t="n">
        <v>226</v>
      </c>
      <c r="B227" s="27" t="n">
        <v>45368</v>
      </c>
      <c r="C227" s="0" t="n">
        <v>2024</v>
      </c>
      <c r="D227" s="28" t="s">
        <v>61</v>
      </c>
      <c r="E227" s="0" t="n">
        <v>3</v>
      </c>
      <c r="F227" s="28" t="s">
        <v>106</v>
      </c>
      <c r="G227" s="28" t="s">
        <v>107</v>
      </c>
      <c r="H227" s="28" t="s">
        <v>96</v>
      </c>
      <c r="I227" s="28" t="s">
        <v>97</v>
      </c>
      <c r="J227" s="28" t="s">
        <v>71</v>
      </c>
      <c r="K227" s="28" t="s">
        <v>67</v>
      </c>
      <c r="L227" s="28" t="s">
        <v>68</v>
      </c>
      <c r="M227" s="28" t="s">
        <v>74</v>
      </c>
      <c r="N227" s="28" t="s">
        <v>75</v>
      </c>
      <c r="O227" s="29" t="n">
        <v>5</v>
      </c>
      <c r="P227" s="30" t="n">
        <v>1617</v>
      </c>
      <c r="Q227" s="30" t="n">
        <v>1122</v>
      </c>
      <c r="R227" s="30" t="n">
        <f aca="false">ROUND(O227*P227,2)</f>
        <v>8085</v>
      </c>
      <c r="S227" s="30" t="n">
        <f aca="false">ROUND(O227*Q227,2)</f>
        <v>5610</v>
      </c>
      <c r="T227" s="30" t="n">
        <f aca="false">ROUND(R227*SUMIFS(Parametros!$E$23:$E$38,Parametros!$B$23:$B$38,J227,Parametros!$C$23:$C$38,C227,Parametros!$D$23:$D$38,D227),2)</f>
        <v>339.57</v>
      </c>
      <c r="U227" s="30" t="n">
        <f aca="false">R227-S227-T227</f>
        <v>2135.43</v>
      </c>
    </row>
    <row r="228" customFormat="false" ht="15" hidden="false" customHeight="false" outlineLevel="0" collapsed="false">
      <c r="A228" s="0" t="n">
        <v>227</v>
      </c>
      <c r="B228" s="27" t="n">
        <v>45375</v>
      </c>
      <c r="C228" s="0" t="n">
        <v>2024</v>
      </c>
      <c r="D228" s="28" t="s">
        <v>61</v>
      </c>
      <c r="E228" s="0" t="n">
        <v>3</v>
      </c>
      <c r="F228" s="28" t="s">
        <v>106</v>
      </c>
      <c r="G228" s="28" t="s">
        <v>107</v>
      </c>
      <c r="H228" s="28" t="s">
        <v>96</v>
      </c>
      <c r="I228" s="28" t="s">
        <v>97</v>
      </c>
      <c r="J228" s="28" t="s">
        <v>66</v>
      </c>
      <c r="K228" s="28" t="s">
        <v>76</v>
      </c>
      <c r="L228" s="28" t="s">
        <v>77</v>
      </c>
      <c r="M228" s="28" t="s">
        <v>78</v>
      </c>
      <c r="N228" s="28" t="s">
        <v>79</v>
      </c>
      <c r="O228" s="29" t="n">
        <v>58</v>
      </c>
      <c r="P228" s="30" t="n">
        <v>27.44</v>
      </c>
      <c r="Q228" s="30" t="n">
        <v>13.44</v>
      </c>
      <c r="R228" s="30" t="n">
        <f aca="false">ROUND(O228*P228,2)</f>
        <v>1591.52</v>
      </c>
      <c r="S228" s="30" t="n">
        <f aca="false">ROUND(O228*Q228,2)</f>
        <v>779.52</v>
      </c>
      <c r="T228" s="30" t="n">
        <f aca="false">ROUND(R228*SUMIFS(Parametros!$E$23:$E$38,Parametros!$B$23:$B$38,J228,Parametros!$C$23:$C$38,C228,Parametros!$D$23:$D$38,D228),2)</f>
        <v>19.1</v>
      </c>
      <c r="U228" s="30" t="n">
        <f aca="false">R228-S228-T228</f>
        <v>792.9</v>
      </c>
    </row>
    <row r="229" customFormat="false" ht="15" hidden="false" customHeight="false" outlineLevel="0" collapsed="false">
      <c r="A229" s="0" t="n">
        <v>228</v>
      </c>
      <c r="B229" s="27" t="n">
        <v>45355</v>
      </c>
      <c r="C229" s="0" t="n">
        <v>2024</v>
      </c>
      <c r="D229" s="28" t="s">
        <v>61</v>
      </c>
      <c r="E229" s="0" t="n">
        <v>3</v>
      </c>
      <c r="F229" s="28" t="s">
        <v>106</v>
      </c>
      <c r="G229" s="28" t="s">
        <v>107</v>
      </c>
      <c r="H229" s="28" t="s">
        <v>96</v>
      </c>
      <c r="I229" s="28" t="s">
        <v>97</v>
      </c>
      <c r="J229" s="28" t="s">
        <v>71</v>
      </c>
      <c r="K229" s="28" t="s">
        <v>76</v>
      </c>
      <c r="L229" s="28" t="s">
        <v>77</v>
      </c>
      <c r="M229" s="28" t="s">
        <v>78</v>
      </c>
      <c r="N229" s="28" t="s">
        <v>79</v>
      </c>
      <c r="O229" s="29" t="n">
        <v>18</v>
      </c>
      <c r="P229" s="30" t="n">
        <v>27.44</v>
      </c>
      <c r="Q229" s="30" t="n">
        <v>13.44</v>
      </c>
      <c r="R229" s="30" t="n">
        <f aca="false">ROUND(O229*P229,2)</f>
        <v>493.92</v>
      </c>
      <c r="S229" s="30" t="n">
        <f aca="false">ROUND(O229*Q229,2)</f>
        <v>241.92</v>
      </c>
      <c r="T229" s="30" t="n">
        <f aca="false">ROUND(R229*SUMIFS(Parametros!$E$23:$E$38,Parametros!$B$23:$B$38,J229,Parametros!$C$23:$C$38,C229,Parametros!$D$23:$D$38,D229),2)</f>
        <v>20.74</v>
      </c>
      <c r="U229" s="30" t="n">
        <f aca="false">R229-S229-T229</f>
        <v>231.26</v>
      </c>
    </row>
    <row r="230" customFormat="false" ht="15" hidden="false" customHeight="false" outlineLevel="0" collapsed="false">
      <c r="A230" s="0" t="n">
        <v>229</v>
      </c>
      <c r="B230" s="27" t="n">
        <v>45362</v>
      </c>
      <c r="C230" s="0" t="n">
        <v>2024</v>
      </c>
      <c r="D230" s="28" t="s">
        <v>61</v>
      </c>
      <c r="E230" s="0" t="n">
        <v>3</v>
      </c>
      <c r="F230" s="28" t="s">
        <v>106</v>
      </c>
      <c r="G230" s="28" t="s">
        <v>107</v>
      </c>
      <c r="H230" s="28" t="s">
        <v>96</v>
      </c>
      <c r="I230" s="28" t="s">
        <v>97</v>
      </c>
      <c r="J230" s="28" t="s">
        <v>66</v>
      </c>
      <c r="K230" s="28" t="s">
        <v>76</v>
      </c>
      <c r="L230" s="28" t="s">
        <v>77</v>
      </c>
      <c r="M230" s="28" t="s">
        <v>80</v>
      </c>
      <c r="N230" s="28" t="s">
        <v>81</v>
      </c>
      <c r="O230" s="29" t="n">
        <v>52</v>
      </c>
      <c r="P230" s="30" t="n">
        <v>93.1</v>
      </c>
      <c r="Q230" s="30" t="n">
        <v>47.98</v>
      </c>
      <c r="R230" s="30" t="n">
        <f aca="false">ROUND(O230*P230,2)</f>
        <v>4841.2</v>
      </c>
      <c r="S230" s="30" t="n">
        <f aca="false">ROUND(O230*Q230,2)</f>
        <v>2494.96</v>
      </c>
      <c r="T230" s="30" t="n">
        <f aca="false">ROUND(R230*SUMIFS(Parametros!$E$23:$E$38,Parametros!$B$23:$B$38,J230,Parametros!$C$23:$C$38,C230,Parametros!$D$23:$D$38,D230),2)</f>
        <v>58.09</v>
      </c>
      <c r="U230" s="30" t="n">
        <f aca="false">R230-S230-T230</f>
        <v>2288.15</v>
      </c>
    </row>
    <row r="231" customFormat="false" ht="15" hidden="false" customHeight="false" outlineLevel="0" collapsed="false">
      <c r="A231" s="0" t="n">
        <v>230</v>
      </c>
      <c r="B231" s="27" t="n">
        <v>45369</v>
      </c>
      <c r="C231" s="0" t="n">
        <v>2024</v>
      </c>
      <c r="D231" s="28" t="s">
        <v>61</v>
      </c>
      <c r="E231" s="0" t="n">
        <v>3</v>
      </c>
      <c r="F231" s="28" t="s">
        <v>106</v>
      </c>
      <c r="G231" s="28" t="s">
        <v>107</v>
      </c>
      <c r="H231" s="28" t="s">
        <v>96</v>
      </c>
      <c r="I231" s="28" t="s">
        <v>97</v>
      </c>
      <c r="J231" s="28" t="s">
        <v>71</v>
      </c>
      <c r="K231" s="28" t="s">
        <v>76</v>
      </c>
      <c r="L231" s="28" t="s">
        <v>77</v>
      </c>
      <c r="M231" s="28" t="s">
        <v>80</v>
      </c>
      <c r="N231" s="28" t="s">
        <v>81</v>
      </c>
      <c r="O231" s="29" t="n">
        <v>22</v>
      </c>
      <c r="P231" s="30" t="n">
        <v>93.1</v>
      </c>
      <c r="Q231" s="30" t="n">
        <v>47.98</v>
      </c>
      <c r="R231" s="30" t="n">
        <f aca="false">ROUND(O231*P231,2)</f>
        <v>2048.2</v>
      </c>
      <c r="S231" s="30" t="n">
        <f aca="false">ROUND(O231*Q231,2)</f>
        <v>1055.56</v>
      </c>
      <c r="T231" s="30" t="n">
        <f aca="false">ROUND(R231*SUMIFS(Parametros!$E$23:$E$38,Parametros!$B$23:$B$38,J231,Parametros!$C$23:$C$38,C231,Parametros!$D$23:$D$38,D231),2)</f>
        <v>86.02</v>
      </c>
      <c r="U231" s="30" t="n">
        <f aca="false">R231-S231-T231</f>
        <v>906.62</v>
      </c>
    </row>
    <row r="232" customFormat="false" ht="15" hidden="false" customHeight="false" outlineLevel="0" collapsed="false">
      <c r="A232" s="0" t="n">
        <v>231</v>
      </c>
      <c r="B232" s="27" t="n">
        <v>45376</v>
      </c>
      <c r="C232" s="0" t="n">
        <v>2024</v>
      </c>
      <c r="D232" s="28" t="s">
        <v>61</v>
      </c>
      <c r="E232" s="0" t="n">
        <v>3</v>
      </c>
      <c r="F232" s="28" t="s">
        <v>106</v>
      </c>
      <c r="G232" s="28" t="s">
        <v>107</v>
      </c>
      <c r="H232" s="28" t="s">
        <v>96</v>
      </c>
      <c r="I232" s="28" t="s">
        <v>97</v>
      </c>
      <c r="J232" s="28" t="s">
        <v>66</v>
      </c>
      <c r="K232" s="28" t="s">
        <v>76</v>
      </c>
      <c r="L232" s="28" t="s">
        <v>77</v>
      </c>
      <c r="M232" s="28" t="s">
        <v>82</v>
      </c>
      <c r="N232" s="28" t="s">
        <v>83</v>
      </c>
      <c r="O232" s="29" t="n">
        <v>56</v>
      </c>
      <c r="P232" s="30" t="n">
        <v>63.7</v>
      </c>
      <c r="Q232" s="30" t="n">
        <v>35.43</v>
      </c>
      <c r="R232" s="30" t="n">
        <f aca="false">ROUND(O232*P232,2)</f>
        <v>3567.2</v>
      </c>
      <c r="S232" s="30" t="n">
        <f aca="false">ROUND(O232*Q232,2)</f>
        <v>1984.08</v>
      </c>
      <c r="T232" s="30" t="n">
        <f aca="false">ROUND(R232*SUMIFS(Parametros!$E$23:$E$38,Parametros!$B$23:$B$38,J232,Parametros!$C$23:$C$38,C232,Parametros!$D$23:$D$38,D232),2)</f>
        <v>42.81</v>
      </c>
      <c r="U232" s="30" t="n">
        <f aca="false">R232-S232-T232</f>
        <v>1540.31</v>
      </c>
    </row>
    <row r="233" customFormat="false" ht="15" hidden="false" customHeight="false" outlineLevel="0" collapsed="false">
      <c r="A233" s="0" t="n">
        <v>232</v>
      </c>
      <c r="B233" s="27" t="n">
        <v>45356</v>
      </c>
      <c r="C233" s="0" t="n">
        <v>2024</v>
      </c>
      <c r="D233" s="28" t="s">
        <v>61</v>
      </c>
      <c r="E233" s="0" t="n">
        <v>3</v>
      </c>
      <c r="F233" s="28" t="s">
        <v>106</v>
      </c>
      <c r="G233" s="28" t="s">
        <v>107</v>
      </c>
      <c r="H233" s="28" t="s">
        <v>96</v>
      </c>
      <c r="I233" s="28" t="s">
        <v>97</v>
      </c>
      <c r="J233" s="28" t="s">
        <v>71</v>
      </c>
      <c r="K233" s="28" t="s">
        <v>76</v>
      </c>
      <c r="L233" s="28" t="s">
        <v>77</v>
      </c>
      <c r="M233" s="28" t="s">
        <v>82</v>
      </c>
      <c r="N233" s="28" t="s">
        <v>83</v>
      </c>
      <c r="O233" s="29" t="n">
        <v>22</v>
      </c>
      <c r="P233" s="30" t="n">
        <v>63.7</v>
      </c>
      <c r="Q233" s="30" t="n">
        <v>35.43</v>
      </c>
      <c r="R233" s="30" t="n">
        <f aca="false">ROUND(O233*P233,2)</f>
        <v>1401.4</v>
      </c>
      <c r="S233" s="30" t="n">
        <f aca="false">ROUND(O233*Q233,2)</f>
        <v>779.46</v>
      </c>
      <c r="T233" s="30" t="n">
        <f aca="false">ROUND(R233*SUMIFS(Parametros!$E$23:$E$38,Parametros!$B$23:$B$38,J233,Parametros!$C$23:$C$38,C233,Parametros!$D$23:$D$38,D233),2)</f>
        <v>58.86</v>
      </c>
      <c r="U233" s="30" t="n">
        <f aca="false">R233-S233-T233</f>
        <v>563.08</v>
      </c>
    </row>
    <row r="234" customFormat="false" ht="15" hidden="false" customHeight="false" outlineLevel="0" collapsed="false">
      <c r="A234" s="0" t="n">
        <v>233</v>
      </c>
      <c r="B234" s="27" t="n">
        <v>45363</v>
      </c>
      <c r="C234" s="0" t="n">
        <v>2024</v>
      </c>
      <c r="D234" s="28" t="s">
        <v>61</v>
      </c>
      <c r="E234" s="0" t="n">
        <v>3</v>
      </c>
      <c r="F234" s="28" t="s">
        <v>106</v>
      </c>
      <c r="G234" s="28" t="s">
        <v>107</v>
      </c>
      <c r="H234" s="28" t="s">
        <v>96</v>
      </c>
      <c r="I234" s="28" t="s">
        <v>97</v>
      </c>
      <c r="J234" s="28" t="s">
        <v>66</v>
      </c>
      <c r="K234" s="28" t="s">
        <v>84</v>
      </c>
      <c r="L234" s="28" t="s">
        <v>85</v>
      </c>
      <c r="M234" s="28" t="s">
        <v>86</v>
      </c>
      <c r="N234" s="28" t="s">
        <v>87</v>
      </c>
      <c r="O234" s="29" t="n">
        <v>23</v>
      </c>
      <c r="P234" s="30" t="n">
        <v>117.6</v>
      </c>
      <c r="Q234" s="30" t="n">
        <v>63.6</v>
      </c>
      <c r="R234" s="30" t="n">
        <f aca="false">ROUND(O234*P234,2)</f>
        <v>2704.8</v>
      </c>
      <c r="S234" s="30" t="n">
        <f aca="false">ROUND(O234*Q234,2)</f>
        <v>1462.8</v>
      </c>
      <c r="T234" s="30" t="n">
        <f aca="false">ROUND(R234*SUMIFS(Parametros!$E$23:$E$38,Parametros!$B$23:$B$38,J234,Parametros!$C$23:$C$38,C234,Parametros!$D$23:$D$38,D234),2)</f>
        <v>32.46</v>
      </c>
      <c r="U234" s="30" t="n">
        <f aca="false">R234-S234-T234</f>
        <v>1209.54</v>
      </c>
    </row>
    <row r="235" customFormat="false" ht="15" hidden="false" customHeight="false" outlineLevel="0" collapsed="false">
      <c r="A235" s="0" t="n">
        <v>234</v>
      </c>
      <c r="B235" s="27" t="n">
        <v>45370</v>
      </c>
      <c r="C235" s="0" t="n">
        <v>2024</v>
      </c>
      <c r="D235" s="28" t="s">
        <v>61</v>
      </c>
      <c r="E235" s="0" t="n">
        <v>3</v>
      </c>
      <c r="F235" s="28" t="s">
        <v>106</v>
      </c>
      <c r="G235" s="28" t="s">
        <v>107</v>
      </c>
      <c r="H235" s="28" t="s">
        <v>96</v>
      </c>
      <c r="I235" s="28" t="s">
        <v>97</v>
      </c>
      <c r="J235" s="28" t="s">
        <v>71</v>
      </c>
      <c r="K235" s="28" t="s">
        <v>84</v>
      </c>
      <c r="L235" s="28" t="s">
        <v>85</v>
      </c>
      <c r="M235" s="28" t="s">
        <v>86</v>
      </c>
      <c r="N235" s="28" t="s">
        <v>87</v>
      </c>
      <c r="O235" s="29" t="n">
        <v>9</v>
      </c>
      <c r="P235" s="30" t="n">
        <v>117.6</v>
      </c>
      <c r="Q235" s="30" t="n">
        <v>63.6</v>
      </c>
      <c r="R235" s="30" t="n">
        <f aca="false">ROUND(O235*P235,2)</f>
        <v>1058.4</v>
      </c>
      <c r="S235" s="30" t="n">
        <f aca="false">ROUND(O235*Q235,2)</f>
        <v>572.4</v>
      </c>
      <c r="T235" s="30" t="n">
        <f aca="false">ROUND(R235*SUMIFS(Parametros!$E$23:$E$38,Parametros!$B$23:$B$38,J235,Parametros!$C$23:$C$38,C235,Parametros!$D$23:$D$38,D235),2)</f>
        <v>44.45</v>
      </c>
      <c r="U235" s="30" t="n">
        <f aca="false">R235-S235-T235</f>
        <v>441.55</v>
      </c>
    </row>
    <row r="236" customFormat="false" ht="15" hidden="false" customHeight="false" outlineLevel="0" collapsed="false">
      <c r="A236" s="0" t="n">
        <v>235</v>
      </c>
      <c r="B236" s="27" t="n">
        <v>45377</v>
      </c>
      <c r="C236" s="0" t="n">
        <v>2024</v>
      </c>
      <c r="D236" s="28" t="s">
        <v>61</v>
      </c>
      <c r="E236" s="0" t="n">
        <v>3</v>
      </c>
      <c r="F236" s="28" t="s">
        <v>106</v>
      </c>
      <c r="G236" s="28" t="s">
        <v>107</v>
      </c>
      <c r="H236" s="28" t="s">
        <v>96</v>
      </c>
      <c r="I236" s="28" t="s">
        <v>97</v>
      </c>
      <c r="J236" s="28" t="s">
        <v>66</v>
      </c>
      <c r="K236" s="28" t="s">
        <v>84</v>
      </c>
      <c r="L236" s="28" t="s">
        <v>85</v>
      </c>
      <c r="M236" s="28" t="s">
        <v>88</v>
      </c>
      <c r="N236" s="28" t="s">
        <v>89</v>
      </c>
      <c r="O236" s="29" t="n">
        <v>28</v>
      </c>
      <c r="P236" s="30" t="n">
        <v>83.3</v>
      </c>
      <c r="Q236" s="30" t="n">
        <v>48.02</v>
      </c>
      <c r="R236" s="30" t="n">
        <f aca="false">ROUND(O236*P236,2)</f>
        <v>2332.4</v>
      </c>
      <c r="S236" s="30" t="n">
        <f aca="false">ROUND(O236*Q236,2)</f>
        <v>1344.56</v>
      </c>
      <c r="T236" s="30" t="n">
        <f aca="false">ROUND(R236*SUMIFS(Parametros!$E$23:$E$38,Parametros!$B$23:$B$38,J236,Parametros!$C$23:$C$38,C236,Parametros!$D$23:$D$38,D236),2)</f>
        <v>27.99</v>
      </c>
      <c r="U236" s="30" t="n">
        <f aca="false">R236-S236-T236</f>
        <v>959.85</v>
      </c>
    </row>
    <row r="237" customFormat="false" ht="15" hidden="false" customHeight="false" outlineLevel="0" collapsed="false">
      <c r="A237" s="0" t="n">
        <v>236</v>
      </c>
      <c r="B237" s="27" t="n">
        <v>45357</v>
      </c>
      <c r="C237" s="0" t="n">
        <v>2024</v>
      </c>
      <c r="D237" s="28" t="s">
        <v>61</v>
      </c>
      <c r="E237" s="0" t="n">
        <v>3</v>
      </c>
      <c r="F237" s="28" t="s">
        <v>106</v>
      </c>
      <c r="G237" s="28" t="s">
        <v>107</v>
      </c>
      <c r="H237" s="28" t="s">
        <v>96</v>
      </c>
      <c r="I237" s="28" t="s">
        <v>97</v>
      </c>
      <c r="J237" s="28" t="s">
        <v>71</v>
      </c>
      <c r="K237" s="28" t="s">
        <v>84</v>
      </c>
      <c r="L237" s="28" t="s">
        <v>85</v>
      </c>
      <c r="M237" s="28" t="s">
        <v>88</v>
      </c>
      <c r="N237" s="28" t="s">
        <v>89</v>
      </c>
      <c r="O237" s="29" t="n">
        <v>9</v>
      </c>
      <c r="P237" s="30" t="n">
        <v>83.3</v>
      </c>
      <c r="Q237" s="30" t="n">
        <v>48.02</v>
      </c>
      <c r="R237" s="30" t="n">
        <f aca="false">ROUND(O237*P237,2)</f>
        <v>749.7</v>
      </c>
      <c r="S237" s="30" t="n">
        <f aca="false">ROUND(O237*Q237,2)</f>
        <v>432.18</v>
      </c>
      <c r="T237" s="30" t="n">
        <f aca="false">ROUND(R237*SUMIFS(Parametros!$E$23:$E$38,Parametros!$B$23:$B$38,J237,Parametros!$C$23:$C$38,C237,Parametros!$D$23:$D$38,D237),2)</f>
        <v>31.49</v>
      </c>
      <c r="U237" s="30" t="n">
        <f aca="false">R237-S237-T237</f>
        <v>286.03</v>
      </c>
    </row>
    <row r="238" customFormat="false" ht="15" hidden="false" customHeight="false" outlineLevel="0" collapsed="false">
      <c r="A238" s="0" t="n">
        <v>237</v>
      </c>
      <c r="B238" s="27" t="n">
        <v>45364</v>
      </c>
      <c r="C238" s="0" t="n">
        <v>2024</v>
      </c>
      <c r="D238" s="28" t="s">
        <v>61</v>
      </c>
      <c r="E238" s="0" t="n">
        <v>3</v>
      </c>
      <c r="F238" s="28" t="s">
        <v>106</v>
      </c>
      <c r="G238" s="28" t="s">
        <v>107</v>
      </c>
      <c r="H238" s="28" t="s">
        <v>96</v>
      </c>
      <c r="I238" s="28" t="s">
        <v>97</v>
      </c>
      <c r="J238" s="28" t="s">
        <v>66</v>
      </c>
      <c r="K238" s="28" t="s">
        <v>90</v>
      </c>
      <c r="L238" s="28" t="s">
        <v>91</v>
      </c>
      <c r="M238" s="28" t="s">
        <v>92</v>
      </c>
      <c r="N238" s="28" t="s">
        <v>93</v>
      </c>
      <c r="O238" s="29" t="n">
        <v>37</v>
      </c>
      <c r="P238" s="30" t="n">
        <v>127.4</v>
      </c>
      <c r="Q238" s="30" t="n">
        <v>76.05</v>
      </c>
      <c r="R238" s="30" t="n">
        <f aca="false">ROUND(O238*P238,2)</f>
        <v>4713.8</v>
      </c>
      <c r="S238" s="30" t="n">
        <f aca="false">ROUND(O238*Q238,2)</f>
        <v>2813.85</v>
      </c>
      <c r="T238" s="30" t="n">
        <f aca="false">ROUND(R238*SUMIFS(Parametros!$E$23:$E$38,Parametros!$B$23:$B$38,J238,Parametros!$C$23:$C$38,C238,Parametros!$D$23:$D$38,D238),2)</f>
        <v>56.57</v>
      </c>
      <c r="U238" s="30" t="n">
        <f aca="false">R238-S238-T238</f>
        <v>1843.38</v>
      </c>
    </row>
    <row r="239" customFormat="false" ht="15" hidden="false" customHeight="false" outlineLevel="0" collapsed="false">
      <c r="A239" s="0" t="n">
        <v>238</v>
      </c>
      <c r="B239" s="27" t="n">
        <v>45371</v>
      </c>
      <c r="C239" s="0" t="n">
        <v>2024</v>
      </c>
      <c r="D239" s="28" t="s">
        <v>61</v>
      </c>
      <c r="E239" s="0" t="n">
        <v>3</v>
      </c>
      <c r="F239" s="28" t="s">
        <v>106</v>
      </c>
      <c r="G239" s="28" t="s">
        <v>107</v>
      </c>
      <c r="H239" s="28" t="s">
        <v>96</v>
      </c>
      <c r="I239" s="28" t="s">
        <v>97</v>
      </c>
      <c r="J239" s="28" t="s">
        <v>71</v>
      </c>
      <c r="K239" s="28" t="s">
        <v>90</v>
      </c>
      <c r="L239" s="28" t="s">
        <v>91</v>
      </c>
      <c r="M239" s="28" t="s">
        <v>92</v>
      </c>
      <c r="N239" s="28" t="s">
        <v>93</v>
      </c>
      <c r="O239" s="29" t="n">
        <v>14</v>
      </c>
      <c r="P239" s="30" t="n">
        <v>127.4</v>
      </c>
      <c r="Q239" s="30" t="n">
        <v>76.05</v>
      </c>
      <c r="R239" s="30" t="n">
        <f aca="false">ROUND(O239*P239,2)</f>
        <v>1783.6</v>
      </c>
      <c r="S239" s="30" t="n">
        <f aca="false">ROUND(O239*Q239,2)</f>
        <v>1064.7</v>
      </c>
      <c r="T239" s="30" t="n">
        <f aca="false">ROUND(R239*SUMIFS(Parametros!$E$23:$E$38,Parametros!$B$23:$B$38,J239,Parametros!$C$23:$C$38,C239,Parametros!$D$23:$D$38,D239),2)</f>
        <v>74.91</v>
      </c>
      <c r="U239" s="30" t="n">
        <f aca="false">R239-S239-T239</f>
        <v>643.99</v>
      </c>
    </row>
    <row r="240" customFormat="false" ht="15" hidden="false" customHeight="false" outlineLevel="0" collapsed="false">
      <c r="A240" s="0" t="n">
        <v>239</v>
      </c>
      <c r="B240" s="27" t="n">
        <v>45378</v>
      </c>
      <c r="C240" s="0" t="n">
        <v>2024</v>
      </c>
      <c r="D240" s="28" t="s">
        <v>61</v>
      </c>
      <c r="E240" s="0" t="n">
        <v>3</v>
      </c>
      <c r="F240" s="28" t="s">
        <v>106</v>
      </c>
      <c r="G240" s="28" t="s">
        <v>107</v>
      </c>
      <c r="H240" s="28" t="s">
        <v>96</v>
      </c>
      <c r="I240" s="28" t="s">
        <v>97</v>
      </c>
      <c r="J240" s="28" t="s">
        <v>66</v>
      </c>
      <c r="K240" s="28" t="s">
        <v>90</v>
      </c>
      <c r="L240" s="28" t="s">
        <v>91</v>
      </c>
      <c r="M240" s="28" t="s">
        <v>94</v>
      </c>
      <c r="N240" s="28" t="s">
        <v>95</v>
      </c>
      <c r="O240" s="29" t="n">
        <v>35</v>
      </c>
      <c r="P240" s="30" t="n">
        <v>34.3</v>
      </c>
      <c r="Q240" s="30" t="n">
        <v>17.85</v>
      </c>
      <c r="R240" s="30" t="n">
        <f aca="false">ROUND(O240*P240,2)</f>
        <v>1200.5</v>
      </c>
      <c r="S240" s="30" t="n">
        <f aca="false">ROUND(O240*Q240,2)</f>
        <v>624.75</v>
      </c>
      <c r="T240" s="30" t="n">
        <f aca="false">ROUND(R240*SUMIFS(Parametros!$E$23:$E$38,Parametros!$B$23:$B$38,J240,Parametros!$C$23:$C$38,C240,Parametros!$D$23:$D$38,D240),2)</f>
        <v>14.41</v>
      </c>
      <c r="U240" s="30" t="n">
        <f aca="false">R240-S240-T240</f>
        <v>561.34</v>
      </c>
    </row>
    <row r="241" customFormat="false" ht="15" hidden="false" customHeight="false" outlineLevel="0" collapsed="false">
      <c r="A241" s="0" t="n">
        <v>240</v>
      </c>
      <c r="B241" s="27" t="n">
        <v>45358</v>
      </c>
      <c r="C241" s="0" t="n">
        <v>2024</v>
      </c>
      <c r="D241" s="28" t="s">
        <v>61</v>
      </c>
      <c r="E241" s="0" t="n">
        <v>3</v>
      </c>
      <c r="F241" s="28" t="s">
        <v>106</v>
      </c>
      <c r="G241" s="28" t="s">
        <v>107</v>
      </c>
      <c r="H241" s="28" t="s">
        <v>96</v>
      </c>
      <c r="I241" s="28" t="s">
        <v>97</v>
      </c>
      <c r="J241" s="28" t="s">
        <v>71</v>
      </c>
      <c r="K241" s="28" t="s">
        <v>90</v>
      </c>
      <c r="L241" s="28" t="s">
        <v>91</v>
      </c>
      <c r="M241" s="28" t="s">
        <v>94</v>
      </c>
      <c r="N241" s="28" t="s">
        <v>95</v>
      </c>
      <c r="O241" s="29" t="n">
        <v>14</v>
      </c>
      <c r="P241" s="30" t="n">
        <v>34.3</v>
      </c>
      <c r="Q241" s="30" t="n">
        <v>17.85</v>
      </c>
      <c r="R241" s="30" t="n">
        <f aca="false">ROUND(O241*P241,2)</f>
        <v>480.2</v>
      </c>
      <c r="S241" s="30" t="n">
        <f aca="false">ROUND(O241*Q241,2)</f>
        <v>249.9</v>
      </c>
      <c r="T241" s="30" t="n">
        <f aca="false">ROUND(R241*SUMIFS(Parametros!$E$23:$E$38,Parametros!$B$23:$B$38,J241,Parametros!$C$23:$C$38,C241,Parametros!$D$23:$D$38,D241),2)</f>
        <v>20.17</v>
      </c>
      <c r="U241" s="30" t="n">
        <f aca="false">R241-S241-T241</f>
        <v>210.13</v>
      </c>
    </row>
    <row r="242" customFormat="false" ht="15" hidden="false" customHeight="false" outlineLevel="0" collapsed="false">
      <c r="A242" s="0" t="n">
        <v>241</v>
      </c>
      <c r="B242" s="27" t="n">
        <v>45365</v>
      </c>
      <c r="C242" s="0" t="n">
        <v>2024</v>
      </c>
      <c r="D242" s="28" t="s">
        <v>61</v>
      </c>
      <c r="E242" s="0" t="n">
        <v>3</v>
      </c>
      <c r="F242" s="28" t="s">
        <v>106</v>
      </c>
      <c r="G242" s="28" t="s">
        <v>107</v>
      </c>
      <c r="H242" s="28" t="s">
        <v>98</v>
      </c>
      <c r="I242" s="28" t="s">
        <v>99</v>
      </c>
      <c r="J242" s="28" t="s">
        <v>66</v>
      </c>
      <c r="K242" s="28" t="s">
        <v>67</v>
      </c>
      <c r="L242" s="28" t="s">
        <v>68</v>
      </c>
      <c r="M242" s="28" t="s">
        <v>69</v>
      </c>
      <c r="N242" s="28" t="s">
        <v>70</v>
      </c>
      <c r="O242" s="29" t="n">
        <v>10</v>
      </c>
      <c r="P242" s="30" t="n">
        <v>1176</v>
      </c>
      <c r="Q242" s="30" t="n">
        <v>744</v>
      </c>
      <c r="R242" s="30" t="n">
        <f aca="false">ROUND(O242*P242,2)</f>
        <v>11760</v>
      </c>
      <c r="S242" s="30" t="n">
        <f aca="false">ROUND(O242*Q242,2)</f>
        <v>7440</v>
      </c>
      <c r="T242" s="30" t="n">
        <f aca="false">ROUND(R242*SUMIFS(Parametros!$E$23:$E$38,Parametros!$B$23:$B$38,J242,Parametros!$C$23:$C$38,C242,Parametros!$D$23:$D$38,D242),2)</f>
        <v>141.12</v>
      </c>
      <c r="U242" s="30" t="n">
        <f aca="false">R242-S242-T242</f>
        <v>4178.88</v>
      </c>
    </row>
    <row r="243" customFormat="false" ht="15" hidden="false" customHeight="false" outlineLevel="0" collapsed="false">
      <c r="A243" s="0" t="n">
        <v>242</v>
      </c>
      <c r="B243" s="27" t="n">
        <v>45372</v>
      </c>
      <c r="C243" s="0" t="n">
        <v>2024</v>
      </c>
      <c r="D243" s="28" t="s">
        <v>61</v>
      </c>
      <c r="E243" s="0" t="n">
        <v>3</v>
      </c>
      <c r="F243" s="28" t="s">
        <v>106</v>
      </c>
      <c r="G243" s="28" t="s">
        <v>107</v>
      </c>
      <c r="H243" s="28" t="s">
        <v>98</v>
      </c>
      <c r="I243" s="28" t="s">
        <v>99</v>
      </c>
      <c r="J243" s="28" t="s">
        <v>71</v>
      </c>
      <c r="K243" s="28" t="s">
        <v>67</v>
      </c>
      <c r="L243" s="28" t="s">
        <v>68</v>
      </c>
      <c r="M243" s="28" t="s">
        <v>69</v>
      </c>
      <c r="N243" s="28" t="s">
        <v>70</v>
      </c>
      <c r="O243" s="29" t="n">
        <v>4</v>
      </c>
      <c r="P243" s="30" t="n">
        <v>1176</v>
      </c>
      <c r="Q243" s="30" t="n">
        <v>744</v>
      </c>
      <c r="R243" s="30" t="n">
        <f aca="false">ROUND(O243*P243,2)</f>
        <v>4704</v>
      </c>
      <c r="S243" s="30" t="n">
        <f aca="false">ROUND(O243*Q243,2)</f>
        <v>2976</v>
      </c>
      <c r="T243" s="30" t="n">
        <f aca="false">ROUND(R243*SUMIFS(Parametros!$E$23:$E$38,Parametros!$B$23:$B$38,J243,Parametros!$C$23:$C$38,C243,Parametros!$D$23:$D$38,D243),2)</f>
        <v>197.57</v>
      </c>
      <c r="U243" s="30" t="n">
        <f aca="false">R243-S243-T243</f>
        <v>1530.43</v>
      </c>
    </row>
    <row r="244" customFormat="false" ht="15" hidden="false" customHeight="false" outlineLevel="0" collapsed="false">
      <c r="A244" s="0" t="n">
        <v>243</v>
      </c>
      <c r="B244" s="27" t="n">
        <v>45352</v>
      </c>
      <c r="C244" s="0" t="n">
        <v>2024</v>
      </c>
      <c r="D244" s="28" t="s">
        <v>61</v>
      </c>
      <c r="E244" s="0" t="n">
        <v>3</v>
      </c>
      <c r="F244" s="28" t="s">
        <v>106</v>
      </c>
      <c r="G244" s="28" t="s">
        <v>107</v>
      </c>
      <c r="H244" s="28" t="s">
        <v>98</v>
      </c>
      <c r="I244" s="28" t="s">
        <v>99</v>
      </c>
      <c r="J244" s="28" t="s">
        <v>66</v>
      </c>
      <c r="K244" s="28" t="s">
        <v>67</v>
      </c>
      <c r="L244" s="28" t="s">
        <v>68</v>
      </c>
      <c r="M244" s="28" t="s">
        <v>72</v>
      </c>
      <c r="N244" s="28" t="s">
        <v>73</v>
      </c>
      <c r="O244" s="29" t="n">
        <v>9</v>
      </c>
      <c r="P244" s="30" t="n">
        <v>441</v>
      </c>
      <c r="Q244" s="30" t="n">
        <v>272.25</v>
      </c>
      <c r="R244" s="30" t="n">
        <f aca="false">ROUND(O244*P244,2)</f>
        <v>3969</v>
      </c>
      <c r="S244" s="30" t="n">
        <f aca="false">ROUND(O244*Q244,2)</f>
        <v>2450.25</v>
      </c>
      <c r="T244" s="30" t="n">
        <f aca="false">ROUND(R244*SUMIFS(Parametros!$E$23:$E$38,Parametros!$B$23:$B$38,J244,Parametros!$C$23:$C$38,C244,Parametros!$D$23:$D$38,D244),2)</f>
        <v>47.63</v>
      </c>
      <c r="U244" s="30" t="n">
        <f aca="false">R244-S244-T244</f>
        <v>1471.12</v>
      </c>
    </row>
    <row r="245" customFormat="false" ht="15" hidden="false" customHeight="false" outlineLevel="0" collapsed="false">
      <c r="A245" s="0" t="n">
        <v>244</v>
      </c>
      <c r="B245" s="27" t="n">
        <v>45359</v>
      </c>
      <c r="C245" s="0" t="n">
        <v>2024</v>
      </c>
      <c r="D245" s="28" t="s">
        <v>61</v>
      </c>
      <c r="E245" s="0" t="n">
        <v>3</v>
      </c>
      <c r="F245" s="28" t="s">
        <v>106</v>
      </c>
      <c r="G245" s="28" t="s">
        <v>107</v>
      </c>
      <c r="H245" s="28" t="s">
        <v>98</v>
      </c>
      <c r="I245" s="28" t="s">
        <v>99</v>
      </c>
      <c r="J245" s="28" t="s">
        <v>71</v>
      </c>
      <c r="K245" s="28" t="s">
        <v>67</v>
      </c>
      <c r="L245" s="28" t="s">
        <v>68</v>
      </c>
      <c r="M245" s="28" t="s">
        <v>72</v>
      </c>
      <c r="N245" s="28" t="s">
        <v>73</v>
      </c>
      <c r="O245" s="29" t="n">
        <v>3</v>
      </c>
      <c r="P245" s="30" t="n">
        <v>441</v>
      </c>
      <c r="Q245" s="30" t="n">
        <v>272.25</v>
      </c>
      <c r="R245" s="30" t="n">
        <f aca="false">ROUND(O245*P245,2)</f>
        <v>1323</v>
      </c>
      <c r="S245" s="30" t="n">
        <f aca="false">ROUND(O245*Q245,2)</f>
        <v>816.75</v>
      </c>
      <c r="T245" s="30" t="n">
        <f aca="false">ROUND(R245*SUMIFS(Parametros!$E$23:$E$38,Parametros!$B$23:$B$38,J245,Parametros!$C$23:$C$38,C245,Parametros!$D$23:$D$38,D245),2)</f>
        <v>55.57</v>
      </c>
      <c r="U245" s="30" t="n">
        <f aca="false">R245-S245-T245</f>
        <v>450.68</v>
      </c>
    </row>
    <row r="246" customFormat="false" ht="15" hidden="false" customHeight="false" outlineLevel="0" collapsed="false">
      <c r="A246" s="0" t="n">
        <v>245</v>
      </c>
      <c r="B246" s="27" t="n">
        <v>45366</v>
      </c>
      <c r="C246" s="0" t="n">
        <v>2024</v>
      </c>
      <c r="D246" s="28" t="s">
        <v>61</v>
      </c>
      <c r="E246" s="0" t="n">
        <v>3</v>
      </c>
      <c r="F246" s="28" t="s">
        <v>106</v>
      </c>
      <c r="G246" s="28" t="s">
        <v>107</v>
      </c>
      <c r="H246" s="28" t="s">
        <v>98</v>
      </c>
      <c r="I246" s="28" t="s">
        <v>99</v>
      </c>
      <c r="J246" s="28" t="s">
        <v>66</v>
      </c>
      <c r="K246" s="28" t="s">
        <v>67</v>
      </c>
      <c r="L246" s="28" t="s">
        <v>68</v>
      </c>
      <c r="M246" s="28" t="s">
        <v>74</v>
      </c>
      <c r="N246" s="28" t="s">
        <v>75</v>
      </c>
      <c r="O246" s="29" t="n">
        <v>9</v>
      </c>
      <c r="P246" s="30" t="n">
        <v>1617</v>
      </c>
      <c r="Q246" s="30" t="n">
        <v>1122</v>
      </c>
      <c r="R246" s="30" t="n">
        <f aca="false">ROUND(O246*P246,2)</f>
        <v>14553</v>
      </c>
      <c r="S246" s="30" t="n">
        <f aca="false">ROUND(O246*Q246,2)</f>
        <v>10098</v>
      </c>
      <c r="T246" s="30" t="n">
        <f aca="false">ROUND(R246*SUMIFS(Parametros!$E$23:$E$38,Parametros!$B$23:$B$38,J246,Parametros!$C$23:$C$38,C246,Parametros!$D$23:$D$38,D246),2)</f>
        <v>174.64</v>
      </c>
      <c r="U246" s="30" t="n">
        <f aca="false">R246-S246-T246</f>
        <v>4280.36</v>
      </c>
    </row>
    <row r="247" customFormat="false" ht="15" hidden="false" customHeight="false" outlineLevel="0" collapsed="false">
      <c r="A247" s="0" t="n">
        <v>246</v>
      </c>
      <c r="B247" s="27" t="n">
        <v>45373</v>
      </c>
      <c r="C247" s="0" t="n">
        <v>2024</v>
      </c>
      <c r="D247" s="28" t="s">
        <v>61</v>
      </c>
      <c r="E247" s="0" t="n">
        <v>3</v>
      </c>
      <c r="F247" s="28" t="s">
        <v>106</v>
      </c>
      <c r="G247" s="28" t="s">
        <v>107</v>
      </c>
      <c r="H247" s="28" t="s">
        <v>98</v>
      </c>
      <c r="I247" s="28" t="s">
        <v>99</v>
      </c>
      <c r="J247" s="28" t="s">
        <v>71</v>
      </c>
      <c r="K247" s="28" t="s">
        <v>67</v>
      </c>
      <c r="L247" s="28" t="s">
        <v>68</v>
      </c>
      <c r="M247" s="28" t="s">
        <v>74</v>
      </c>
      <c r="N247" s="28" t="s">
        <v>75</v>
      </c>
      <c r="O247" s="29" t="n">
        <v>3</v>
      </c>
      <c r="P247" s="30" t="n">
        <v>1617</v>
      </c>
      <c r="Q247" s="30" t="n">
        <v>1122</v>
      </c>
      <c r="R247" s="30" t="n">
        <f aca="false">ROUND(O247*P247,2)</f>
        <v>4851</v>
      </c>
      <c r="S247" s="30" t="n">
        <f aca="false">ROUND(O247*Q247,2)</f>
        <v>3366</v>
      </c>
      <c r="T247" s="30" t="n">
        <f aca="false">ROUND(R247*SUMIFS(Parametros!$E$23:$E$38,Parametros!$B$23:$B$38,J247,Parametros!$C$23:$C$38,C247,Parametros!$D$23:$D$38,D247),2)</f>
        <v>203.74</v>
      </c>
      <c r="U247" s="30" t="n">
        <f aca="false">R247-S247-T247</f>
        <v>1281.26</v>
      </c>
    </row>
    <row r="248" customFormat="false" ht="15" hidden="false" customHeight="false" outlineLevel="0" collapsed="false">
      <c r="A248" s="0" t="n">
        <v>247</v>
      </c>
      <c r="B248" s="27" t="n">
        <v>45353</v>
      </c>
      <c r="C248" s="0" t="n">
        <v>2024</v>
      </c>
      <c r="D248" s="28" t="s">
        <v>61</v>
      </c>
      <c r="E248" s="0" t="n">
        <v>3</v>
      </c>
      <c r="F248" s="28" t="s">
        <v>106</v>
      </c>
      <c r="G248" s="28" t="s">
        <v>107</v>
      </c>
      <c r="H248" s="28" t="s">
        <v>98</v>
      </c>
      <c r="I248" s="28" t="s">
        <v>99</v>
      </c>
      <c r="J248" s="28" t="s">
        <v>66</v>
      </c>
      <c r="K248" s="28" t="s">
        <v>76</v>
      </c>
      <c r="L248" s="28" t="s">
        <v>77</v>
      </c>
      <c r="M248" s="28" t="s">
        <v>78</v>
      </c>
      <c r="N248" s="28" t="s">
        <v>79</v>
      </c>
      <c r="O248" s="29" t="n">
        <v>40</v>
      </c>
      <c r="P248" s="30" t="n">
        <v>27.44</v>
      </c>
      <c r="Q248" s="30" t="n">
        <v>13.44</v>
      </c>
      <c r="R248" s="30" t="n">
        <f aca="false">ROUND(O248*P248,2)</f>
        <v>1097.6</v>
      </c>
      <c r="S248" s="30" t="n">
        <f aca="false">ROUND(O248*Q248,2)</f>
        <v>537.6</v>
      </c>
      <c r="T248" s="30" t="n">
        <f aca="false">ROUND(R248*SUMIFS(Parametros!$E$23:$E$38,Parametros!$B$23:$B$38,J248,Parametros!$C$23:$C$38,C248,Parametros!$D$23:$D$38,D248),2)</f>
        <v>13.17</v>
      </c>
      <c r="U248" s="30" t="n">
        <f aca="false">R248-S248-T248</f>
        <v>546.83</v>
      </c>
    </row>
    <row r="249" customFormat="false" ht="15" hidden="false" customHeight="false" outlineLevel="0" collapsed="false">
      <c r="A249" s="0" t="n">
        <v>248</v>
      </c>
      <c r="B249" s="27" t="n">
        <v>45360</v>
      </c>
      <c r="C249" s="0" t="n">
        <v>2024</v>
      </c>
      <c r="D249" s="28" t="s">
        <v>61</v>
      </c>
      <c r="E249" s="0" t="n">
        <v>3</v>
      </c>
      <c r="F249" s="28" t="s">
        <v>106</v>
      </c>
      <c r="G249" s="28" t="s">
        <v>107</v>
      </c>
      <c r="H249" s="28" t="s">
        <v>98</v>
      </c>
      <c r="I249" s="28" t="s">
        <v>99</v>
      </c>
      <c r="J249" s="28" t="s">
        <v>71</v>
      </c>
      <c r="K249" s="28" t="s">
        <v>76</v>
      </c>
      <c r="L249" s="28" t="s">
        <v>77</v>
      </c>
      <c r="M249" s="28" t="s">
        <v>78</v>
      </c>
      <c r="N249" s="28" t="s">
        <v>79</v>
      </c>
      <c r="O249" s="29" t="n">
        <v>14</v>
      </c>
      <c r="P249" s="30" t="n">
        <v>27.44</v>
      </c>
      <c r="Q249" s="30" t="n">
        <v>13.44</v>
      </c>
      <c r="R249" s="30" t="n">
        <f aca="false">ROUND(O249*P249,2)</f>
        <v>384.16</v>
      </c>
      <c r="S249" s="30" t="n">
        <f aca="false">ROUND(O249*Q249,2)</f>
        <v>188.16</v>
      </c>
      <c r="T249" s="30" t="n">
        <f aca="false">ROUND(R249*SUMIFS(Parametros!$E$23:$E$38,Parametros!$B$23:$B$38,J249,Parametros!$C$23:$C$38,C249,Parametros!$D$23:$D$38,D249),2)</f>
        <v>16.13</v>
      </c>
      <c r="U249" s="30" t="n">
        <f aca="false">R249-S249-T249</f>
        <v>179.87</v>
      </c>
    </row>
    <row r="250" customFormat="false" ht="15" hidden="false" customHeight="false" outlineLevel="0" collapsed="false">
      <c r="A250" s="0" t="n">
        <v>249</v>
      </c>
      <c r="B250" s="27" t="n">
        <v>45367</v>
      </c>
      <c r="C250" s="0" t="n">
        <v>2024</v>
      </c>
      <c r="D250" s="28" t="s">
        <v>61</v>
      </c>
      <c r="E250" s="0" t="n">
        <v>3</v>
      </c>
      <c r="F250" s="28" t="s">
        <v>106</v>
      </c>
      <c r="G250" s="28" t="s">
        <v>107</v>
      </c>
      <c r="H250" s="28" t="s">
        <v>98</v>
      </c>
      <c r="I250" s="28" t="s">
        <v>99</v>
      </c>
      <c r="J250" s="28" t="s">
        <v>66</v>
      </c>
      <c r="K250" s="28" t="s">
        <v>76</v>
      </c>
      <c r="L250" s="28" t="s">
        <v>77</v>
      </c>
      <c r="M250" s="28" t="s">
        <v>80</v>
      </c>
      <c r="N250" s="28" t="s">
        <v>81</v>
      </c>
      <c r="O250" s="29" t="n">
        <v>33</v>
      </c>
      <c r="P250" s="30" t="n">
        <v>93.1</v>
      </c>
      <c r="Q250" s="30" t="n">
        <v>47.98</v>
      </c>
      <c r="R250" s="30" t="n">
        <f aca="false">ROUND(O250*P250,2)</f>
        <v>3072.3</v>
      </c>
      <c r="S250" s="30" t="n">
        <f aca="false">ROUND(O250*Q250,2)</f>
        <v>1583.34</v>
      </c>
      <c r="T250" s="30" t="n">
        <f aca="false">ROUND(R250*SUMIFS(Parametros!$E$23:$E$38,Parametros!$B$23:$B$38,J250,Parametros!$C$23:$C$38,C250,Parametros!$D$23:$D$38,D250),2)</f>
        <v>36.87</v>
      </c>
      <c r="U250" s="30" t="n">
        <f aca="false">R250-S250-T250</f>
        <v>1452.09</v>
      </c>
    </row>
    <row r="251" customFormat="false" ht="15" hidden="false" customHeight="false" outlineLevel="0" collapsed="false">
      <c r="A251" s="0" t="n">
        <v>250</v>
      </c>
      <c r="B251" s="27" t="n">
        <v>45374</v>
      </c>
      <c r="C251" s="0" t="n">
        <v>2024</v>
      </c>
      <c r="D251" s="28" t="s">
        <v>61</v>
      </c>
      <c r="E251" s="0" t="n">
        <v>3</v>
      </c>
      <c r="F251" s="28" t="s">
        <v>106</v>
      </c>
      <c r="G251" s="28" t="s">
        <v>107</v>
      </c>
      <c r="H251" s="28" t="s">
        <v>98</v>
      </c>
      <c r="I251" s="28" t="s">
        <v>99</v>
      </c>
      <c r="J251" s="28" t="s">
        <v>71</v>
      </c>
      <c r="K251" s="28" t="s">
        <v>76</v>
      </c>
      <c r="L251" s="28" t="s">
        <v>77</v>
      </c>
      <c r="M251" s="28" t="s">
        <v>80</v>
      </c>
      <c r="N251" s="28" t="s">
        <v>81</v>
      </c>
      <c r="O251" s="29" t="n">
        <v>17</v>
      </c>
      <c r="P251" s="30" t="n">
        <v>93.1</v>
      </c>
      <c r="Q251" s="30" t="n">
        <v>47.98</v>
      </c>
      <c r="R251" s="30" t="n">
        <f aca="false">ROUND(O251*P251,2)</f>
        <v>1582.7</v>
      </c>
      <c r="S251" s="30" t="n">
        <f aca="false">ROUND(O251*Q251,2)</f>
        <v>815.66</v>
      </c>
      <c r="T251" s="30" t="n">
        <f aca="false">ROUND(R251*SUMIFS(Parametros!$E$23:$E$38,Parametros!$B$23:$B$38,J251,Parametros!$C$23:$C$38,C251,Parametros!$D$23:$D$38,D251),2)</f>
        <v>66.47</v>
      </c>
      <c r="U251" s="30" t="n">
        <f aca="false">R251-S251-T251</f>
        <v>700.57</v>
      </c>
    </row>
    <row r="252" customFormat="false" ht="15" hidden="false" customHeight="false" outlineLevel="0" collapsed="false">
      <c r="A252" s="0" t="n">
        <v>251</v>
      </c>
      <c r="B252" s="27" t="n">
        <v>45354</v>
      </c>
      <c r="C252" s="0" t="n">
        <v>2024</v>
      </c>
      <c r="D252" s="28" t="s">
        <v>61</v>
      </c>
      <c r="E252" s="0" t="n">
        <v>3</v>
      </c>
      <c r="F252" s="28" t="s">
        <v>106</v>
      </c>
      <c r="G252" s="28" t="s">
        <v>107</v>
      </c>
      <c r="H252" s="28" t="s">
        <v>98</v>
      </c>
      <c r="I252" s="28" t="s">
        <v>99</v>
      </c>
      <c r="J252" s="28" t="s">
        <v>66</v>
      </c>
      <c r="K252" s="28" t="s">
        <v>76</v>
      </c>
      <c r="L252" s="28" t="s">
        <v>77</v>
      </c>
      <c r="M252" s="28" t="s">
        <v>82</v>
      </c>
      <c r="N252" s="28" t="s">
        <v>83</v>
      </c>
      <c r="O252" s="29" t="n">
        <v>42</v>
      </c>
      <c r="P252" s="30" t="n">
        <v>63.7</v>
      </c>
      <c r="Q252" s="30" t="n">
        <v>35.43</v>
      </c>
      <c r="R252" s="30" t="n">
        <f aca="false">ROUND(O252*P252,2)</f>
        <v>2675.4</v>
      </c>
      <c r="S252" s="30" t="n">
        <f aca="false">ROUND(O252*Q252,2)</f>
        <v>1488.06</v>
      </c>
      <c r="T252" s="30" t="n">
        <f aca="false">ROUND(R252*SUMIFS(Parametros!$E$23:$E$38,Parametros!$B$23:$B$38,J252,Parametros!$C$23:$C$38,C252,Parametros!$D$23:$D$38,D252),2)</f>
        <v>32.1</v>
      </c>
      <c r="U252" s="30" t="n">
        <f aca="false">R252-S252-T252</f>
        <v>1155.24</v>
      </c>
    </row>
    <row r="253" customFormat="false" ht="15" hidden="false" customHeight="false" outlineLevel="0" collapsed="false">
      <c r="A253" s="0" t="n">
        <v>252</v>
      </c>
      <c r="B253" s="27" t="n">
        <v>45361</v>
      </c>
      <c r="C253" s="0" t="n">
        <v>2024</v>
      </c>
      <c r="D253" s="28" t="s">
        <v>61</v>
      </c>
      <c r="E253" s="0" t="n">
        <v>3</v>
      </c>
      <c r="F253" s="28" t="s">
        <v>106</v>
      </c>
      <c r="G253" s="28" t="s">
        <v>107</v>
      </c>
      <c r="H253" s="28" t="s">
        <v>98</v>
      </c>
      <c r="I253" s="28" t="s">
        <v>99</v>
      </c>
      <c r="J253" s="28" t="s">
        <v>71</v>
      </c>
      <c r="K253" s="28" t="s">
        <v>76</v>
      </c>
      <c r="L253" s="28" t="s">
        <v>77</v>
      </c>
      <c r="M253" s="28" t="s">
        <v>82</v>
      </c>
      <c r="N253" s="28" t="s">
        <v>83</v>
      </c>
      <c r="O253" s="29" t="n">
        <v>17</v>
      </c>
      <c r="P253" s="30" t="n">
        <v>63.7</v>
      </c>
      <c r="Q253" s="30" t="n">
        <v>35.43</v>
      </c>
      <c r="R253" s="30" t="n">
        <f aca="false">ROUND(O253*P253,2)</f>
        <v>1082.9</v>
      </c>
      <c r="S253" s="30" t="n">
        <f aca="false">ROUND(O253*Q253,2)</f>
        <v>602.31</v>
      </c>
      <c r="T253" s="30" t="n">
        <f aca="false">ROUND(R253*SUMIFS(Parametros!$E$23:$E$38,Parametros!$B$23:$B$38,J253,Parametros!$C$23:$C$38,C253,Parametros!$D$23:$D$38,D253),2)</f>
        <v>45.48</v>
      </c>
      <c r="U253" s="30" t="n">
        <f aca="false">R253-S253-T253</f>
        <v>435.11</v>
      </c>
    </row>
    <row r="254" customFormat="false" ht="15" hidden="false" customHeight="false" outlineLevel="0" collapsed="false">
      <c r="A254" s="0" t="n">
        <v>253</v>
      </c>
      <c r="B254" s="27" t="n">
        <v>45368</v>
      </c>
      <c r="C254" s="0" t="n">
        <v>2024</v>
      </c>
      <c r="D254" s="28" t="s">
        <v>61</v>
      </c>
      <c r="E254" s="0" t="n">
        <v>3</v>
      </c>
      <c r="F254" s="28" t="s">
        <v>106</v>
      </c>
      <c r="G254" s="28" t="s">
        <v>107</v>
      </c>
      <c r="H254" s="28" t="s">
        <v>98</v>
      </c>
      <c r="I254" s="28" t="s">
        <v>99</v>
      </c>
      <c r="J254" s="28" t="s">
        <v>66</v>
      </c>
      <c r="K254" s="28" t="s">
        <v>84</v>
      </c>
      <c r="L254" s="28" t="s">
        <v>85</v>
      </c>
      <c r="M254" s="28" t="s">
        <v>86</v>
      </c>
      <c r="N254" s="28" t="s">
        <v>87</v>
      </c>
      <c r="O254" s="29" t="n">
        <v>15</v>
      </c>
      <c r="P254" s="30" t="n">
        <v>117.6</v>
      </c>
      <c r="Q254" s="30" t="n">
        <v>63.6</v>
      </c>
      <c r="R254" s="30" t="n">
        <f aca="false">ROUND(O254*P254,2)</f>
        <v>1764</v>
      </c>
      <c r="S254" s="30" t="n">
        <f aca="false">ROUND(O254*Q254,2)</f>
        <v>954</v>
      </c>
      <c r="T254" s="30" t="n">
        <f aca="false">ROUND(R254*SUMIFS(Parametros!$E$23:$E$38,Parametros!$B$23:$B$38,J254,Parametros!$C$23:$C$38,C254,Parametros!$D$23:$D$38,D254),2)</f>
        <v>21.17</v>
      </c>
      <c r="U254" s="30" t="n">
        <f aca="false">R254-S254-T254</f>
        <v>788.83</v>
      </c>
    </row>
    <row r="255" customFormat="false" ht="15" hidden="false" customHeight="false" outlineLevel="0" collapsed="false">
      <c r="A255" s="0" t="n">
        <v>254</v>
      </c>
      <c r="B255" s="27" t="n">
        <v>45375</v>
      </c>
      <c r="C255" s="0" t="n">
        <v>2024</v>
      </c>
      <c r="D255" s="28" t="s">
        <v>61</v>
      </c>
      <c r="E255" s="0" t="n">
        <v>3</v>
      </c>
      <c r="F255" s="28" t="s">
        <v>106</v>
      </c>
      <c r="G255" s="28" t="s">
        <v>107</v>
      </c>
      <c r="H255" s="28" t="s">
        <v>98</v>
      </c>
      <c r="I255" s="28" t="s">
        <v>99</v>
      </c>
      <c r="J255" s="28" t="s">
        <v>71</v>
      </c>
      <c r="K255" s="28" t="s">
        <v>84</v>
      </c>
      <c r="L255" s="28" t="s">
        <v>85</v>
      </c>
      <c r="M255" s="28" t="s">
        <v>86</v>
      </c>
      <c r="N255" s="28" t="s">
        <v>87</v>
      </c>
      <c r="O255" s="29" t="n">
        <v>6</v>
      </c>
      <c r="P255" s="30" t="n">
        <v>117.6</v>
      </c>
      <c r="Q255" s="30" t="n">
        <v>63.6</v>
      </c>
      <c r="R255" s="30" t="n">
        <f aca="false">ROUND(O255*P255,2)</f>
        <v>705.6</v>
      </c>
      <c r="S255" s="30" t="n">
        <f aca="false">ROUND(O255*Q255,2)</f>
        <v>381.6</v>
      </c>
      <c r="T255" s="30" t="n">
        <f aca="false">ROUND(R255*SUMIFS(Parametros!$E$23:$E$38,Parametros!$B$23:$B$38,J255,Parametros!$C$23:$C$38,C255,Parametros!$D$23:$D$38,D255),2)</f>
        <v>29.64</v>
      </c>
      <c r="U255" s="30" t="n">
        <f aca="false">R255-S255-T255</f>
        <v>294.36</v>
      </c>
    </row>
    <row r="256" customFormat="false" ht="15" hidden="false" customHeight="false" outlineLevel="0" collapsed="false">
      <c r="A256" s="0" t="n">
        <v>255</v>
      </c>
      <c r="B256" s="27" t="n">
        <v>45355</v>
      </c>
      <c r="C256" s="0" t="n">
        <v>2024</v>
      </c>
      <c r="D256" s="28" t="s">
        <v>61</v>
      </c>
      <c r="E256" s="0" t="n">
        <v>3</v>
      </c>
      <c r="F256" s="28" t="s">
        <v>106</v>
      </c>
      <c r="G256" s="28" t="s">
        <v>107</v>
      </c>
      <c r="H256" s="28" t="s">
        <v>98</v>
      </c>
      <c r="I256" s="28" t="s">
        <v>99</v>
      </c>
      <c r="J256" s="28" t="s">
        <v>66</v>
      </c>
      <c r="K256" s="28" t="s">
        <v>84</v>
      </c>
      <c r="L256" s="28" t="s">
        <v>85</v>
      </c>
      <c r="M256" s="28" t="s">
        <v>88</v>
      </c>
      <c r="N256" s="28" t="s">
        <v>89</v>
      </c>
      <c r="O256" s="29" t="n">
        <v>19</v>
      </c>
      <c r="P256" s="30" t="n">
        <v>83.3</v>
      </c>
      <c r="Q256" s="30" t="n">
        <v>48.02</v>
      </c>
      <c r="R256" s="30" t="n">
        <f aca="false">ROUND(O256*P256,2)</f>
        <v>1582.7</v>
      </c>
      <c r="S256" s="30" t="n">
        <f aca="false">ROUND(O256*Q256,2)</f>
        <v>912.38</v>
      </c>
      <c r="T256" s="30" t="n">
        <f aca="false">ROUND(R256*SUMIFS(Parametros!$E$23:$E$38,Parametros!$B$23:$B$38,J256,Parametros!$C$23:$C$38,C256,Parametros!$D$23:$D$38,D256),2)</f>
        <v>18.99</v>
      </c>
      <c r="U256" s="30" t="n">
        <f aca="false">R256-S256-T256</f>
        <v>651.33</v>
      </c>
    </row>
    <row r="257" customFormat="false" ht="15" hidden="false" customHeight="false" outlineLevel="0" collapsed="false">
      <c r="A257" s="0" t="n">
        <v>256</v>
      </c>
      <c r="B257" s="27" t="n">
        <v>45362</v>
      </c>
      <c r="C257" s="0" t="n">
        <v>2024</v>
      </c>
      <c r="D257" s="28" t="s">
        <v>61</v>
      </c>
      <c r="E257" s="0" t="n">
        <v>3</v>
      </c>
      <c r="F257" s="28" t="s">
        <v>106</v>
      </c>
      <c r="G257" s="28" t="s">
        <v>107</v>
      </c>
      <c r="H257" s="28" t="s">
        <v>98</v>
      </c>
      <c r="I257" s="28" t="s">
        <v>99</v>
      </c>
      <c r="J257" s="28" t="s">
        <v>71</v>
      </c>
      <c r="K257" s="28" t="s">
        <v>84</v>
      </c>
      <c r="L257" s="28" t="s">
        <v>85</v>
      </c>
      <c r="M257" s="28" t="s">
        <v>88</v>
      </c>
      <c r="N257" s="28" t="s">
        <v>89</v>
      </c>
      <c r="O257" s="29" t="n">
        <v>7</v>
      </c>
      <c r="P257" s="30" t="n">
        <v>83.3</v>
      </c>
      <c r="Q257" s="30" t="n">
        <v>48.02</v>
      </c>
      <c r="R257" s="30" t="n">
        <f aca="false">ROUND(O257*P257,2)</f>
        <v>583.1</v>
      </c>
      <c r="S257" s="30" t="n">
        <f aca="false">ROUND(O257*Q257,2)</f>
        <v>336.14</v>
      </c>
      <c r="T257" s="30" t="n">
        <f aca="false">ROUND(R257*SUMIFS(Parametros!$E$23:$E$38,Parametros!$B$23:$B$38,J257,Parametros!$C$23:$C$38,C257,Parametros!$D$23:$D$38,D257),2)</f>
        <v>24.49</v>
      </c>
      <c r="U257" s="30" t="n">
        <f aca="false">R257-S257-T257</f>
        <v>222.47</v>
      </c>
    </row>
    <row r="258" customFormat="false" ht="15" hidden="false" customHeight="false" outlineLevel="0" collapsed="false">
      <c r="A258" s="0" t="n">
        <v>257</v>
      </c>
      <c r="B258" s="27" t="n">
        <v>45369</v>
      </c>
      <c r="C258" s="0" t="n">
        <v>2024</v>
      </c>
      <c r="D258" s="28" t="s">
        <v>61</v>
      </c>
      <c r="E258" s="0" t="n">
        <v>3</v>
      </c>
      <c r="F258" s="28" t="s">
        <v>106</v>
      </c>
      <c r="G258" s="28" t="s">
        <v>107</v>
      </c>
      <c r="H258" s="28" t="s">
        <v>98</v>
      </c>
      <c r="I258" s="28" t="s">
        <v>99</v>
      </c>
      <c r="J258" s="28" t="s">
        <v>66</v>
      </c>
      <c r="K258" s="28" t="s">
        <v>90</v>
      </c>
      <c r="L258" s="28" t="s">
        <v>91</v>
      </c>
      <c r="M258" s="28" t="s">
        <v>92</v>
      </c>
      <c r="N258" s="28" t="s">
        <v>93</v>
      </c>
      <c r="O258" s="29" t="n">
        <v>27</v>
      </c>
      <c r="P258" s="30" t="n">
        <v>127.4</v>
      </c>
      <c r="Q258" s="30" t="n">
        <v>76.05</v>
      </c>
      <c r="R258" s="30" t="n">
        <f aca="false">ROUND(O258*P258,2)</f>
        <v>3439.8</v>
      </c>
      <c r="S258" s="30" t="n">
        <f aca="false">ROUND(O258*Q258,2)</f>
        <v>2053.35</v>
      </c>
      <c r="T258" s="30" t="n">
        <f aca="false">ROUND(R258*SUMIFS(Parametros!$E$23:$E$38,Parametros!$B$23:$B$38,J258,Parametros!$C$23:$C$38,C258,Parametros!$D$23:$D$38,D258),2)</f>
        <v>41.28</v>
      </c>
      <c r="U258" s="30" t="n">
        <f aca="false">R258-S258-T258</f>
        <v>1345.17</v>
      </c>
    </row>
    <row r="259" customFormat="false" ht="15" hidden="false" customHeight="false" outlineLevel="0" collapsed="false">
      <c r="A259" s="0" t="n">
        <v>258</v>
      </c>
      <c r="B259" s="27" t="n">
        <v>45376</v>
      </c>
      <c r="C259" s="0" t="n">
        <v>2024</v>
      </c>
      <c r="D259" s="28" t="s">
        <v>61</v>
      </c>
      <c r="E259" s="0" t="n">
        <v>3</v>
      </c>
      <c r="F259" s="28" t="s">
        <v>106</v>
      </c>
      <c r="G259" s="28" t="s">
        <v>107</v>
      </c>
      <c r="H259" s="28" t="s">
        <v>98</v>
      </c>
      <c r="I259" s="28" t="s">
        <v>99</v>
      </c>
      <c r="J259" s="28" t="s">
        <v>71</v>
      </c>
      <c r="K259" s="28" t="s">
        <v>90</v>
      </c>
      <c r="L259" s="28" t="s">
        <v>91</v>
      </c>
      <c r="M259" s="28" t="s">
        <v>92</v>
      </c>
      <c r="N259" s="28" t="s">
        <v>93</v>
      </c>
      <c r="O259" s="29" t="n">
        <v>10</v>
      </c>
      <c r="P259" s="30" t="n">
        <v>127.4</v>
      </c>
      <c r="Q259" s="30" t="n">
        <v>76.05</v>
      </c>
      <c r="R259" s="30" t="n">
        <f aca="false">ROUND(O259*P259,2)</f>
        <v>1274</v>
      </c>
      <c r="S259" s="30" t="n">
        <f aca="false">ROUND(O259*Q259,2)</f>
        <v>760.5</v>
      </c>
      <c r="T259" s="30" t="n">
        <f aca="false">ROUND(R259*SUMIFS(Parametros!$E$23:$E$38,Parametros!$B$23:$B$38,J259,Parametros!$C$23:$C$38,C259,Parametros!$D$23:$D$38,D259),2)</f>
        <v>53.51</v>
      </c>
      <c r="U259" s="30" t="n">
        <f aca="false">R259-S259-T259</f>
        <v>459.99</v>
      </c>
    </row>
    <row r="260" customFormat="false" ht="15" hidden="false" customHeight="false" outlineLevel="0" collapsed="false">
      <c r="A260" s="0" t="n">
        <v>259</v>
      </c>
      <c r="B260" s="27" t="n">
        <v>45356</v>
      </c>
      <c r="C260" s="0" t="n">
        <v>2024</v>
      </c>
      <c r="D260" s="28" t="s">
        <v>61</v>
      </c>
      <c r="E260" s="0" t="n">
        <v>3</v>
      </c>
      <c r="F260" s="28" t="s">
        <v>106</v>
      </c>
      <c r="G260" s="28" t="s">
        <v>107</v>
      </c>
      <c r="H260" s="28" t="s">
        <v>98</v>
      </c>
      <c r="I260" s="28" t="s">
        <v>99</v>
      </c>
      <c r="J260" s="28" t="s">
        <v>66</v>
      </c>
      <c r="K260" s="28" t="s">
        <v>90</v>
      </c>
      <c r="L260" s="28" t="s">
        <v>91</v>
      </c>
      <c r="M260" s="28" t="s">
        <v>94</v>
      </c>
      <c r="N260" s="28" t="s">
        <v>95</v>
      </c>
      <c r="O260" s="29" t="n">
        <v>26</v>
      </c>
      <c r="P260" s="30" t="n">
        <v>34.3</v>
      </c>
      <c r="Q260" s="30" t="n">
        <v>17.85</v>
      </c>
      <c r="R260" s="30" t="n">
        <f aca="false">ROUND(O260*P260,2)</f>
        <v>891.8</v>
      </c>
      <c r="S260" s="30" t="n">
        <f aca="false">ROUND(O260*Q260,2)</f>
        <v>464.1</v>
      </c>
      <c r="T260" s="30" t="n">
        <f aca="false">ROUND(R260*SUMIFS(Parametros!$E$23:$E$38,Parametros!$B$23:$B$38,J260,Parametros!$C$23:$C$38,C260,Parametros!$D$23:$D$38,D260),2)</f>
        <v>10.7</v>
      </c>
      <c r="U260" s="30" t="n">
        <f aca="false">R260-S260-T260</f>
        <v>417</v>
      </c>
    </row>
    <row r="261" customFormat="false" ht="15" hidden="false" customHeight="false" outlineLevel="0" collapsed="false">
      <c r="A261" s="0" t="n">
        <v>260</v>
      </c>
      <c r="B261" s="27" t="n">
        <v>45363</v>
      </c>
      <c r="C261" s="0" t="n">
        <v>2024</v>
      </c>
      <c r="D261" s="28" t="s">
        <v>61</v>
      </c>
      <c r="E261" s="0" t="n">
        <v>3</v>
      </c>
      <c r="F261" s="28" t="s">
        <v>106</v>
      </c>
      <c r="G261" s="28" t="s">
        <v>107</v>
      </c>
      <c r="H261" s="28" t="s">
        <v>98</v>
      </c>
      <c r="I261" s="28" t="s">
        <v>99</v>
      </c>
      <c r="J261" s="28" t="s">
        <v>71</v>
      </c>
      <c r="K261" s="28" t="s">
        <v>90</v>
      </c>
      <c r="L261" s="28" t="s">
        <v>91</v>
      </c>
      <c r="M261" s="28" t="s">
        <v>94</v>
      </c>
      <c r="N261" s="28" t="s">
        <v>95</v>
      </c>
      <c r="O261" s="29" t="n">
        <v>10</v>
      </c>
      <c r="P261" s="30" t="n">
        <v>34.3</v>
      </c>
      <c r="Q261" s="30" t="n">
        <v>17.85</v>
      </c>
      <c r="R261" s="30" t="n">
        <f aca="false">ROUND(O261*P261,2)</f>
        <v>343</v>
      </c>
      <c r="S261" s="30" t="n">
        <f aca="false">ROUND(O261*Q261,2)</f>
        <v>178.5</v>
      </c>
      <c r="T261" s="30" t="n">
        <f aca="false">ROUND(R261*SUMIFS(Parametros!$E$23:$E$38,Parametros!$B$23:$B$38,J261,Parametros!$C$23:$C$38,C261,Parametros!$D$23:$D$38,D261),2)</f>
        <v>14.41</v>
      </c>
      <c r="U261" s="30" t="n">
        <f aca="false">R261-S261-T261</f>
        <v>150.09</v>
      </c>
    </row>
    <row r="262" customFormat="false" ht="15" hidden="false" customHeight="false" outlineLevel="0" collapsed="false">
      <c r="A262" s="0" t="n">
        <v>261</v>
      </c>
      <c r="B262" s="27" t="n">
        <v>45370</v>
      </c>
      <c r="C262" s="0" t="n">
        <v>2024</v>
      </c>
      <c r="D262" s="28" t="s">
        <v>61</v>
      </c>
      <c r="E262" s="0" t="n">
        <v>3</v>
      </c>
      <c r="F262" s="28" t="s">
        <v>106</v>
      </c>
      <c r="G262" s="28" t="s">
        <v>107</v>
      </c>
      <c r="H262" s="28" t="s">
        <v>100</v>
      </c>
      <c r="I262" s="28" t="s">
        <v>101</v>
      </c>
      <c r="J262" s="28" t="s">
        <v>66</v>
      </c>
      <c r="K262" s="28" t="s">
        <v>67</v>
      </c>
      <c r="L262" s="28" t="s">
        <v>68</v>
      </c>
      <c r="M262" s="28" t="s">
        <v>69</v>
      </c>
      <c r="N262" s="28" t="s">
        <v>70</v>
      </c>
      <c r="O262" s="29" t="n">
        <v>5</v>
      </c>
      <c r="P262" s="30" t="n">
        <v>1176</v>
      </c>
      <c r="Q262" s="30" t="n">
        <v>744</v>
      </c>
      <c r="R262" s="30" t="n">
        <f aca="false">ROUND(O262*P262,2)</f>
        <v>5880</v>
      </c>
      <c r="S262" s="30" t="n">
        <f aca="false">ROUND(O262*Q262,2)</f>
        <v>3720</v>
      </c>
      <c r="T262" s="30" t="n">
        <f aca="false">ROUND(R262*SUMIFS(Parametros!$E$23:$E$38,Parametros!$B$23:$B$38,J262,Parametros!$C$23:$C$38,C262,Parametros!$D$23:$D$38,D262),2)</f>
        <v>70.56</v>
      </c>
      <c r="U262" s="30" t="n">
        <f aca="false">R262-S262-T262</f>
        <v>2089.44</v>
      </c>
    </row>
    <row r="263" customFormat="false" ht="15" hidden="false" customHeight="false" outlineLevel="0" collapsed="false">
      <c r="A263" s="0" t="n">
        <v>262</v>
      </c>
      <c r="B263" s="27" t="n">
        <v>45377</v>
      </c>
      <c r="C263" s="0" t="n">
        <v>2024</v>
      </c>
      <c r="D263" s="28" t="s">
        <v>61</v>
      </c>
      <c r="E263" s="0" t="n">
        <v>3</v>
      </c>
      <c r="F263" s="28" t="s">
        <v>106</v>
      </c>
      <c r="G263" s="28" t="s">
        <v>107</v>
      </c>
      <c r="H263" s="28" t="s">
        <v>100</v>
      </c>
      <c r="I263" s="28" t="s">
        <v>101</v>
      </c>
      <c r="J263" s="28" t="s">
        <v>71</v>
      </c>
      <c r="K263" s="28" t="s">
        <v>67</v>
      </c>
      <c r="L263" s="28" t="s">
        <v>68</v>
      </c>
      <c r="M263" s="28" t="s">
        <v>69</v>
      </c>
      <c r="N263" s="28" t="s">
        <v>70</v>
      </c>
      <c r="O263" s="29" t="n">
        <v>2</v>
      </c>
      <c r="P263" s="30" t="n">
        <v>1176</v>
      </c>
      <c r="Q263" s="30" t="n">
        <v>744</v>
      </c>
      <c r="R263" s="30" t="n">
        <f aca="false">ROUND(O263*P263,2)</f>
        <v>2352</v>
      </c>
      <c r="S263" s="30" t="n">
        <f aca="false">ROUND(O263*Q263,2)</f>
        <v>1488</v>
      </c>
      <c r="T263" s="30" t="n">
        <f aca="false">ROUND(R263*SUMIFS(Parametros!$E$23:$E$38,Parametros!$B$23:$B$38,J263,Parametros!$C$23:$C$38,C263,Parametros!$D$23:$D$38,D263),2)</f>
        <v>98.78</v>
      </c>
      <c r="U263" s="30" t="n">
        <f aca="false">R263-S263-T263</f>
        <v>765.22</v>
      </c>
    </row>
    <row r="264" customFormat="false" ht="15" hidden="false" customHeight="false" outlineLevel="0" collapsed="false">
      <c r="A264" s="0" t="n">
        <v>263</v>
      </c>
      <c r="B264" s="27" t="n">
        <v>45357</v>
      </c>
      <c r="C264" s="0" t="n">
        <v>2024</v>
      </c>
      <c r="D264" s="28" t="s">
        <v>61</v>
      </c>
      <c r="E264" s="0" t="n">
        <v>3</v>
      </c>
      <c r="F264" s="28" t="s">
        <v>106</v>
      </c>
      <c r="G264" s="28" t="s">
        <v>107</v>
      </c>
      <c r="H264" s="28" t="s">
        <v>100</v>
      </c>
      <c r="I264" s="28" t="s">
        <v>101</v>
      </c>
      <c r="J264" s="28" t="s">
        <v>66</v>
      </c>
      <c r="K264" s="28" t="s">
        <v>67</v>
      </c>
      <c r="L264" s="28" t="s">
        <v>68</v>
      </c>
      <c r="M264" s="28" t="s">
        <v>72</v>
      </c>
      <c r="N264" s="28" t="s">
        <v>73</v>
      </c>
      <c r="O264" s="29" t="n">
        <v>5</v>
      </c>
      <c r="P264" s="30" t="n">
        <v>441</v>
      </c>
      <c r="Q264" s="30" t="n">
        <v>272.25</v>
      </c>
      <c r="R264" s="30" t="n">
        <f aca="false">ROUND(O264*P264,2)</f>
        <v>2205</v>
      </c>
      <c r="S264" s="30" t="n">
        <f aca="false">ROUND(O264*Q264,2)</f>
        <v>1361.25</v>
      </c>
      <c r="T264" s="30" t="n">
        <f aca="false">ROUND(R264*SUMIFS(Parametros!$E$23:$E$38,Parametros!$B$23:$B$38,J264,Parametros!$C$23:$C$38,C264,Parametros!$D$23:$D$38,D264),2)</f>
        <v>26.46</v>
      </c>
      <c r="U264" s="30" t="n">
        <f aca="false">R264-S264-T264</f>
        <v>817.29</v>
      </c>
    </row>
    <row r="265" customFormat="false" ht="15" hidden="false" customHeight="false" outlineLevel="0" collapsed="false">
      <c r="A265" s="0" t="n">
        <v>264</v>
      </c>
      <c r="B265" s="27" t="n">
        <v>45364</v>
      </c>
      <c r="C265" s="0" t="n">
        <v>2024</v>
      </c>
      <c r="D265" s="28" t="s">
        <v>61</v>
      </c>
      <c r="E265" s="0" t="n">
        <v>3</v>
      </c>
      <c r="F265" s="28" t="s">
        <v>106</v>
      </c>
      <c r="G265" s="28" t="s">
        <v>107</v>
      </c>
      <c r="H265" s="28" t="s">
        <v>100</v>
      </c>
      <c r="I265" s="28" t="s">
        <v>101</v>
      </c>
      <c r="J265" s="28" t="s">
        <v>71</v>
      </c>
      <c r="K265" s="28" t="s">
        <v>67</v>
      </c>
      <c r="L265" s="28" t="s">
        <v>68</v>
      </c>
      <c r="M265" s="28" t="s">
        <v>72</v>
      </c>
      <c r="N265" s="28" t="s">
        <v>73</v>
      </c>
      <c r="O265" s="29" t="n">
        <v>2</v>
      </c>
      <c r="P265" s="30" t="n">
        <v>441</v>
      </c>
      <c r="Q265" s="30" t="n">
        <v>272.25</v>
      </c>
      <c r="R265" s="30" t="n">
        <f aca="false">ROUND(O265*P265,2)</f>
        <v>882</v>
      </c>
      <c r="S265" s="30" t="n">
        <f aca="false">ROUND(O265*Q265,2)</f>
        <v>544.5</v>
      </c>
      <c r="T265" s="30" t="n">
        <f aca="false">ROUND(R265*SUMIFS(Parametros!$E$23:$E$38,Parametros!$B$23:$B$38,J265,Parametros!$C$23:$C$38,C265,Parametros!$D$23:$D$38,D265),2)</f>
        <v>37.04</v>
      </c>
      <c r="U265" s="30" t="n">
        <f aca="false">R265-S265-T265</f>
        <v>300.46</v>
      </c>
    </row>
    <row r="266" customFormat="false" ht="15" hidden="false" customHeight="false" outlineLevel="0" collapsed="false">
      <c r="A266" s="0" t="n">
        <v>265</v>
      </c>
      <c r="B266" s="27" t="n">
        <v>45371</v>
      </c>
      <c r="C266" s="0" t="n">
        <v>2024</v>
      </c>
      <c r="D266" s="28" t="s">
        <v>61</v>
      </c>
      <c r="E266" s="0" t="n">
        <v>3</v>
      </c>
      <c r="F266" s="28" t="s">
        <v>106</v>
      </c>
      <c r="G266" s="28" t="s">
        <v>107</v>
      </c>
      <c r="H266" s="28" t="s">
        <v>100</v>
      </c>
      <c r="I266" s="28" t="s">
        <v>101</v>
      </c>
      <c r="J266" s="28" t="s">
        <v>66</v>
      </c>
      <c r="K266" s="28" t="s">
        <v>67</v>
      </c>
      <c r="L266" s="28" t="s">
        <v>68</v>
      </c>
      <c r="M266" s="28" t="s">
        <v>74</v>
      </c>
      <c r="N266" s="28" t="s">
        <v>75</v>
      </c>
      <c r="O266" s="29" t="n">
        <v>6</v>
      </c>
      <c r="P266" s="30" t="n">
        <v>1617</v>
      </c>
      <c r="Q266" s="30" t="n">
        <v>1122</v>
      </c>
      <c r="R266" s="30" t="n">
        <f aca="false">ROUND(O266*P266,2)</f>
        <v>9702</v>
      </c>
      <c r="S266" s="30" t="n">
        <f aca="false">ROUND(O266*Q266,2)</f>
        <v>6732</v>
      </c>
      <c r="T266" s="30" t="n">
        <f aca="false">ROUND(R266*SUMIFS(Parametros!$E$23:$E$38,Parametros!$B$23:$B$38,J266,Parametros!$C$23:$C$38,C266,Parametros!$D$23:$D$38,D266),2)</f>
        <v>116.42</v>
      </c>
      <c r="U266" s="30" t="n">
        <f aca="false">R266-S266-T266</f>
        <v>2853.58</v>
      </c>
    </row>
    <row r="267" customFormat="false" ht="15" hidden="false" customHeight="false" outlineLevel="0" collapsed="false">
      <c r="A267" s="0" t="n">
        <v>266</v>
      </c>
      <c r="B267" s="27" t="n">
        <v>45378</v>
      </c>
      <c r="C267" s="0" t="n">
        <v>2024</v>
      </c>
      <c r="D267" s="28" t="s">
        <v>61</v>
      </c>
      <c r="E267" s="0" t="n">
        <v>3</v>
      </c>
      <c r="F267" s="28" t="s">
        <v>106</v>
      </c>
      <c r="G267" s="28" t="s">
        <v>107</v>
      </c>
      <c r="H267" s="28" t="s">
        <v>100</v>
      </c>
      <c r="I267" s="28" t="s">
        <v>101</v>
      </c>
      <c r="J267" s="28" t="s">
        <v>71</v>
      </c>
      <c r="K267" s="28" t="s">
        <v>67</v>
      </c>
      <c r="L267" s="28" t="s">
        <v>68</v>
      </c>
      <c r="M267" s="28" t="s">
        <v>74</v>
      </c>
      <c r="N267" s="28" t="s">
        <v>75</v>
      </c>
      <c r="O267" s="29" t="n">
        <v>3</v>
      </c>
      <c r="P267" s="30" t="n">
        <v>1617</v>
      </c>
      <c r="Q267" s="30" t="n">
        <v>1122</v>
      </c>
      <c r="R267" s="30" t="n">
        <f aca="false">ROUND(O267*P267,2)</f>
        <v>4851</v>
      </c>
      <c r="S267" s="30" t="n">
        <f aca="false">ROUND(O267*Q267,2)</f>
        <v>3366</v>
      </c>
      <c r="T267" s="30" t="n">
        <f aca="false">ROUND(R267*SUMIFS(Parametros!$E$23:$E$38,Parametros!$B$23:$B$38,J267,Parametros!$C$23:$C$38,C267,Parametros!$D$23:$D$38,D267),2)</f>
        <v>203.74</v>
      </c>
      <c r="U267" s="30" t="n">
        <f aca="false">R267-S267-T267</f>
        <v>1281.26</v>
      </c>
    </row>
    <row r="268" customFormat="false" ht="15" hidden="false" customHeight="false" outlineLevel="0" collapsed="false">
      <c r="A268" s="0" t="n">
        <v>267</v>
      </c>
      <c r="B268" s="27" t="n">
        <v>45358</v>
      </c>
      <c r="C268" s="0" t="n">
        <v>2024</v>
      </c>
      <c r="D268" s="28" t="s">
        <v>61</v>
      </c>
      <c r="E268" s="0" t="n">
        <v>3</v>
      </c>
      <c r="F268" s="28" t="s">
        <v>106</v>
      </c>
      <c r="G268" s="28" t="s">
        <v>107</v>
      </c>
      <c r="H268" s="28" t="s">
        <v>100</v>
      </c>
      <c r="I268" s="28" t="s">
        <v>101</v>
      </c>
      <c r="J268" s="28" t="s">
        <v>66</v>
      </c>
      <c r="K268" s="28" t="s">
        <v>76</v>
      </c>
      <c r="L268" s="28" t="s">
        <v>77</v>
      </c>
      <c r="M268" s="28" t="s">
        <v>78</v>
      </c>
      <c r="N268" s="28" t="s">
        <v>79</v>
      </c>
      <c r="O268" s="29" t="n">
        <v>30</v>
      </c>
      <c r="P268" s="30" t="n">
        <v>27.44</v>
      </c>
      <c r="Q268" s="30" t="n">
        <v>13.44</v>
      </c>
      <c r="R268" s="30" t="n">
        <f aca="false">ROUND(O268*P268,2)</f>
        <v>823.2</v>
      </c>
      <c r="S268" s="30" t="n">
        <f aca="false">ROUND(O268*Q268,2)</f>
        <v>403.2</v>
      </c>
      <c r="T268" s="30" t="n">
        <f aca="false">ROUND(R268*SUMIFS(Parametros!$E$23:$E$38,Parametros!$B$23:$B$38,J268,Parametros!$C$23:$C$38,C268,Parametros!$D$23:$D$38,D268),2)</f>
        <v>9.88</v>
      </c>
      <c r="U268" s="30" t="n">
        <f aca="false">R268-S268-T268</f>
        <v>410.12</v>
      </c>
    </row>
    <row r="269" customFormat="false" ht="15" hidden="false" customHeight="false" outlineLevel="0" collapsed="false">
      <c r="A269" s="0" t="n">
        <v>268</v>
      </c>
      <c r="B269" s="27" t="n">
        <v>45365</v>
      </c>
      <c r="C269" s="0" t="n">
        <v>2024</v>
      </c>
      <c r="D269" s="28" t="s">
        <v>61</v>
      </c>
      <c r="E269" s="0" t="n">
        <v>3</v>
      </c>
      <c r="F269" s="28" t="s">
        <v>106</v>
      </c>
      <c r="G269" s="28" t="s">
        <v>107</v>
      </c>
      <c r="H269" s="28" t="s">
        <v>100</v>
      </c>
      <c r="I269" s="28" t="s">
        <v>101</v>
      </c>
      <c r="J269" s="28" t="s">
        <v>71</v>
      </c>
      <c r="K269" s="28" t="s">
        <v>76</v>
      </c>
      <c r="L269" s="28" t="s">
        <v>77</v>
      </c>
      <c r="M269" s="28" t="s">
        <v>78</v>
      </c>
      <c r="N269" s="28" t="s">
        <v>79</v>
      </c>
      <c r="O269" s="29" t="n">
        <v>12</v>
      </c>
      <c r="P269" s="30" t="n">
        <v>27.44</v>
      </c>
      <c r="Q269" s="30" t="n">
        <v>13.44</v>
      </c>
      <c r="R269" s="30" t="n">
        <f aca="false">ROUND(O269*P269,2)</f>
        <v>329.28</v>
      </c>
      <c r="S269" s="30" t="n">
        <f aca="false">ROUND(O269*Q269,2)</f>
        <v>161.28</v>
      </c>
      <c r="T269" s="30" t="n">
        <f aca="false">ROUND(R269*SUMIFS(Parametros!$E$23:$E$38,Parametros!$B$23:$B$38,J269,Parametros!$C$23:$C$38,C269,Parametros!$D$23:$D$38,D269),2)</f>
        <v>13.83</v>
      </c>
      <c r="U269" s="30" t="n">
        <f aca="false">R269-S269-T269</f>
        <v>154.17</v>
      </c>
    </row>
    <row r="270" customFormat="false" ht="15" hidden="false" customHeight="false" outlineLevel="0" collapsed="false">
      <c r="A270" s="0" t="n">
        <v>269</v>
      </c>
      <c r="B270" s="27" t="n">
        <v>45372</v>
      </c>
      <c r="C270" s="0" t="n">
        <v>2024</v>
      </c>
      <c r="D270" s="28" t="s">
        <v>61</v>
      </c>
      <c r="E270" s="0" t="n">
        <v>3</v>
      </c>
      <c r="F270" s="28" t="s">
        <v>106</v>
      </c>
      <c r="G270" s="28" t="s">
        <v>107</v>
      </c>
      <c r="H270" s="28" t="s">
        <v>100</v>
      </c>
      <c r="I270" s="28" t="s">
        <v>101</v>
      </c>
      <c r="J270" s="28" t="s">
        <v>66</v>
      </c>
      <c r="K270" s="28" t="s">
        <v>76</v>
      </c>
      <c r="L270" s="28" t="s">
        <v>77</v>
      </c>
      <c r="M270" s="28" t="s">
        <v>80</v>
      </c>
      <c r="N270" s="28" t="s">
        <v>81</v>
      </c>
      <c r="O270" s="29" t="n">
        <v>33</v>
      </c>
      <c r="P270" s="30" t="n">
        <v>93.1</v>
      </c>
      <c r="Q270" s="30" t="n">
        <v>47.98</v>
      </c>
      <c r="R270" s="30" t="n">
        <f aca="false">ROUND(O270*P270,2)</f>
        <v>3072.3</v>
      </c>
      <c r="S270" s="30" t="n">
        <f aca="false">ROUND(O270*Q270,2)</f>
        <v>1583.34</v>
      </c>
      <c r="T270" s="30" t="n">
        <f aca="false">ROUND(R270*SUMIFS(Parametros!$E$23:$E$38,Parametros!$B$23:$B$38,J270,Parametros!$C$23:$C$38,C270,Parametros!$D$23:$D$38,D270),2)</f>
        <v>36.87</v>
      </c>
      <c r="U270" s="30" t="n">
        <f aca="false">R270-S270-T270</f>
        <v>1452.09</v>
      </c>
    </row>
    <row r="271" customFormat="false" ht="15" hidden="false" customHeight="false" outlineLevel="0" collapsed="false">
      <c r="A271" s="0" t="n">
        <v>270</v>
      </c>
      <c r="B271" s="27" t="n">
        <v>45352</v>
      </c>
      <c r="C271" s="0" t="n">
        <v>2024</v>
      </c>
      <c r="D271" s="28" t="s">
        <v>61</v>
      </c>
      <c r="E271" s="0" t="n">
        <v>3</v>
      </c>
      <c r="F271" s="28" t="s">
        <v>106</v>
      </c>
      <c r="G271" s="28" t="s">
        <v>107</v>
      </c>
      <c r="H271" s="28" t="s">
        <v>100</v>
      </c>
      <c r="I271" s="28" t="s">
        <v>101</v>
      </c>
      <c r="J271" s="28" t="s">
        <v>71</v>
      </c>
      <c r="K271" s="28" t="s">
        <v>76</v>
      </c>
      <c r="L271" s="28" t="s">
        <v>77</v>
      </c>
      <c r="M271" s="28" t="s">
        <v>80</v>
      </c>
      <c r="N271" s="28" t="s">
        <v>81</v>
      </c>
      <c r="O271" s="29" t="n">
        <v>13</v>
      </c>
      <c r="P271" s="30" t="n">
        <v>93.1</v>
      </c>
      <c r="Q271" s="30" t="n">
        <v>47.98</v>
      </c>
      <c r="R271" s="30" t="n">
        <f aca="false">ROUND(O271*P271,2)</f>
        <v>1210.3</v>
      </c>
      <c r="S271" s="30" t="n">
        <f aca="false">ROUND(O271*Q271,2)</f>
        <v>623.74</v>
      </c>
      <c r="T271" s="30" t="n">
        <f aca="false">ROUND(R271*SUMIFS(Parametros!$E$23:$E$38,Parametros!$B$23:$B$38,J271,Parametros!$C$23:$C$38,C271,Parametros!$D$23:$D$38,D271),2)</f>
        <v>50.83</v>
      </c>
      <c r="U271" s="30" t="n">
        <f aca="false">R271-S271-T271</f>
        <v>535.73</v>
      </c>
    </row>
    <row r="272" customFormat="false" ht="15" hidden="false" customHeight="false" outlineLevel="0" collapsed="false">
      <c r="A272" s="0" t="n">
        <v>271</v>
      </c>
      <c r="B272" s="27" t="n">
        <v>45359</v>
      </c>
      <c r="C272" s="0" t="n">
        <v>2024</v>
      </c>
      <c r="D272" s="28" t="s">
        <v>61</v>
      </c>
      <c r="E272" s="0" t="n">
        <v>3</v>
      </c>
      <c r="F272" s="28" t="s">
        <v>106</v>
      </c>
      <c r="G272" s="28" t="s">
        <v>107</v>
      </c>
      <c r="H272" s="28" t="s">
        <v>100</v>
      </c>
      <c r="I272" s="28" t="s">
        <v>101</v>
      </c>
      <c r="J272" s="28" t="s">
        <v>66</v>
      </c>
      <c r="K272" s="28" t="s">
        <v>76</v>
      </c>
      <c r="L272" s="28" t="s">
        <v>77</v>
      </c>
      <c r="M272" s="28" t="s">
        <v>82</v>
      </c>
      <c r="N272" s="28" t="s">
        <v>83</v>
      </c>
      <c r="O272" s="29" t="n">
        <v>32</v>
      </c>
      <c r="P272" s="30" t="n">
        <v>63.7</v>
      </c>
      <c r="Q272" s="30" t="n">
        <v>35.43</v>
      </c>
      <c r="R272" s="30" t="n">
        <f aca="false">ROUND(O272*P272,2)</f>
        <v>2038.4</v>
      </c>
      <c r="S272" s="30" t="n">
        <f aca="false">ROUND(O272*Q272,2)</f>
        <v>1133.76</v>
      </c>
      <c r="T272" s="30" t="n">
        <f aca="false">ROUND(R272*SUMIFS(Parametros!$E$23:$E$38,Parametros!$B$23:$B$38,J272,Parametros!$C$23:$C$38,C272,Parametros!$D$23:$D$38,D272),2)</f>
        <v>24.46</v>
      </c>
      <c r="U272" s="30" t="n">
        <f aca="false">R272-S272-T272</f>
        <v>880.18</v>
      </c>
    </row>
    <row r="273" customFormat="false" ht="15" hidden="false" customHeight="false" outlineLevel="0" collapsed="false">
      <c r="A273" s="0" t="n">
        <v>272</v>
      </c>
      <c r="B273" s="27" t="n">
        <v>45366</v>
      </c>
      <c r="C273" s="0" t="n">
        <v>2024</v>
      </c>
      <c r="D273" s="28" t="s">
        <v>61</v>
      </c>
      <c r="E273" s="0" t="n">
        <v>3</v>
      </c>
      <c r="F273" s="28" t="s">
        <v>106</v>
      </c>
      <c r="G273" s="28" t="s">
        <v>107</v>
      </c>
      <c r="H273" s="28" t="s">
        <v>100</v>
      </c>
      <c r="I273" s="28" t="s">
        <v>101</v>
      </c>
      <c r="J273" s="28" t="s">
        <v>71</v>
      </c>
      <c r="K273" s="28" t="s">
        <v>76</v>
      </c>
      <c r="L273" s="28" t="s">
        <v>77</v>
      </c>
      <c r="M273" s="28" t="s">
        <v>82</v>
      </c>
      <c r="N273" s="28" t="s">
        <v>83</v>
      </c>
      <c r="O273" s="29" t="n">
        <v>11</v>
      </c>
      <c r="P273" s="30" t="n">
        <v>63.7</v>
      </c>
      <c r="Q273" s="30" t="n">
        <v>35.43</v>
      </c>
      <c r="R273" s="30" t="n">
        <f aca="false">ROUND(O273*P273,2)</f>
        <v>700.7</v>
      </c>
      <c r="S273" s="30" t="n">
        <f aca="false">ROUND(O273*Q273,2)</f>
        <v>389.73</v>
      </c>
      <c r="T273" s="30" t="n">
        <f aca="false">ROUND(R273*SUMIFS(Parametros!$E$23:$E$38,Parametros!$B$23:$B$38,J273,Parametros!$C$23:$C$38,C273,Parametros!$D$23:$D$38,D273),2)</f>
        <v>29.43</v>
      </c>
      <c r="U273" s="30" t="n">
        <f aca="false">R273-S273-T273</f>
        <v>281.54</v>
      </c>
    </row>
    <row r="274" customFormat="false" ht="15" hidden="false" customHeight="false" outlineLevel="0" collapsed="false">
      <c r="A274" s="0" t="n">
        <v>273</v>
      </c>
      <c r="B274" s="27" t="n">
        <v>45373</v>
      </c>
      <c r="C274" s="0" t="n">
        <v>2024</v>
      </c>
      <c r="D274" s="28" t="s">
        <v>61</v>
      </c>
      <c r="E274" s="0" t="n">
        <v>3</v>
      </c>
      <c r="F274" s="28" t="s">
        <v>106</v>
      </c>
      <c r="G274" s="28" t="s">
        <v>107</v>
      </c>
      <c r="H274" s="28" t="s">
        <v>100</v>
      </c>
      <c r="I274" s="28" t="s">
        <v>101</v>
      </c>
      <c r="J274" s="28" t="s">
        <v>66</v>
      </c>
      <c r="K274" s="28" t="s">
        <v>84</v>
      </c>
      <c r="L274" s="28" t="s">
        <v>85</v>
      </c>
      <c r="M274" s="28" t="s">
        <v>86</v>
      </c>
      <c r="N274" s="28" t="s">
        <v>87</v>
      </c>
      <c r="O274" s="29" t="n">
        <v>12</v>
      </c>
      <c r="P274" s="30" t="n">
        <v>117.6</v>
      </c>
      <c r="Q274" s="30" t="n">
        <v>63.6</v>
      </c>
      <c r="R274" s="30" t="n">
        <f aca="false">ROUND(O274*P274,2)</f>
        <v>1411.2</v>
      </c>
      <c r="S274" s="30" t="n">
        <f aca="false">ROUND(O274*Q274,2)</f>
        <v>763.2</v>
      </c>
      <c r="T274" s="30" t="n">
        <f aca="false">ROUND(R274*SUMIFS(Parametros!$E$23:$E$38,Parametros!$B$23:$B$38,J274,Parametros!$C$23:$C$38,C274,Parametros!$D$23:$D$38,D274),2)</f>
        <v>16.93</v>
      </c>
      <c r="U274" s="30" t="n">
        <f aca="false">R274-S274-T274</f>
        <v>631.07</v>
      </c>
    </row>
    <row r="275" customFormat="false" ht="15" hidden="false" customHeight="false" outlineLevel="0" collapsed="false">
      <c r="A275" s="0" t="n">
        <v>274</v>
      </c>
      <c r="B275" s="27" t="n">
        <v>45353</v>
      </c>
      <c r="C275" s="0" t="n">
        <v>2024</v>
      </c>
      <c r="D275" s="28" t="s">
        <v>61</v>
      </c>
      <c r="E275" s="0" t="n">
        <v>3</v>
      </c>
      <c r="F275" s="28" t="s">
        <v>106</v>
      </c>
      <c r="G275" s="28" t="s">
        <v>107</v>
      </c>
      <c r="H275" s="28" t="s">
        <v>100</v>
      </c>
      <c r="I275" s="28" t="s">
        <v>101</v>
      </c>
      <c r="J275" s="28" t="s">
        <v>71</v>
      </c>
      <c r="K275" s="28" t="s">
        <v>84</v>
      </c>
      <c r="L275" s="28" t="s">
        <v>85</v>
      </c>
      <c r="M275" s="28" t="s">
        <v>86</v>
      </c>
      <c r="N275" s="28" t="s">
        <v>87</v>
      </c>
      <c r="O275" s="29" t="n">
        <v>5</v>
      </c>
      <c r="P275" s="30" t="n">
        <v>117.6</v>
      </c>
      <c r="Q275" s="30" t="n">
        <v>63.6</v>
      </c>
      <c r="R275" s="30" t="n">
        <f aca="false">ROUND(O275*P275,2)</f>
        <v>588</v>
      </c>
      <c r="S275" s="30" t="n">
        <f aca="false">ROUND(O275*Q275,2)</f>
        <v>318</v>
      </c>
      <c r="T275" s="30" t="n">
        <f aca="false">ROUND(R275*SUMIFS(Parametros!$E$23:$E$38,Parametros!$B$23:$B$38,J275,Parametros!$C$23:$C$38,C275,Parametros!$D$23:$D$38,D275),2)</f>
        <v>24.7</v>
      </c>
      <c r="U275" s="30" t="n">
        <f aca="false">R275-S275-T275</f>
        <v>245.3</v>
      </c>
    </row>
    <row r="276" customFormat="false" ht="15" hidden="false" customHeight="false" outlineLevel="0" collapsed="false">
      <c r="A276" s="0" t="n">
        <v>275</v>
      </c>
      <c r="B276" s="27" t="n">
        <v>45360</v>
      </c>
      <c r="C276" s="0" t="n">
        <v>2024</v>
      </c>
      <c r="D276" s="28" t="s">
        <v>61</v>
      </c>
      <c r="E276" s="0" t="n">
        <v>3</v>
      </c>
      <c r="F276" s="28" t="s">
        <v>106</v>
      </c>
      <c r="G276" s="28" t="s">
        <v>107</v>
      </c>
      <c r="H276" s="28" t="s">
        <v>100</v>
      </c>
      <c r="I276" s="28" t="s">
        <v>101</v>
      </c>
      <c r="J276" s="28" t="s">
        <v>66</v>
      </c>
      <c r="K276" s="28" t="s">
        <v>84</v>
      </c>
      <c r="L276" s="28" t="s">
        <v>85</v>
      </c>
      <c r="M276" s="28" t="s">
        <v>88</v>
      </c>
      <c r="N276" s="28" t="s">
        <v>89</v>
      </c>
      <c r="O276" s="29" t="n">
        <v>13</v>
      </c>
      <c r="P276" s="30" t="n">
        <v>83.3</v>
      </c>
      <c r="Q276" s="30" t="n">
        <v>48.02</v>
      </c>
      <c r="R276" s="30" t="n">
        <f aca="false">ROUND(O276*P276,2)</f>
        <v>1082.9</v>
      </c>
      <c r="S276" s="30" t="n">
        <f aca="false">ROUND(O276*Q276,2)</f>
        <v>624.26</v>
      </c>
      <c r="T276" s="30" t="n">
        <f aca="false">ROUND(R276*SUMIFS(Parametros!$E$23:$E$38,Parametros!$B$23:$B$38,J276,Parametros!$C$23:$C$38,C276,Parametros!$D$23:$D$38,D276),2)</f>
        <v>12.99</v>
      </c>
      <c r="U276" s="30" t="n">
        <f aca="false">R276-S276-T276</f>
        <v>445.65</v>
      </c>
    </row>
    <row r="277" customFormat="false" ht="15" hidden="false" customHeight="false" outlineLevel="0" collapsed="false">
      <c r="A277" s="0" t="n">
        <v>276</v>
      </c>
      <c r="B277" s="27" t="n">
        <v>45367</v>
      </c>
      <c r="C277" s="0" t="n">
        <v>2024</v>
      </c>
      <c r="D277" s="28" t="s">
        <v>61</v>
      </c>
      <c r="E277" s="0" t="n">
        <v>3</v>
      </c>
      <c r="F277" s="28" t="s">
        <v>106</v>
      </c>
      <c r="G277" s="28" t="s">
        <v>107</v>
      </c>
      <c r="H277" s="28" t="s">
        <v>100</v>
      </c>
      <c r="I277" s="28" t="s">
        <v>101</v>
      </c>
      <c r="J277" s="28" t="s">
        <v>71</v>
      </c>
      <c r="K277" s="28" t="s">
        <v>84</v>
      </c>
      <c r="L277" s="28" t="s">
        <v>85</v>
      </c>
      <c r="M277" s="28" t="s">
        <v>88</v>
      </c>
      <c r="N277" s="28" t="s">
        <v>89</v>
      </c>
      <c r="O277" s="29" t="n">
        <v>6</v>
      </c>
      <c r="P277" s="30" t="n">
        <v>83.3</v>
      </c>
      <c r="Q277" s="30" t="n">
        <v>48.02</v>
      </c>
      <c r="R277" s="30" t="n">
        <f aca="false">ROUND(O277*P277,2)</f>
        <v>499.8</v>
      </c>
      <c r="S277" s="30" t="n">
        <f aca="false">ROUND(O277*Q277,2)</f>
        <v>288.12</v>
      </c>
      <c r="T277" s="30" t="n">
        <f aca="false">ROUND(R277*SUMIFS(Parametros!$E$23:$E$38,Parametros!$B$23:$B$38,J277,Parametros!$C$23:$C$38,C277,Parametros!$D$23:$D$38,D277),2)</f>
        <v>20.99</v>
      </c>
      <c r="U277" s="30" t="n">
        <f aca="false">R277-S277-T277</f>
        <v>190.69</v>
      </c>
    </row>
    <row r="278" customFormat="false" ht="15" hidden="false" customHeight="false" outlineLevel="0" collapsed="false">
      <c r="A278" s="0" t="n">
        <v>277</v>
      </c>
      <c r="B278" s="27" t="n">
        <v>45374</v>
      </c>
      <c r="C278" s="0" t="n">
        <v>2024</v>
      </c>
      <c r="D278" s="28" t="s">
        <v>61</v>
      </c>
      <c r="E278" s="0" t="n">
        <v>3</v>
      </c>
      <c r="F278" s="28" t="s">
        <v>106</v>
      </c>
      <c r="G278" s="28" t="s">
        <v>107</v>
      </c>
      <c r="H278" s="28" t="s">
        <v>100</v>
      </c>
      <c r="I278" s="28" t="s">
        <v>101</v>
      </c>
      <c r="J278" s="28" t="s">
        <v>66</v>
      </c>
      <c r="K278" s="28" t="s">
        <v>90</v>
      </c>
      <c r="L278" s="28" t="s">
        <v>91</v>
      </c>
      <c r="M278" s="28" t="s">
        <v>92</v>
      </c>
      <c r="N278" s="28" t="s">
        <v>93</v>
      </c>
      <c r="O278" s="29" t="n">
        <v>15</v>
      </c>
      <c r="P278" s="30" t="n">
        <v>127.4</v>
      </c>
      <c r="Q278" s="30" t="n">
        <v>76.05</v>
      </c>
      <c r="R278" s="30" t="n">
        <f aca="false">ROUND(O278*P278,2)</f>
        <v>1911</v>
      </c>
      <c r="S278" s="30" t="n">
        <f aca="false">ROUND(O278*Q278,2)</f>
        <v>1140.75</v>
      </c>
      <c r="T278" s="30" t="n">
        <f aca="false">ROUND(R278*SUMIFS(Parametros!$E$23:$E$38,Parametros!$B$23:$B$38,J278,Parametros!$C$23:$C$38,C278,Parametros!$D$23:$D$38,D278),2)</f>
        <v>22.93</v>
      </c>
      <c r="U278" s="30" t="n">
        <f aca="false">R278-S278-T278</f>
        <v>747.32</v>
      </c>
    </row>
    <row r="279" customFormat="false" ht="15" hidden="false" customHeight="false" outlineLevel="0" collapsed="false">
      <c r="A279" s="0" t="n">
        <v>278</v>
      </c>
      <c r="B279" s="27" t="n">
        <v>45354</v>
      </c>
      <c r="C279" s="0" t="n">
        <v>2024</v>
      </c>
      <c r="D279" s="28" t="s">
        <v>61</v>
      </c>
      <c r="E279" s="0" t="n">
        <v>3</v>
      </c>
      <c r="F279" s="28" t="s">
        <v>106</v>
      </c>
      <c r="G279" s="28" t="s">
        <v>107</v>
      </c>
      <c r="H279" s="28" t="s">
        <v>100</v>
      </c>
      <c r="I279" s="28" t="s">
        <v>101</v>
      </c>
      <c r="J279" s="28" t="s">
        <v>71</v>
      </c>
      <c r="K279" s="28" t="s">
        <v>90</v>
      </c>
      <c r="L279" s="28" t="s">
        <v>91</v>
      </c>
      <c r="M279" s="28" t="s">
        <v>92</v>
      </c>
      <c r="N279" s="28" t="s">
        <v>93</v>
      </c>
      <c r="O279" s="29" t="n">
        <v>8</v>
      </c>
      <c r="P279" s="30" t="n">
        <v>127.4</v>
      </c>
      <c r="Q279" s="30" t="n">
        <v>76.05</v>
      </c>
      <c r="R279" s="30" t="n">
        <f aca="false">ROUND(O279*P279,2)</f>
        <v>1019.2</v>
      </c>
      <c r="S279" s="30" t="n">
        <f aca="false">ROUND(O279*Q279,2)</f>
        <v>608.4</v>
      </c>
      <c r="T279" s="30" t="n">
        <f aca="false">ROUND(R279*SUMIFS(Parametros!$E$23:$E$38,Parametros!$B$23:$B$38,J279,Parametros!$C$23:$C$38,C279,Parametros!$D$23:$D$38,D279),2)</f>
        <v>42.81</v>
      </c>
      <c r="U279" s="30" t="n">
        <f aca="false">R279-S279-T279</f>
        <v>367.99</v>
      </c>
    </row>
    <row r="280" customFormat="false" ht="15" hidden="false" customHeight="false" outlineLevel="0" collapsed="false">
      <c r="A280" s="0" t="n">
        <v>279</v>
      </c>
      <c r="B280" s="27" t="n">
        <v>45361</v>
      </c>
      <c r="C280" s="0" t="n">
        <v>2024</v>
      </c>
      <c r="D280" s="28" t="s">
        <v>61</v>
      </c>
      <c r="E280" s="0" t="n">
        <v>3</v>
      </c>
      <c r="F280" s="28" t="s">
        <v>106</v>
      </c>
      <c r="G280" s="28" t="s">
        <v>107</v>
      </c>
      <c r="H280" s="28" t="s">
        <v>100</v>
      </c>
      <c r="I280" s="28" t="s">
        <v>101</v>
      </c>
      <c r="J280" s="28" t="s">
        <v>66</v>
      </c>
      <c r="K280" s="28" t="s">
        <v>90</v>
      </c>
      <c r="L280" s="28" t="s">
        <v>91</v>
      </c>
      <c r="M280" s="28" t="s">
        <v>94</v>
      </c>
      <c r="N280" s="28" t="s">
        <v>95</v>
      </c>
      <c r="O280" s="29" t="n">
        <v>20</v>
      </c>
      <c r="P280" s="30" t="n">
        <v>34.3</v>
      </c>
      <c r="Q280" s="30" t="n">
        <v>17.85</v>
      </c>
      <c r="R280" s="30" t="n">
        <f aca="false">ROUND(O280*P280,2)</f>
        <v>686</v>
      </c>
      <c r="S280" s="30" t="n">
        <f aca="false">ROUND(O280*Q280,2)</f>
        <v>357</v>
      </c>
      <c r="T280" s="30" t="n">
        <f aca="false">ROUND(R280*SUMIFS(Parametros!$E$23:$E$38,Parametros!$B$23:$B$38,J280,Parametros!$C$23:$C$38,C280,Parametros!$D$23:$D$38,D280),2)</f>
        <v>8.23</v>
      </c>
      <c r="U280" s="30" t="n">
        <f aca="false">R280-S280-T280</f>
        <v>320.77</v>
      </c>
    </row>
    <row r="281" customFormat="false" ht="15" hidden="false" customHeight="false" outlineLevel="0" collapsed="false">
      <c r="A281" s="0" t="n">
        <v>280</v>
      </c>
      <c r="B281" s="27" t="n">
        <v>45368</v>
      </c>
      <c r="C281" s="0" t="n">
        <v>2024</v>
      </c>
      <c r="D281" s="28" t="s">
        <v>61</v>
      </c>
      <c r="E281" s="0" t="n">
        <v>3</v>
      </c>
      <c r="F281" s="28" t="s">
        <v>106</v>
      </c>
      <c r="G281" s="28" t="s">
        <v>107</v>
      </c>
      <c r="H281" s="28" t="s">
        <v>100</v>
      </c>
      <c r="I281" s="28" t="s">
        <v>101</v>
      </c>
      <c r="J281" s="28" t="s">
        <v>71</v>
      </c>
      <c r="K281" s="28" t="s">
        <v>90</v>
      </c>
      <c r="L281" s="28" t="s">
        <v>91</v>
      </c>
      <c r="M281" s="28" t="s">
        <v>94</v>
      </c>
      <c r="N281" s="28" t="s">
        <v>95</v>
      </c>
      <c r="O281" s="29" t="n">
        <v>6</v>
      </c>
      <c r="P281" s="30" t="n">
        <v>34.3</v>
      </c>
      <c r="Q281" s="30" t="n">
        <v>17.85</v>
      </c>
      <c r="R281" s="30" t="n">
        <f aca="false">ROUND(O281*P281,2)</f>
        <v>205.8</v>
      </c>
      <c r="S281" s="30" t="n">
        <f aca="false">ROUND(O281*Q281,2)</f>
        <v>107.1</v>
      </c>
      <c r="T281" s="30" t="n">
        <f aca="false">ROUND(R281*SUMIFS(Parametros!$E$23:$E$38,Parametros!$B$23:$B$38,J281,Parametros!$C$23:$C$38,C281,Parametros!$D$23:$D$38,D281),2)</f>
        <v>8.64</v>
      </c>
      <c r="U281" s="30" t="n">
        <f aca="false">R281-S281-T281</f>
        <v>90.06</v>
      </c>
    </row>
    <row r="282" customFormat="false" ht="15" hidden="false" customHeight="false" outlineLevel="0" collapsed="false">
      <c r="A282" s="0" t="n">
        <v>281</v>
      </c>
      <c r="B282" s="27" t="n">
        <v>45375</v>
      </c>
      <c r="C282" s="0" t="n">
        <v>2024</v>
      </c>
      <c r="D282" s="28" t="s">
        <v>61</v>
      </c>
      <c r="E282" s="0" t="n">
        <v>3</v>
      </c>
      <c r="F282" s="28" t="s">
        <v>106</v>
      </c>
      <c r="G282" s="28" t="s">
        <v>107</v>
      </c>
      <c r="H282" s="28" t="s">
        <v>102</v>
      </c>
      <c r="I282" s="28" t="s">
        <v>103</v>
      </c>
      <c r="J282" s="28" t="s">
        <v>66</v>
      </c>
      <c r="K282" s="28" t="s">
        <v>67</v>
      </c>
      <c r="L282" s="28" t="s">
        <v>68</v>
      </c>
      <c r="M282" s="28" t="s">
        <v>69</v>
      </c>
      <c r="N282" s="28" t="s">
        <v>70</v>
      </c>
      <c r="O282" s="29" t="n">
        <v>6</v>
      </c>
      <c r="P282" s="30" t="n">
        <v>1176</v>
      </c>
      <c r="Q282" s="30" t="n">
        <v>744</v>
      </c>
      <c r="R282" s="30" t="n">
        <f aca="false">ROUND(O282*P282,2)</f>
        <v>7056</v>
      </c>
      <c r="S282" s="30" t="n">
        <f aca="false">ROUND(O282*Q282,2)</f>
        <v>4464</v>
      </c>
      <c r="T282" s="30" t="n">
        <f aca="false">ROUND(R282*SUMIFS(Parametros!$E$23:$E$38,Parametros!$B$23:$B$38,J282,Parametros!$C$23:$C$38,C282,Parametros!$D$23:$D$38,D282),2)</f>
        <v>84.67</v>
      </c>
      <c r="U282" s="30" t="n">
        <f aca="false">R282-S282-T282</f>
        <v>2507.33</v>
      </c>
    </row>
    <row r="283" customFormat="false" ht="15" hidden="false" customHeight="false" outlineLevel="0" collapsed="false">
      <c r="A283" s="0" t="n">
        <v>282</v>
      </c>
      <c r="B283" s="27" t="n">
        <v>45355</v>
      </c>
      <c r="C283" s="0" t="n">
        <v>2024</v>
      </c>
      <c r="D283" s="28" t="s">
        <v>61</v>
      </c>
      <c r="E283" s="0" t="n">
        <v>3</v>
      </c>
      <c r="F283" s="28" t="s">
        <v>106</v>
      </c>
      <c r="G283" s="28" t="s">
        <v>107</v>
      </c>
      <c r="H283" s="28" t="s">
        <v>102</v>
      </c>
      <c r="I283" s="28" t="s">
        <v>103</v>
      </c>
      <c r="J283" s="28" t="s">
        <v>71</v>
      </c>
      <c r="K283" s="28" t="s">
        <v>67</v>
      </c>
      <c r="L283" s="28" t="s">
        <v>68</v>
      </c>
      <c r="M283" s="28" t="s">
        <v>69</v>
      </c>
      <c r="N283" s="28" t="s">
        <v>70</v>
      </c>
      <c r="O283" s="29" t="n">
        <v>3</v>
      </c>
      <c r="P283" s="30" t="n">
        <v>1176</v>
      </c>
      <c r="Q283" s="30" t="n">
        <v>744</v>
      </c>
      <c r="R283" s="30" t="n">
        <f aca="false">ROUND(O283*P283,2)</f>
        <v>3528</v>
      </c>
      <c r="S283" s="30" t="n">
        <f aca="false">ROUND(O283*Q283,2)</f>
        <v>2232</v>
      </c>
      <c r="T283" s="30" t="n">
        <f aca="false">ROUND(R283*SUMIFS(Parametros!$E$23:$E$38,Parametros!$B$23:$B$38,J283,Parametros!$C$23:$C$38,C283,Parametros!$D$23:$D$38,D283),2)</f>
        <v>148.18</v>
      </c>
      <c r="U283" s="30" t="n">
        <f aca="false">R283-S283-T283</f>
        <v>1147.82</v>
      </c>
    </row>
    <row r="284" customFormat="false" ht="15" hidden="false" customHeight="false" outlineLevel="0" collapsed="false">
      <c r="A284" s="0" t="n">
        <v>283</v>
      </c>
      <c r="B284" s="27" t="n">
        <v>45362</v>
      </c>
      <c r="C284" s="0" t="n">
        <v>2024</v>
      </c>
      <c r="D284" s="28" t="s">
        <v>61</v>
      </c>
      <c r="E284" s="0" t="n">
        <v>3</v>
      </c>
      <c r="F284" s="28" t="s">
        <v>106</v>
      </c>
      <c r="G284" s="28" t="s">
        <v>107</v>
      </c>
      <c r="H284" s="28" t="s">
        <v>102</v>
      </c>
      <c r="I284" s="28" t="s">
        <v>103</v>
      </c>
      <c r="J284" s="28" t="s">
        <v>66</v>
      </c>
      <c r="K284" s="28" t="s">
        <v>67</v>
      </c>
      <c r="L284" s="28" t="s">
        <v>68</v>
      </c>
      <c r="M284" s="28" t="s">
        <v>72</v>
      </c>
      <c r="N284" s="28" t="s">
        <v>73</v>
      </c>
      <c r="O284" s="29" t="n">
        <v>6</v>
      </c>
      <c r="P284" s="30" t="n">
        <v>441</v>
      </c>
      <c r="Q284" s="30" t="n">
        <v>272.25</v>
      </c>
      <c r="R284" s="30" t="n">
        <f aca="false">ROUND(O284*P284,2)</f>
        <v>2646</v>
      </c>
      <c r="S284" s="30" t="n">
        <f aca="false">ROUND(O284*Q284,2)</f>
        <v>1633.5</v>
      </c>
      <c r="T284" s="30" t="n">
        <f aca="false">ROUND(R284*SUMIFS(Parametros!$E$23:$E$38,Parametros!$B$23:$B$38,J284,Parametros!$C$23:$C$38,C284,Parametros!$D$23:$D$38,D284),2)</f>
        <v>31.75</v>
      </c>
      <c r="U284" s="30" t="n">
        <f aca="false">R284-S284-T284</f>
        <v>980.75</v>
      </c>
    </row>
    <row r="285" customFormat="false" ht="15" hidden="false" customHeight="false" outlineLevel="0" collapsed="false">
      <c r="A285" s="0" t="n">
        <v>284</v>
      </c>
      <c r="B285" s="27" t="n">
        <v>45369</v>
      </c>
      <c r="C285" s="0" t="n">
        <v>2024</v>
      </c>
      <c r="D285" s="28" t="s">
        <v>61</v>
      </c>
      <c r="E285" s="0" t="n">
        <v>3</v>
      </c>
      <c r="F285" s="28" t="s">
        <v>106</v>
      </c>
      <c r="G285" s="28" t="s">
        <v>107</v>
      </c>
      <c r="H285" s="28" t="s">
        <v>102</v>
      </c>
      <c r="I285" s="28" t="s">
        <v>103</v>
      </c>
      <c r="J285" s="28" t="s">
        <v>71</v>
      </c>
      <c r="K285" s="28" t="s">
        <v>67</v>
      </c>
      <c r="L285" s="28" t="s">
        <v>68</v>
      </c>
      <c r="M285" s="28" t="s">
        <v>72</v>
      </c>
      <c r="N285" s="28" t="s">
        <v>73</v>
      </c>
      <c r="O285" s="29" t="n">
        <v>2</v>
      </c>
      <c r="P285" s="30" t="n">
        <v>441</v>
      </c>
      <c r="Q285" s="30" t="n">
        <v>272.25</v>
      </c>
      <c r="R285" s="30" t="n">
        <f aca="false">ROUND(O285*P285,2)</f>
        <v>882</v>
      </c>
      <c r="S285" s="30" t="n">
        <f aca="false">ROUND(O285*Q285,2)</f>
        <v>544.5</v>
      </c>
      <c r="T285" s="30" t="n">
        <f aca="false">ROUND(R285*SUMIFS(Parametros!$E$23:$E$38,Parametros!$B$23:$B$38,J285,Parametros!$C$23:$C$38,C285,Parametros!$D$23:$D$38,D285),2)</f>
        <v>37.04</v>
      </c>
      <c r="U285" s="30" t="n">
        <f aca="false">R285-S285-T285</f>
        <v>300.46</v>
      </c>
    </row>
    <row r="286" customFormat="false" ht="15" hidden="false" customHeight="false" outlineLevel="0" collapsed="false">
      <c r="A286" s="0" t="n">
        <v>285</v>
      </c>
      <c r="B286" s="27" t="n">
        <v>45376</v>
      </c>
      <c r="C286" s="0" t="n">
        <v>2024</v>
      </c>
      <c r="D286" s="28" t="s">
        <v>61</v>
      </c>
      <c r="E286" s="0" t="n">
        <v>3</v>
      </c>
      <c r="F286" s="28" t="s">
        <v>106</v>
      </c>
      <c r="G286" s="28" t="s">
        <v>107</v>
      </c>
      <c r="H286" s="28" t="s">
        <v>102</v>
      </c>
      <c r="I286" s="28" t="s">
        <v>103</v>
      </c>
      <c r="J286" s="28" t="s">
        <v>66</v>
      </c>
      <c r="K286" s="28" t="s">
        <v>67</v>
      </c>
      <c r="L286" s="28" t="s">
        <v>68</v>
      </c>
      <c r="M286" s="28" t="s">
        <v>74</v>
      </c>
      <c r="N286" s="28" t="s">
        <v>75</v>
      </c>
      <c r="O286" s="29" t="n">
        <v>5</v>
      </c>
      <c r="P286" s="30" t="n">
        <v>1617</v>
      </c>
      <c r="Q286" s="30" t="n">
        <v>1122</v>
      </c>
      <c r="R286" s="30" t="n">
        <f aca="false">ROUND(O286*P286,2)</f>
        <v>8085</v>
      </c>
      <c r="S286" s="30" t="n">
        <f aca="false">ROUND(O286*Q286,2)</f>
        <v>5610</v>
      </c>
      <c r="T286" s="30" t="n">
        <f aca="false">ROUND(R286*SUMIFS(Parametros!$E$23:$E$38,Parametros!$B$23:$B$38,J286,Parametros!$C$23:$C$38,C286,Parametros!$D$23:$D$38,D286),2)</f>
        <v>97.02</v>
      </c>
      <c r="U286" s="30" t="n">
        <f aca="false">R286-S286-T286</f>
        <v>2377.98</v>
      </c>
    </row>
    <row r="287" customFormat="false" ht="15" hidden="false" customHeight="false" outlineLevel="0" collapsed="false">
      <c r="A287" s="0" t="n">
        <v>286</v>
      </c>
      <c r="B287" s="27" t="n">
        <v>45356</v>
      </c>
      <c r="C287" s="0" t="n">
        <v>2024</v>
      </c>
      <c r="D287" s="28" t="s">
        <v>61</v>
      </c>
      <c r="E287" s="0" t="n">
        <v>3</v>
      </c>
      <c r="F287" s="28" t="s">
        <v>106</v>
      </c>
      <c r="G287" s="28" t="s">
        <v>107</v>
      </c>
      <c r="H287" s="28" t="s">
        <v>102</v>
      </c>
      <c r="I287" s="28" t="s">
        <v>103</v>
      </c>
      <c r="J287" s="28" t="s">
        <v>71</v>
      </c>
      <c r="K287" s="28" t="s">
        <v>67</v>
      </c>
      <c r="L287" s="28" t="s">
        <v>68</v>
      </c>
      <c r="M287" s="28" t="s">
        <v>74</v>
      </c>
      <c r="N287" s="28" t="s">
        <v>75</v>
      </c>
      <c r="O287" s="29" t="n">
        <v>2</v>
      </c>
      <c r="P287" s="30" t="n">
        <v>1617</v>
      </c>
      <c r="Q287" s="30" t="n">
        <v>1122</v>
      </c>
      <c r="R287" s="30" t="n">
        <f aca="false">ROUND(O287*P287,2)</f>
        <v>3234</v>
      </c>
      <c r="S287" s="30" t="n">
        <f aca="false">ROUND(O287*Q287,2)</f>
        <v>2244</v>
      </c>
      <c r="T287" s="30" t="n">
        <f aca="false">ROUND(R287*SUMIFS(Parametros!$E$23:$E$38,Parametros!$B$23:$B$38,J287,Parametros!$C$23:$C$38,C287,Parametros!$D$23:$D$38,D287),2)</f>
        <v>135.83</v>
      </c>
      <c r="U287" s="30" t="n">
        <f aca="false">R287-S287-T287</f>
        <v>854.17</v>
      </c>
    </row>
    <row r="288" customFormat="false" ht="15" hidden="false" customHeight="false" outlineLevel="0" collapsed="false">
      <c r="A288" s="0" t="n">
        <v>287</v>
      </c>
      <c r="B288" s="27" t="n">
        <v>45363</v>
      </c>
      <c r="C288" s="0" t="n">
        <v>2024</v>
      </c>
      <c r="D288" s="28" t="s">
        <v>61</v>
      </c>
      <c r="E288" s="0" t="n">
        <v>3</v>
      </c>
      <c r="F288" s="28" t="s">
        <v>106</v>
      </c>
      <c r="G288" s="28" t="s">
        <v>107</v>
      </c>
      <c r="H288" s="28" t="s">
        <v>102</v>
      </c>
      <c r="I288" s="28" t="s">
        <v>103</v>
      </c>
      <c r="J288" s="28" t="s">
        <v>66</v>
      </c>
      <c r="K288" s="28" t="s">
        <v>76</v>
      </c>
      <c r="L288" s="28" t="s">
        <v>77</v>
      </c>
      <c r="M288" s="28" t="s">
        <v>78</v>
      </c>
      <c r="N288" s="28" t="s">
        <v>79</v>
      </c>
      <c r="O288" s="29" t="n">
        <v>25</v>
      </c>
      <c r="P288" s="30" t="n">
        <v>27.44</v>
      </c>
      <c r="Q288" s="30" t="n">
        <v>13.44</v>
      </c>
      <c r="R288" s="30" t="n">
        <f aca="false">ROUND(O288*P288,2)</f>
        <v>686</v>
      </c>
      <c r="S288" s="30" t="n">
        <f aca="false">ROUND(O288*Q288,2)</f>
        <v>336</v>
      </c>
      <c r="T288" s="30" t="n">
        <f aca="false">ROUND(R288*SUMIFS(Parametros!$E$23:$E$38,Parametros!$B$23:$B$38,J288,Parametros!$C$23:$C$38,C288,Parametros!$D$23:$D$38,D288),2)</f>
        <v>8.23</v>
      </c>
      <c r="U288" s="30" t="n">
        <f aca="false">R288-S288-T288</f>
        <v>341.77</v>
      </c>
    </row>
    <row r="289" customFormat="false" ht="15" hidden="false" customHeight="false" outlineLevel="0" collapsed="false">
      <c r="A289" s="0" t="n">
        <v>288</v>
      </c>
      <c r="B289" s="27" t="n">
        <v>45370</v>
      </c>
      <c r="C289" s="0" t="n">
        <v>2024</v>
      </c>
      <c r="D289" s="28" t="s">
        <v>61</v>
      </c>
      <c r="E289" s="0" t="n">
        <v>3</v>
      </c>
      <c r="F289" s="28" t="s">
        <v>106</v>
      </c>
      <c r="G289" s="28" t="s">
        <v>107</v>
      </c>
      <c r="H289" s="28" t="s">
        <v>102</v>
      </c>
      <c r="I289" s="28" t="s">
        <v>103</v>
      </c>
      <c r="J289" s="28" t="s">
        <v>71</v>
      </c>
      <c r="K289" s="28" t="s">
        <v>76</v>
      </c>
      <c r="L289" s="28" t="s">
        <v>77</v>
      </c>
      <c r="M289" s="28" t="s">
        <v>78</v>
      </c>
      <c r="N289" s="28" t="s">
        <v>79</v>
      </c>
      <c r="O289" s="29" t="n">
        <v>12</v>
      </c>
      <c r="P289" s="30" t="n">
        <v>27.44</v>
      </c>
      <c r="Q289" s="30" t="n">
        <v>13.44</v>
      </c>
      <c r="R289" s="30" t="n">
        <f aca="false">ROUND(O289*P289,2)</f>
        <v>329.28</v>
      </c>
      <c r="S289" s="30" t="n">
        <f aca="false">ROUND(O289*Q289,2)</f>
        <v>161.28</v>
      </c>
      <c r="T289" s="30" t="n">
        <f aca="false">ROUND(R289*SUMIFS(Parametros!$E$23:$E$38,Parametros!$B$23:$B$38,J289,Parametros!$C$23:$C$38,C289,Parametros!$D$23:$D$38,D289),2)</f>
        <v>13.83</v>
      </c>
      <c r="U289" s="30" t="n">
        <f aca="false">R289-S289-T289</f>
        <v>154.17</v>
      </c>
    </row>
    <row r="290" customFormat="false" ht="15" hidden="false" customHeight="false" outlineLevel="0" collapsed="false">
      <c r="A290" s="0" t="n">
        <v>289</v>
      </c>
      <c r="B290" s="27" t="n">
        <v>45377</v>
      </c>
      <c r="C290" s="0" t="n">
        <v>2024</v>
      </c>
      <c r="D290" s="28" t="s">
        <v>61</v>
      </c>
      <c r="E290" s="0" t="n">
        <v>3</v>
      </c>
      <c r="F290" s="28" t="s">
        <v>106</v>
      </c>
      <c r="G290" s="28" t="s">
        <v>107</v>
      </c>
      <c r="H290" s="28" t="s">
        <v>102</v>
      </c>
      <c r="I290" s="28" t="s">
        <v>103</v>
      </c>
      <c r="J290" s="28" t="s">
        <v>66</v>
      </c>
      <c r="K290" s="28" t="s">
        <v>76</v>
      </c>
      <c r="L290" s="28" t="s">
        <v>77</v>
      </c>
      <c r="M290" s="28" t="s">
        <v>80</v>
      </c>
      <c r="N290" s="28" t="s">
        <v>81</v>
      </c>
      <c r="O290" s="29" t="n">
        <v>25</v>
      </c>
      <c r="P290" s="30" t="n">
        <v>93.1</v>
      </c>
      <c r="Q290" s="30" t="n">
        <v>47.98</v>
      </c>
      <c r="R290" s="30" t="n">
        <f aca="false">ROUND(O290*P290,2)</f>
        <v>2327.5</v>
      </c>
      <c r="S290" s="30" t="n">
        <f aca="false">ROUND(O290*Q290,2)</f>
        <v>1199.5</v>
      </c>
      <c r="T290" s="30" t="n">
        <f aca="false">ROUND(R290*SUMIFS(Parametros!$E$23:$E$38,Parametros!$B$23:$B$38,J290,Parametros!$C$23:$C$38,C290,Parametros!$D$23:$D$38,D290),2)</f>
        <v>27.93</v>
      </c>
      <c r="U290" s="30" t="n">
        <f aca="false">R290-S290-T290</f>
        <v>1100.07</v>
      </c>
    </row>
    <row r="291" customFormat="false" ht="15" hidden="false" customHeight="false" outlineLevel="0" collapsed="false">
      <c r="A291" s="0" t="n">
        <v>290</v>
      </c>
      <c r="B291" s="27" t="n">
        <v>45357</v>
      </c>
      <c r="C291" s="0" t="n">
        <v>2024</v>
      </c>
      <c r="D291" s="28" t="s">
        <v>61</v>
      </c>
      <c r="E291" s="0" t="n">
        <v>3</v>
      </c>
      <c r="F291" s="28" t="s">
        <v>106</v>
      </c>
      <c r="G291" s="28" t="s">
        <v>107</v>
      </c>
      <c r="H291" s="28" t="s">
        <v>102</v>
      </c>
      <c r="I291" s="28" t="s">
        <v>103</v>
      </c>
      <c r="J291" s="28" t="s">
        <v>71</v>
      </c>
      <c r="K291" s="28" t="s">
        <v>76</v>
      </c>
      <c r="L291" s="28" t="s">
        <v>77</v>
      </c>
      <c r="M291" s="28" t="s">
        <v>80</v>
      </c>
      <c r="N291" s="28" t="s">
        <v>81</v>
      </c>
      <c r="O291" s="29" t="n">
        <v>11</v>
      </c>
      <c r="P291" s="30" t="n">
        <v>93.1</v>
      </c>
      <c r="Q291" s="30" t="n">
        <v>47.98</v>
      </c>
      <c r="R291" s="30" t="n">
        <f aca="false">ROUND(O291*P291,2)</f>
        <v>1024.1</v>
      </c>
      <c r="S291" s="30" t="n">
        <f aca="false">ROUND(O291*Q291,2)</f>
        <v>527.78</v>
      </c>
      <c r="T291" s="30" t="n">
        <f aca="false">ROUND(R291*SUMIFS(Parametros!$E$23:$E$38,Parametros!$B$23:$B$38,J291,Parametros!$C$23:$C$38,C291,Parametros!$D$23:$D$38,D291),2)</f>
        <v>43.01</v>
      </c>
      <c r="U291" s="30" t="n">
        <f aca="false">R291-S291-T291</f>
        <v>453.31</v>
      </c>
    </row>
    <row r="292" customFormat="false" ht="15" hidden="false" customHeight="false" outlineLevel="0" collapsed="false">
      <c r="A292" s="0" t="n">
        <v>291</v>
      </c>
      <c r="B292" s="27" t="n">
        <v>45364</v>
      </c>
      <c r="C292" s="0" t="n">
        <v>2024</v>
      </c>
      <c r="D292" s="28" t="s">
        <v>61</v>
      </c>
      <c r="E292" s="0" t="n">
        <v>3</v>
      </c>
      <c r="F292" s="28" t="s">
        <v>106</v>
      </c>
      <c r="G292" s="28" t="s">
        <v>107</v>
      </c>
      <c r="H292" s="28" t="s">
        <v>102</v>
      </c>
      <c r="I292" s="28" t="s">
        <v>103</v>
      </c>
      <c r="J292" s="28" t="s">
        <v>66</v>
      </c>
      <c r="K292" s="28" t="s">
        <v>76</v>
      </c>
      <c r="L292" s="28" t="s">
        <v>77</v>
      </c>
      <c r="M292" s="28" t="s">
        <v>82</v>
      </c>
      <c r="N292" s="28" t="s">
        <v>83</v>
      </c>
      <c r="O292" s="29" t="n">
        <v>31</v>
      </c>
      <c r="P292" s="30" t="n">
        <v>63.7</v>
      </c>
      <c r="Q292" s="30" t="n">
        <v>35.43</v>
      </c>
      <c r="R292" s="30" t="n">
        <f aca="false">ROUND(O292*P292,2)</f>
        <v>1974.7</v>
      </c>
      <c r="S292" s="30" t="n">
        <f aca="false">ROUND(O292*Q292,2)</f>
        <v>1098.33</v>
      </c>
      <c r="T292" s="30" t="n">
        <f aca="false">ROUND(R292*SUMIFS(Parametros!$E$23:$E$38,Parametros!$B$23:$B$38,J292,Parametros!$C$23:$C$38,C292,Parametros!$D$23:$D$38,D292),2)</f>
        <v>23.7</v>
      </c>
      <c r="U292" s="30" t="n">
        <f aca="false">R292-S292-T292</f>
        <v>852.67</v>
      </c>
    </row>
    <row r="293" customFormat="false" ht="15" hidden="false" customHeight="false" outlineLevel="0" collapsed="false">
      <c r="A293" s="0" t="n">
        <v>292</v>
      </c>
      <c r="B293" s="27" t="n">
        <v>45371</v>
      </c>
      <c r="C293" s="0" t="n">
        <v>2024</v>
      </c>
      <c r="D293" s="28" t="s">
        <v>61</v>
      </c>
      <c r="E293" s="0" t="n">
        <v>3</v>
      </c>
      <c r="F293" s="28" t="s">
        <v>106</v>
      </c>
      <c r="G293" s="28" t="s">
        <v>107</v>
      </c>
      <c r="H293" s="28" t="s">
        <v>102</v>
      </c>
      <c r="I293" s="28" t="s">
        <v>103</v>
      </c>
      <c r="J293" s="28" t="s">
        <v>71</v>
      </c>
      <c r="K293" s="28" t="s">
        <v>76</v>
      </c>
      <c r="L293" s="28" t="s">
        <v>77</v>
      </c>
      <c r="M293" s="28" t="s">
        <v>82</v>
      </c>
      <c r="N293" s="28" t="s">
        <v>83</v>
      </c>
      <c r="O293" s="29" t="n">
        <v>12</v>
      </c>
      <c r="P293" s="30" t="n">
        <v>63.7</v>
      </c>
      <c r="Q293" s="30" t="n">
        <v>35.43</v>
      </c>
      <c r="R293" s="30" t="n">
        <f aca="false">ROUND(O293*P293,2)</f>
        <v>764.4</v>
      </c>
      <c r="S293" s="30" t="n">
        <f aca="false">ROUND(O293*Q293,2)</f>
        <v>425.16</v>
      </c>
      <c r="T293" s="30" t="n">
        <f aca="false">ROUND(R293*SUMIFS(Parametros!$E$23:$E$38,Parametros!$B$23:$B$38,J293,Parametros!$C$23:$C$38,C293,Parametros!$D$23:$D$38,D293),2)</f>
        <v>32.1</v>
      </c>
      <c r="U293" s="30" t="n">
        <f aca="false">R293-S293-T293</f>
        <v>307.14</v>
      </c>
    </row>
    <row r="294" customFormat="false" ht="15" hidden="false" customHeight="false" outlineLevel="0" collapsed="false">
      <c r="A294" s="0" t="n">
        <v>293</v>
      </c>
      <c r="B294" s="27" t="n">
        <v>45378</v>
      </c>
      <c r="C294" s="0" t="n">
        <v>2024</v>
      </c>
      <c r="D294" s="28" t="s">
        <v>61</v>
      </c>
      <c r="E294" s="0" t="n">
        <v>3</v>
      </c>
      <c r="F294" s="28" t="s">
        <v>106</v>
      </c>
      <c r="G294" s="28" t="s">
        <v>107</v>
      </c>
      <c r="H294" s="28" t="s">
        <v>102</v>
      </c>
      <c r="I294" s="28" t="s">
        <v>103</v>
      </c>
      <c r="J294" s="28" t="s">
        <v>66</v>
      </c>
      <c r="K294" s="28" t="s">
        <v>84</v>
      </c>
      <c r="L294" s="28" t="s">
        <v>85</v>
      </c>
      <c r="M294" s="28" t="s">
        <v>86</v>
      </c>
      <c r="N294" s="28" t="s">
        <v>87</v>
      </c>
      <c r="O294" s="29" t="n">
        <v>13</v>
      </c>
      <c r="P294" s="30" t="n">
        <v>117.6</v>
      </c>
      <c r="Q294" s="30" t="n">
        <v>63.6</v>
      </c>
      <c r="R294" s="30" t="n">
        <f aca="false">ROUND(O294*P294,2)</f>
        <v>1528.8</v>
      </c>
      <c r="S294" s="30" t="n">
        <f aca="false">ROUND(O294*Q294,2)</f>
        <v>826.8</v>
      </c>
      <c r="T294" s="30" t="n">
        <f aca="false">ROUND(R294*SUMIFS(Parametros!$E$23:$E$38,Parametros!$B$23:$B$38,J294,Parametros!$C$23:$C$38,C294,Parametros!$D$23:$D$38,D294),2)</f>
        <v>18.35</v>
      </c>
      <c r="U294" s="30" t="n">
        <f aca="false">R294-S294-T294</f>
        <v>683.65</v>
      </c>
    </row>
    <row r="295" customFormat="false" ht="15" hidden="false" customHeight="false" outlineLevel="0" collapsed="false">
      <c r="A295" s="0" t="n">
        <v>294</v>
      </c>
      <c r="B295" s="27" t="n">
        <v>45358</v>
      </c>
      <c r="C295" s="0" t="n">
        <v>2024</v>
      </c>
      <c r="D295" s="28" t="s">
        <v>61</v>
      </c>
      <c r="E295" s="0" t="n">
        <v>3</v>
      </c>
      <c r="F295" s="28" t="s">
        <v>106</v>
      </c>
      <c r="G295" s="28" t="s">
        <v>107</v>
      </c>
      <c r="H295" s="28" t="s">
        <v>102</v>
      </c>
      <c r="I295" s="28" t="s">
        <v>103</v>
      </c>
      <c r="J295" s="28" t="s">
        <v>71</v>
      </c>
      <c r="K295" s="28" t="s">
        <v>84</v>
      </c>
      <c r="L295" s="28" t="s">
        <v>85</v>
      </c>
      <c r="M295" s="28" t="s">
        <v>86</v>
      </c>
      <c r="N295" s="28" t="s">
        <v>87</v>
      </c>
      <c r="O295" s="29" t="n">
        <v>5</v>
      </c>
      <c r="P295" s="30" t="n">
        <v>117.6</v>
      </c>
      <c r="Q295" s="30" t="n">
        <v>63.6</v>
      </c>
      <c r="R295" s="30" t="n">
        <f aca="false">ROUND(O295*P295,2)</f>
        <v>588</v>
      </c>
      <c r="S295" s="30" t="n">
        <f aca="false">ROUND(O295*Q295,2)</f>
        <v>318</v>
      </c>
      <c r="T295" s="30" t="n">
        <f aca="false">ROUND(R295*SUMIFS(Parametros!$E$23:$E$38,Parametros!$B$23:$B$38,J295,Parametros!$C$23:$C$38,C295,Parametros!$D$23:$D$38,D295),2)</f>
        <v>24.7</v>
      </c>
      <c r="U295" s="30" t="n">
        <f aca="false">R295-S295-T295</f>
        <v>245.3</v>
      </c>
    </row>
    <row r="296" customFormat="false" ht="15" hidden="false" customHeight="false" outlineLevel="0" collapsed="false">
      <c r="A296" s="0" t="n">
        <v>295</v>
      </c>
      <c r="B296" s="27" t="n">
        <v>45365</v>
      </c>
      <c r="C296" s="0" t="n">
        <v>2024</v>
      </c>
      <c r="D296" s="28" t="s">
        <v>61</v>
      </c>
      <c r="E296" s="0" t="n">
        <v>3</v>
      </c>
      <c r="F296" s="28" t="s">
        <v>106</v>
      </c>
      <c r="G296" s="28" t="s">
        <v>107</v>
      </c>
      <c r="H296" s="28" t="s">
        <v>102</v>
      </c>
      <c r="I296" s="28" t="s">
        <v>103</v>
      </c>
      <c r="J296" s="28" t="s">
        <v>66</v>
      </c>
      <c r="K296" s="28" t="s">
        <v>84</v>
      </c>
      <c r="L296" s="28" t="s">
        <v>85</v>
      </c>
      <c r="M296" s="28" t="s">
        <v>88</v>
      </c>
      <c r="N296" s="28" t="s">
        <v>89</v>
      </c>
      <c r="O296" s="29" t="n">
        <v>12</v>
      </c>
      <c r="P296" s="30" t="n">
        <v>83.3</v>
      </c>
      <c r="Q296" s="30" t="n">
        <v>48.02</v>
      </c>
      <c r="R296" s="30" t="n">
        <f aca="false">ROUND(O296*P296,2)</f>
        <v>999.6</v>
      </c>
      <c r="S296" s="30" t="n">
        <f aca="false">ROUND(O296*Q296,2)</f>
        <v>576.24</v>
      </c>
      <c r="T296" s="30" t="n">
        <f aca="false">ROUND(R296*SUMIFS(Parametros!$E$23:$E$38,Parametros!$B$23:$B$38,J296,Parametros!$C$23:$C$38,C296,Parametros!$D$23:$D$38,D296),2)</f>
        <v>12</v>
      </c>
      <c r="U296" s="30" t="n">
        <f aca="false">R296-S296-T296</f>
        <v>411.36</v>
      </c>
    </row>
    <row r="297" customFormat="false" ht="15" hidden="false" customHeight="false" outlineLevel="0" collapsed="false">
      <c r="A297" s="0" t="n">
        <v>296</v>
      </c>
      <c r="B297" s="27" t="n">
        <v>45372</v>
      </c>
      <c r="C297" s="0" t="n">
        <v>2024</v>
      </c>
      <c r="D297" s="28" t="s">
        <v>61</v>
      </c>
      <c r="E297" s="0" t="n">
        <v>3</v>
      </c>
      <c r="F297" s="28" t="s">
        <v>106</v>
      </c>
      <c r="G297" s="28" t="s">
        <v>107</v>
      </c>
      <c r="H297" s="28" t="s">
        <v>102</v>
      </c>
      <c r="I297" s="28" t="s">
        <v>103</v>
      </c>
      <c r="J297" s="28" t="s">
        <v>71</v>
      </c>
      <c r="K297" s="28" t="s">
        <v>84</v>
      </c>
      <c r="L297" s="28" t="s">
        <v>85</v>
      </c>
      <c r="M297" s="28" t="s">
        <v>88</v>
      </c>
      <c r="N297" s="28" t="s">
        <v>89</v>
      </c>
      <c r="O297" s="29" t="n">
        <v>5</v>
      </c>
      <c r="P297" s="30" t="n">
        <v>83.3</v>
      </c>
      <c r="Q297" s="30" t="n">
        <v>48.02</v>
      </c>
      <c r="R297" s="30" t="n">
        <f aca="false">ROUND(O297*P297,2)</f>
        <v>416.5</v>
      </c>
      <c r="S297" s="30" t="n">
        <f aca="false">ROUND(O297*Q297,2)</f>
        <v>240.1</v>
      </c>
      <c r="T297" s="30" t="n">
        <f aca="false">ROUND(R297*SUMIFS(Parametros!$E$23:$E$38,Parametros!$B$23:$B$38,J297,Parametros!$C$23:$C$38,C297,Parametros!$D$23:$D$38,D297),2)</f>
        <v>17.49</v>
      </c>
      <c r="U297" s="30" t="n">
        <f aca="false">R297-S297-T297</f>
        <v>158.91</v>
      </c>
    </row>
    <row r="298" customFormat="false" ht="15" hidden="false" customHeight="false" outlineLevel="0" collapsed="false">
      <c r="A298" s="0" t="n">
        <v>297</v>
      </c>
      <c r="B298" s="27" t="n">
        <v>45352</v>
      </c>
      <c r="C298" s="0" t="n">
        <v>2024</v>
      </c>
      <c r="D298" s="28" t="s">
        <v>61</v>
      </c>
      <c r="E298" s="0" t="n">
        <v>3</v>
      </c>
      <c r="F298" s="28" t="s">
        <v>106</v>
      </c>
      <c r="G298" s="28" t="s">
        <v>107</v>
      </c>
      <c r="H298" s="28" t="s">
        <v>102</v>
      </c>
      <c r="I298" s="28" t="s">
        <v>103</v>
      </c>
      <c r="J298" s="28" t="s">
        <v>66</v>
      </c>
      <c r="K298" s="28" t="s">
        <v>90</v>
      </c>
      <c r="L298" s="28" t="s">
        <v>91</v>
      </c>
      <c r="M298" s="28" t="s">
        <v>92</v>
      </c>
      <c r="N298" s="28" t="s">
        <v>93</v>
      </c>
      <c r="O298" s="29" t="n">
        <v>19</v>
      </c>
      <c r="P298" s="30" t="n">
        <v>127.4</v>
      </c>
      <c r="Q298" s="30" t="n">
        <v>76.05</v>
      </c>
      <c r="R298" s="30" t="n">
        <f aca="false">ROUND(O298*P298,2)</f>
        <v>2420.6</v>
      </c>
      <c r="S298" s="30" t="n">
        <f aca="false">ROUND(O298*Q298,2)</f>
        <v>1444.95</v>
      </c>
      <c r="T298" s="30" t="n">
        <f aca="false">ROUND(R298*SUMIFS(Parametros!$E$23:$E$38,Parametros!$B$23:$B$38,J298,Parametros!$C$23:$C$38,C298,Parametros!$D$23:$D$38,D298),2)</f>
        <v>29.05</v>
      </c>
      <c r="U298" s="30" t="n">
        <f aca="false">R298-S298-T298</f>
        <v>946.6</v>
      </c>
    </row>
    <row r="299" customFormat="false" ht="15" hidden="false" customHeight="false" outlineLevel="0" collapsed="false">
      <c r="A299" s="0" t="n">
        <v>298</v>
      </c>
      <c r="B299" s="27" t="n">
        <v>45359</v>
      </c>
      <c r="C299" s="0" t="n">
        <v>2024</v>
      </c>
      <c r="D299" s="28" t="s">
        <v>61</v>
      </c>
      <c r="E299" s="0" t="n">
        <v>3</v>
      </c>
      <c r="F299" s="28" t="s">
        <v>106</v>
      </c>
      <c r="G299" s="28" t="s">
        <v>107</v>
      </c>
      <c r="H299" s="28" t="s">
        <v>102</v>
      </c>
      <c r="I299" s="28" t="s">
        <v>103</v>
      </c>
      <c r="J299" s="28" t="s">
        <v>71</v>
      </c>
      <c r="K299" s="28" t="s">
        <v>90</v>
      </c>
      <c r="L299" s="28" t="s">
        <v>91</v>
      </c>
      <c r="M299" s="28" t="s">
        <v>92</v>
      </c>
      <c r="N299" s="28" t="s">
        <v>93</v>
      </c>
      <c r="O299" s="29" t="n">
        <v>7</v>
      </c>
      <c r="P299" s="30" t="n">
        <v>127.4</v>
      </c>
      <c r="Q299" s="30" t="n">
        <v>76.05</v>
      </c>
      <c r="R299" s="30" t="n">
        <f aca="false">ROUND(O299*P299,2)</f>
        <v>891.8</v>
      </c>
      <c r="S299" s="30" t="n">
        <f aca="false">ROUND(O299*Q299,2)</f>
        <v>532.35</v>
      </c>
      <c r="T299" s="30" t="n">
        <f aca="false">ROUND(R299*SUMIFS(Parametros!$E$23:$E$38,Parametros!$B$23:$B$38,J299,Parametros!$C$23:$C$38,C299,Parametros!$D$23:$D$38,D299),2)</f>
        <v>37.46</v>
      </c>
      <c r="U299" s="30" t="n">
        <f aca="false">R299-S299-T299</f>
        <v>321.99</v>
      </c>
    </row>
    <row r="300" customFormat="false" ht="15" hidden="false" customHeight="false" outlineLevel="0" collapsed="false">
      <c r="A300" s="0" t="n">
        <v>299</v>
      </c>
      <c r="B300" s="27" t="n">
        <v>45366</v>
      </c>
      <c r="C300" s="0" t="n">
        <v>2024</v>
      </c>
      <c r="D300" s="28" t="s">
        <v>61</v>
      </c>
      <c r="E300" s="0" t="n">
        <v>3</v>
      </c>
      <c r="F300" s="28" t="s">
        <v>106</v>
      </c>
      <c r="G300" s="28" t="s">
        <v>107</v>
      </c>
      <c r="H300" s="28" t="s">
        <v>102</v>
      </c>
      <c r="I300" s="28" t="s">
        <v>103</v>
      </c>
      <c r="J300" s="28" t="s">
        <v>66</v>
      </c>
      <c r="K300" s="28" t="s">
        <v>90</v>
      </c>
      <c r="L300" s="28" t="s">
        <v>91</v>
      </c>
      <c r="M300" s="28" t="s">
        <v>94</v>
      </c>
      <c r="N300" s="28" t="s">
        <v>95</v>
      </c>
      <c r="O300" s="29" t="n">
        <v>17</v>
      </c>
      <c r="P300" s="30" t="n">
        <v>34.3</v>
      </c>
      <c r="Q300" s="30" t="n">
        <v>17.85</v>
      </c>
      <c r="R300" s="30" t="n">
        <f aca="false">ROUND(O300*P300,2)</f>
        <v>583.1</v>
      </c>
      <c r="S300" s="30" t="n">
        <f aca="false">ROUND(O300*Q300,2)</f>
        <v>303.45</v>
      </c>
      <c r="T300" s="30" t="n">
        <f aca="false">ROUND(R300*SUMIFS(Parametros!$E$23:$E$38,Parametros!$B$23:$B$38,J300,Parametros!$C$23:$C$38,C300,Parametros!$D$23:$D$38,D300),2)</f>
        <v>7</v>
      </c>
      <c r="U300" s="30" t="n">
        <f aca="false">R300-S300-T300</f>
        <v>272.65</v>
      </c>
    </row>
    <row r="301" customFormat="false" ht="15" hidden="false" customHeight="false" outlineLevel="0" collapsed="false">
      <c r="A301" s="0" t="n">
        <v>300</v>
      </c>
      <c r="B301" s="27" t="n">
        <v>45373</v>
      </c>
      <c r="C301" s="0" t="n">
        <v>2024</v>
      </c>
      <c r="D301" s="28" t="s">
        <v>61</v>
      </c>
      <c r="E301" s="0" t="n">
        <v>3</v>
      </c>
      <c r="F301" s="28" t="s">
        <v>106</v>
      </c>
      <c r="G301" s="28" t="s">
        <v>107</v>
      </c>
      <c r="H301" s="28" t="s">
        <v>102</v>
      </c>
      <c r="I301" s="28" t="s">
        <v>103</v>
      </c>
      <c r="J301" s="28" t="s">
        <v>71</v>
      </c>
      <c r="K301" s="28" t="s">
        <v>90</v>
      </c>
      <c r="L301" s="28" t="s">
        <v>91</v>
      </c>
      <c r="M301" s="28" t="s">
        <v>94</v>
      </c>
      <c r="N301" s="28" t="s">
        <v>95</v>
      </c>
      <c r="O301" s="29" t="n">
        <v>6</v>
      </c>
      <c r="P301" s="30" t="n">
        <v>34.3</v>
      </c>
      <c r="Q301" s="30" t="n">
        <v>17.85</v>
      </c>
      <c r="R301" s="30" t="n">
        <f aca="false">ROUND(O301*P301,2)</f>
        <v>205.8</v>
      </c>
      <c r="S301" s="30" t="n">
        <f aca="false">ROUND(O301*Q301,2)</f>
        <v>107.1</v>
      </c>
      <c r="T301" s="30" t="n">
        <f aca="false">ROUND(R301*SUMIFS(Parametros!$E$23:$E$38,Parametros!$B$23:$B$38,J301,Parametros!$C$23:$C$38,C301,Parametros!$D$23:$D$38,D301),2)</f>
        <v>8.64</v>
      </c>
      <c r="U301" s="30" t="n">
        <f aca="false">R301-S301-T301</f>
        <v>90.06</v>
      </c>
    </row>
    <row r="302" customFormat="false" ht="15" hidden="false" customHeight="false" outlineLevel="0" collapsed="false">
      <c r="A302" s="0" t="n">
        <v>301</v>
      </c>
      <c r="B302" s="27" t="n">
        <v>45384</v>
      </c>
      <c r="C302" s="0" t="n">
        <v>2024</v>
      </c>
      <c r="D302" s="28" t="s">
        <v>108</v>
      </c>
      <c r="E302" s="0" t="n">
        <v>4</v>
      </c>
      <c r="F302" s="28" t="s">
        <v>109</v>
      </c>
      <c r="G302" s="28" t="s">
        <v>110</v>
      </c>
      <c r="H302" s="28" t="s">
        <v>64</v>
      </c>
      <c r="I302" s="28" t="s">
        <v>65</v>
      </c>
      <c r="J302" s="28" t="s">
        <v>66</v>
      </c>
      <c r="K302" s="28" t="s">
        <v>67</v>
      </c>
      <c r="L302" s="28" t="s">
        <v>68</v>
      </c>
      <c r="M302" s="28" t="s">
        <v>69</v>
      </c>
      <c r="N302" s="28" t="s">
        <v>70</v>
      </c>
      <c r="O302" s="29" t="n">
        <v>20</v>
      </c>
      <c r="P302" s="30" t="n">
        <v>1176</v>
      </c>
      <c r="Q302" s="30" t="n">
        <v>744</v>
      </c>
      <c r="R302" s="30" t="n">
        <f aca="false">ROUND(O302*P302,2)</f>
        <v>23520</v>
      </c>
      <c r="S302" s="30" t="n">
        <f aca="false">ROUND(O302*Q302,2)</f>
        <v>14880</v>
      </c>
      <c r="T302" s="30" t="n">
        <f aca="false">ROUND(R302*SUMIFS(Parametros!$E$23:$E$38,Parametros!$B$23:$B$38,J302,Parametros!$C$23:$C$38,C302,Parametros!$D$23:$D$38,D302),2)</f>
        <v>282.24</v>
      </c>
      <c r="U302" s="30" t="n">
        <f aca="false">R302-S302-T302</f>
        <v>8357.76</v>
      </c>
    </row>
    <row r="303" customFormat="false" ht="15" hidden="false" customHeight="false" outlineLevel="0" collapsed="false">
      <c r="A303" s="0" t="n">
        <v>302</v>
      </c>
      <c r="B303" s="27" t="n">
        <v>45391</v>
      </c>
      <c r="C303" s="0" t="n">
        <v>2024</v>
      </c>
      <c r="D303" s="28" t="s">
        <v>108</v>
      </c>
      <c r="E303" s="0" t="n">
        <v>4</v>
      </c>
      <c r="F303" s="28" t="s">
        <v>109</v>
      </c>
      <c r="G303" s="28" t="s">
        <v>110</v>
      </c>
      <c r="H303" s="28" t="s">
        <v>64</v>
      </c>
      <c r="I303" s="28" t="s">
        <v>65</v>
      </c>
      <c r="J303" s="28" t="s">
        <v>71</v>
      </c>
      <c r="K303" s="28" t="s">
        <v>67</v>
      </c>
      <c r="L303" s="28" t="s">
        <v>68</v>
      </c>
      <c r="M303" s="28" t="s">
        <v>69</v>
      </c>
      <c r="N303" s="28" t="s">
        <v>70</v>
      </c>
      <c r="O303" s="29" t="n">
        <v>9</v>
      </c>
      <c r="P303" s="30" t="n">
        <v>1176</v>
      </c>
      <c r="Q303" s="30" t="n">
        <v>744</v>
      </c>
      <c r="R303" s="30" t="n">
        <f aca="false">ROUND(O303*P303,2)</f>
        <v>10584</v>
      </c>
      <c r="S303" s="30" t="n">
        <f aca="false">ROUND(O303*Q303,2)</f>
        <v>6696</v>
      </c>
      <c r="T303" s="30" t="n">
        <f aca="false">ROUND(R303*SUMIFS(Parametros!$E$23:$E$38,Parametros!$B$23:$B$38,J303,Parametros!$C$23:$C$38,C303,Parametros!$D$23:$D$38,D303),2)</f>
        <v>465.7</v>
      </c>
      <c r="U303" s="30" t="n">
        <f aca="false">R303-S303-T303</f>
        <v>3422.3</v>
      </c>
    </row>
    <row r="304" customFormat="false" ht="15" hidden="false" customHeight="false" outlineLevel="0" collapsed="false">
      <c r="A304" s="0" t="n">
        <v>303</v>
      </c>
      <c r="B304" s="27" t="n">
        <v>45398</v>
      </c>
      <c r="C304" s="0" t="n">
        <v>2024</v>
      </c>
      <c r="D304" s="28" t="s">
        <v>108</v>
      </c>
      <c r="E304" s="0" t="n">
        <v>4</v>
      </c>
      <c r="F304" s="28" t="s">
        <v>109</v>
      </c>
      <c r="G304" s="28" t="s">
        <v>110</v>
      </c>
      <c r="H304" s="28" t="s">
        <v>64</v>
      </c>
      <c r="I304" s="28" t="s">
        <v>65</v>
      </c>
      <c r="J304" s="28" t="s">
        <v>66</v>
      </c>
      <c r="K304" s="28" t="s">
        <v>67</v>
      </c>
      <c r="L304" s="28" t="s">
        <v>68</v>
      </c>
      <c r="M304" s="28" t="s">
        <v>72</v>
      </c>
      <c r="N304" s="28" t="s">
        <v>73</v>
      </c>
      <c r="O304" s="29" t="n">
        <v>22</v>
      </c>
      <c r="P304" s="30" t="n">
        <v>441</v>
      </c>
      <c r="Q304" s="30" t="n">
        <v>272.25</v>
      </c>
      <c r="R304" s="30" t="n">
        <f aca="false">ROUND(O304*P304,2)</f>
        <v>9702</v>
      </c>
      <c r="S304" s="30" t="n">
        <f aca="false">ROUND(O304*Q304,2)</f>
        <v>5989.5</v>
      </c>
      <c r="T304" s="30" t="n">
        <f aca="false">ROUND(R304*SUMIFS(Parametros!$E$23:$E$38,Parametros!$B$23:$B$38,J304,Parametros!$C$23:$C$38,C304,Parametros!$D$23:$D$38,D304),2)</f>
        <v>116.42</v>
      </c>
      <c r="U304" s="30" t="n">
        <f aca="false">R304-S304-T304</f>
        <v>3596.08</v>
      </c>
    </row>
    <row r="305" customFormat="false" ht="15" hidden="false" customHeight="false" outlineLevel="0" collapsed="false">
      <c r="A305" s="0" t="n">
        <v>304</v>
      </c>
      <c r="B305" s="27" t="n">
        <v>45405</v>
      </c>
      <c r="C305" s="0" t="n">
        <v>2024</v>
      </c>
      <c r="D305" s="28" t="s">
        <v>108</v>
      </c>
      <c r="E305" s="0" t="n">
        <v>4</v>
      </c>
      <c r="F305" s="28" t="s">
        <v>109</v>
      </c>
      <c r="G305" s="28" t="s">
        <v>110</v>
      </c>
      <c r="H305" s="28" t="s">
        <v>64</v>
      </c>
      <c r="I305" s="28" t="s">
        <v>65</v>
      </c>
      <c r="J305" s="28" t="s">
        <v>71</v>
      </c>
      <c r="K305" s="28" t="s">
        <v>67</v>
      </c>
      <c r="L305" s="28" t="s">
        <v>68</v>
      </c>
      <c r="M305" s="28" t="s">
        <v>72</v>
      </c>
      <c r="N305" s="28" t="s">
        <v>73</v>
      </c>
      <c r="O305" s="29" t="n">
        <v>7</v>
      </c>
      <c r="P305" s="30" t="n">
        <v>441</v>
      </c>
      <c r="Q305" s="30" t="n">
        <v>272.25</v>
      </c>
      <c r="R305" s="30" t="n">
        <f aca="false">ROUND(O305*P305,2)</f>
        <v>3087</v>
      </c>
      <c r="S305" s="30" t="n">
        <f aca="false">ROUND(O305*Q305,2)</f>
        <v>1905.75</v>
      </c>
      <c r="T305" s="30" t="n">
        <f aca="false">ROUND(R305*SUMIFS(Parametros!$E$23:$E$38,Parametros!$B$23:$B$38,J305,Parametros!$C$23:$C$38,C305,Parametros!$D$23:$D$38,D305),2)</f>
        <v>135.83</v>
      </c>
      <c r="U305" s="30" t="n">
        <f aca="false">R305-S305-T305</f>
        <v>1045.42</v>
      </c>
    </row>
    <row r="306" customFormat="false" ht="15" hidden="false" customHeight="false" outlineLevel="0" collapsed="false">
      <c r="A306" s="0" t="n">
        <v>305</v>
      </c>
      <c r="B306" s="27" t="n">
        <v>45385</v>
      </c>
      <c r="C306" s="0" t="n">
        <v>2024</v>
      </c>
      <c r="D306" s="28" t="s">
        <v>108</v>
      </c>
      <c r="E306" s="0" t="n">
        <v>4</v>
      </c>
      <c r="F306" s="28" t="s">
        <v>109</v>
      </c>
      <c r="G306" s="28" t="s">
        <v>110</v>
      </c>
      <c r="H306" s="28" t="s">
        <v>64</v>
      </c>
      <c r="I306" s="28" t="s">
        <v>65</v>
      </c>
      <c r="J306" s="28" t="s">
        <v>66</v>
      </c>
      <c r="K306" s="28" t="s">
        <v>67</v>
      </c>
      <c r="L306" s="28" t="s">
        <v>68</v>
      </c>
      <c r="M306" s="28" t="s">
        <v>74</v>
      </c>
      <c r="N306" s="28" t="s">
        <v>75</v>
      </c>
      <c r="O306" s="29" t="n">
        <v>17</v>
      </c>
      <c r="P306" s="30" t="n">
        <v>1617</v>
      </c>
      <c r="Q306" s="30" t="n">
        <v>1122</v>
      </c>
      <c r="R306" s="30" t="n">
        <f aca="false">ROUND(O306*P306,2)</f>
        <v>27489</v>
      </c>
      <c r="S306" s="30" t="n">
        <f aca="false">ROUND(O306*Q306,2)</f>
        <v>19074</v>
      </c>
      <c r="T306" s="30" t="n">
        <f aca="false">ROUND(R306*SUMIFS(Parametros!$E$23:$E$38,Parametros!$B$23:$B$38,J306,Parametros!$C$23:$C$38,C306,Parametros!$D$23:$D$38,D306),2)</f>
        <v>329.87</v>
      </c>
      <c r="U306" s="30" t="n">
        <f aca="false">R306-S306-T306</f>
        <v>8085.13</v>
      </c>
    </row>
    <row r="307" customFormat="false" ht="15" hidden="false" customHeight="false" outlineLevel="0" collapsed="false">
      <c r="A307" s="0" t="n">
        <v>306</v>
      </c>
      <c r="B307" s="27" t="n">
        <v>45392</v>
      </c>
      <c r="C307" s="0" t="n">
        <v>2024</v>
      </c>
      <c r="D307" s="28" t="s">
        <v>108</v>
      </c>
      <c r="E307" s="0" t="n">
        <v>4</v>
      </c>
      <c r="F307" s="28" t="s">
        <v>109</v>
      </c>
      <c r="G307" s="28" t="s">
        <v>110</v>
      </c>
      <c r="H307" s="28" t="s">
        <v>64</v>
      </c>
      <c r="I307" s="28" t="s">
        <v>65</v>
      </c>
      <c r="J307" s="28" t="s">
        <v>71</v>
      </c>
      <c r="K307" s="28" t="s">
        <v>67</v>
      </c>
      <c r="L307" s="28" t="s">
        <v>68</v>
      </c>
      <c r="M307" s="28" t="s">
        <v>74</v>
      </c>
      <c r="N307" s="28" t="s">
        <v>75</v>
      </c>
      <c r="O307" s="29" t="n">
        <v>9</v>
      </c>
      <c r="P307" s="30" t="n">
        <v>1617</v>
      </c>
      <c r="Q307" s="30" t="n">
        <v>1122</v>
      </c>
      <c r="R307" s="30" t="n">
        <f aca="false">ROUND(O307*P307,2)</f>
        <v>14553</v>
      </c>
      <c r="S307" s="30" t="n">
        <f aca="false">ROUND(O307*Q307,2)</f>
        <v>10098</v>
      </c>
      <c r="T307" s="30" t="n">
        <f aca="false">ROUND(R307*SUMIFS(Parametros!$E$23:$E$38,Parametros!$B$23:$B$38,J307,Parametros!$C$23:$C$38,C307,Parametros!$D$23:$D$38,D307),2)</f>
        <v>640.33</v>
      </c>
      <c r="U307" s="30" t="n">
        <f aca="false">R307-S307-T307</f>
        <v>3814.67</v>
      </c>
    </row>
    <row r="308" customFormat="false" ht="15" hidden="false" customHeight="false" outlineLevel="0" collapsed="false">
      <c r="A308" s="0" t="n">
        <v>307</v>
      </c>
      <c r="B308" s="27" t="n">
        <v>45399</v>
      </c>
      <c r="C308" s="0" t="n">
        <v>2024</v>
      </c>
      <c r="D308" s="28" t="s">
        <v>108</v>
      </c>
      <c r="E308" s="0" t="n">
        <v>4</v>
      </c>
      <c r="F308" s="28" t="s">
        <v>109</v>
      </c>
      <c r="G308" s="28" t="s">
        <v>110</v>
      </c>
      <c r="H308" s="28" t="s">
        <v>64</v>
      </c>
      <c r="I308" s="28" t="s">
        <v>65</v>
      </c>
      <c r="J308" s="28" t="s">
        <v>66</v>
      </c>
      <c r="K308" s="28" t="s">
        <v>76</v>
      </c>
      <c r="L308" s="28" t="s">
        <v>77</v>
      </c>
      <c r="M308" s="28" t="s">
        <v>78</v>
      </c>
      <c r="N308" s="28" t="s">
        <v>79</v>
      </c>
      <c r="O308" s="29" t="n">
        <v>101</v>
      </c>
      <c r="P308" s="30" t="n">
        <v>27.44</v>
      </c>
      <c r="Q308" s="30" t="n">
        <v>13.44</v>
      </c>
      <c r="R308" s="30" t="n">
        <f aca="false">ROUND(O308*P308,2)</f>
        <v>2771.44</v>
      </c>
      <c r="S308" s="30" t="n">
        <f aca="false">ROUND(O308*Q308,2)</f>
        <v>1357.44</v>
      </c>
      <c r="T308" s="30" t="n">
        <f aca="false">ROUND(R308*SUMIFS(Parametros!$E$23:$E$38,Parametros!$B$23:$B$38,J308,Parametros!$C$23:$C$38,C308,Parametros!$D$23:$D$38,D308),2)</f>
        <v>33.26</v>
      </c>
      <c r="U308" s="30" t="n">
        <f aca="false">R308-S308-T308</f>
        <v>1380.74</v>
      </c>
    </row>
    <row r="309" customFormat="false" ht="15" hidden="false" customHeight="false" outlineLevel="0" collapsed="false">
      <c r="A309" s="0" t="n">
        <v>308</v>
      </c>
      <c r="B309" s="27" t="n">
        <v>45406</v>
      </c>
      <c r="C309" s="0" t="n">
        <v>2024</v>
      </c>
      <c r="D309" s="28" t="s">
        <v>108</v>
      </c>
      <c r="E309" s="0" t="n">
        <v>4</v>
      </c>
      <c r="F309" s="28" t="s">
        <v>109</v>
      </c>
      <c r="G309" s="28" t="s">
        <v>110</v>
      </c>
      <c r="H309" s="28" t="s">
        <v>64</v>
      </c>
      <c r="I309" s="28" t="s">
        <v>65</v>
      </c>
      <c r="J309" s="28" t="s">
        <v>71</v>
      </c>
      <c r="K309" s="28" t="s">
        <v>76</v>
      </c>
      <c r="L309" s="28" t="s">
        <v>77</v>
      </c>
      <c r="M309" s="28" t="s">
        <v>78</v>
      </c>
      <c r="N309" s="28" t="s">
        <v>79</v>
      </c>
      <c r="O309" s="29" t="n">
        <v>32</v>
      </c>
      <c r="P309" s="30" t="n">
        <v>27.44</v>
      </c>
      <c r="Q309" s="30" t="n">
        <v>13.44</v>
      </c>
      <c r="R309" s="30" t="n">
        <f aca="false">ROUND(O309*P309,2)</f>
        <v>878.08</v>
      </c>
      <c r="S309" s="30" t="n">
        <f aca="false">ROUND(O309*Q309,2)</f>
        <v>430.08</v>
      </c>
      <c r="T309" s="30" t="n">
        <f aca="false">ROUND(R309*SUMIFS(Parametros!$E$23:$E$38,Parametros!$B$23:$B$38,J309,Parametros!$C$23:$C$38,C309,Parametros!$D$23:$D$38,D309),2)</f>
        <v>38.64</v>
      </c>
      <c r="U309" s="30" t="n">
        <f aca="false">R309-S309-T309</f>
        <v>409.36</v>
      </c>
    </row>
    <row r="310" customFormat="false" ht="15" hidden="false" customHeight="false" outlineLevel="0" collapsed="false">
      <c r="A310" s="0" t="n">
        <v>309</v>
      </c>
      <c r="B310" s="27" t="n">
        <v>45386</v>
      </c>
      <c r="C310" s="0" t="n">
        <v>2024</v>
      </c>
      <c r="D310" s="28" t="s">
        <v>108</v>
      </c>
      <c r="E310" s="0" t="n">
        <v>4</v>
      </c>
      <c r="F310" s="28" t="s">
        <v>109</v>
      </c>
      <c r="G310" s="28" t="s">
        <v>110</v>
      </c>
      <c r="H310" s="28" t="s">
        <v>64</v>
      </c>
      <c r="I310" s="28" t="s">
        <v>65</v>
      </c>
      <c r="J310" s="28" t="s">
        <v>66</v>
      </c>
      <c r="K310" s="28" t="s">
        <v>76</v>
      </c>
      <c r="L310" s="28" t="s">
        <v>77</v>
      </c>
      <c r="M310" s="28" t="s">
        <v>80</v>
      </c>
      <c r="N310" s="28" t="s">
        <v>81</v>
      </c>
      <c r="O310" s="29" t="n">
        <v>97</v>
      </c>
      <c r="P310" s="30" t="n">
        <v>93.1</v>
      </c>
      <c r="Q310" s="30" t="n">
        <v>47.98</v>
      </c>
      <c r="R310" s="30" t="n">
        <f aca="false">ROUND(O310*P310,2)</f>
        <v>9030.7</v>
      </c>
      <c r="S310" s="30" t="n">
        <f aca="false">ROUND(O310*Q310,2)</f>
        <v>4654.06</v>
      </c>
      <c r="T310" s="30" t="n">
        <f aca="false">ROUND(R310*SUMIFS(Parametros!$E$23:$E$38,Parametros!$B$23:$B$38,J310,Parametros!$C$23:$C$38,C310,Parametros!$D$23:$D$38,D310),2)</f>
        <v>108.37</v>
      </c>
      <c r="U310" s="30" t="n">
        <f aca="false">R310-S310-T310</f>
        <v>4268.27</v>
      </c>
    </row>
    <row r="311" customFormat="false" ht="15" hidden="false" customHeight="false" outlineLevel="0" collapsed="false">
      <c r="A311" s="0" t="n">
        <v>310</v>
      </c>
      <c r="B311" s="27" t="n">
        <v>45393</v>
      </c>
      <c r="C311" s="0" t="n">
        <v>2024</v>
      </c>
      <c r="D311" s="28" t="s">
        <v>108</v>
      </c>
      <c r="E311" s="0" t="n">
        <v>4</v>
      </c>
      <c r="F311" s="28" t="s">
        <v>109</v>
      </c>
      <c r="G311" s="28" t="s">
        <v>110</v>
      </c>
      <c r="H311" s="28" t="s">
        <v>64</v>
      </c>
      <c r="I311" s="28" t="s">
        <v>65</v>
      </c>
      <c r="J311" s="28" t="s">
        <v>71</v>
      </c>
      <c r="K311" s="28" t="s">
        <v>76</v>
      </c>
      <c r="L311" s="28" t="s">
        <v>77</v>
      </c>
      <c r="M311" s="28" t="s">
        <v>80</v>
      </c>
      <c r="N311" s="28" t="s">
        <v>81</v>
      </c>
      <c r="O311" s="29" t="n">
        <v>35</v>
      </c>
      <c r="P311" s="30" t="n">
        <v>93.1</v>
      </c>
      <c r="Q311" s="30" t="n">
        <v>47.98</v>
      </c>
      <c r="R311" s="30" t="n">
        <f aca="false">ROUND(O311*P311,2)</f>
        <v>3258.5</v>
      </c>
      <c r="S311" s="30" t="n">
        <f aca="false">ROUND(O311*Q311,2)</f>
        <v>1679.3</v>
      </c>
      <c r="T311" s="30" t="n">
        <f aca="false">ROUND(R311*SUMIFS(Parametros!$E$23:$E$38,Parametros!$B$23:$B$38,J311,Parametros!$C$23:$C$38,C311,Parametros!$D$23:$D$38,D311),2)</f>
        <v>143.37</v>
      </c>
      <c r="U311" s="30" t="n">
        <f aca="false">R311-S311-T311</f>
        <v>1435.83</v>
      </c>
    </row>
    <row r="312" customFormat="false" ht="15" hidden="false" customHeight="false" outlineLevel="0" collapsed="false">
      <c r="A312" s="0" t="n">
        <v>311</v>
      </c>
      <c r="B312" s="27" t="n">
        <v>45400</v>
      </c>
      <c r="C312" s="0" t="n">
        <v>2024</v>
      </c>
      <c r="D312" s="28" t="s">
        <v>108</v>
      </c>
      <c r="E312" s="0" t="n">
        <v>4</v>
      </c>
      <c r="F312" s="28" t="s">
        <v>109</v>
      </c>
      <c r="G312" s="28" t="s">
        <v>110</v>
      </c>
      <c r="H312" s="28" t="s">
        <v>64</v>
      </c>
      <c r="I312" s="28" t="s">
        <v>65</v>
      </c>
      <c r="J312" s="28" t="s">
        <v>66</v>
      </c>
      <c r="K312" s="28" t="s">
        <v>76</v>
      </c>
      <c r="L312" s="28" t="s">
        <v>77</v>
      </c>
      <c r="M312" s="28" t="s">
        <v>82</v>
      </c>
      <c r="N312" s="28" t="s">
        <v>83</v>
      </c>
      <c r="O312" s="29" t="n">
        <v>104</v>
      </c>
      <c r="P312" s="30" t="n">
        <v>63.7</v>
      </c>
      <c r="Q312" s="30" t="n">
        <v>35.43</v>
      </c>
      <c r="R312" s="30" t="n">
        <f aca="false">ROUND(O312*P312,2)</f>
        <v>6624.8</v>
      </c>
      <c r="S312" s="30" t="n">
        <f aca="false">ROUND(O312*Q312,2)</f>
        <v>3684.72</v>
      </c>
      <c r="T312" s="30" t="n">
        <f aca="false">ROUND(R312*SUMIFS(Parametros!$E$23:$E$38,Parametros!$B$23:$B$38,J312,Parametros!$C$23:$C$38,C312,Parametros!$D$23:$D$38,D312),2)</f>
        <v>79.5</v>
      </c>
      <c r="U312" s="30" t="n">
        <f aca="false">R312-S312-T312</f>
        <v>2860.58</v>
      </c>
    </row>
    <row r="313" customFormat="false" ht="15" hidden="false" customHeight="false" outlineLevel="0" collapsed="false">
      <c r="A313" s="0" t="n">
        <v>312</v>
      </c>
      <c r="B313" s="27" t="n">
        <v>45407</v>
      </c>
      <c r="C313" s="0" t="n">
        <v>2024</v>
      </c>
      <c r="D313" s="28" t="s">
        <v>108</v>
      </c>
      <c r="E313" s="0" t="n">
        <v>4</v>
      </c>
      <c r="F313" s="28" t="s">
        <v>109</v>
      </c>
      <c r="G313" s="28" t="s">
        <v>110</v>
      </c>
      <c r="H313" s="28" t="s">
        <v>64</v>
      </c>
      <c r="I313" s="28" t="s">
        <v>65</v>
      </c>
      <c r="J313" s="28" t="s">
        <v>71</v>
      </c>
      <c r="K313" s="28" t="s">
        <v>76</v>
      </c>
      <c r="L313" s="28" t="s">
        <v>77</v>
      </c>
      <c r="M313" s="28" t="s">
        <v>82</v>
      </c>
      <c r="N313" s="28" t="s">
        <v>83</v>
      </c>
      <c r="O313" s="29" t="n">
        <v>37</v>
      </c>
      <c r="P313" s="30" t="n">
        <v>63.7</v>
      </c>
      <c r="Q313" s="30" t="n">
        <v>35.43</v>
      </c>
      <c r="R313" s="30" t="n">
        <f aca="false">ROUND(O313*P313,2)</f>
        <v>2356.9</v>
      </c>
      <c r="S313" s="30" t="n">
        <f aca="false">ROUND(O313*Q313,2)</f>
        <v>1310.91</v>
      </c>
      <c r="T313" s="30" t="n">
        <f aca="false">ROUND(R313*SUMIFS(Parametros!$E$23:$E$38,Parametros!$B$23:$B$38,J313,Parametros!$C$23:$C$38,C313,Parametros!$D$23:$D$38,D313),2)</f>
        <v>103.7</v>
      </c>
      <c r="U313" s="30" t="n">
        <f aca="false">R313-S313-T313</f>
        <v>942.29</v>
      </c>
    </row>
    <row r="314" customFormat="false" ht="15" hidden="false" customHeight="false" outlineLevel="0" collapsed="false">
      <c r="A314" s="0" t="n">
        <v>313</v>
      </c>
      <c r="B314" s="27" t="n">
        <v>45387</v>
      </c>
      <c r="C314" s="0" t="n">
        <v>2024</v>
      </c>
      <c r="D314" s="28" t="s">
        <v>108</v>
      </c>
      <c r="E314" s="0" t="n">
        <v>4</v>
      </c>
      <c r="F314" s="28" t="s">
        <v>109</v>
      </c>
      <c r="G314" s="28" t="s">
        <v>110</v>
      </c>
      <c r="H314" s="28" t="s">
        <v>64</v>
      </c>
      <c r="I314" s="28" t="s">
        <v>65</v>
      </c>
      <c r="J314" s="28" t="s">
        <v>66</v>
      </c>
      <c r="K314" s="28" t="s">
        <v>84</v>
      </c>
      <c r="L314" s="28" t="s">
        <v>85</v>
      </c>
      <c r="M314" s="28" t="s">
        <v>86</v>
      </c>
      <c r="N314" s="28" t="s">
        <v>87</v>
      </c>
      <c r="O314" s="29" t="n">
        <v>46</v>
      </c>
      <c r="P314" s="30" t="n">
        <v>117.6</v>
      </c>
      <c r="Q314" s="30" t="n">
        <v>63.6</v>
      </c>
      <c r="R314" s="30" t="n">
        <f aca="false">ROUND(O314*P314,2)</f>
        <v>5409.6</v>
      </c>
      <c r="S314" s="30" t="n">
        <f aca="false">ROUND(O314*Q314,2)</f>
        <v>2925.6</v>
      </c>
      <c r="T314" s="30" t="n">
        <f aca="false">ROUND(R314*SUMIFS(Parametros!$E$23:$E$38,Parametros!$B$23:$B$38,J314,Parametros!$C$23:$C$38,C314,Parametros!$D$23:$D$38,D314),2)</f>
        <v>64.92</v>
      </c>
      <c r="U314" s="30" t="n">
        <f aca="false">R314-S314-T314</f>
        <v>2419.08</v>
      </c>
    </row>
    <row r="315" customFormat="false" ht="15" hidden="false" customHeight="false" outlineLevel="0" collapsed="false">
      <c r="A315" s="0" t="n">
        <v>314</v>
      </c>
      <c r="B315" s="27" t="n">
        <v>45394</v>
      </c>
      <c r="C315" s="0" t="n">
        <v>2024</v>
      </c>
      <c r="D315" s="28" t="s">
        <v>108</v>
      </c>
      <c r="E315" s="0" t="n">
        <v>4</v>
      </c>
      <c r="F315" s="28" t="s">
        <v>109</v>
      </c>
      <c r="G315" s="28" t="s">
        <v>110</v>
      </c>
      <c r="H315" s="28" t="s">
        <v>64</v>
      </c>
      <c r="I315" s="28" t="s">
        <v>65</v>
      </c>
      <c r="J315" s="28" t="s">
        <v>71</v>
      </c>
      <c r="K315" s="28" t="s">
        <v>84</v>
      </c>
      <c r="L315" s="28" t="s">
        <v>85</v>
      </c>
      <c r="M315" s="28" t="s">
        <v>86</v>
      </c>
      <c r="N315" s="28" t="s">
        <v>87</v>
      </c>
      <c r="O315" s="29" t="n">
        <v>18</v>
      </c>
      <c r="P315" s="30" t="n">
        <v>117.6</v>
      </c>
      <c r="Q315" s="30" t="n">
        <v>63.6</v>
      </c>
      <c r="R315" s="30" t="n">
        <f aca="false">ROUND(O315*P315,2)</f>
        <v>2116.8</v>
      </c>
      <c r="S315" s="30" t="n">
        <f aca="false">ROUND(O315*Q315,2)</f>
        <v>1144.8</v>
      </c>
      <c r="T315" s="30" t="n">
        <f aca="false">ROUND(R315*SUMIFS(Parametros!$E$23:$E$38,Parametros!$B$23:$B$38,J315,Parametros!$C$23:$C$38,C315,Parametros!$D$23:$D$38,D315),2)</f>
        <v>93.14</v>
      </c>
      <c r="U315" s="30" t="n">
        <f aca="false">R315-S315-T315</f>
        <v>878.86</v>
      </c>
    </row>
    <row r="316" customFormat="false" ht="15" hidden="false" customHeight="false" outlineLevel="0" collapsed="false">
      <c r="A316" s="0" t="n">
        <v>315</v>
      </c>
      <c r="B316" s="27" t="n">
        <v>45401</v>
      </c>
      <c r="C316" s="0" t="n">
        <v>2024</v>
      </c>
      <c r="D316" s="28" t="s">
        <v>108</v>
      </c>
      <c r="E316" s="0" t="n">
        <v>4</v>
      </c>
      <c r="F316" s="28" t="s">
        <v>109</v>
      </c>
      <c r="G316" s="28" t="s">
        <v>110</v>
      </c>
      <c r="H316" s="28" t="s">
        <v>64</v>
      </c>
      <c r="I316" s="28" t="s">
        <v>65</v>
      </c>
      <c r="J316" s="28" t="s">
        <v>66</v>
      </c>
      <c r="K316" s="28" t="s">
        <v>84</v>
      </c>
      <c r="L316" s="28" t="s">
        <v>85</v>
      </c>
      <c r="M316" s="28" t="s">
        <v>88</v>
      </c>
      <c r="N316" s="28" t="s">
        <v>89</v>
      </c>
      <c r="O316" s="29" t="n">
        <v>35</v>
      </c>
      <c r="P316" s="30" t="n">
        <v>83.3</v>
      </c>
      <c r="Q316" s="30" t="n">
        <v>48.02</v>
      </c>
      <c r="R316" s="30" t="n">
        <f aca="false">ROUND(O316*P316,2)</f>
        <v>2915.5</v>
      </c>
      <c r="S316" s="30" t="n">
        <f aca="false">ROUND(O316*Q316,2)</f>
        <v>1680.7</v>
      </c>
      <c r="T316" s="30" t="n">
        <f aca="false">ROUND(R316*SUMIFS(Parametros!$E$23:$E$38,Parametros!$B$23:$B$38,J316,Parametros!$C$23:$C$38,C316,Parametros!$D$23:$D$38,D316),2)</f>
        <v>34.99</v>
      </c>
      <c r="U316" s="30" t="n">
        <f aca="false">R316-S316-T316</f>
        <v>1199.81</v>
      </c>
    </row>
    <row r="317" customFormat="false" ht="15" hidden="false" customHeight="false" outlineLevel="0" collapsed="false">
      <c r="A317" s="0" t="n">
        <v>316</v>
      </c>
      <c r="B317" s="27" t="n">
        <v>45408</v>
      </c>
      <c r="C317" s="0" t="n">
        <v>2024</v>
      </c>
      <c r="D317" s="28" t="s">
        <v>108</v>
      </c>
      <c r="E317" s="0" t="n">
        <v>4</v>
      </c>
      <c r="F317" s="28" t="s">
        <v>109</v>
      </c>
      <c r="G317" s="28" t="s">
        <v>110</v>
      </c>
      <c r="H317" s="28" t="s">
        <v>64</v>
      </c>
      <c r="I317" s="28" t="s">
        <v>65</v>
      </c>
      <c r="J317" s="28" t="s">
        <v>71</v>
      </c>
      <c r="K317" s="28" t="s">
        <v>84</v>
      </c>
      <c r="L317" s="28" t="s">
        <v>85</v>
      </c>
      <c r="M317" s="28" t="s">
        <v>88</v>
      </c>
      <c r="N317" s="28" t="s">
        <v>89</v>
      </c>
      <c r="O317" s="29" t="n">
        <v>18</v>
      </c>
      <c r="P317" s="30" t="n">
        <v>83.3</v>
      </c>
      <c r="Q317" s="30" t="n">
        <v>48.02</v>
      </c>
      <c r="R317" s="30" t="n">
        <f aca="false">ROUND(O317*P317,2)</f>
        <v>1499.4</v>
      </c>
      <c r="S317" s="30" t="n">
        <f aca="false">ROUND(O317*Q317,2)</f>
        <v>864.36</v>
      </c>
      <c r="T317" s="30" t="n">
        <f aca="false">ROUND(R317*SUMIFS(Parametros!$E$23:$E$38,Parametros!$B$23:$B$38,J317,Parametros!$C$23:$C$38,C317,Parametros!$D$23:$D$38,D317),2)</f>
        <v>65.97</v>
      </c>
      <c r="U317" s="30" t="n">
        <f aca="false">R317-S317-T317</f>
        <v>569.07</v>
      </c>
    </row>
    <row r="318" customFormat="false" ht="15" hidden="false" customHeight="false" outlineLevel="0" collapsed="false">
      <c r="A318" s="0" t="n">
        <v>317</v>
      </c>
      <c r="B318" s="27" t="n">
        <v>45388</v>
      </c>
      <c r="C318" s="0" t="n">
        <v>2024</v>
      </c>
      <c r="D318" s="28" t="s">
        <v>108</v>
      </c>
      <c r="E318" s="0" t="n">
        <v>4</v>
      </c>
      <c r="F318" s="28" t="s">
        <v>109</v>
      </c>
      <c r="G318" s="28" t="s">
        <v>110</v>
      </c>
      <c r="H318" s="28" t="s">
        <v>64</v>
      </c>
      <c r="I318" s="28" t="s">
        <v>65</v>
      </c>
      <c r="J318" s="28" t="s">
        <v>66</v>
      </c>
      <c r="K318" s="28" t="s">
        <v>90</v>
      </c>
      <c r="L318" s="28" t="s">
        <v>91</v>
      </c>
      <c r="M318" s="28" t="s">
        <v>92</v>
      </c>
      <c r="N318" s="28" t="s">
        <v>93</v>
      </c>
      <c r="O318" s="29" t="n">
        <v>43</v>
      </c>
      <c r="P318" s="30" t="n">
        <v>127.4</v>
      </c>
      <c r="Q318" s="30" t="n">
        <v>76.05</v>
      </c>
      <c r="R318" s="30" t="n">
        <f aca="false">ROUND(O318*P318,2)</f>
        <v>5478.2</v>
      </c>
      <c r="S318" s="30" t="n">
        <f aca="false">ROUND(O318*Q318,2)</f>
        <v>3270.15</v>
      </c>
      <c r="T318" s="30" t="n">
        <f aca="false">ROUND(R318*SUMIFS(Parametros!$E$23:$E$38,Parametros!$B$23:$B$38,J318,Parametros!$C$23:$C$38,C318,Parametros!$D$23:$D$38,D318),2)</f>
        <v>65.74</v>
      </c>
      <c r="U318" s="30" t="n">
        <f aca="false">R318-S318-T318</f>
        <v>2142.31</v>
      </c>
    </row>
    <row r="319" customFormat="false" ht="15" hidden="false" customHeight="false" outlineLevel="0" collapsed="false">
      <c r="A319" s="0" t="n">
        <v>318</v>
      </c>
      <c r="B319" s="27" t="n">
        <v>45395</v>
      </c>
      <c r="C319" s="0" t="n">
        <v>2024</v>
      </c>
      <c r="D319" s="28" t="s">
        <v>108</v>
      </c>
      <c r="E319" s="0" t="n">
        <v>4</v>
      </c>
      <c r="F319" s="28" t="s">
        <v>109</v>
      </c>
      <c r="G319" s="28" t="s">
        <v>110</v>
      </c>
      <c r="H319" s="28" t="s">
        <v>64</v>
      </c>
      <c r="I319" s="28" t="s">
        <v>65</v>
      </c>
      <c r="J319" s="28" t="s">
        <v>71</v>
      </c>
      <c r="K319" s="28" t="s">
        <v>90</v>
      </c>
      <c r="L319" s="28" t="s">
        <v>91</v>
      </c>
      <c r="M319" s="28" t="s">
        <v>92</v>
      </c>
      <c r="N319" s="28" t="s">
        <v>93</v>
      </c>
      <c r="O319" s="29" t="n">
        <v>17</v>
      </c>
      <c r="P319" s="30" t="n">
        <v>127.4</v>
      </c>
      <c r="Q319" s="30" t="n">
        <v>76.05</v>
      </c>
      <c r="R319" s="30" t="n">
        <f aca="false">ROUND(O319*P319,2)</f>
        <v>2165.8</v>
      </c>
      <c r="S319" s="30" t="n">
        <f aca="false">ROUND(O319*Q319,2)</f>
        <v>1292.85</v>
      </c>
      <c r="T319" s="30" t="n">
        <f aca="false">ROUND(R319*SUMIFS(Parametros!$E$23:$E$38,Parametros!$B$23:$B$38,J319,Parametros!$C$23:$C$38,C319,Parametros!$D$23:$D$38,D319),2)</f>
        <v>95.3</v>
      </c>
      <c r="U319" s="30" t="n">
        <f aca="false">R319-S319-T319</f>
        <v>777.65</v>
      </c>
    </row>
    <row r="320" customFormat="false" ht="15" hidden="false" customHeight="false" outlineLevel="0" collapsed="false">
      <c r="A320" s="0" t="n">
        <v>319</v>
      </c>
      <c r="B320" s="27" t="n">
        <v>45402</v>
      </c>
      <c r="C320" s="0" t="n">
        <v>2024</v>
      </c>
      <c r="D320" s="28" t="s">
        <v>108</v>
      </c>
      <c r="E320" s="0" t="n">
        <v>4</v>
      </c>
      <c r="F320" s="28" t="s">
        <v>109</v>
      </c>
      <c r="G320" s="28" t="s">
        <v>110</v>
      </c>
      <c r="H320" s="28" t="s">
        <v>64</v>
      </c>
      <c r="I320" s="28" t="s">
        <v>65</v>
      </c>
      <c r="J320" s="28" t="s">
        <v>66</v>
      </c>
      <c r="K320" s="28" t="s">
        <v>90</v>
      </c>
      <c r="L320" s="28" t="s">
        <v>91</v>
      </c>
      <c r="M320" s="28" t="s">
        <v>94</v>
      </c>
      <c r="N320" s="28" t="s">
        <v>95</v>
      </c>
      <c r="O320" s="29" t="n">
        <v>53</v>
      </c>
      <c r="P320" s="30" t="n">
        <v>34.3</v>
      </c>
      <c r="Q320" s="30" t="n">
        <v>17.85</v>
      </c>
      <c r="R320" s="30" t="n">
        <f aca="false">ROUND(O320*P320,2)</f>
        <v>1817.9</v>
      </c>
      <c r="S320" s="30" t="n">
        <f aca="false">ROUND(O320*Q320,2)</f>
        <v>946.05</v>
      </c>
      <c r="T320" s="30" t="n">
        <f aca="false">ROUND(R320*SUMIFS(Parametros!$E$23:$E$38,Parametros!$B$23:$B$38,J320,Parametros!$C$23:$C$38,C320,Parametros!$D$23:$D$38,D320),2)</f>
        <v>21.81</v>
      </c>
      <c r="U320" s="30" t="n">
        <f aca="false">R320-S320-T320</f>
        <v>850.04</v>
      </c>
    </row>
    <row r="321" customFormat="false" ht="15" hidden="false" customHeight="false" outlineLevel="0" collapsed="false">
      <c r="A321" s="0" t="n">
        <v>320</v>
      </c>
      <c r="B321" s="27" t="n">
        <v>45409</v>
      </c>
      <c r="C321" s="0" t="n">
        <v>2024</v>
      </c>
      <c r="D321" s="28" t="s">
        <v>108</v>
      </c>
      <c r="E321" s="0" t="n">
        <v>4</v>
      </c>
      <c r="F321" s="28" t="s">
        <v>109</v>
      </c>
      <c r="G321" s="28" t="s">
        <v>110</v>
      </c>
      <c r="H321" s="28" t="s">
        <v>64</v>
      </c>
      <c r="I321" s="28" t="s">
        <v>65</v>
      </c>
      <c r="J321" s="28" t="s">
        <v>71</v>
      </c>
      <c r="K321" s="28" t="s">
        <v>90</v>
      </c>
      <c r="L321" s="28" t="s">
        <v>91</v>
      </c>
      <c r="M321" s="28" t="s">
        <v>94</v>
      </c>
      <c r="N321" s="28" t="s">
        <v>95</v>
      </c>
      <c r="O321" s="29" t="n">
        <v>20</v>
      </c>
      <c r="P321" s="30" t="n">
        <v>34.3</v>
      </c>
      <c r="Q321" s="30" t="n">
        <v>17.85</v>
      </c>
      <c r="R321" s="30" t="n">
        <f aca="false">ROUND(O321*P321,2)</f>
        <v>686</v>
      </c>
      <c r="S321" s="30" t="n">
        <f aca="false">ROUND(O321*Q321,2)</f>
        <v>357</v>
      </c>
      <c r="T321" s="30" t="n">
        <f aca="false">ROUND(R321*SUMIFS(Parametros!$E$23:$E$38,Parametros!$B$23:$B$38,J321,Parametros!$C$23:$C$38,C321,Parametros!$D$23:$D$38,D321),2)</f>
        <v>30.18</v>
      </c>
      <c r="U321" s="30" t="n">
        <f aca="false">R321-S321-T321</f>
        <v>298.82</v>
      </c>
    </row>
    <row r="322" customFormat="false" ht="15" hidden="false" customHeight="false" outlineLevel="0" collapsed="false">
      <c r="A322" s="0" t="n">
        <v>321</v>
      </c>
      <c r="B322" s="27" t="n">
        <v>45389</v>
      </c>
      <c r="C322" s="0" t="n">
        <v>2024</v>
      </c>
      <c r="D322" s="28" t="s">
        <v>108</v>
      </c>
      <c r="E322" s="0" t="n">
        <v>4</v>
      </c>
      <c r="F322" s="28" t="s">
        <v>109</v>
      </c>
      <c r="G322" s="28" t="s">
        <v>110</v>
      </c>
      <c r="H322" s="28" t="s">
        <v>96</v>
      </c>
      <c r="I322" s="28" t="s">
        <v>97</v>
      </c>
      <c r="J322" s="28" t="s">
        <v>66</v>
      </c>
      <c r="K322" s="28" t="s">
        <v>67</v>
      </c>
      <c r="L322" s="28" t="s">
        <v>68</v>
      </c>
      <c r="M322" s="28" t="s">
        <v>69</v>
      </c>
      <c r="N322" s="28" t="s">
        <v>70</v>
      </c>
      <c r="O322" s="29" t="n">
        <v>13</v>
      </c>
      <c r="P322" s="30" t="n">
        <v>1176</v>
      </c>
      <c r="Q322" s="30" t="n">
        <v>744</v>
      </c>
      <c r="R322" s="30" t="n">
        <f aca="false">ROUND(O322*P322,2)</f>
        <v>15288</v>
      </c>
      <c r="S322" s="30" t="n">
        <f aca="false">ROUND(O322*Q322,2)</f>
        <v>9672</v>
      </c>
      <c r="T322" s="30" t="n">
        <f aca="false">ROUND(R322*SUMIFS(Parametros!$E$23:$E$38,Parametros!$B$23:$B$38,J322,Parametros!$C$23:$C$38,C322,Parametros!$D$23:$D$38,D322),2)</f>
        <v>183.46</v>
      </c>
      <c r="U322" s="30" t="n">
        <f aca="false">R322-S322-T322</f>
        <v>5432.54</v>
      </c>
    </row>
    <row r="323" customFormat="false" ht="15" hidden="false" customHeight="false" outlineLevel="0" collapsed="false">
      <c r="A323" s="0" t="n">
        <v>322</v>
      </c>
      <c r="B323" s="27" t="n">
        <v>45396</v>
      </c>
      <c r="C323" s="0" t="n">
        <v>2024</v>
      </c>
      <c r="D323" s="28" t="s">
        <v>108</v>
      </c>
      <c r="E323" s="0" t="n">
        <v>4</v>
      </c>
      <c r="F323" s="28" t="s">
        <v>109</v>
      </c>
      <c r="G323" s="28" t="s">
        <v>110</v>
      </c>
      <c r="H323" s="28" t="s">
        <v>96</v>
      </c>
      <c r="I323" s="28" t="s">
        <v>97</v>
      </c>
      <c r="J323" s="28" t="s">
        <v>71</v>
      </c>
      <c r="K323" s="28" t="s">
        <v>67</v>
      </c>
      <c r="L323" s="28" t="s">
        <v>68</v>
      </c>
      <c r="M323" s="28" t="s">
        <v>69</v>
      </c>
      <c r="N323" s="28" t="s">
        <v>70</v>
      </c>
      <c r="O323" s="29" t="n">
        <v>5</v>
      </c>
      <c r="P323" s="30" t="n">
        <v>1176</v>
      </c>
      <c r="Q323" s="30" t="n">
        <v>744</v>
      </c>
      <c r="R323" s="30" t="n">
        <f aca="false">ROUND(O323*P323,2)</f>
        <v>5880</v>
      </c>
      <c r="S323" s="30" t="n">
        <f aca="false">ROUND(O323*Q323,2)</f>
        <v>3720</v>
      </c>
      <c r="T323" s="30" t="n">
        <f aca="false">ROUND(R323*SUMIFS(Parametros!$E$23:$E$38,Parametros!$B$23:$B$38,J323,Parametros!$C$23:$C$38,C323,Parametros!$D$23:$D$38,D323),2)</f>
        <v>258.72</v>
      </c>
      <c r="U323" s="30" t="n">
        <f aca="false">R323-S323-T323</f>
        <v>1901.28</v>
      </c>
    </row>
    <row r="324" customFormat="false" ht="15" hidden="false" customHeight="false" outlineLevel="0" collapsed="false">
      <c r="A324" s="0" t="n">
        <v>323</v>
      </c>
      <c r="B324" s="27" t="n">
        <v>45403</v>
      </c>
      <c r="C324" s="0" t="n">
        <v>2024</v>
      </c>
      <c r="D324" s="28" t="s">
        <v>108</v>
      </c>
      <c r="E324" s="0" t="n">
        <v>4</v>
      </c>
      <c r="F324" s="28" t="s">
        <v>109</v>
      </c>
      <c r="G324" s="28" t="s">
        <v>110</v>
      </c>
      <c r="H324" s="28" t="s">
        <v>96</v>
      </c>
      <c r="I324" s="28" t="s">
        <v>97</v>
      </c>
      <c r="J324" s="28" t="s">
        <v>66</v>
      </c>
      <c r="K324" s="28" t="s">
        <v>67</v>
      </c>
      <c r="L324" s="28" t="s">
        <v>68</v>
      </c>
      <c r="M324" s="28" t="s">
        <v>72</v>
      </c>
      <c r="N324" s="28" t="s">
        <v>73</v>
      </c>
      <c r="O324" s="29" t="n">
        <v>13</v>
      </c>
      <c r="P324" s="30" t="n">
        <v>441</v>
      </c>
      <c r="Q324" s="30" t="n">
        <v>272.25</v>
      </c>
      <c r="R324" s="30" t="n">
        <f aca="false">ROUND(O324*P324,2)</f>
        <v>5733</v>
      </c>
      <c r="S324" s="30" t="n">
        <f aca="false">ROUND(O324*Q324,2)</f>
        <v>3539.25</v>
      </c>
      <c r="T324" s="30" t="n">
        <f aca="false">ROUND(R324*SUMIFS(Parametros!$E$23:$E$38,Parametros!$B$23:$B$38,J324,Parametros!$C$23:$C$38,C324,Parametros!$D$23:$D$38,D324),2)</f>
        <v>68.8</v>
      </c>
      <c r="U324" s="30" t="n">
        <f aca="false">R324-S324-T324</f>
        <v>2124.95</v>
      </c>
    </row>
    <row r="325" customFormat="false" ht="15" hidden="false" customHeight="false" outlineLevel="0" collapsed="false">
      <c r="A325" s="0" t="n">
        <v>324</v>
      </c>
      <c r="B325" s="27" t="n">
        <v>45383</v>
      </c>
      <c r="C325" s="0" t="n">
        <v>2024</v>
      </c>
      <c r="D325" s="28" t="s">
        <v>108</v>
      </c>
      <c r="E325" s="0" t="n">
        <v>4</v>
      </c>
      <c r="F325" s="28" t="s">
        <v>109</v>
      </c>
      <c r="G325" s="28" t="s">
        <v>110</v>
      </c>
      <c r="H325" s="28" t="s">
        <v>96</v>
      </c>
      <c r="I325" s="28" t="s">
        <v>97</v>
      </c>
      <c r="J325" s="28" t="s">
        <v>71</v>
      </c>
      <c r="K325" s="28" t="s">
        <v>67</v>
      </c>
      <c r="L325" s="28" t="s">
        <v>68</v>
      </c>
      <c r="M325" s="28" t="s">
        <v>72</v>
      </c>
      <c r="N325" s="28" t="s">
        <v>73</v>
      </c>
      <c r="O325" s="29" t="n">
        <v>4</v>
      </c>
      <c r="P325" s="30" t="n">
        <v>441</v>
      </c>
      <c r="Q325" s="30" t="n">
        <v>272.25</v>
      </c>
      <c r="R325" s="30" t="n">
        <f aca="false">ROUND(O325*P325,2)</f>
        <v>1764</v>
      </c>
      <c r="S325" s="30" t="n">
        <f aca="false">ROUND(O325*Q325,2)</f>
        <v>1089</v>
      </c>
      <c r="T325" s="30" t="n">
        <f aca="false">ROUND(R325*SUMIFS(Parametros!$E$23:$E$38,Parametros!$B$23:$B$38,J325,Parametros!$C$23:$C$38,C325,Parametros!$D$23:$D$38,D325),2)</f>
        <v>77.62</v>
      </c>
      <c r="U325" s="30" t="n">
        <f aca="false">R325-S325-T325</f>
        <v>597.38</v>
      </c>
    </row>
    <row r="326" customFormat="false" ht="15" hidden="false" customHeight="false" outlineLevel="0" collapsed="false">
      <c r="A326" s="0" t="n">
        <v>325</v>
      </c>
      <c r="B326" s="27" t="n">
        <v>45390</v>
      </c>
      <c r="C326" s="0" t="n">
        <v>2024</v>
      </c>
      <c r="D326" s="28" t="s">
        <v>108</v>
      </c>
      <c r="E326" s="0" t="n">
        <v>4</v>
      </c>
      <c r="F326" s="28" t="s">
        <v>109</v>
      </c>
      <c r="G326" s="28" t="s">
        <v>110</v>
      </c>
      <c r="H326" s="28" t="s">
        <v>96</v>
      </c>
      <c r="I326" s="28" t="s">
        <v>97</v>
      </c>
      <c r="J326" s="28" t="s">
        <v>66</v>
      </c>
      <c r="K326" s="28" t="s">
        <v>67</v>
      </c>
      <c r="L326" s="28" t="s">
        <v>68</v>
      </c>
      <c r="M326" s="28" t="s">
        <v>74</v>
      </c>
      <c r="N326" s="28" t="s">
        <v>75</v>
      </c>
      <c r="O326" s="29" t="n">
        <v>10</v>
      </c>
      <c r="P326" s="30" t="n">
        <v>1617</v>
      </c>
      <c r="Q326" s="30" t="n">
        <v>1122</v>
      </c>
      <c r="R326" s="30" t="n">
        <f aca="false">ROUND(O326*P326,2)</f>
        <v>16170</v>
      </c>
      <c r="S326" s="30" t="n">
        <f aca="false">ROUND(O326*Q326,2)</f>
        <v>11220</v>
      </c>
      <c r="T326" s="30" t="n">
        <f aca="false">ROUND(R326*SUMIFS(Parametros!$E$23:$E$38,Parametros!$B$23:$B$38,J326,Parametros!$C$23:$C$38,C326,Parametros!$D$23:$D$38,D326),2)</f>
        <v>194.04</v>
      </c>
      <c r="U326" s="30" t="n">
        <f aca="false">R326-S326-T326</f>
        <v>4755.96</v>
      </c>
    </row>
    <row r="327" customFormat="false" ht="15" hidden="false" customHeight="false" outlineLevel="0" collapsed="false">
      <c r="A327" s="0" t="n">
        <v>326</v>
      </c>
      <c r="B327" s="27" t="n">
        <v>45397</v>
      </c>
      <c r="C327" s="0" t="n">
        <v>2024</v>
      </c>
      <c r="D327" s="28" t="s">
        <v>108</v>
      </c>
      <c r="E327" s="0" t="n">
        <v>4</v>
      </c>
      <c r="F327" s="28" t="s">
        <v>109</v>
      </c>
      <c r="G327" s="28" t="s">
        <v>110</v>
      </c>
      <c r="H327" s="28" t="s">
        <v>96</v>
      </c>
      <c r="I327" s="28" t="s">
        <v>97</v>
      </c>
      <c r="J327" s="28" t="s">
        <v>71</v>
      </c>
      <c r="K327" s="28" t="s">
        <v>67</v>
      </c>
      <c r="L327" s="28" t="s">
        <v>68</v>
      </c>
      <c r="M327" s="28" t="s">
        <v>74</v>
      </c>
      <c r="N327" s="28" t="s">
        <v>75</v>
      </c>
      <c r="O327" s="29" t="n">
        <v>4</v>
      </c>
      <c r="P327" s="30" t="n">
        <v>1617</v>
      </c>
      <c r="Q327" s="30" t="n">
        <v>1122</v>
      </c>
      <c r="R327" s="30" t="n">
        <f aca="false">ROUND(O327*P327,2)</f>
        <v>6468</v>
      </c>
      <c r="S327" s="30" t="n">
        <f aca="false">ROUND(O327*Q327,2)</f>
        <v>4488</v>
      </c>
      <c r="T327" s="30" t="n">
        <f aca="false">ROUND(R327*SUMIFS(Parametros!$E$23:$E$38,Parametros!$B$23:$B$38,J327,Parametros!$C$23:$C$38,C327,Parametros!$D$23:$D$38,D327),2)</f>
        <v>284.59</v>
      </c>
      <c r="U327" s="30" t="n">
        <f aca="false">R327-S327-T327</f>
        <v>1695.41</v>
      </c>
    </row>
    <row r="328" customFormat="false" ht="15" hidden="false" customHeight="false" outlineLevel="0" collapsed="false">
      <c r="A328" s="0" t="n">
        <v>327</v>
      </c>
      <c r="B328" s="27" t="n">
        <v>45404</v>
      </c>
      <c r="C328" s="0" t="n">
        <v>2024</v>
      </c>
      <c r="D328" s="28" t="s">
        <v>108</v>
      </c>
      <c r="E328" s="0" t="n">
        <v>4</v>
      </c>
      <c r="F328" s="28" t="s">
        <v>109</v>
      </c>
      <c r="G328" s="28" t="s">
        <v>110</v>
      </c>
      <c r="H328" s="28" t="s">
        <v>96</v>
      </c>
      <c r="I328" s="28" t="s">
        <v>97</v>
      </c>
      <c r="J328" s="28" t="s">
        <v>66</v>
      </c>
      <c r="K328" s="28" t="s">
        <v>76</v>
      </c>
      <c r="L328" s="28" t="s">
        <v>77</v>
      </c>
      <c r="M328" s="28" t="s">
        <v>78</v>
      </c>
      <c r="N328" s="28" t="s">
        <v>79</v>
      </c>
      <c r="O328" s="29" t="n">
        <v>52</v>
      </c>
      <c r="P328" s="30" t="n">
        <v>27.44</v>
      </c>
      <c r="Q328" s="30" t="n">
        <v>13.44</v>
      </c>
      <c r="R328" s="30" t="n">
        <f aca="false">ROUND(O328*P328,2)</f>
        <v>1426.88</v>
      </c>
      <c r="S328" s="30" t="n">
        <f aca="false">ROUND(O328*Q328,2)</f>
        <v>698.88</v>
      </c>
      <c r="T328" s="30" t="n">
        <f aca="false">ROUND(R328*SUMIFS(Parametros!$E$23:$E$38,Parametros!$B$23:$B$38,J328,Parametros!$C$23:$C$38,C328,Parametros!$D$23:$D$38,D328),2)</f>
        <v>17.12</v>
      </c>
      <c r="U328" s="30" t="n">
        <f aca="false">R328-S328-T328</f>
        <v>710.88</v>
      </c>
    </row>
    <row r="329" customFormat="false" ht="15" hidden="false" customHeight="false" outlineLevel="0" collapsed="false">
      <c r="A329" s="0" t="n">
        <v>328</v>
      </c>
      <c r="B329" s="27" t="n">
        <v>45384</v>
      </c>
      <c r="C329" s="0" t="n">
        <v>2024</v>
      </c>
      <c r="D329" s="28" t="s">
        <v>108</v>
      </c>
      <c r="E329" s="0" t="n">
        <v>4</v>
      </c>
      <c r="F329" s="28" t="s">
        <v>109</v>
      </c>
      <c r="G329" s="28" t="s">
        <v>110</v>
      </c>
      <c r="H329" s="28" t="s">
        <v>96</v>
      </c>
      <c r="I329" s="28" t="s">
        <v>97</v>
      </c>
      <c r="J329" s="28" t="s">
        <v>71</v>
      </c>
      <c r="K329" s="28" t="s">
        <v>76</v>
      </c>
      <c r="L329" s="28" t="s">
        <v>77</v>
      </c>
      <c r="M329" s="28" t="s">
        <v>78</v>
      </c>
      <c r="N329" s="28" t="s">
        <v>79</v>
      </c>
      <c r="O329" s="29" t="n">
        <v>22</v>
      </c>
      <c r="P329" s="30" t="n">
        <v>27.44</v>
      </c>
      <c r="Q329" s="30" t="n">
        <v>13.44</v>
      </c>
      <c r="R329" s="30" t="n">
        <f aca="false">ROUND(O329*P329,2)</f>
        <v>603.68</v>
      </c>
      <c r="S329" s="30" t="n">
        <f aca="false">ROUND(O329*Q329,2)</f>
        <v>295.68</v>
      </c>
      <c r="T329" s="30" t="n">
        <f aca="false">ROUND(R329*SUMIFS(Parametros!$E$23:$E$38,Parametros!$B$23:$B$38,J329,Parametros!$C$23:$C$38,C329,Parametros!$D$23:$D$38,D329),2)</f>
        <v>26.56</v>
      </c>
      <c r="U329" s="30" t="n">
        <f aca="false">R329-S329-T329</f>
        <v>281.44</v>
      </c>
    </row>
    <row r="330" customFormat="false" ht="15" hidden="false" customHeight="false" outlineLevel="0" collapsed="false">
      <c r="A330" s="0" t="n">
        <v>329</v>
      </c>
      <c r="B330" s="27" t="n">
        <v>45391</v>
      </c>
      <c r="C330" s="0" t="n">
        <v>2024</v>
      </c>
      <c r="D330" s="28" t="s">
        <v>108</v>
      </c>
      <c r="E330" s="0" t="n">
        <v>4</v>
      </c>
      <c r="F330" s="28" t="s">
        <v>109</v>
      </c>
      <c r="G330" s="28" t="s">
        <v>110</v>
      </c>
      <c r="H330" s="28" t="s">
        <v>96</v>
      </c>
      <c r="I330" s="28" t="s">
        <v>97</v>
      </c>
      <c r="J330" s="28" t="s">
        <v>66</v>
      </c>
      <c r="K330" s="28" t="s">
        <v>76</v>
      </c>
      <c r="L330" s="28" t="s">
        <v>77</v>
      </c>
      <c r="M330" s="28" t="s">
        <v>80</v>
      </c>
      <c r="N330" s="28" t="s">
        <v>81</v>
      </c>
      <c r="O330" s="29" t="n">
        <v>56</v>
      </c>
      <c r="P330" s="30" t="n">
        <v>93.1</v>
      </c>
      <c r="Q330" s="30" t="n">
        <v>47.98</v>
      </c>
      <c r="R330" s="30" t="n">
        <f aca="false">ROUND(O330*P330,2)</f>
        <v>5213.6</v>
      </c>
      <c r="S330" s="30" t="n">
        <f aca="false">ROUND(O330*Q330,2)</f>
        <v>2686.88</v>
      </c>
      <c r="T330" s="30" t="n">
        <f aca="false">ROUND(R330*SUMIFS(Parametros!$E$23:$E$38,Parametros!$B$23:$B$38,J330,Parametros!$C$23:$C$38,C330,Parametros!$D$23:$D$38,D330),2)</f>
        <v>62.56</v>
      </c>
      <c r="U330" s="30" t="n">
        <f aca="false">R330-S330-T330</f>
        <v>2464.16</v>
      </c>
    </row>
    <row r="331" customFormat="false" ht="15" hidden="false" customHeight="false" outlineLevel="0" collapsed="false">
      <c r="A331" s="0" t="n">
        <v>330</v>
      </c>
      <c r="B331" s="27" t="n">
        <v>45398</v>
      </c>
      <c r="C331" s="0" t="n">
        <v>2024</v>
      </c>
      <c r="D331" s="28" t="s">
        <v>108</v>
      </c>
      <c r="E331" s="0" t="n">
        <v>4</v>
      </c>
      <c r="F331" s="28" t="s">
        <v>109</v>
      </c>
      <c r="G331" s="28" t="s">
        <v>110</v>
      </c>
      <c r="H331" s="28" t="s">
        <v>96</v>
      </c>
      <c r="I331" s="28" t="s">
        <v>97</v>
      </c>
      <c r="J331" s="28" t="s">
        <v>71</v>
      </c>
      <c r="K331" s="28" t="s">
        <v>76</v>
      </c>
      <c r="L331" s="28" t="s">
        <v>77</v>
      </c>
      <c r="M331" s="28" t="s">
        <v>80</v>
      </c>
      <c r="N331" s="28" t="s">
        <v>81</v>
      </c>
      <c r="O331" s="29" t="n">
        <v>19</v>
      </c>
      <c r="P331" s="30" t="n">
        <v>93.1</v>
      </c>
      <c r="Q331" s="30" t="n">
        <v>47.98</v>
      </c>
      <c r="R331" s="30" t="n">
        <f aca="false">ROUND(O331*P331,2)</f>
        <v>1768.9</v>
      </c>
      <c r="S331" s="30" t="n">
        <f aca="false">ROUND(O331*Q331,2)</f>
        <v>911.62</v>
      </c>
      <c r="T331" s="30" t="n">
        <f aca="false">ROUND(R331*SUMIFS(Parametros!$E$23:$E$38,Parametros!$B$23:$B$38,J331,Parametros!$C$23:$C$38,C331,Parametros!$D$23:$D$38,D331),2)</f>
        <v>77.83</v>
      </c>
      <c r="U331" s="30" t="n">
        <f aca="false">R331-S331-T331</f>
        <v>779.45</v>
      </c>
    </row>
    <row r="332" customFormat="false" ht="15" hidden="false" customHeight="false" outlineLevel="0" collapsed="false">
      <c r="A332" s="0" t="n">
        <v>331</v>
      </c>
      <c r="B332" s="27" t="n">
        <v>45405</v>
      </c>
      <c r="C332" s="0" t="n">
        <v>2024</v>
      </c>
      <c r="D332" s="28" t="s">
        <v>108</v>
      </c>
      <c r="E332" s="0" t="n">
        <v>4</v>
      </c>
      <c r="F332" s="28" t="s">
        <v>109</v>
      </c>
      <c r="G332" s="28" t="s">
        <v>110</v>
      </c>
      <c r="H332" s="28" t="s">
        <v>96</v>
      </c>
      <c r="I332" s="28" t="s">
        <v>97</v>
      </c>
      <c r="J332" s="28" t="s">
        <v>66</v>
      </c>
      <c r="K332" s="28" t="s">
        <v>76</v>
      </c>
      <c r="L332" s="28" t="s">
        <v>77</v>
      </c>
      <c r="M332" s="28" t="s">
        <v>82</v>
      </c>
      <c r="N332" s="28" t="s">
        <v>83</v>
      </c>
      <c r="O332" s="29" t="n">
        <v>50</v>
      </c>
      <c r="P332" s="30" t="n">
        <v>63.7</v>
      </c>
      <c r="Q332" s="30" t="n">
        <v>35.43</v>
      </c>
      <c r="R332" s="30" t="n">
        <f aca="false">ROUND(O332*P332,2)</f>
        <v>3185</v>
      </c>
      <c r="S332" s="30" t="n">
        <f aca="false">ROUND(O332*Q332,2)</f>
        <v>1771.5</v>
      </c>
      <c r="T332" s="30" t="n">
        <f aca="false">ROUND(R332*SUMIFS(Parametros!$E$23:$E$38,Parametros!$B$23:$B$38,J332,Parametros!$C$23:$C$38,C332,Parametros!$D$23:$D$38,D332),2)</f>
        <v>38.22</v>
      </c>
      <c r="U332" s="30" t="n">
        <f aca="false">R332-S332-T332</f>
        <v>1375.28</v>
      </c>
    </row>
    <row r="333" customFormat="false" ht="15" hidden="false" customHeight="false" outlineLevel="0" collapsed="false">
      <c r="A333" s="0" t="n">
        <v>332</v>
      </c>
      <c r="B333" s="27" t="n">
        <v>45385</v>
      </c>
      <c r="C333" s="0" t="n">
        <v>2024</v>
      </c>
      <c r="D333" s="28" t="s">
        <v>108</v>
      </c>
      <c r="E333" s="0" t="n">
        <v>4</v>
      </c>
      <c r="F333" s="28" t="s">
        <v>109</v>
      </c>
      <c r="G333" s="28" t="s">
        <v>110</v>
      </c>
      <c r="H333" s="28" t="s">
        <v>96</v>
      </c>
      <c r="I333" s="28" t="s">
        <v>97</v>
      </c>
      <c r="J333" s="28" t="s">
        <v>71</v>
      </c>
      <c r="K333" s="28" t="s">
        <v>76</v>
      </c>
      <c r="L333" s="28" t="s">
        <v>77</v>
      </c>
      <c r="M333" s="28" t="s">
        <v>82</v>
      </c>
      <c r="N333" s="28" t="s">
        <v>83</v>
      </c>
      <c r="O333" s="29" t="n">
        <v>21</v>
      </c>
      <c r="P333" s="30" t="n">
        <v>63.7</v>
      </c>
      <c r="Q333" s="30" t="n">
        <v>35.43</v>
      </c>
      <c r="R333" s="30" t="n">
        <f aca="false">ROUND(O333*P333,2)</f>
        <v>1337.7</v>
      </c>
      <c r="S333" s="30" t="n">
        <f aca="false">ROUND(O333*Q333,2)</f>
        <v>744.03</v>
      </c>
      <c r="T333" s="30" t="n">
        <f aca="false">ROUND(R333*SUMIFS(Parametros!$E$23:$E$38,Parametros!$B$23:$B$38,J333,Parametros!$C$23:$C$38,C333,Parametros!$D$23:$D$38,D333),2)</f>
        <v>58.86</v>
      </c>
      <c r="U333" s="30" t="n">
        <f aca="false">R333-S333-T333</f>
        <v>534.81</v>
      </c>
    </row>
    <row r="334" customFormat="false" ht="15" hidden="false" customHeight="false" outlineLevel="0" collapsed="false">
      <c r="A334" s="0" t="n">
        <v>333</v>
      </c>
      <c r="B334" s="27" t="n">
        <v>45392</v>
      </c>
      <c r="C334" s="0" t="n">
        <v>2024</v>
      </c>
      <c r="D334" s="28" t="s">
        <v>108</v>
      </c>
      <c r="E334" s="0" t="n">
        <v>4</v>
      </c>
      <c r="F334" s="28" t="s">
        <v>109</v>
      </c>
      <c r="G334" s="28" t="s">
        <v>110</v>
      </c>
      <c r="H334" s="28" t="s">
        <v>96</v>
      </c>
      <c r="I334" s="28" t="s">
        <v>97</v>
      </c>
      <c r="J334" s="28" t="s">
        <v>66</v>
      </c>
      <c r="K334" s="28" t="s">
        <v>84</v>
      </c>
      <c r="L334" s="28" t="s">
        <v>85</v>
      </c>
      <c r="M334" s="28" t="s">
        <v>86</v>
      </c>
      <c r="N334" s="28" t="s">
        <v>87</v>
      </c>
      <c r="O334" s="29" t="n">
        <v>24</v>
      </c>
      <c r="P334" s="30" t="n">
        <v>117.6</v>
      </c>
      <c r="Q334" s="30" t="n">
        <v>63.6</v>
      </c>
      <c r="R334" s="30" t="n">
        <f aca="false">ROUND(O334*P334,2)</f>
        <v>2822.4</v>
      </c>
      <c r="S334" s="30" t="n">
        <f aca="false">ROUND(O334*Q334,2)</f>
        <v>1526.4</v>
      </c>
      <c r="T334" s="30" t="n">
        <f aca="false">ROUND(R334*SUMIFS(Parametros!$E$23:$E$38,Parametros!$B$23:$B$38,J334,Parametros!$C$23:$C$38,C334,Parametros!$D$23:$D$38,D334),2)</f>
        <v>33.87</v>
      </c>
      <c r="U334" s="30" t="n">
        <f aca="false">R334-S334-T334</f>
        <v>1262.13</v>
      </c>
    </row>
    <row r="335" customFormat="false" ht="15" hidden="false" customHeight="false" outlineLevel="0" collapsed="false">
      <c r="A335" s="0" t="n">
        <v>334</v>
      </c>
      <c r="B335" s="27" t="n">
        <v>45399</v>
      </c>
      <c r="C335" s="0" t="n">
        <v>2024</v>
      </c>
      <c r="D335" s="28" t="s">
        <v>108</v>
      </c>
      <c r="E335" s="0" t="n">
        <v>4</v>
      </c>
      <c r="F335" s="28" t="s">
        <v>109</v>
      </c>
      <c r="G335" s="28" t="s">
        <v>110</v>
      </c>
      <c r="H335" s="28" t="s">
        <v>96</v>
      </c>
      <c r="I335" s="28" t="s">
        <v>97</v>
      </c>
      <c r="J335" s="28" t="s">
        <v>71</v>
      </c>
      <c r="K335" s="28" t="s">
        <v>84</v>
      </c>
      <c r="L335" s="28" t="s">
        <v>85</v>
      </c>
      <c r="M335" s="28" t="s">
        <v>86</v>
      </c>
      <c r="N335" s="28" t="s">
        <v>87</v>
      </c>
      <c r="O335" s="29" t="n">
        <v>9</v>
      </c>
      <c r="P335" s="30" t="n">
        <v>117.6</v>
      </c>
      <c r="Q335" s="30" t="n">
        <v>63.6</v>
      </c>
      <c r="R335" s="30" t="n">
        <f aca="false">ROUND(O335*P335,2)</f>
        <v>1058.4</v>
      </c>
      <c r="S335" s="30" t="n">
        <f aca="false">ROUND(O335*Q335,2)</f>
        <v>572.4</v>
      </c>
      <c r="T335" s="30" t="n">
        <f aca="false">ROUND(R335*SUMIFS(Parametros!$E$23:$E$38,Parametros!$B$23:$B$38,J335,Parametros!$C$23:$C$38,C335,Parametros!$D$23:$D$38,D335),2)</f>
        <v>46.57</v>
      </c>
      <c r="U335" s="30" t="n">
        <f aca="false">R335-S335-T335</f>
        <v>439.43</v>
      </c>
    </row>
    <row r="336" customFormat="false" ht="15" hidden="false" customHeight="false" outlineLevel="0" collapsed="false">
      <c r="A336" s="0" t="n">
        <v>335</v>
      </c>
      <c r="B336" s="27" t="n">
        <v>45406</v>
      </c>
      <c r="C336" s="0" t="n">
        <v>2024</v>
      </c>
      <c r="D336" s="28" t="s">
        <v>108</v>
      </c>
      <c r="E336" s="0" t="n">
        <v>4</v>
      </c>
      <c r="F336" s="28" t="s">
        <v>109</v>
      </c>
      <c r="G336" s="28" t="s">
        <v>110</v>
      </c>
      <c r="H336" s="28" t="s">
        <v>96</v>
      </c>
      <c r="I336" s="28" t="s">
        <v>97</v>
      </c>
      <c r="J336" s="28" t="s">
        <v>66</v>
      </c>
      <c r="K336" s="28" t="s">
        <v>84</v>
      </c>
      <c r="L336" s="28" t="s">
        <v>85</v>
      </c>
      <c r="M336" s="28" t="s">
        <v>88</v>
      </c>
      <c r="N336" s="28" t="s">
        <v>89</v>
      </c>
      <c r="O336" s="29" t="n">
        <v>22</v>
      </c>
      <c r="P336" s="30" t="n">
        <v>83.3</v>
      </c>
      <c r="Q336" s="30" t="n">
        <v>48.02</v>
      </c>
      <c r="R336" s="30" t="n">
        <f aca="false">ROUND(O336*P336,2)</f>
        <v>1832.6</v>
      </c>
      <c r="S336" s="30" t="n">
        <f aca="false">ROUND(O336*Q336,2)</f>
        <v>1056.44</v>
      </c>
      <c r="T336" s="30" t="n">
        <f aca="false">ROUND(R336*SUMIFS(Parametros!$E$23:$E$38,Parametros!$B$23:$B$38,J336,Parametros!$C$23:$C$38,C336,Parametros!$D$23:$D$38,D336),2)</f>
        <v>21.99</v>
      </c>
      <c r="U336" s="30" t="n">
        <f aca="false">R336-S336-T336</f>
        <v>754.17</v>
      </c>
    </row>
    <row r="337" customFormat="false" ht="15" hidden="false" customHeight="false" outlineLevel="0" collapsed="false">
      <c r="A337" s="0" t="n">
        <v>336</v>
      </c>
      <c r="B337" s="27" t="n">
        <v>45386</v>
      </c>
      <c r="C337" s="0" t="n">
        <v>2024</v>
      </c>
      <c r="D337" s="28" t="s">
        <v>108</v>
      </c>
      <c r="E337" s="0" t="n">
        <v>4</v>
      </c>
      <c r="F337" s="28" t="s">
        <v>109</v>
      </c>
      <c r="G337" s="28" t="s">
        <v>110</v>
      </c>
      <c r="H337" s="28" t="s">
        <v>96</v>
      </c>
      <c r="I337" s="28" t="s">
        <v>97</v>
      </c>
      <c r="J337" s="28" t="s">
        <v>71</v>
      </c>
      <c r="K337" s="28" t="s">
        <v>84</v>
      </c>
      <c r="L337" s="28" t="s">
        <v>85</v>
      </c>
      <c r="M337" s="28" t="s">
        <v>88</v>
      </c>
      <c r="N337" s="28" t="s">
        <v>89</v>
      </c>
      <c r="O337" s="29" t="n">
        <v>11</v>
      </c>
      <c r="P337" s="30" t="n">
        <v>83.3</v>
      </c>
      <c r="Q337" s="30" t="n">
        <v>48.02</v>
      </c>
      <c r="R337" s="30" t="n">
        <f aca="false">ROUND(O337*P337,2)</f>
        <v>916.3</v>
      </c>
      <c r="S337" s="30" t="n">
        <f aca="false">ROUND(O337*Q337,2)</f>
        <v>528.22</v>
      </c>
      <c r="T337" s="30" t="n">
        <f aca="false">ROUND(R337*SUMIFS(Parametros!$E$23:$E$38,Parametros!$B$23:$B$38,J337,Parametros!$C$23:$C$38,C337,Parametros!$D$23:$D$38,D337),2)</f>
        <v>40.32</v>
      </c>
      <c r="U337" s="30" t="n">
        <f aca="false">R337-S337-T337</f>
        <v>347.76</v>
      </c>
    </row>
    <row r="338" customFormat="false" ht="15" hidden="false" customHeight="false" outlineLevel="0" collapsed="false">
      <c r="A338" s="0" t="n">
        <v>337</v>
      </c>
      <c r="B338" s="27" t="n">
        <v>45393</v>
      </c>
      <c r="C338" s="0" t="n">
        <v>2024</v>
      </c>
      <c r="D338" s="28" t="s">
        <v>108</v>
      </c>
      <c r="E338" s="0" t="n">
        <v>4</v>
      </c>
      <c r="F338" s="28" t="s">
        <v>109</v>
      </c>
      <c r="G338" s="28" t="s">
        <v>110</v>
      </c>
      <c r="H338" s="28" t="s">
        <v>96</v>
      </c>
      <c r="I338" s="28" t="s">
        <v>97</v>
      </c>
      <c r="J338" s="28" t="s">
        <v>66</v>
      </c>
      <c r="K338" s="28" t="s">
        <v>90</v>
      </c>
      <c r="L338" s="28" t="s">
        <v>91</v>
      </c>
      <c r="M338" s="28" t="s">
        <v>92</v>
      </c>
      <c r="N338" s="28" t="s">
        <v>93</v>
      </c>
      <c r="O338" s="29" t="n">
        <v>31</v>
      </c>
      <c r="P338" s="30" t="n">
        <v>127.4</v>
      </c>
      <c r="Q338" s="30" t="n">
        <v>76.05</v>
      </c>
      <c r="R338" s="30" t="n">
        <f aca="false">ROUND(O338*P338,2)</f>
        <v>3949.4</v>
      </c>
      <c r="S338" s="30" t="n">
        <f aca="false">ROUND(O338*Q338,2)</f>
        <v>2357.55</v>
      </c>
      <c r="T338" s="30" t="n">
        <f aca="false">ROUND(R338*SUMIFS(Parametros!$E$23:$E$38,Parametros!$B$23:$B$38,J338,Parametros!$C$23:$C$38,C338,Parametros!$D$23:$D$38,D338),2)</f>
        <v>47.39</v>
      </c>
      <c r="U338" s="30" t="n">
        <f aca="false">R338-S338-T338</f>
        <v>1544.46</v>
      </c>
    </row>
    <row r="339" customFormat="false" ht="15" hidden="false" customHeight="false" outlineLevel="0" collapsed="false">
      <c r="A339" s="0" t="n">
        <v>338</v>
      </c>
      <c r="B339" s="27" t="n">
        <v>45400</v>
      </c>
      <c r="C339" s="0" t="n">
        <v>2024</v>
      </c>
      <c r="D339" s="28" t="s">
        <v>108</v>
      </c>
      <c r="E339" s="0" t="n">
        <v>4</v>
      </c>
      <c r="F339" s="28" t="s">
        <v>109</v>
      </c>
      <c r="G339" s="28" t="s">
        <v>110</v>
      </c>
      <c r="H339" s="28" t="s">
        <v>96</v>
      </c>
      <c r="I339" s="28" t="s">
        <v>97</v>
      </c>
      <c r="J339" s="28" t="s">
        <v>71</v>
      </c>
      <c r="K339" s="28" t="s">
        <v>90</v>
      </c>
      <c r="L339" s="28" t="s">
        <v>91</v>
      </c>
      <c r="M339" s="28" t="s">
        <v>92</v>
      </c>
      <c r="N339" s="28" t="s">
        <v>93</v>
      </c>
      <c r="O339" s="29" t="n">
        <v>12</v>
      </c>
      <c r="P339" s="30" t="n">
        <v>127.4</v>
      </c>
      <c r="Q339" s="30" t="n">
        <v>76.05</v>
      </c>
      <c r="R339" s="30" t="n">
        <f aca="false">ROUND(O339*P339,2)</f>
        <v>1528.8</v>
      </c>
      <c r="S339" s="30" t="n">
        <f aca="false">ROUND(O339*Q339,2)</f>
        <v>912.6</v>
      </c>
      <c r="T339" s="30" t="n">
        <f aca="false">ROUND(R339*SUMIFS(Parametros!$E$23:$E$38,Parametros!$B$23:$B$38,J339,Parametros!$C$23:$C$38,C339,Parametros!$D$23:$D$38,D339),2)</f>
        <v>67.27</v>
      </c>
      <c r="U339" s="30" t="n">
        <f aca="false">R339-S339-T339</f>
        <v>548.93</v>
      </c>
    </row>
    <row r="340" customFormat="false" ht="15" hidden="false" customHeight="false" outlineLevel="0" collapsed="false">
      <c r="A340" s="0" t="n">
        <v>339</v>
      </c>
      <c r="B340" s="27" t="n">
        <v>45407</v>
      </c>
      <c r="C340" s="0" t="n">
        <v>2024</v>
      </c>
      <c r="D340" s="28" t="s">
        <v>108</v>
      </c>
      <c r="E340" s="0" t="n">
        <v>4</v>
      </c>
      <c r="F340" s="28" t="s">
        <v>109</v>
      </c>
      <c r="G340" s="28" t="s">
        <v>110</v>
      </c>
      <c r="H340" s="28" t="s">
        <v>96</v>
      </c>
      <c r="I340" s="28" t="s">
        <v>97</v>
      </c>
      <c r="J340" s="28" t="s">
        <v>66</v>
      </c>
      <c r="K340" s="28" t="s">
        <v>90</v>
      </c>
      <c r="L340" s="28" t="s">
        <v>91</v>
      </c>
      <c r="M340" s="28" t="s">
        <v>94</v>
      </c>
      <c r="N340" s="28" t="s">
        <v>95</v>
      </c>
      <c r="O340" s="29" t="n">
        <v>34</v>
      </c>
      <c r="P340" s="30" t="n">
        <v>34.3</v>
      </c>
      <c r="Q340" s="30" t="n">
        <v>17.85</v>
      </c>
      <c r="R340" s="30" t="n">
        <f aca="false">ROUND(O340*P340,2)</f>
        <v>1166.2</v>
      </c>
      <c r="S340" s="30" t="n">
        <f aca="false">ROUND(O340*Q340,2)</f>
        <v>606.9</v>
      </c>
      <c r="T340" s="30" t="n">
        <f aca="false">ROUND(R340*SUMIFS(Parametros!$E$23:$E$38,Parametros!$B$23:$B$38,J340,Parametros!$C$23:$C$38,C340,Parametros!$D$23:$D$38,D340),2)</f>
        <v>13.99</v>
      </c>
      <c r="U340" s="30" t="n">
        <f aca="false">R340-S340-T340</f>
        <v>545.31</v>
      </c>
    </row>
    <row r="341" customFormat="false" ht="15" hidden="false" customHeight="false" outlineLevel="0" collapsed="false">
      <c r="A341" s="0" t="n">
        <v>340</v>
      </c>
      <c r="B341" s="27" t="n">
        <v>45387</v>
      </c>
      <c r="C341" s="0" t="n">
        <v>2024</v>
      </c>
      <c r="D341" s="28" t="s">
        <v>108</v>
      </c>
      <c r="E341" s="0" t="n">
        <v>4</v>
      </c>
      <c r="F341" s="28" t="s">
        <v>109</v>
      </c>
      <c r="G341" s="28" t="s">
        <v>110</v>
      </c>
      <c r="H341" s="28" t="s">
        <v>96</v>
      </c>
      <c r="I341" s="28" t="s">
        <v>97</v>
      </c>
      <c r="J341" s="28" t="s">
        <v>71</v>
      </c>
      <c r="K341" s="28" t="s">
        <v>90</v>
      </c>
      <c r="L341" s="28" t="s">
        <v>91</v>
      </c>
      <c r="M341" s="28" t="s">
        <v>94</v>
      </c>
      <c r="N341" s="28" t="s">
        <v>95</v>
      </c>
      <c r="O341" s="29" t="n">
        <v>11</v>
      </c>
      <c r="P341" s="30" t="n">
        <v>34.3</v>
      </c>
      <c r="Q341" s="30" t="n">
        <v>17.85</v>
      </c>
      <c r="R341" s="30" t="n">
        <f aca="false">ROUND(O341*P341,2)</f>
        <v>377.3</v>
      </c>
      <c r="S341" s="30" t="n">
        <f aca="false">ROUND(O341*Q341,2)</f>
        <v>196.35</v>
      </c>
      <c r="T341" s="30" t="n">
        <f aca="false">ROUND(R341*SUMIFS(Parametros!$E$23:$E$38,Parametros!$B$23:$B$38,J341,Parametros!$C$23:$C$38,C341,Parametros!$D$23:$D$38,D341),2)</f>
        <v>16.6</v>
      </c>
      <c r="U341" s="30" t="n">
        <f aca="false">R341-S341-T341</f>
        <v>164.35</v>
      </c>
    </row>
    <row r="342" customFormat="false" ht="15" hidden="false" customHeight="false" outlineLevel="0" collapsed="false">
      <c r="A342" s="0" t="n">
        <v>341</v>
      </c>
      <c r="B342" s="27" t="n">
        <v>45394</v>
      </c>
      <c r="C342" s="0" t="n">
        <v>2024</v>
      </c>
      <c r="D342" s="28" t="s">
        <v>108</v>
      </c>
      <c r="E342" s="0" t="n">
        <v>4</v>
      </c>
      <c r="F342" s="28" t="s">
        <v>109</v>
      </c>
      <c r="G342" s="28" t="s">
        <v>110</v>
      </c>
      <c r="H342" s="28" t="s">
        <v>98</v>
      </c>
      <c r="I342" s="28" t="s">
        <v>99</v>
      </c>
      <c r="J342" s="28" t="s">
        <v>66</v>
      </c>
      <c r="K342" s="28" t="s">
        <v>67</v>
      </c>
      <c r="L342" s="28" t="s">
        <v>68</v>
      </c>
      <c r="M342" s="28" t="s">
        <v>69</v>
      </c>
      <c r="N342" s="28" t="s">
        <v>70</v>
      </c>
      <c r="O342" s="29" t="n">
        <v>9</v>
      </c>
      <c r="P342" s="30" t="n">
        <v>1176</v>
      </c>
      <c r="Q342" s="30" t="n">
        <v>744</v>
      </c>
      <c r="R342" s="30" t="n">
        <f aca="false">ROUND(O342*P342,2)</f>
        <v>10584</v>
      </c>
      <c r="S342" s="30" t="n">
        <f aca="false">ROUND(O342*Q342,2)</f>
        <v>6696</v>
      </c>
      <c r="T342" s="30" t="n">
        <f aca="false">ROUND(R342*SUMIFS(Parametros!$E$23:$E$38,Parametros!$B$23:$B$38,J342,Parametros!$C$23:$C$38,C342,Parametros!$D$23:$D$38,D342),2)</f>
        <v>127.01</v>
      </c>
      <c r="U342" s="30" t="n">
        <f aca="false">R342-S342-T342</f>
        <v>3760.99</v>
      </c>
    </row>
    <row r="343" customFormat="false" ht="15" hidden="false" customHeight="false" outlineLevel="0" collapsed="false">
      <c r="A343" s="0" t="n">
        <v>342</v>
      </c>
      <c r="B343" s="27" t="n">
        <v>45401</v>
      </c>
      <c r="C343" s="0" t="n">
        <v>2024</v>
      </c>
      <c r="D343" s="28" t="s">
        <v>108</v>
      </c>
      <c r="E343" s="0" t="n">
        <v>4</v>
      </c>
      <c r="F343" s="28" t="s">
        <v>109</v>
      </c>
      <c r="G343" s="28" t="s">
        <v>110</v>
      </c>
      <c r="H343" s="28" t="s">
        <v>98</v>
      </c>
      <c r="I343" s="28" t="s">
        <v>99</v>
      </c>
      <c r="J343" s="28" t="s">
        <v>71</v>
      </c>
      <c r="K343" s="28" t="s">
        <v>67</v>
      </c>
      <c r="L343" s="28" t="s">
        <v>68</v>
      </c>
      <c r="M343" s="28" t="s">
        <v>69</v>
      </c>
      <c r="N343" s="28" t="s">
        <v>70</v>
      </c>
      <c r="O343" s="29" t="n">
        <v>4</v>
      </c>
      <c r="P343" s="30" t="n">
        <v>1176</v>
      </c>
      <c r="Q343" s="30" t="n">
        <v>744</v>
      </c>
      <c r="R343" s="30" t="n">
        <f aca="false">ROUND(O343*P343,2)</f>
        <v>4704</v>
      </c>
      <c r="S343" s="30" t="n">
        <f aca="false">ROUND(O343*Q343,2)</f>
        <v>2976</v>
      </c>
      <c r="T343" s="30" t="n">
        <f aca="false">ROUND(R343*SUMIFS(Parametros!$E$23:$E$38,Parametros!$B$23:$B$38,J343,Parametros!$C$23:$C$38,C343,Parametros!$D$23:$D$38,D343),2)</f>
        <v>206.98</v>
      </c>
      <c r="U343" s="30" t="n">
        <f aca="false">R343-S343-T343</f>
        <v>1521.02</v>
      </c>
    </row>
    <row r="344" customFormat="false" ht="15" hidden="false" customHeight="false" outlineLevel="0" collapsed="false">
      <c r="A344" s="0" t="n">
        <v>343</v>
      </c>
      <c r="B344" s="27" t="n">
        <v>45408</v>
      </c>
      <c r="C344" s="0" t="n">
        <v>2024</v>
      </c>
      <c r="D344" s="28" t="s">
        <v>108</v>
      </c>
      <c r="E344" s="0" t="n">
        <v>4</v>
      </c>
      <c r="F344" s="28" t="s">
        <v>109</v>
      </c>
      <c r="G344" s="28" t="s">
        <v>110</v>
      </c>
      <c r="H344" s="28" t="s">
        <v>98</v>
      </c>
      <c r="I344" s="28" t="s">
        <v>99</v>
      </c>
      <c r="J344" s="28" t="s">
        <v>66</v>
      </c>
      <c r="K344" s="28" t="s">
        <v>67</v>
      </c>
      <c r="L344" s="28" t="s">
        <v>68</v>
      </c>
      <c r="M344" s="28" t="s">
        <v>72</v>
      </c>
      <c r="N344" s="28" t="s">
        <v>73</v>
      </c>
      <c r="O344" s="29" t="n">
        <v>7</v>
      </c>
      <c r="P344" s="30" t="n">
        <v>441</v>
      </c>
      <c r="Q344" s="30" t="n">
        <v>272.25</v>
      </c>
      <c r="R344" s="30" t="n">
        <f aca="false">ROUND(O344*P344,2)</f>
        <v>3087</v>
      </c>
      <c r="S344" s="30" t="n">
        <f aca="false">ROUND(O344*Q344,2)</f>
        <v>1905.75</v>
      </c>
      <c r="T344" s="30" t="n">
        <f aca="false">ROUND(R344*SUMIFS(Parametros!$E$23:$E$38,Parametros!$B$23:$B$38,J344,Parametros!$C$23:$C$38,C344,Parametros!$D$23:$D$38,D344),2)</f>
        <v>37.04</v>
      </c>
      <c r="U344" s="30" t="n">
        <f aca="false">R344-S344-T344</f>
        <v>1144.21</v>
      </c>
    </row>
    <row r="345" customFormat="false" ht="15" hidden="false" customHeight="false" outlineLevel="0" collapsed="false">
      <c r="A345" s="0" t="n">
        <v>344</v>
      </c>
      <c r="B345" s="27" t="n">
        <v>45388</v>
      </c>
      <c r="C345" s="0" t="n">
        <v>2024</v>
      </c>
      <c r="D345" s="28" t="s">
        <v>108</v>
      </c>
      <c r="E345" s="0" t="n">
        <v>4</v>
      </c>
      <c r="F345" s="28" t="s">
        <v>109</v>
      </c>
      <c r="G345" s="28" t="s">
        <v>110</v>
      </c>
      <c r="H345" s="28" t="s">
        <v>98</v>
      </c>
      <c r="I345" s="28" t="s">
        <v>99</v>
      </c>
      <c r="J345" s="28" t="s">
        <v>71</v>
      </c>
      <c r="K345" s="28" t="s">
        <v>67</v>
      </c>
      <c r="L345" s="28" t="s">
        <v>68</v>
      </c>
      <c r="M345" s="28" t="s">
        <v>72</v>
      </c>
      <c r="N345" s="28" t="s">
        <v>73</v>
      </c>
      <c r="O345" s="29" t="n">
        <v>4</v>
      </c>
      <c r="P345" s="30" t="n">
        <v>441</v>
      </c>
      <c r="Q345" s="30" t="n">
        <v>272.25</v>
      </c>
      <c r="R345" s="30" t="n">
        <f aca="false">ROUND(O345*P345,2)</f>
        <v>1764</v>
      </c>
      <c r="S345" s="30" t="n">
        <f aca="false">ROUND(O345*Q345,2)</f>
        <v>1089</v>
      </c>
      <c r="T345" s="30" t="n">
        <f aca="false">ROUND(R345*SUMIFS(Parametros!$E$23:$E$38,Parametros!$B$23:$B$38,J345,Parametros!$C$23:$C$38,C345,Parametros!$D$23:$D$38,D345),2)</f>
        <v>77.62</v>
      </c>
      <c r="U345" s="30" t="n">
        <f aca="false">R345-S345-T345</f>
        <v>597.38</v>
      </c>
    </row>
    <row r="346" customFormat="false" ht="15" hidden="false" customHeight="false" outlineLevel="0" collapsed="false">
      <c r="A346" s="0" t="n">
        <v>345</v>
      </c>
      <c r="B346" s="27" t="n">
        <v>45395</v>
      </c>
      <c r="C346" s="0" t="n">
        <v>2024</v>
      </c>
      <c r="D346" s="28" t="s">
        <v>108</v>
      </c>
      <c r="E346" s="0" t="n">
        <v>4</v>
      </c>
      <c r="F346" s="28" t="s">
        <v>109</v>
      </c>
      <c r="G346" s="28" t="s">
        <v>110</v>
      </c>
      <c r="H346" s="28" t="s">
        <v>98</v>
      </c>
      <c r="I346" s="28" t="s">
        <v>99</v>
      </c>
      <c r="J346" s="28" t="s">
        <v>66</v>
      </c>
      <c r="K346" s="28" t="s">
        <v>67</v>
      </c>
      <c r="L346" s="28" t="s">
        <v>68</v>
      </c>
      <c r="M346" s="28" t="s">
        <v>74</v>
      </c>
      <c r="N346" s="28" t="s">
        <v>75</v>
      </c>
      <c r="O346" s="29" t="n">
        <v>8</v>
      </c>
      <c r="P346" s="30" t="n">
        <v>1617</v>
      </c>
      <c r="Q346" s="30" t="n">
        <v>1122</v>
      </c>
      <c r="R346" s="30" t="n">
        <f aca="false">ROUND(O346*P346,2)</f>
        <v>12936</v>
      </c>
      <c r="S346" s="30" t="n">
        <f aca="false">ROUND(O346*Q346,2)</f>
        <v>8976</v>
      </c>
      <c r="T346" s="30" t="n">
        <f aca="false">ROUND(R346*SUMIFS(Parametros!$E$23:$E$38,Parametros!$B$23:$B$38,J346,Parametros!$C$23:$C$38,C346,Parametros!$D$23:$D$38,D346),2)</f>
        <v>155.23</v>
      </c>
      <c r="U346" s="30" t="n">
        <f aca="false">R346-S346-T346</f>
        <v>3804.77</v>
      </c>
    </row>
    <row r="347" customFormat="false" ht="15" hidden="false" customHeight="false" outlineLevel="0" collapsed="false">
      <c r="A347" s="0" t="n">
        <v>346</v>
      </c>
      <c r="B347" s="27" t="n">
        <v>45402</v>
      </c>
      <c r="C347" s="0" t="n">
        <v>2024</v>
      </c>
      <c r="D347" s="28" t="s">
        <v>108</v>
      </c>
      <c r="E347" s="0" t="n">
        <v>4</v>
      </c>
      <c r="F347" s="28" t="s">
        <v>109</v>
      </c>
      <c r="G347" s="28" t="s">
        <v>110</v>
      </c>
      <c r="H347" s="28" t="s">
        <v>98</v>
      </c>
      <c r="I347" s="28" t="s">
        <v>99</v>
      </c>
      <c r="J347" s="28" t="s">
        <v>71</v>
      </c>
      <c r="K347" s="28" t="s">
        <v>67</v>
      </c>
      <c r="L347" s="28" t="s">
        <v>68</v>
      </c>
      <c r="M347" s="28" t="s">
        <v>74</v>
      </c>
      <c r="N347" s="28" t="s">
        <v>75</v>
      </c>
      <c r="O347" s="29" t="n">
        <v>3</v>
      </c>
      <c r="P347" s="30" t="n">
        <v>1617</v>
      </c>
      <c r="Q347" s="30" t="n">
        <v>1122</v>
      </c>
      <c r="R347" s="30" t="n">
        <f aca="false">ROUND(O347*P347,2)</f>
        <v>4851</v>
      </c>
      <c r="S347" s="30" t="n">
        <f aca="false">ROUND(O347*Q347,2)</f>
        <v>3366</v>
      </c>
      <c r="T347" s="30" t="n">
        <f aca="false">ROUND(R347*SUMIFS(Parametros!$E$23:$E$38,Parametros!$B$23:$B$38,J347,Parametros!$C$23:$C$38,C347,Parametros!$D$23:$D$38,D347),2)</f>
        <v>213.44</v>
      </c>
      <c r="U347" s="30" t="n">
        <f aca="false">R347-S347-T347</f>
        <v>1271.56</v>
      </c>
    </row>
    <row r="348" customFormat="false" ht="15" hidden="false" customHeight="false" outlineLevel="0" collapsed="false">
      <c r="A348" s="0" t="n">
        <v>347</v>
      </c>
      <c r="B348" s="27" t="n">
        <v>45409</v>
      </c>
      <c r="C348" s="0" t="n">
        <v>2024</v>
      </c>
      <c r="D348" s="28" t="s">
        <v>108</v>
      </c>
      <c r="E348" s="0" t="n">
        <v>4</v>
      </c>
      <c r="F348" s="28" t="s">
        <v>109</v>
      </c>
      <c r="G348" s="28" t="s">
        <v>110</v>
      </c>
      <c r="H348" s="28" t="s">
        <v>98</v>
      </c>
      <c r="I348" s="28" t="s">
        <v>99</v>
      </c>
      <c r="J348" s="28" t="s">
        <v>66</v>
      </c>
      <c r="K348" s="28" t="s">
        <v>76</v>
      </c>
      <c r="L348" s="28" t="s">
        <v>77</v>
      </c>
      <c r="M348" s="28" t="s">
        <v>78</v>
      </c>
      <c r="N348" s="28" t="s">
        <v>79</v>
      </c>
      <c r="O348" s="29" t="n">
        <v>35</v>
      </c>
      <c r="P348" s="30" t="n">
        <v>27.44</v>
      </c>
      <c r="Q348" s="30" t="n">
        <v>13.44</v>
      </c>
      <c r="R348" s="30" t="n">
        <f aca="false">ROUND(O348*P348,2)</f>
        <v>960.4</v>
      </c>
      <c r="S348" s="30" t="n">
        <f aca="false">ROUND(O348*Q348,2)</f>
        <v>470.4</v>
      </c>
      <c r="T348" s="30" t="n">
        <f aca="false">ROUND(R348*SUMIFS(Parametros!$E$23:$E$38,Parametros!$B$23:$B$38,J348,Parametros!$C$23:$C$38,C348,Parametros!$D$23:$D$38,D348),2)</f>
        <v>11.52</v>
      </c>
      <c r="U348" s="30" t="n">
        <f aca="false">R348-S348-T348</f>
        <v>478.48</v>
      </c>
    </row>
    <row r="349" customFormat="false" ht="15" hidden="false" customHeight="false" outlineLevel="0" collapsed="false">
      <c r="A349" s="0" t="n">
        <v>348</v>
      </c>
      <c r="B349" s="27" t="n">
        <v>45389</v>
      </c>
      <c r="C349" s="0" t="n">
        <v>2024</v>
      </c>
      <c r="D349" s="28" t="s">
        <v>108</v>
      </c>
      <c r="E349" s="0" t="n">
        <v>4</v>
      </c>
      <c r="F349" s="28" t="s">
        <v>109</v>
      </c>
      <c r="G349" s="28" t="s">
        <v>110</v>
      </c>
      <c r="H349" s="28" t="s">
        <v>98</v>
      </c>
      <c r="I349" s="28" t="s">
        <v>99</v>
      </c>
      <c r="J349" s="28" t="s">
        <v>71</v>
      </c>
      <c r="K349" s="28" t="s">
        <v>76</v>
      </c>
      <c r="L349" s="28" t="s">
        <v>77</v>
      </c>
      <c r="M349" s="28" t="s">
        <v>78</v>
      </c>
      <c r="N349" s="28" t="s">
        <v>79</v>
      </c>
      <c r="O349" s="29" t="n">
        <v>14</v>
      </c>
      <c r="P349" s="30" t="n">
        <v>27.44</v>
      </c>
      <c r="Q349" s="30" t="n">
        <v>13.44</v>
      </c>
      <c r="R349" s="30" t="n">
        <f aca="false">ROUND(O349*P349,2)</f>
        <v>384.16</v>
      </c>
      <c r="S349" s="30" t="n">
        <f aca="false">ROUND(O349*Q349,2)</f>
        <v>188.16</v>
      </c>
      <c r="T349" s="30" t="n">
        <f aca="false">ROUND(R349*SUMIFS(Parametros!$E$23:$E$38,Parametros!$B$23:$B$38,J349,Parametros!$C$23:$C$38,C349,Parametros!$D$23:$D$38,D349),2)</f>
        <v>16.9</v>
      </c>
      <c r="U349" s="30" t="n">
        <f aca="false">R349-S349-T349</f>
        <v>179.1</v>
      </c>
    </row>
    <row r="350" customFormat="false" ht="15" hidden="false" customHeight="false" outlineLevel="0" collapsed="false">
      <c r="A350" s="0" t="n">
        <v>349</v>
      </c>
      <c r="B350" s="27" t="n">
        <v>45396</v>
      </c>
      <c r="C350" s="0" t="n">
        <v>2024</v>
      </c>
      <c r="D350" s="28" t="s">
        <v>108</v>
      </c>
      <c r="E350" s="0" t="n">
        <v>4</v>
      </c>
      <c r="F350" s="28" t="s">
        <v>109</v>
      </c>
      <c r="G350" s="28" t="s">
        <v>110</v>
      </c>
      <c r="H350" s="28" t="s">
        <v>98</v>
      </c>
      <c r="I350" s="28" t="s">
        <v>99</v>
      </c>
      <c r="J350" s="28" t="s">
        <v>66</v>
      </c>
      <c r="K350" s="28" t="s">
        <v>76</v>
      </c>
      <c r="L350" s="28" t="s">
        <v>77</v>
      </c>
      <c r="M350" s="28" t="s">
        <v>80</v>
      </c>
      <c r="N350" s="28" t="s">
        <v>81</v>
      </c>
      <c r="O350" s="29" t="n">
        <v>37</v>
      </c>
      <c r="P350" s="30" t="n">
        <v>93.1</v>
      </c>
      <c r="Q350" s="30" t="n">
        <v>47.98</v>
      </c>
      <c r="R350" s="30" t="n">
        <f aca="false">ROUND(O350*P350,2)</f>
        <v>3444.7</v>
      </c>
      <c r="S350" s="30" t="n">
        <f aca="false">ROUND(O350*Q350,2)</f>
        <v>1775.26</v>
      </c>
      <c r="T350" s="30" t="n">
        <f aca="false">ROUND(R350*SUMIFS(Parametros!$E$23:$E$38,Parametros!$B$23:$B$38,J350,Parametros!$C$23:$C$38,C350,Parametros!$D$23:$D$38,D350),2)</f>
        <v>41.34</v>
      </c>
      <c r="U350" s="30" t="n">
        <f aca="false">R350-S350-T350</f>
        <v>1628.1</v>
      </c>
    </row>
    <row r="351" customFormat="false" ht="15" hidden="false" customHeight="false" outlineLevel="0" collapsed="false">
      <c r="A351" s="0" t="n">
        <v>350</v>
      </c>
      <c r="B351" s="27" t="n">
        <v>45403</v>
      </c>
      <c r="C351" s="0" t="n">
        <v>2024</v>
      </c>
      <c r="D351" s="28" t="s">
        <v>108</v>
      </c>
      <c r="E351" s="0" t="n">
        <v>4</v>
      </c>
      <c r="F351" s="28" t="s">
        <v>109</v>
      </c>
      <c r="G351" s="28" t="s">
        <v>110</v>
      </c>
      <c r="H351" s="28" t="s">
        <v>98</v>
      </c>
      <c r="I351" s="28" t="s">
        <v>99</v>
      </c>
      <c r="J351" s="28" t="s">
        <v>71</v>
      </c>
      <c r="K351" s="28" t="s">
        <v>76</v>
      </c>
      <c r="L351" s="28" t="s">
        <v>77</v>
      </c>
      <c r="M351" s="28" t="s">
        <v>80</v>
      </c>
      <c r="N351" s="28" t="s">
        <v>81</v>
      </c>
      <c r="O351" s="29" t="n">
        <v>13</v>
      </c>
      <c r="P351" s="30" t="n">
        <v>93.1</v>
      </c>
      <c r="Q351" s="30" t="n">
        <v>47.98</v>
      </c>
      <c r="R351" s="30" t="n">
        <f aca="false">ROUND(O351*P351,2)</f>
        <v>1210.3</v>
      </c>
      <c r="S351" s="30" t="n">
        <f aca="false">ROUND(O351*Q351,2)</f>
        <v>623.74</v>
      </c>
      <c r="T351" s="30" t="n">
        <f aca="false">ROUND(R351*SUMIFS(Parametros!$E$23:$E$38,Parametros!$B$23:$B$38,J351,Parametros!$C$23:$C$38,C351,Parametros!$D$23:$D$38,D351),2)</f>
        <v>53.25</v>
      </c>
      <c r="U351" s="30" t="n">
        <f aca="false">R351-S351-T351</f>
        <v>533.31</v>
      </c>
    </row>
    <row r="352" customFormat="false" ht="15" hidden="false" customHeight="false" outlineLevel="0" collapsed="false">
      <c r="A352" s="0" t="n">
        <v>351</v>
      </c>
      <c r="B352" s="27" t="n">
        <v>45383</v>
      </c>
      <c r="C352" s="0" t="n">
        <v>2024</v>
      </c>
      <c r="D352" s="28" t="s">
        <v>108</v>
      </c>
      <c r="E352" s="0" t="n">
        <v>4</v>
      </c>
      <c r="F352" s="28" t="s">
        <v>109</v>
      </c>
      <c r="G352" s="28" t="s">
        <v>110</v>
      </c>
      <c r="H352" s="28" t="s">
        <v>98</v>
      </c>
      <c r="I352" s="28" t="s">
        <v>99</v>
      </c>
      <c r="J352" s="28" t="s">
        <v>66</v>
      </c>
      <c r="K352" s="28" t="s">
        <v>76</v>
      </c>
      <c r="L352" s="28" t="s">
        <v>77</v>
      </c>
      <c r="M352" s="28" t="s">
        <v>82</v>
      </c>
      <c r="N352" s="28" t="s">
        <v>83</v>
      </c>
      <c r="O352" s="29" t="n">
        <v>38</v>
      </c>
      <c r="P352" s="30" t="n">
        <v>63.7</v>
      </c>
      <c r="Q352" s="30" t="n">
        <v>35.43</v>
      </c>
      <c r="R352" s="30" t="n">
        <f aca="false">ROUND(O352*P352,2)</f>
        <v>2420.6</v>
      </c>
      <c r="S352" s="30" t="n">
        <f aca="false">ROUND(O352*Q352,2)</f>
        <v>1346.34</v>
      </c>
      <c r="T352" s="30" t="n">
        <f aca="false">ROUND(R352*SUMIFS(Parametros!$E$23:$E$38,Parametros!$B$23:$B$38,J352,Parametros!$C$23:$C$38,C352,Parametros!$D$23:$D$38,D352),2)</f>
        <v>29.05</v>
      </c>
      <c r="U352" s="30" t="n">
        <f aca="false">R352-S352-T352</f>
        <v>1045.21</v>
      </c>
    </row>
    <row r="353" customFormat="false" ht="15" hidden="false" customHeight="false" outlineLevel="0" collapsed="false">
      <c r="A353" s="0" t="n">
        <v>352</v>
      </c>
      <c r="B353" s="27" t="n">
        <v>45390</v>
      </c>
      <c r="C353" s="0" t="n">
        <v>2024</v>
      </c>
      <c r="D353" s="28" t="s">
        <v>108</v>
      </c>
      <c r="E353" s="0" t="n">
        <v>4</v>
      </c>
      <c r="F353" s="28" t="s">
        <v>109</v>
      </c>
      <c r="G353" s="28" t="s">
        <v>110</v>
      </c>
      <c r="H353" s="28" t="s">
        <v>98</v>
      </c>
      <c r="I353" s="28" t="s">
        <v>99</v>
      </c>
      <c r="J353" s="28" t="s">
        <v>71</v>
      </c>
      <c r="K353" s="28" t="s">
        <v>76</v>
      </c>
      <c r="L353" s="28" t="s">
        <v>77</v>
      </c>
      <c r="M353" s="28" t="s">
        <v>82</v>
      </c>
      <c r="N353" s="28" t="s">
        <v>83</v>
      </c>
      <c r="O353" s="29" t="n">
        <v>15</v>
      </c>
      <c r="P353" s="30" t="n">
        <v>63.7</v>
      </c>
      <c r="Q353" s="30" t="n">
        <v>35.43</v>
      </c>
      <c r="R353" s="30" t="n">
        <f aca="false">ROUND(O353*P353,2)</f>
        <v>955.5</v>
      </c>
      <c r="S353" s="30" t="n">
        <f aca="false">ROUND(O353*Q353,2)</f>
        <v>531.45</v>
      </c>
      <c r="T353" s="30" t="n">
        <f aca="false">ROUND(R353*SUMIFS(Parametros!$E$23:$E$38,Parametros!$B$23:$B$38,J353,Parametros!$C$23:$C$38,C353,Parametros!$D$23:$D$38,D353),2)</f>
        <v>42.04</v>
      </c>
      <c r="U353" s="30" t="n">
        <f aca="false">R353-S353-T353</f>
        <v>382.01</v>
      </c>
    </row>
    <row r="354" customFormat="false" ht="15" hidden="false" customHeight="false" outlineLevel="0" collapsed="false">
      <c r="A354" s="0" t="n">
        <v>353</v>
      </c>
      <c r="B354" s="27" t="n">
        <v>45397</v>
      </c>
      <c r="C354" s="0" t="n">
        <v>2024</v>
      </c>
      <c r="D354" s="28" t="s">
        <v>108</v>
      </c>
      <c r="E354" s="0" t="n">
        <v>4</v>
      </c>
      <c r="F354" s="28" t="s">
        <v>109</v>
      </c>
      <c r="G354" s="28" t="s">
        <v>110</v>
      </c>
      <c r="H354" s="28" t="s">
        <v>98</v>
      </c>
      <c r="I354" s="28" t="s">
        <v>99</v>
      </c>
      <c r="J354" s="28" t="s">
        <v>66</v>
      </c>
      <c r="K354" s="28" t="s">
        <v>84</v>
      </c>
      <c r="L354" s="28" t="s">
        <v>85</v>
      </c>
      <c r="M354" s="28" t="s">
        <v>86</v>
      </c>
      <c r="N354" s="28" t="s">
        <v>87</v>
      </c>
      <c r="O354" s="29" t="n">
        <v>18</v>
      </c>
      <c r="P354" s="30" t="n">
        <v>117.6</v>
      </c>
      <c r="Q354" s="30" t="n">
        <v>63.6</v>
      </c>
      <c r="R354" s="30" t="n">
        <f aca="false">ROUND(O354*P354,2)</f>
        <v>2116.8</v>
      </c>
      <c r="S354" s="30" t="n">
        <f aca="false">ROUND(O354*Q354,2)</f>
        <v>1144.8</v>
      </c>
      <c r="T354" s="30" t="n">
        <f aca="false">ROUND(R354*SUMIFS(Parametros!$E$23:$E$38,Parametros!$B$23:$B$38,J354,Parametros!$C$23:$C$38,C354,Parametros!$D$23:$D$38,D354),2)</f>
        <v>25.4</v>
      </c>
      <c r="U354" s="30" t="n">
        <f aca="false">R354-S354-T354</f>
        <v>946.6</v>
      </c>
    </row>
    <row r="355" customFormat="false" ht="15" hidden="false" customHeight="false" outlineLevel="0" collapsed="false">
      <c r="A355" s="0" t="n">
        <v>354</v>
      </c>
      <c r="B355" s="27" t="n">
        <v>45404</v>
      </c>
      <c r="C355" s="0" t="n">
        <v>2024</v>
      </c>
      <c r="D355" s="28" t="s">
        <v>108</v>
      </c>
      <c r="E355" s="0" t="n">
        <v>4</v>
      </c>
      <c r="F355" s="28" t="s">
        <v>109</v>
      </c>
      <c r="G355" s="28" t="s">
        <v>110</v>
      </c>
      <c r="H355" s="28" t="s">
        <v>98</v>
      </c>
      <c r="I355" s="28" t="s">
        <v>99</v>
      </c>
      <c r="J355" s="28" t="s">
        <v>71</v>
      </c>
      <c r="K355" s="28" t="s">
        <v>84</v>
      </c>
      <c r="L355" s="28" t="s">
        <v>85</v>
      </c>
      <c r="M355" s="28" t="s">
        <v>86</v>
      </c>
      <c r="N355" s="28" t="s">
        <v>87</v>
      </c>
      <c r="O355" s="29" t="n">
        <v>6</v>
      </c>
      <c r="P355" s="30" t="n">
        <v>117.6</v>
      </c>
      <c r="Q355" s="30" t="n">
        <v>63.6</v>
      </c>
      <c r="R355" s="30" t="n">
        <f aca="false">ROUND(O355*P355,2)</f>
        <v>705.6</v>
      </c>
      <c r="S355" s="30" t="n">
        <f aca="false">ROUND(O355*Q355,2)</f>
        <v>381.6</v>
      </c>
      <c r="T355" s="30" t="n">
        <f aca="false">ROUND(R355*SUMIFS(Parametros!$E$23:$E$38,Parametros!$B$23:$B$38,J355,Parametros!$C$23:$C$38,C355,Parametros!$D$23:$D$38,D355),2)</f>
        <v>31.05</v>
      </c>
      <c r="U355" s="30" t="n">
        <f aca="false">R355-S355-T355</f>
        <v>292.95</v>
      </c>
    </row>
    <row r="356" customFormat="false" ht="15" hidden="false" customHeight="false" outlineLevel="0" collapsed="false">
      <c r="A356" s="0" t="n">
        <v>355</v>
      </c>
      <c r="B356" s="27" t="n">
        <v>45384</v>
      </c>
      <c r="C356" s="0" t="n">
        <v>2024</v>
      </c>
      <c r="D356" s="28" t="s">
        <v>108</v>
      </c>
      <c r="E356" s="0" t="n">
        <v>4</v>
      </c>
      <c r="F356" s="28" t="s">
        <v>109</v>
      </c>
      <c r="G356" s="28" t="s">
        <v>110</v>
      </c>
      <c r="H356" s="28" t="s">
        <v>98</v>
      </c>
      <c r="I356" s="28" t="s">
        <v>99</v>
      </c>
      <c r="J356" s="28" t="s">
        <v>66</v>
      </c>
      <c r="K356" s="28" t="s">
        <v>84</v>
      </c>
      <c r="L356" s="28" t="s">
        <v>85</v>
      </c>
      <c r="M356" s="28" t="s">
        <v>88</v>
      </c>
      <c r="N356" s="28" t="s">
        <v>89</v>
      </c>
      <c r="O356" s="29" t="n">
        <v>15</v>
      </c>
      <c r="P356" s="30" t="n">
        <v>83.3</v>
      </c>
      <c r="Q356" s="30" t="n">
        <v>48.02</v>
      </c>
      <c r="R356" s="30" t="n">
        <f aca="false">ROUND(O356*P356,2)</f>
        <v>1249.5</v>
      </c>
      <c r="S356" s="30" t="n">
        <f aca="false">ROUND(O356*Q356,2)</f>
        <v>720.3</v>
      </c>
      <c r="T356" s="30" t="n">
        <f aca="false">ROUND(R356*SUMIFS(Parametros!$E$23:$E$38,Parametros!$B$23:$B$38,J356,Parametros!$C$23:$C$38,C356,Parametros!$D$23:$D$38,D356),2)</f>
        <v>14.99</v>
      </c>
      <c r="U356" s="30" t="n">
        <f aca="false">R356-S356-T356</f>
        <v>514.21</v>
      </c>
    </row>
    <row r="357" customFormat="false" ht="15" hidden="false" customHeight="false" outlineLevel="0" collapsed="false">
      <c r="A357" s="0" t="n">
        <v>356</v>
      </c>
      <c r="B357" s="27" t="n">
        <v>45391</v>
      </c>
      <c r="C357" s="0" t="n">
        <v>2024</v>
      </c>
      <c r="D357" s="28" t="s">
        <v>108</v>
      </c>
      <c r="E357" s="0" t="n">
        <v>4</v>
      </c>
      <c r="F357" s="28" t="s">
        <v>109</v>
      </c>
      <c r="G357" s="28" t="s">
        <v>110</v>
      </c>
      <c r="H357" s="28" t="s">
        <v>98</v>
      </c>
      <c r="I357" s="28" t="s">
        <v>99</v>
      </c>
      <c r="J357" s="28" t="s">
        <v>71</v>
      </c>
      <c r="K357" s="28" t="s">
        <v>84</v>
      </c>
      <c r="L357" s="28" t="s">
        <v>85</v>
      </c>
      <c r="M357" s="28" t="s">
        <v>88</v>
      </c>
      <c r="N357" s="28" t="s">
        <v>89</v>
      </c>
      <c r="O357" s="29" t="n">
        <v>6</v>
      </c>
      <c r="P357" s="30" t="n">
        <v>83.3</v>
      </c>
      <c r="Q357" s="30" t="n">
        <v>48.02</v>
      </c>
      <c r="R357" s="30" t="n">
        <f aca="false">ROUND(O357*P357,2)</f>
        <v>499.8</v>
      </c>
      <c r="S357" s="30" t="n">
        <f aca="false">ROUND(O357*Q357,2)</f>
        <v>288.12</v>
      </c>
      <c r="T357" s="30" t="n">
        <f aca="false">ROUND(R357*SUMIFS(Parametros!$E$23:$E$38,Parametros!$B$23:$B$38,J357,Parametros!$C$23:$C$38,C357,Parametros!$D$23:$D$38,D357),2)</f>
        <v>21.99</v>
      </c>
      <c r="U357" s="30" t="n">
        <f aca="false">R357-S357-T357</f>
        <v>189.69</v>
      </c>
    </row>
    <row r="358" customFormat="false" ht="15" hidden="false" customHeight="false" outlineLevel="0" collapsed="false">
      <c r="A358" s="0" t="n">
        <v>357</v>
      </c>
      <c r="B358" s="27" t="n">
        <v>45398</v>
      </c>
      <c r="C358" s="0" t="n">
        <v>2024</v>
      </c>
      <c r="D358" s="28" t="s">
        <v>108</v>
      </c>
      <c r="E358" s="0" t="n">
        <v>4</v>
      </c>
      <c r="F358" s="28" t="s">
        <v>109</v>
      </c>
      <c r="G358" s="28" t="s">
        <v>110</v>
      </c>
      <c r="H358" s="28" t="s">
        <v>98</v>
      </c>
      <c r="I358" s="28" t="s">
        <v>99</v>
      </c>
      <c r="J358" s="28" t="s">
        <v>66</v>
      </c>
      <c r="K358" s="28" t="s">
        <v>90</v>
      </c>
      <c r="L358" s="28" t="s">
        <v>91</v>
      </c>
      <c r="M358" s="28" t="s">
        <v>92</v>
      </c>
      <c r="N358" s="28" t="s">
        <v>93</v>
      </c>
      <c r="O358" s="29" t="n">
        <v>24</v>
      </c>
      <c r="P358" s="30" t="n">
        <v>127.4</v>
      </c>
      <c r="Q358" s="30" t="n">
        <v>76.05</v>
      </c>
      <c r="R358" s="30" t="n">
        <f aca="false">ROUND(O358*P358,2)</f>
        <v>3057.6</v>
      </c>
      <c r="S358" s="30" t="n">
        <f aca="false">ROUND(O358*Q358,2)</f>
        <v>1825.2</v>
      </c>
      <c r="T358" s="30" t="n">
        <f aca="false">ROUND(R358*SUMIFS(Parametros!$E$23:$E$38,Parametros!$B$23:$B$38,J358,Parametros!$C$23:$C$38,C358,Parametros!$D$23:$D$38,D358),2)</f>
        <v>36.69</v>
      </c>
      <c r="U358" s="30" t="n">
        <f aca="false">R358-S358-T358</f>
        <v>1195.71</v>
      </c>
    </row>
    <row r="359" customFormat="false" ht="15" hidden="false" customHeight="false" outlineLevel="0" collapsed="false">
      <c r="A359" s="0" t="n">
        <v>358</v>
      </c>
      <c r="B359" s="27" t="n">
        <v>45405</v>
      </c>
      <c r="C359" s="0" t="n">
        <v>2024</v>
      </c>
      <c r="D359" s="28" t="s">
        <v>108</v>
      </c>
      <c r="E359" s="0" t="n">
        <v>4</v>
      </c>
      <c r="F359" s="28" t="s">
        <v>109</v>
      </c>
      <c r="G359" s="28" t="s">
        <v>110</v>
      </c>
      <c r="H359" s="28" t="s">
        <v>98</v>
      </c>
      <c r="I359" s="28" t="s">
        <v>99</v>
      </c>
      <c r="J359" s="28" t="s">
        <v>71</v>
      </c>
      <c r="K359" s="28" t="s">
        <v>90</v>
      </c>
      <c r="L359" s="28" t="s">
        <v>91</v>
      </c>
      <c r="M359" s="28" t="s">
        <v>92</v>
      </c>
      <c r="N359" s="28" t="s">
        <v>93</v>
      </c>
      <c r="O359" s="29" t="n">
        <v>7</v>
      </c>
      <c r="P359" s="30" t="n">
        <v>127.4</v>
      </c>
      <c r="Q359" s="30" t="n">
        <v>76.05</v>
      </c>
      <c r="R359" s="30" t="n">
        <f aca="false">ROUND(O359*P359,2)</f>
        <v>891.8</v>
      </c>
      <c r="S359" s="30" t="n">
        <f aca="false">ROUND(O359*Q359,2)</f>
        <v>532.35</v>
      </c>
      <c r="T359" s="30" t="n">
        <f aca="false">ROUND(R359*SUMIFS(Parametros!$E$23:$E$38,Parametros!$B$23:$B$38,J359,Parametros!$C$23:$C$38,C359,Parametros!$D$23:$D$38,D359),2)</f>
        <v>39.24</v>
      </c>
      <c r="U359" s="30" t="n">
        <f aca="false">R359-S359-T359</f>
        <v>320.21</v>
      </c>
    </row>
    <row r="360" customFormat="false" ht="15" hidden="false" customHeight="false" outlineLevel="0" collapsed="false">
      <c r="A360" s="0" t="n">
        <v>359</v>
      </c>
      <c r="B360" s="27" t="n">
        <v>45385</v>
      </c>
      <c r="C360" s="0" t="n">
        <v>2024</v>
      </c>
      <c r="D360" s="28" t="s">
        <v>108</v>
      </c>
      <c r="E360" s="0" t="n">
        <v>4</v>
      </c>
      <c r="F360" s="28" t="s">
        <v>109</v>
      </c>
      <c r="G360" s="28" t="s">
        <v>110</v>
      </c>
      <c r="H360" s="28" t="s">
        <v>98</v>
      </c>
      <c r="I360" s="28" t="s">
        <v>99</v>
      </c>
      <c r="J360" s="28" t="s">
        <v>66</v>
      </c>
      <c r="K360" s="28" t="s">
        <v>90</v>
      </c>
      <c r="L360" s="28" t="s">
        <v>91</v>
      </c>
      <c r="M360" s="28" t="s">
        <v>94</v>
      </c>
      <c r="N360" s="28" t="s">
        <v>95</v>
      </c>
      <c r="O360" s="29" t="n">
        <v>23</v>
      </c>
      <c r="P360" s="30" t="n">
        <v>34.3</v>
      </c>
      <c r="Q360" s="30" t="n">
        <v>17.85</v>
      </c>
      <c r="R360" s="30" t="n">
        <f aca="false">ROUND(O360*P360,2)</f>
        <v>788.9</v>
      </c>
      <c r="S360" s="30" t="n">
        <f aca="false">ROUND(O360*Q360,2)</f>
        <v>410.55</v>
      </c>
      <c r="T360" s="30" t="n">
        <f aca="false">ROUND(R360*SUMIFS(Parametros!$E$23:$E$38,Parametros!$B$23:$B$38,J360,Parametros!$C$23:$C$38,C360,Parametros!$D$23:$D$38,D360),2)</f>
        <v>9.47</v>
      </c>
      <c r="U360" s="30" t="n">
        <f aca="false">R360-S360-T360</f>
        <v>368.88</v>
      </c>
    </row>
    <row r="361" customFormat="false" ht="15" hidden="false" customHeight="false" outlineLevel="0" collapsed="false">
      <c r="A361" s="0" t="n">
        <v>360</v>
      </c>
      <c r="B361" s="27" t="n">
        <v>45392</v>
      </c>
      <c r="C361" s="0" t="n">
        <v>2024</v>
      </c>
      <c r="D361" s="28" t="s">
        <v>108</v>
      </c>
      <c r="E361" s="0" t="n">
        <v>4</v>
      </c>
      <c r="F361" s="28" t="s">
        <v>109</v>
      </c>
      <c r="G361" s="28" t="s">
        <v>110</v>
      </c>
      <c r="H361" s="28" t="s">
        <v>98</v>
      </c>
      <c r="I361" s="28" t="s">
        <v>99</v>
      </c>
      <c r="J361" s="28" t="s">
        <v>71</v>
      </c>
      <c r="K361" s="28" t="s">
        <v>90</v>
      </c>
      <c r="L361" s="28" t="s">
        <v>91</v>
      </c>
      <c r="M361" s="28" t="s">
        <v>94</v>
      </c>
      <c r="N361" s="28" t="s">
        <v>95</v>
      </c>
      <c r="O361" s="29" t="n">
        <v>10</v>
      </c>
      <c r="P361" s="30" t="n">
        <v>34.3</v>
      </c>
      <c r="Q361" s="30" t="n">
        <v>17.85</v>
      </c>
      <c r="R361" s="30" t="n">
        <f aca="false">ROUND(O361*P361,2)</f>
        <v>343</v>
      </c>
      <c r="S361" s="30" t="n">
        <f aca="false">ROUND(O361*Q361,2)</f>
        <v>178.5</v>
      </c>
      <c r="T361" s="30" t="n">
        <f aca="false">ROUND(R361*SUMIFS(Parametros!$E$23:$E$38,Parametros!$B$23:$B$38,J361,Parametros!$C$23:$C$38,C361,Parametros!$D$23:$D$38,D361),2)</f>
        <v>15.09</v>
      </c>
      <c r="U361" s="30" t="n">
        <f aca="false">R361-S361-T361</f>
        <v>149.41</v>
      </c>
    </row>
    <row r="362" customFormat="false" ht="15" hidden="false" customHeight="false" outlineLevel="0" collapsed="false">
      <c r="A362" s="0" t="n">
        <v>361</v>
      </c>
      <c r="B362" s="27" t="n">
        <v>45399</v>
      </c>
      <c r="C362" s="0" t="n">
        <v>2024</v>
      </c>
      <c r="D362" s="28" t="s">
        <v>108</v>
      </c>
      <c r="E362" s="0" t="n">
        <v>4</v>
      </c>
      <c r="F362" s="28" t="s">
        <v>109</v>
      </c>
      <c r="G362" s="28" t="s">
        <v>110</v>
      </c>
      <c r="H362" s="28" t="s">
        <v>100</v>
      </c>
      <c r="I362" s="28" t="s">
        <v>101</v>
      </c>
      <c r="J362" s="28" t="s">
        <v>66</v>
      </c>
      <c r="K362" s="28" t="s">
        <v>67</v>
      </c>
      <c r="L362" s="28" t="s">
        <v>68</v>
      </c>
      <c r="M362" s="28" t="s">
        <v>69</v>
      </c>
      <c r="N362" s="28" t="s">
        <v>70</v>
      </c>
      <c r="O362" s="29" t="n">
        <v>6</v>
      </c>
      <c r="P362" s="30" t="n">
        <v>1176</v>
      </c>
      <c r="Q362" s="30" t="n">
        <v>744</v>
      </c>
      <c r="R362" s="30" t="n">
        <f aca="false">ROUND(O362*P362,2)</f>
        <v>7056</v>
      </c>
      <c r="S362" s="30" t="n">
        <f aca="false">ROUND(O362*Q362,2)</f>
        <v>4464</v>
      </c>
      <c r="T362" s="30" t="n">
        <f aca="false">ROUND(R362*SUMIFS(Parametros!$E$23:$E$38,Parametros!$B$23:$B$38,J362,Parametros!$C$23:$C$38,C362,Parametros!$D$23:$D$38,D362),2)</f>
        <v>84.67</v>
      </c>
      <c r="U362" s="30" t="n">
        <f aca="false">R362-S362-T362</f>
        <v>2507.33</v>
      </c>
    </row>
    <row r="363" customFormat="false" ht="15" hidden="false" customHeight="false" outlineLevel="0" collapsed="false">
      <c r="A363" s="0" t="n">
        <v>362</v>
      </c>
      <c r="B363" s="27" t="n">
        <v>45406</v>
      </c>
      <c r="C363" s="0" t="n">
        <v>2024</v>
      </c>
      <c r="D363" s="28" t="s">
        <v>108</v>
      </c>
      <c r="E363" s="0" t="n">
        <v>4</v>
      </c>
      <c r="F363" s="28" t="s">
        <v>109</v>
      </c>
      <c r="G363" s="28" t="s">
        <v>110</v>
      </c>
      <c r="H363" s="28" t="s">
        <v>100</v>
      </c>
      <c r="I363" s="28" t="s">
        <v>101</v>
      </c>
      <c r="J363" s="28" t="s">
        <v>71</v>
      </c>
      <c r="K363" s="28" t="s">
        <v>67</v>
      </c>
      <c r="L363" s="28" t="s">
        <v>68</v>
      </c>
      <c r="M363" s="28" t="s">
        <v>69</v>
      </c>
      <c r="N363" s="28" t="s">
        <v>70</v>
      </c>
      <c r="O363" s="29" t="n">
        <v>2</v>
      </c>
      <c r="P363" s="30" t="n">
        <v>1176</v>
      </c>
      <c r="Q363" s="30" t="n">
        <v>744</v>
      </c>
      <c r="R363" s="30" t="n">
        <f aca="false">ROUND(O363*P363,2)</f>
        <v>2352</v>
      </c>
      <c r="S363" s="30" t="n">
        <f aca="false">ROUND(O363*Q363,2)</f>
        <v>1488</v>
      </c>
      <c r="T363" s="30" t="n">
        <f aca="false">ROUND(R363*SUMIFS(Parametros!$E$23:$E$38,Parametros!$B$23:$B$38,J363,Parametros!$C$23:$C$38,C363,Parametros!$D$23:$D$38,D363),2)</f>
        <v>103.49</v>
      </c>
      <c r="U363" s="30" t="n">
        <f aca="false">R363-S363-T363</f>
        <v>760.51</v>
      </c>
    </row>
    <row r="364" customFormat="false" ht="15" hidden="false" customHeight="false" outlineLevel="0" collapsed="false">
      <c r="A364" s="0" t="n">
        <v>363</v>
      </c>
      <c r="B364" s="27" t="n">
        <v>45386</v>
      </c>
      <c r="C364" s="0" t="n">
        <v>2024</v>
      </c>
      <c r="D364" s="28" t="s">
        <v>108</v>
      </c>
      <c r="E364" s="0" t="n">
        <v>4</v>
      </c>
      <c r="F364" s="28" t="s">
        <v>109</v>
      </c>
      <c r="G364" s="28" t="s">
        <v>110</v>
      </c>
      <c r="H364" s="28" t="s">
        <v>100</v>
      </c>
      <c r="I364" s="28" t="s">
        <v>101</v>
      </c>
      <c r="J364" s="28" t="s">
        <v>66</v>
      </c>
      <c r="K364" s="28" t="s">
        <v>67</v>
      </c>
      <c r="L364" s="28" t="s">
        <v>68</v>
      </c>
      <c r="M364" s="28" t="s">
        <v>72</v>
      </c>
      <c r="N364" s="28" t="s">
        <v>73</v>
      </c>
      <c r="O364" s="29" t="n">
        <v>6</v>
      </c>
      <c r="P364" s="30" t="n">
        <v>441</v>
      </c>
      <c r="Q364" s="30" t="n">
        <v>272.25</v>
      </c>
      <c r="R364" s="30" t="n">
        <f aca="false">ROUND(O364*P364,2)</f>
        <v>2646</v>
      </c>
      <c r="S364" s="30" t="n">
        <f aca="false">ROUND(O364*Q364,2)</f>
        <v>1633.5</v>
      </c>
      <c r="T364" s="30" t="n">
        <f aca="false">ROUND(R364*SUMIFS(Parametros!$E$23:$E$38,Parametros!$B$23:$B$38,J364,Parametros!$C$23:$C$38,C364,Parametros!$D$23:$D$38,D364),2)</f>
        <v>31.75</v>
      </c>
      <c r="U364" s="30" t="n">
        <f aca="false">R364-S364-T364</f>
        <v>980.75</v>
      </c>
    </row>
    <row r="365" customFormat="false" ht="15" hidden="false" customHeight="false" outlineLevel="0" collapsed="false">
      <c r="A365" s="0" t="n">
        <v>364</v>
      </c>
      <c r="B365" s="27" t="n">
        <v>45393</v>
      </c>
      <c r="C365" s="0" t="n">
        <v>2024</v>
      </c>
      <c r="D365" s="28" t="s">
        <v>108</v>
      </c>
      <c r="E365" s="0" t="n">
        <v>4</v>
      </c>
      <c r="F365" s="28" t="s">
        <v>109</v>
      </c>
      <c r="G365" s="28" t="s">
        <v>110</v>
      </c>
      <c r="H365" s="28" t="s">
        <v>100</v>
      </c>
      <c r="I365" s="28" t="s">
        <v>101</v>
      </c>
      <c r="J365" s="28" t="s">
        <v>71</v>
      </c>
      <c r="K365" s="28" t="s">
        <v>67</v>
      </c>
      <c r="L365" s="28" t="s">
        <v>68</v>
      </c>
      <c r="M365" s="28" t="s">
        <v>72</v>
      </c>
      <c r="N365" s="28" t="s">
        <v>73</v>
      </c>
      <c r="O365" s="29" t="n">
        <v>2</v>
      </c>
      <c r="P365" s="30" t="n">
        <v>441</v>
      </c>
      <c r="Q365" s="30" t="n">
        <v>272.25</v>
      </c>
      <c r="R365" s="30" t="n">
        <f aca="false">ROUND(O365*P365,2)</f>
        <v>882</v>
      </c>
      <c r="S365" s="30" t="n">
        <f aca="false">ROUND(O365*Q365,2)</f>
        <v>544.5</v>
      </c>
      <c r="T365" s="30" t="n">
        <f aca="false">ROUND(R365*SUMIFS(Parametros!$E$23:$E$38,Parametros!$B$23:$B$38,J365,Parametros!$C$23:$C$38,C365,Parametros!$D$23:$D$38,D365),2)</f>
        <v>38.81</v>
      </c>
      <c r="U365" s="30" t="n">
        <f aca="false">R365-S365-T365</f>
        <v>298.69</v>
      </c>
    </row>
    <row r="366" customFormat="false" ht="15" hidden="false" customHeight="false" outlineLevel="0" collapsed="false">
      <c r="A366" s="0" t="n">
        <v>365</v>
      </c>
      <c r="B366" s="27" t="n">
        <v>45400</v>
      </c>
      <c r="C366" s="0" t="n">
        <v>2024</v>
      </c>
      <c r="D366" s="28" t="s">
        <v>108</v>
      </c>
      <c r="E366" s="0" t="n">
        <v>4</v>
      </c>
      <c r="F366" s="28" t="s">
        <v>109</v>
      </c>
      <c r="G366" s="28" t="s">
        <v>110</v>
      </c>
      <c r="H366" s="28" t="s">
        <v>100</v>
      </c>
      <c r="I366" s="28" t="s">
        <v>101</v>
      </c>
      <c r="J366" s="28" t="s">
        <v>66</v>
      </c>
      <c r="K366" s="28" t="s">
        <v>67</v>
      </c>
      <c r="L366" s="28" t="s">
        <v>68</v>
      </c>
      <c r="M366" s="28" t="s">
        <v>74</v>
      </c>
      <c r="N366" s="28" t="s">
        <v>75</v>
      </c>
      <c r="O366" s="29" t="n">
        <v>6</v>
      </c>
      <c r="P366" s="30" t="n">
        <v>1617</v>
      </c>
      <c r="Q366" s="30" t="n">
        <v>1122</v>
      </c>
      <c r="R366" s="30" t="n">
        <f aca="false">ROUND(O366*P366,2)</f>
        <v>9702</v>
      </c>
      <c r="S366" s="30" t="n">
        <f aca="false">ROUND(O366*Q366,2)</f>
        <v>6732</v>
      </c>
      <c r="T366" s="30" t="n">
        <f aca="false">ROUND(R366*SUMIFS(Parametros!$E$23:$E$38,Parametros!$B$23:$B$38,J366,Parametros!$C$23:$C$38,C366,Parametros!$D$23:$D$38,D366),2)</f>
        <v>116.42</v>
      </c>
      <c r="U366" s="30" t="n">
        <f aca="false">R366-S366-T366</f>
        <v>2853.58</v>
      </c>
    </row>
    <row r="367" customFormat="false" ht="15" hidden="false" customHeight="false" outlineLevel="0" collapsed="false">
      <c r="A367" s="0" t="n">
        <v>366</v>
      </c>
      <c r="B367" s="27" t="n">
        <v>45407</v>
      </c>
      <c r="C367" s="0" t="n">
        <v>2024</v>
      </c>
      <c r="D367" s="28" t="s">
        <v>108</v>
      </c>
      <c r="E367" s="0" t="n">
        <v>4</v>
      </c>
      <c r="F367" s="28" t="s">
        <v>109</v>
      </c>
      <c r="G367" s="28" t="s">
        <v>110</v>
      </c>
      <c r="H367" s="28" t="s">
        <v>100</v>
      </c>
      <c r="I367" s="28" t="s">
        <v>101</v>
      </c>
      <c r="J367" s="28" t="s">
        <v>71</v>
      </c>
      <c r="K367" s="28" t="s">
        <v>67</v>
      </c>
      <c r="L367" s="28" t="s">
        <v>68</v>
      </c>
      <c r="M367" s="28" t="s">
        <v>74</v>
      </c>
      <c r="N367" s="28" t="s">
        <v>75</v>
      </c>
      <c r="O367" s="29" t="n">
        <v>2</v>
      </c>
      <c r="P367" s="30" t="n">
        <v>1617</v>
      </c>
      <c r="Q367" s="30" t="n">
        <v>1122</v>
      </c>
      <c r="R367" s="30" t="n">
        <f aca="false">ROUND(O367*P367,2)</f>
        <v>3234</v>
      </c>
      <c r="S367" s="30" t="n">
        <f aca="false">ROUND(O367*Q367,2)</f>
        <v>2244</v>
      </c>
      <c r="T367" s="30" t="n">
        <f aca="false">ROUND(R367*SUMIFS(Parametros!$E$23:$E$38,Parametros!$B$23:$B$38,J367,Parametros!$C$23:$C$38,C367,Parametros!$D$23:$D$38,D367),2)</f>
        <v>142.3</v>
      </c>
      <c r="U367" s="30" t="n">
        <f aca="false">R367-S367-T367</f>
        <v>847.7</v>
      </c>
    </row>
    <row r="368" customFormat="false" ht="15" hidden="false" customHeight="false" outlineLevel="0" collapsed="false">
      <c r="A368" s="0" t="n">
        <v>367</v>
      </c>
      <c r="B368" s="27" t="n">
        <v>45387</v>
      </c>
      <c r="C368" s="0" t="n">
        <v>2024</v>
      </c>
      <c r="D368" s="28" t="s">
        <v>108</v>
      </c>
      <c r="E368" s="0" t="n">
        <v>4</v>
      </c>
      <c r="F368" s="28" t="s">
        <v>109</v>
      </c>
      <c r="G368" s="28" t="s">
        <v>110</v>
      </c>
      <c r="H368" s="28" t="s">
        <v>100</v>
      </c>
      <c r="I368" s="28" t="s">
        <v>101</v>
      </c>
      <c r="J368" s="28" t="s">
        <v>66</v>
      </c>
      <c r="K368" s="28" t="s">
        <v>76</v>
      </c>
      <c r="L368" s="28" t="s">
        <v>77</v>
      </c>
      <c r="M368" s="28" t="s">
        <v>78</v>
      </c>
      <c r="N368" s="28" t="s">
        <v>79</v>
      </c>
      <c r="O368" s="29" t="n">
        <v>24</v>
      </c>
      <c r="P368" s="30" t="n">
        <v>27.44</v>
      </c>
      <c r="Q368" s="30" t="n">
        <v>13.44</v>
      </c>
      <c r="R368" s="30" t="n">
        <f aca="false">ROUND(O368*P368,2)</f>
        <v>658.56</v>
      </c>
      <c r="S368" s="30" t="n">
        <f aca="false">ROUND(O368*Q368,2)</f>
        <v>322.56</v>
      </c>
      <c r="T368" s="30" t="n">
        <f aca="false">ROUND(R368*SUMIFS(Parametros!$E$23:$E$38,Parametros!$B$23:$B$38,J368,Parametros!$C$23:$C$38,C368,Parametros!$D$23:$D$38,D368),2)</f>
        <v>7.9</v>
      </c>
      <c r="U368" s="30" t="n">
        <f aca="false">R368-S368-T368</f>
        <v>328.1</v>
      </c>
    </row>
    <row r="369" customFormat="false" ht="15" hidden="false" customHeight="false" outlineLevel="0" collapsed="false">
      <c r="A369" s="0" t="n">
        <v>368</v>
      </c>
      <c r="B369" s="27" t="n">
        <v>45394</v>
      </c>
      <c r="C369" s="0" t="n">
        <v>2024</v>
      </c>
      <c r="D369" s="28" t="s">
        <v>108</v>
      </c>
      <c r="E369" s="0" t="n">
        <v>4</v>
      </c>
      <c r="F369" s="28" t="s">
        <v>109</v>
      </c>
      <c r="G369" s="28" t="s">
        <v>110</v>
      </c>
      <c r="H369" s="28" t="s">
        <v>100</v>
      </c>
      <c r="I369" s="28" t="s">
        <v>101</v>
      </c>
      <c r="J369" s="28" t="s">
        <v>71</v>
      </c>
      <c r="K369" s="28" t="s">
        <v>76</v>
      </c>
      <c r="L369" s="28" t="s">
        <v>77</v>
      </c>
      <c r="M369" s="28" t="s">
        <v>78</v>
      </c>
      <c r="N369" s="28" t="s">
        <v>79</v>
      </c>
      <c r="O369" s="29" t="n">
        <v>11</v>
      </c>
      <c r="P369" s="30" t="n">
        <v>27.44</v>
      </c>
      <c r="Q369" s="30" t="n">
        <v>13.44</v>
      </c>
      <c r="R369" s="30" t="n">
        <f aca="false">ROUND(O369*P369,2)</f>
        <v>301.84</v>
      </c>
      <c r="S369" s="30" t="n">
        <f aca="false">ROUND(O369*Q369,2)</f>
        <v>147.84</v>
      </c>
      <c r="T369" s="30" t="n">
        <f aca="false">ROUND(R369*SUMIFS(Parametros!$E$23:$E$38,Parametros!$B$23:$B$38,J369,Parametros!$C$23:$C$38,C369,Parametros!$D$23:$D$38,D369),2)</f>
        <v>13.28</v>
      </c>
      <c r="U369" s="30" t="n">
        <f aca="false">R369-S369-T369</f>
        <v>140.72</v>
      </c>
    </row>
    <row r="370" customFormat="false" ht="15" hidden="false" customHeight="false" outlineLevel="0" collapsed="false">
      <c r="A370" s="0" t="n">
        <v>369</v>
      </c>
      <c r="B370" s="27" t="n">
        <v>45401</v>
      </c>
      <c r="C370" s="0" t="n">
        <v>2024</v>
      </c>
      <c r="D370" s="28" t="s">
        <v>108</v>
      </c>
      <c r="E370" s="0" t="n">
        <v>4</v>
      </c>
      <c r="F370" s="28" t="s">
        <v>109</v>
      </c>
      <c r="G370" s="28" t="s">
        <v>110</v>
      </c>
      <c r="H370" s="28" t="s">
        <v>100</v>
      </c>
      <c r="I370" s="28" t="s">
        <v>101</v>
      </c>
      <c r="J370" s="28" t="s">
        <v>66</v>
      </c>
      <c r="K370" s="28" t="s">
        <v>76</v>
      </c>
      <c r="L370" s="28" t="s">
        <v>77</v>
      </c>
      <c r="M370" s="28" t="s">
        <v>80</v>
      </c>
      <c r="N370" s="28" t="s">
        <v>81</v>
      </c>
      <c r="O370" s="29" t="n">
        <v>28</v>
      </c>
      <c r="P370" s="30" t="n">
        <v>93.1</v>
      </c>
      <c r="Q370" s="30" t="n">
        <v>47.98</v>
      </c>
      <c r="R370" s="30" t="n">
        <f aca="false">ROUND(O370*P370,2)</f>
        <v>2606.8</v>
      </c>
      <c r="S370" s="30" t="n">
        <f aca="false">ROUND(O370*Q370,2)</f>
        <v>1343.44</v>
      </c>
      <c r="T370" s="30" t="n">
        <f aca="false">ROUND(R370*SUMIFS(Parametros!$E$23:$E$38,Parametros!$B$23:$B$38,J370,Parametros!$C$23:$C$38,C370,Parametros!$D$23:$D$38,D370),2)</f>
        <v>31.28</v>
      </c>
      <c r="U370" s="30" t="n">
        <f aca="false">R370-S370-T370</f>
        <v>1232.08</v>
      </c>
    </row>
    <row r="371" customFormat="false" ht="15" hidden="false" customHeight="false" outlineLevel="0" collapsed="false">
      <c r="A371" s="0" t="n">
        <v>370</v>
      </c>
      <c r="B371" s="27" t="n">
        <v>45408</v>
      </c>
      <c r="C371" s="0" t="n">
        <v>2024</v>
      </c>
      <c r="D371" s="28" t="s">
        <v>108</v>
      </c>
      <c r="E371" s="0" t="n">
        <v>4</v>
      </c>
      <c r="F371" s="28" t="s">
        <v>109</v>
      </c>
      <c r="G371" s="28" t="s">
        <v>110</v>
      </c>
      <c r="H371" s="28" t="s">
        <v>100</v>
      </c>
      <c r="I371" s="28" t="s">
        <v>101</v>
      </c>
      <c r="J371" s="28" t="s">
        <v>71</v>
      </c>
      <c r="K371" s="28" t="s">
        <v>76</v>
      </c>
      <c r="L371" s="28" t="s">
        <v>77</v>
      </c>
      <c r="M371" s="28" t="s">
        <v>80</v>
      </c>
      <c r="N371" s="28" t="s">
        <v>81</v>
      </c>
      <c r="O371" s="29" t="n">
        <v>10</v>
      </c>
      <c r="P371" s="30" t="n">
        <v>93.1</v>
      </c>
      <c r="Q371" s="30" t="n">
        <v>47.98</v>
      </c>
      <c r="R371" s="30" t="n">
        <f aca="false">ROUND(O371*P371,2)</f>
        <v>931</v>
      </c>
      <c r="S371" s="30" t="n">
        <f aca="false">ROUND(O371*Q371,2)</f>
        <v>479.8</v>
      </c>
      <c r="T371" s="30" t="n">
        <f aca="false">ROUND(R371*SUMIFS(Parametros!$E$23:$E$38,Parametros!$B$23:$B$38,J371,Parametros!$C$23:$C$38,C371,Parametros!$D$23:$D$38,D371),2)</f>
        <v>40.96</v>
      </c>
      <c r="U371" s="30" t="n">
        <f aca="false">R371-S371-T371</f>
        <v>410.24</v>
      </c>
    </row>
    <row r="372" customFormat="false" ht="15" hidden="false" customHeight="false" outlineLevel="0" collapsed="false">
      <c r="A372" s="0" t="n">
        <v>371</v>
      </c>
      <c r="B372" s="27" t="n">
        <v>45388</v>
      </c>
      <c r="C372" s="0" t="n">
        <v>2024</v>
      </c>
      <c r="D372" s="28" t="s">
        <v>108</v>
      </c>
      <c r="E372" s="0" t="n">
        <v>4</v>
      </c>
      <c r="F372" s="28" t="s">
        <v>109</v>
      </c>
      <c r="G372" s="28" t="s">
        <v>110</v>
      </c>
      <c r="H372" s="28" t="s">
        <v>100</v>
      </c>
      <c r="I372" s="28" t="s">
        <v>101</v>
      </c>
      <c r="J372" s="28" t="s">
        <v>66</v>
      </c>
      <c r="K372" s="28" t="s">
        <v>76</v>
      </c>
      <c r="L372" s="28" t="s">
        <v>77</v>
      </c>
      <c r="M372" s="28" t="s">
        <v>82</v>
      </c>
      <c r="N372" s="28" t="s">
        <v>83</v>
      </c>
      <c r="O372" s="29" t="n">
        <v>26</v>
      </c>
      <c r="P372" s="30" t="n">
        <v>63.7</v>
      </c>
      <c r="Q372" s="30" t="n">
        <v>35.43</v>
      </c>
      <c r="R372" s="30" t="n">
        <f aca="false">ROUND(O372*P372,2)</f>
        <v>1656.2</v>
      </c>
      <c r="S372" s="30" t="n">
        <f aca="false">ROUND(O372*Q372,2)</f>
        <v>921.18</v>
      </c>
      <c r="T372" s="30" t="n">
        <f aca="false">ROUND(R372*SUMIFS(Parametros!$E$23:$E$38,Parametros!$B$23:$B$38,J372,Parametros!$C$23:$C$38,C372,Parametros!$D$23:$D$38,D372),2)</f>
        <v>19.87</v>
      </c>
      <c r="U372" s="30" t="n">
        <f aca="false">R372-S372-T372</f>
        <v>715.15</v>
      </c>
    </row>
    <row r="373" customFormat="false" ht="15" hidden="false" customHeight="false" outlineLevel="0" collapsed="false">
      <c r="A373" s="0" t="n">
        <v>372</v>
      </c>
      <c r="B373" s="27" t="n">
        <v>45395</v>
      </c>
      <c r="C373" s="0" t="n">
        <v>2024</v>
      </c>
      <c r="D373" s="28" t="s">
        <v>108</v>
      </c>
      <c r="E373" s="0" t="n">
        <v>4</v>
      </c>
      <c r="F373" s="28" t="s">
        <v>109</v>
      </c>
      <c r="G373" s="28" t="s">
        <v>110</v>
      </c>
      <c r="H373" s="28" t="s">
        <v>100</v>
      </c>
      <c r="I373" s="28" t="s">
        <v>101</v>
      </c>
      <c r="J373" s="28" t="s">
        <v>71</v>
      </c>
      <c r="K373" s="28" t="s">
        <v>76</v>
      </c>
      <c r="L373" s="28" t="s">
        <v>77</v>
      </c>
      <c r="M373" s="28" t="s">
        <v>82</v>
      </c>
      <c r="N373" s="28" t="s">
        <v>83</v>
      </c>
      <c r="O373" s="29" t="n">
        <v>12</v>
      </c>
      <c r="P373" s="30" t="n">
        <v>63.7</v>
      </c>
      <c r="Q373" s="30" t="n">
        <v>35.43</v>
      </c>
      <c r="R373" s="30" t="n">
        <f aca="false">ROUND(O373*P373,2)</f>
        <v>764.4</v>
      </c>
      <c r="S373" s="30" t="n">
        <f aca="false">ROUND(O373*Q373,2)</f>
        <v>425.16</v>
      </c>
      <c r="T373" s="30" t="n">
        <f aca="false">ROUND(R373*SUMIFS(Parametros!$E$23:$E$38,Parametros!$B$23:$B$38,J373,Parametros!$C$23:$C$38,C373,Parametros!$D$23:$D$38,D373),2)</f>
        <v>33.63</v>
      </c>
      <c r="U373" s="30" t="n">
        <f aca="false">R373-S373-T373</f>
        <v>305.61</v>
      </c>
    </row>
    <row r="374" customFormat="false" ht="15" hidden="false" customHeight="false" outlineLevel="0" collapsed="false">
      <c r="A374" s="0" t="n">
        <v>373</v>
      </c>
      <c r="B374" s="27" t="n">
        <v>45402</v>
      </c>
      <c r="C374" s="0" t="n">
        <v>2024</v>
      </c>
      <c r="D374" s="28" t="s">
        <v>108</v>
      </c>
      <c r="E374" s="0" t="n">
        <v>4</v>
      </c>
      <c r="F374" s="28" t="s">
        <v>109</v>
      </c>
      <c r="G374" s="28" t="s">
        <v>110</v>
      </c>
      <c r="H374" s="28" t="s">
        <v>100</v>
      </c>
      <c r="I374" s="28" t="s">
        <v>101</v>
      </c>
      <c r="J374" s="28" t="s">
        <v>66</v>
      </c>
      <c r="K374" s="28" t="s">
        <v>84</v>
      </c>
      <c r="L374" s="28" t="s">
        <v>85</v>
      </c>
      <c r="M374" s="28" t="s">
        <v>86</v>
      </c>
      <c r="N374" s="28" t="s">
        <v>87</v>
      </c>
      <c r="O374" s="29" t="n">
        <v>11</v>
      </c>
      <c r="P374" s="30" t="n">
        <v>117.6</v>
      </c>
      <c r="Q374" s="30" t="n">
        <v>63.6</v>
      </c>
      <c r="R374" s="30" t="n">
        <f aca="false">ROUND(O374*P374,2)</f>
        <v>1293.6</v>
      </c>
      <c r="S374" s="30" t="n">
        <f aca="false">ROUND(O374*Q374,2)</f>
        <v>699.6</v>
      </c>
      <c r="T374" s="30" t="n">
        <f aca="false">ROUND(R374*SUMIFS(Parametros!$E$23:$E$38,Parametros!$B$23:$B$38,J374,Parametros!$C$23:$C$38,C374,Parametros!$D$23:$D$38,D374),2)</f>
        <v>15.52</v>
      </c>
      <c r="U374" s="30" t="n">
        <f aca="false">R374-S374-T374</f>
        <v>578.48</v>
      </c>
    </row>
    <row r="375" customFormat="false" ht="15" hidden="false" customHeight="false" outlineLevel="0" collapsed="false">
      <c r="A375" s="0" t="n">
        <v>374</v>
      </c>
      <c r="B375" s="27" t="n">
        <v>45409</v>
      </c>
      <c r="C375" s="0" t="n">
        <v>2024</v>
      </c>
      <c r="D375" s="28" t="s">
        <v>108</v>
      </c>
      <c r="E375" s="0" t="n">
        <v>4</v>
      </c>
      <c r="F375" s="28" t="s">
        <v>109</v>
      </c>
      <c r="G375" s="28" t="s">
        <v>110</v>
      </c>
      <c r="H375" s="28" t="s">
        <v>100</v>
      </c>
      <c r="I375" s="28" t="s">
        <v>101</v>
      </c>
      <c r="J375" s="28" t="s">
        <v>71</v>
      </c>
      <c r="K375" s="28" t="s">
        <v>84</v>
      </c>
      <c r="L375" s="28" t="s">
        <v>85</v>
      </c>
      <c r="M375" s="28" t="s">
        <v>86</v>
      </c>
      <c r="N375" s="28" t="s">
        <v>87</v>
      </c>
      <c r="O375" s="29" t="n">
        <v>5</v>
      </c>
      <c r="P375" s="30" t="n">
        <v>117.6</v>
      </c>
      <c r="Q375" s="30" t="n">
        <v>63.6</v>
      </c>
      <c r="R375" s="30" t="n">
        <f aca="false">ROUND(O375*P375,2)</f>
        <v>588</v>
      </c>
      <c r="S375" s="30" t="n">
        <f aca="false">ROUND(O375*Q375,2)</f>
        <v>318</v>
      </c>
      <c r="T375" s="30" t="n">
        <f aca="false">ROUND(R375*SUMIFS(Parametros!$E$23:$E$38,Parametros!$B$23:$B$38,J375,Parametros!$C$23:$C$38,C375,Parametros!$D$23:$D$38,D375),2)</f>
        <v>25.87</v>
      </c>
      <c r="U375" s="30" t="n">
        <f aca="false">R375-S375-T375</f>
        <v>244.13</v>
      </c>
    </row>
    <row r="376" customFormat="false" ht="15" hidden="false" customHeight="false" outlineLevel="0" collapsed="false">
      <c r="A376" s="0" t="n">
        <v>375</v>
      </c>
      <c r="B376" s="27" t="n">
        <v>45389</v>
      </c>
      <c r="C376" s="0" t="n">
        <v>2024</v>
      </c>
      <c r="D376" s="28" t="s">
        <v>108</v>
      </c>
      <c r="E376" s="0" t="n">
        <v>4</v>
      </c>
      <c r="F376" s="28" t="s">
        <v>109</v>
      </c>
      <c r="G376" s="28" t="s">
        <v>110</v>
      </c>
      <c r="H376" s="28" t="s">
        <v>100</v>
      </c>
      <c r="I376" s="28" t="s">
        <v>101</v>
      </c>
      <c r="J376" s="28" t="s">
        <v>66</v>
      </c>
      <c r="K376" s="28" t="s">
        <v>84</v>
      </c>
      <c r="L376" s="28" t="s">
        <v>85</v>
      </c>
      <c r="M376" s="28" t="s">
        <v>88</v>
      </c>
      <c r="N376" s="28" t="s">
        <v>89</v>
      </c>
      <c r="O376" s="29" t="n">
        <v>15</v>
      </c>
      <c r="P376" s="30" t="n">
        <v>83.3</v>
      </c>
      <c r="Q376" s="30" t="n">
        <v>48.02</v>
      </c>
      <c r="R376" s="30" t="n">
        <f aca="false">ROUND(O376*P376,2)</f>
        <v>1249.5</v>
      </c>
      <c r="S376" s="30" t="n">
        <f aca="false">ROUND(O376*Q376,2)</f>
        <v>720.3</v>
      </c>
      <c r="T376" s="30" t="n">
        <f aca="false">ROUND(R376*SUMIFS(Parametros!$E$23:$E$38,Parametros!$B$23:$B$38,J376,Parametros!$C$23:$C$38,C376,Parametros!$D$23:$D$38,D376),2)</f>
        <v>14.99</v>
      </c>
      <c r="U376" s="30" t="n">
        <f aca="false">R376-S376-T376</f>
        <v>514.21</v>
      </c>
    </row>
    <row r="377" customFormat="false" ht="15" hidden="false" customHeight="false" outlineLevel="0" collapsed="false">
      <c r="A377" s="0" t="n">
        <v>376</v>
      </c>
      <c r="B377" s="27" t="n">
        <v>45396</v>
      </c>
      <c r="C377" s="0" t="n">
        <v>2024</v>
      </c>
      <c r="D377" s="28" t="s">
        <v>108</v>
      </c>
      <c r="E377" s="0" t="n">
        <v>4</v>
      </c>
      <c r="F377" s="28" t="s">
        <v>109</v>
      </c>
      <c r="G377" s="28" t="s">
        <v>110</v>
      </c>
      <c r="H377" s="28" t="s">
        <v>100</v>
      </c>
      <c r="I377" s="28" t="s">
        <v>101</v>
      </c>
      <c r="J377" s="28" t="s">
        <v>71</v>
      </c>
      <c r="K377" s="28" t="s">
        <v>84</v>
      </c>
      <c r="L377" s="28" t="s">
        <v>85</v>
      </c>
      <c r="M377" s="28" t="s">
        <v>88</v>
      </c>
      <c r="N377" s="28" t="s">
        <v>89</v>
      </c>
      <c r="O377" s="29" t="n">
        <v>4</v>
      </c>
      <c r="P377" s="30" t="n">
        <v>83.3</v>
      </c>
      <c r="Q377" s="30" t="n">
        <v>48.02</v>
      </c>
      <c r="R377" s="30" t="n">
        <f aca="false">ROUND(O377*P377,2)</f>
        <v>333.2</v>
      </c>
      <c r="S377" s="30" t="n">
        <f aca="false">ROUND(O377*Q377,2)</f>
        <v>192.08</v>
      </c>
      <c r="T377" s="30" t="n">
        <f aca="false">ROUND(R377*SUMIFS(Parametros!$E$23:$E$38,Parametros!$B$23:$B$38,J377,Parametros!$C$23:$C$38,C377,Parametros!$D$23:$D$38,D377),2)</f>
        <v>14.66</v>
      </c>
      <c r="U377" s="30" t="n">
        <f aca="false">R377-S377-T377</f>
        <v>126.46</v>
      </c>
    </row>
    <row r="378" customFormat="false" ht="15" hidden="false" customHeight="false" outlineLevel="0" collapsed="false">
      <c r="A378" s="0" t="n">
        <v>377</v>
      </c>
      <c r="B378" s="27" t="n">
        <v>45403</v>
      </c>
      <c r="C378" s="0" t="n">
        <v>2024</v>
      </c>
      <c r="D378" s="28" t="s">
        <v>108</v>
      </c>
      <c r="E378" s="0" t="n">
        <v>4</v>
      </c>
      <c r="F378" s="28" t="s">
        <v>109</v>
      </c>
      <c r="G378" s="28" t="s">
        <v>110</v>
      </c>
      <c r="H378" s="28" t="s">
        <v>100</v>
      </c>
      <c r="I378" s="28" t="s">
        <v>101</v>
      </c>
      <c r="J378" s="28" t="s">
        <v>66</v>
      </c>
      <c r="K378" s="28" t="s">
        <v>90</v>
      </c>
      <c r="L378" s="28" t="s">
        <v>91</v>
      </c>
      <c r="M378" s="28" t="s">
        <v>92</v>
      </c>
      <c r="N378" s="28" t="s">
        <v>93</v>
      </c>
      <c r="O378" s="29" t="n">
        <v>17</v>
      </c>
      <c r="P378" s="30" t="n">
        <v>127.4</v>
      </c>
      <c r="Q378" s="30" t="n">
        <v>76.05</v>
      </c>
      <c r="R378" s="30" t="n">
        <f aca="false">ROUND(O378*P378,2)</f>
        <v>2165.8</v>
      </c>
      <c r="S378" s="30" t="n">
        <f aca="false">ROUND(O378*Q378,2)</f>
        <v>1292.85</v>
      </c>
      <c r="T378" s="30" t="n">
        <f aca="false">ROUND(R378*SUMIFS(Parametros!$E$23:$E$38,Parametros!$B$23:$B$38,J378,Parametros!$C$23:$C$38,C378,Parametros!$D$23:$D$38,D378),2)</f>
        <v>25.99</v>
      </c>
      <c r="U378" s="30" t="n">
        <f aca="false">R378-S378-T378</f>
        <v>846.96</v>
      </c>
    </row>
    <row r="379" customFormat="false" ht="15" hidden="false" customHeight="false" outlineLevel="0" collapsed="false">
      <c r="A379" s="0" t="n">
        <v>378</v>
      </c>
      <c r="B379" s="27" t="n">
        <v>45383</v>
      </c>
      <c r="C379" s="0" t="n">
        <v>2024</v>
      </c>
      <c r="D379" s="28" t="s">
        <v>108</v>
      </c>
      <c r="E379" s="0" t="n">
        <v>4</v>
      </c>
      <c r="F379" s="28" t="s">
        <v>109</v>
      </c>
      <c r="G379" s="28" t="s">
        <v>110</v>
      </c>
      <c r="H379" s="28" t="s">
        <v>100</v>
      </c>
      <c r="I379" s="28" t="s">
        <v>101</v>
      </c>
      <c r="J379" s="28" t="s">
        <v>71</v>
      </c>
      <c r="K379" s="28" t="s">
        <v>90</v>
      </c>
      <c r="L379" s="28" t="s">
        <v>91</v>
      </c>
      <c r="M379" s="28" t="s">
        <v>92</v>
      </c>
      <c r="N379" s="28" t="s">
        <v>93</v>
      </c>
      <c r="O379" s="29" t="n">
        <v>6</v>
      </c>
      <c r="P379" s="30" t="n">
        <v>127.4</v>
      </c>
      <c r="Q379" s="30" t="n">
        <v>76.05</v>
      </c>
      <c r="R379" s="30" t="n">
        <f aca="false">ROUND(O379*P379,2)</f>
        <v>764.4</v>
      </c>
      <c r="S379" s="30" t="n">
        <f aca="false">ROUND(O379*Q379,2)</f>
        <v>456.3</v>
      </c>
      <c r="T379" s="30" t="n">
        <f aca="false">ROUND(R379*SUMIFS(Parametros!$E$23:$E$38,Parametros!$B$23:$B$38,J379,Parametros!$C$23:$C$38,C379,Parametros!$D$23:$D$38,D379),2)</f>
        <v>33.63</v>
      </c>
      <c r="U379" s="30" t="n">
        <f aca="false">R379-S379-T379</f>
        <v>274.47</v>
      </c>
    </row>
    <row r="380" customFormat="false" ht="15" hidden="false" customHeight="false" outlineLevel="0" collapsed="false">
      <c r="A380" s="0" t="n">
        <v>379</v>
      </c>
      <c r="B380" s="27" t="n">
        <v>45390</v>
      </c>
      <c r="C380" s="0" t="n">
        <v>2024</v>
      </c>
      <c r="D380" s="28" t="s">
        <v>108</v>
      </c>
      <c r="E380" s="0" t="n">
        <v>4</v>
      </c>
      <c r="F380" s="28" t="s">
        <v>109</v>
      </c>
      <c r="G380" s="28" t="s">
        <v>110</v>
      </c>
      <c r="H380" s="28" t="s">
        <v>100</v>
      </c>
      <c r="I380" s="28" t="s">
        <v>101</v>
      </c>
      <c r="J380" s="28" t="s">
        <v>66</v>
      </c>
      <c r="K380" s="28" t="s">
        <v>90</v>
      </c>
      <c r="L380" s="28" t="s">
        <v>91</v>
      </c>
      <c r="M380" s="28" t="s">
        <v>94</v>
      </c>
      <c r="N380" s="28" t="s">
        <v>95</v>
      </c>
      <c r="O380" s="29" t="n">
        <v>19</v>
      </c>
      <c r="P380" s="30" t="n">
        <v>34.3</v>
      </c>
      <c r="Q380" s="30" t="n">
        <v>17.85</v>
      </c>
      <c r="R380" s="30" t="n">
        <f aca="false">ROUND(O380*P380,2)</f>
        <v>651.7</v>
      </c>
      <c r="S380" s="30" t="n">
        <f aca="false">ROUND(O380*Q380,2)</f>
        <v>339.15</v>
      </c>
      <c r="T380" s="30" t="n">
        <f aca="false">ROUND(R380*SUMIFS(Parametros!$E$23:$E$38,Parametros!$B$23:$B$38,J380,Parametros!$C$23:$C$38,C380,Parametros!$D$23:$D$38,D380),2)</f>
        <v>7.82</v>
      </c>
      <c r="U380" s="30" t="n">
        <f aca="false">R380-S380-T380</f>
        <v>304.73</v>
      </c>
    </row>
    <row r="381" customFormat="false" ht="15" hidden="false" customHeight="false" outlineLevel="0" collapsed="false">
      <c r="A381" s="0" t="n">
        <v>380</v>
      </c>
      <c r="B381" s="27" t="n">
        <v>45397</v>
      </c>
      <c r="C381" s="0" t="n">
        <v>2024</v>
      </c>
      <c r="D381" s="28" t="s">
        <v>108</v>
      </c>
      <c r="E381" s="0" t="n">
        <v>4</v>
      </c>
      <c r="F381" s="28" t="s">
        <v>109</v>
      </c>
      <c r="G381" s="28" t="s">
        <v>110</v>
      </c>
      <c r="H381" s="28" t="s">
        <v>100</v>
      </c>
      <c r="I381" s="28" t="s">
        <v>101</v>
      </c>
      <c r="J381" s="28" t="s">
        <v>71</v>
      </c>
      <c r="K381" s="28" t="s">
        <v>90</v>
      </c>
      <c r="L381" s="28" t="s">
        <v>91</v>
      </c>
      <c r="M381" s="28" t="s">
        <v>94</v>
      </c>
      <c r="N381" s="28" t="s">
        <v>95</v>
      </c>
      <c r="O381" s="29" t="n">
        <v>7</v>
      </c>
      <c r="P381" s="30" t="n">
        <v>34.3</v>
      </c>
      <c r="Q381" s="30" t="n">
        <v>17.85</v>
      </c>
      <c r="R381" s="30" t="n">
        <f aca="false">ROUND(O381*P381,2)</f>
        <v>240.1</v>
      </c>
      <c r="S381" s="30" t="n">
        <f aca="false">ROUND(O381*Q381,2)</f>
        <v>124.95</v>
      </c>
      <c r="T381" s="30" t="n">
        <f aca="false">ROUND(R381*SUMIFS(Parametros!$E$23:$E$38,Parametros!$B$23:$B$38,J381,Parametros!$C$23:$C$38,C381,Parametros!$D$23:$D$38,D381),2)</f>
        <v>10.56</v>
      </c>
      <c r="U381" s="30" t="n">
        <f aca="false">R381-S381-T381</f>
        <v>104.59</v>
      </c>
    </row>
    <row r="382" customFormat="false" ht="15" hidden="false" customHeight="false" outlineLevel="0" collapsed="false">
      <c r="A382" s="0" t="n">
        <v>381</v>
      </c>
      <c r="B382" s="27" t="n">
        <v>45404</v>
      </c>
      <c r="C382" s="0" t="n">
        <v>2024</v>
      </c>
      <c r="D382" s="28" t="s">
        <v>108</v>
      </c>
      <c r="E382" s="0" t="n">
        <v>4</v>
      </c>
      <c r="F382" s="28" t="s">
        <v>109</v>
      </c>
      <c r="G382" s="28" t="s">
        <v>110</v>
      </c>
      <c r="H382" s="28" t="s">
        <v>102</v>
      </c>
      <c r="I382" s="28" t="s">
        <v>103</v>
      </c>
      <c r="J382" s="28" t="s">
        <v>66</v>
      </c>
      <c r="K382" s="28" t="s">
        <v>67</v>
      </c>
      <c r="L382" s="28" t="s">
        <v>68</v>
      </c>
      <c r="M382" s="28" t="s">
        <v>69</v>
      </c>
      <c r="N382" s="28" t="s">
        <v>70</v>
      </c>
      <c r="O382" s="29" t="n">
        <v>5</v>
      </c>
      <c r="P382" s="30" t="n">
        <v>1176</v>
      </c>
      <c r="Q382" s="30" t="n">
        <v>744</v>
      </c>
      <c r="R382" s="30" t="n">
        <f aca="false">ROUND(O382*P382,2)</f>
        <v>5880</v>
      </c>
      <c r="S382" s="30" t="n">
        <f aca="false">ROUND(O382*Q382,2)</f>
        <v>3720</v>
      </c>
      <c r="T382" s="30" t="n">
        <f aca="false">ROUND(R382*SUMIFS(Parametros!$E$23:$E$38,Parametros!$B$23:$B$38,J382,Parametros!$C$23:$C$38,C382,Parametros!$D$23:$D$38,D382),2)</f>
        <v>70.56</v>
      </c>
      <c r="U382" s="30" t="n">
        <f aca="false">R382-S382-T382</f>
        <v>2089.44</v>
      </c>
    </row>
    <row r="383" customFormat="false" ht="15" hidden="false" customHeight="false" outlineLevel="0" collapsed="false">
      <c r="A383" s="0" t="n">
        <v>382</v>
      </c>
      <c r="B383" s="27" t="n">
        <v>45384</v>
      </c>
      <c r="C383" s="0" t="n">
        <v>2024</v>
      </c>
      <c r="D383" s="28" t="s">
        <v>108</v>
      </c>
      <c r="E383" s="0" t="n">
        <v>4</v>
      </c>
      <c r="F383" s="28" t="s">
        <v>109</v>
      </c>
      <c r="G383" s="28" t="s">
        <v>110</v>
      </c>
      <c r="H383" s="28" t="s">
        <v>102</v>
      </c>
      <c r="I383" s="28" t="s">
        <v>103</v>
      </c>
      <c r="J383" s="28" t="s">
        <v>71</v>
      </c>
      <c r="K383" s="28" t="s">
        <v>67</v>
      </c>
      <c r="L383" s="28" t="s">
        <v>68</v>
      </c>
      <c r="M383" s="28" t="s">
        <v>69</v>
      </c>
      <c r="N383" s="28" t="s">
        <v>70</v>
      </c>
      <c r="O383" s="29" t="n">
        <v>2</v>
      </c>
      <c r="P383" s="30" t="n">
        <v>1176</v>
      </c>
      <c r="Q383" s="30" t="n">
        <v>744</v>
      </c>
      <c r="R383" s="30" t="n">
        <f aca="false">ROUND(O383*P383,2)</f>
        <v>2352</v>
      </c>
      <c r="S383" s="30" t="n">
        <f aca="false">ROUND(O383*Q383,2)</f>
        <v>1488</v>
      </c>
      <c r="T383" s="30" t="n">
        <f aca="false">ROUND(R383*SUMIFS(Parametros!$E$23:$E$38,Parametros!$B$23:$B$38,J383,Parametros!$C$23:$C$38,C383,Parametros!$D$23:$D$38,D383),2)</f>
        <v>103.49</v>
      </c>
      <c r="U383" s="30" t="n">
        <f aca="false">R383-S383-T383</f>
        <v>760.51</v>
      </c>
    </row>
    <row r="384" customFormat="false" ht="15" hidden="false" customHeight="false" outlineLevel="0" collapsed="false">
      <c r="A384" s="0" t="n">
        <v>383</v>
      </c>
      <c r="B384" s="27" t="n">
        <v>45391</v>
      </c>
      <c r="C384" s="0" t="n">
        <v>2024</v>
      </c>
      <c r="D384" s="28" t="s">
        <v>108</v>
      </c>
      <c r="E384" s="0" t="n">
        <v>4</v>
      </c>
      <c r="F384" s="28" t="s">
        <v>109</v>
      </c>
      <c r="G384" s="28" t="s">
        <v>110</v>
      </c>
      <c r="H384" s="28" t="s">
        <v>102</v>
      </c>
      <c r="I384" s="28" t="s">
        <v>103</v>
      </c>
      <c r="J384" s="28" t="s">
        <v>66</v>
      </c>
      <c r="K384" s="28" t="s">
        <v>67</v>
      </c>
      <c r="L384" s="28" t="s">
        <v>68</v>
      </c>
      <c r="M384" s="28" t="s">
        <v>72</v>
      </c>
      <c r="N384" s="28" t="s">
        <v>73</v>
      </c>
      <c r="O384" s="29" t="n">
        <v>6</v>
      </c>
      <c r="P384" s="30" t="n">
        <v>441</v>
      </c>
      <c r="Q384" s="30" t="n">
        <v>272.25</v>
      </c>
      <c r="R384" s="30" t="n">
        <f aca="false">ROUND(O384*P384,2)</f>
        <v>2646</v>
      </c>
      <c r="S384" s="30" t="n">
        <f aca="false">ROUND(O384*Q384,2)</f>
        <v>1633.5</v>
      </c>
      <c r="T384" s="30" t="n">
        <f aca="false">ROUND(R384*SUMIFS(Parametros!$E$23:$E$38,Parametros!$B$23:$B$38,J384,Parametros!$C$23:$C$38,C384,Parametros!$D$23:$D$38,D384),2)</f>
        <v>31.75</v>
      </c>
      <c r="U384" s="30" t="n">
        <f aca="false">R384-S384-T384</f>
        <v>980.75</v>
      </c>
    </row>
    <row r="385" customFormat="false" ht="15" hidden="false" customHeight="false" outlineLevel="0" collapsed="false">
      <c r="A385" s="0" t="n">
        <v>384</v>
      </c>
      <c r="B385" s="27" t="n">
        <v>45398</v>
      </c>
      <c r="C385" s="0" t="n">
        <v>2024</v>
      </c>
      <c r="D385" s="28" t="s">
        <v>108</v>
      </c>
      <c r="E385" s="0" t="n">
        <v>4</v>
      </c>
      <c r="F385" s="28" t="s">
        <v>109</v>
      </c>
      <c r="G385" s="28" t="s">
        <v>110</v>
      </c>
      <c r="H385" s="28" t="s">
        <v>102</v>
      </c>
      <c r="I385" s="28" t="s">
        <v>103</v>
      </c>
      <c r="J385" s="28" t="s">
        <v>71</v>
      </c>
      <c r="K385" s="28" t="s">
        <v>67</v>
      </c>
      <c r="L385" s="28" t="s">
        <v>68</v>
      </c>
      <c r="M385" s="28" t="s">
        <v>72</v>
      </c>
      <c r="N385" s="28" t="s">
        <v>73</v>
      </c>
      <c r="O385" s="29" t="n">
        <v>3</v>
      </c>
      <c r="P385" s="30" t="n">
        <v>441</v>
      </c>
      <c r="Q385" s="30" t="n">
        <v>272.25</v>
      </c>
      <c r="R385" s="30" t="n">
        <f aca="false">ROUND(O385*P385,2)</f>
        <v>1323</v>
      </c>
      <c r="S385" s="30" t="n">
        <f aca="false">ROUND(O385*Q385,2)</f>
        <v>816.75</v>
      </c>
      <c r="T385" s="30" t="n">
        <f aca="false">ROUND(R385*SUMIFS(Parametros!$E$23:$E$38,Parametros!$B$23:$B$38,J385,Parametros!$C$23:$C$38,C385,Parametros!$D$23:$D$38,D385),2)</f>
        <v>58.21</v>
      </c>
      <c r="U385" s="30" t="n">
        <f aca="false">R385-S385-T385</f>
        <v>448.04</v>
      </c>
    </row>
    <row r="386" customFormat="false" ht="15" hidden="false" customHeight="false" outlineLevel="0" collapsed="false">
      <c r="A386" s="0" t="n">
        <v>385</v>
      </c>
      <c r="B386" s="27" t="n">
        <v>45405</v>
      </c>
      <c r="C386" s="0" t="n">
        <v>2024</v>
      </c>
      <c r="D386" s="28" t="s">
        <v>108</v>
      </c>
      <c r="E386" s="0" t="n">
        <v>4</v>
      </c>
      <c r="F386" s="28" t="s">
        <v>109</v>
      </c>
      <c r="G386" s="28" t="s">
        <v>110</v>
      </c>
      <c r="H386" s="28" t="s">
        <v>102</v>
      </c>
      <c r="I386" s="28" t="s">
        <v>103</v>
      </c>
      <c r="J386" s="28" t="s">
        <v>66</v>
      </c>
      <c r="K386" s="28" t="s">
        <v>67</v>
      </c>
      <c r="L386" s="28" t="s">
        <v>68</v>
      </c>
      <c r="M386" s="28" t="s">
        <v>74</v>
      </c>
      <c r="N386" s="28" t="s">
        <v>75</v>
      </c>
      <c r="O386" s="29" t="n">
        <v>6</v>
      </c>
      <c r="P386" s="30" t="n">
        <v>1617</v>
      </c>
      <c r="Q386" s="30" t="n">
        <v>1122</v>
      </c>
      <c r="R386" s="30" t="n">
        <f aca="false">ROUND(O386*P386,2)</f>
        <v>9702</v>
      </c>
      <c r="S386" s="30" t="n">
        <f aca="false">ROUND(O386*Q386,2)</f>
        <v>6732</v>
      </c>
      <c r="T386" s="30" t="n">
        <f aca="false">ROUND(R386*SUMIFS(Parametros!$E$23:$E$38,Parametros!$B$23:$B$38,J386,Parametros!$C$23:$C$38,C386,Parametros!$D$23:$D$38,D386),2)</f>
        <v>116.42</v>
      </c>
      <c r="U386" s="30" t="n">
        <f aca="false">R386-S386-T386</f>
        <v>2853.58</v>
      </c>
    </row>
    <row r="387" customFormat="false" ht="15" hidden="false" customHeight="false" outlineLevel="0" collapsed="false">
      <c r="A387" s="0" t="n">
        <v>386</v>
      </c>
      <c r="B387" s="27" t="n">
        <v>45385</v>
      </c>
      <c r="C387" s="0" t="n">
        <v>2024</v>
      </c>
      <c r="D387" s="28" t="s">
        <v>108</v>
      </c>
      <c r="E387" s="0" t="n">
        <v>4</v>
      </c>
      <c r="F387" s="28" t="s">
        <v>109</v>
      </c>
      <c r="G387" s="28" t="s">
        <v>110</v>
      </c>
      <c r="H387" s="28" t="s">
        <v>102</v>
      </c>
      <c r="I387" s="28" t="s">
        <v>103</v>
      </c>
      <c r="J387" s="28" t="s">
        <v>71</v>
      </c>
      <c r="K387" s="28" t="s">
        <v>67</v>
      </c>
      <c r="L387" s="28" t="s">
        <v>68</v>
      </c>
      <c r="M387" s="28" t="s">
        <v>74</v>
      </c>
      <c r="N387" s="28" t="s">
        <v>75</v>
      </c>
      <c r="O387" s="29" t="n">
        <v>2</v>
      </c>
      <c r="P387" s="30" t="n">
        <v>1617</v>
      </c>
      <c r="Q387" s="30" t="n">
        <v>1122</v>
      </c>
      <c r="R387" s="30" t="n">
        <f aca="false">ROUND(O387*P387,2)</f>
        <v>3234</v>
      </c>
      <c r="S387" s="30" t="n">
        <f aca="false">ROUND(O387*Q387,2)</f>
        <v>2244</v>
      </c>
      <c r="T387" s="30" t="n">
        <f aca="false">ROUND(R387*SUMIFS(Parametros!$E$23:$E$38,Parametros!$B$23:$B$38,J387,Parametros!$C$23:$C$38,C387,Parametros!$D$23:$D$38,D387),2)</f>
        <v>142.3</v>
      </c>
      <c r="U387" s="30" t="n">
        <f aca="false">R387-S387-T387</f>
        <v>847.7</v>
      </c>
    </row>
    <row r="388" customFormat="false" ht="15" hidden="false" customHeight="false" outlineLevel="0" collapsed="false">
      <c r="A388" s="0" t="n">
        <v>387</v>
      </c>
      <c r="B388" s="27" t="n">
        <v>45392</v>
      </c>
      <c r="C388" s="0" t="n">
        <v>2024</v>
      </c>
      <c r="D388" s="28" t="s">
        <v>108</v>
      </c>
      <c r="E388" s="0" t="n">
        <v>4</v>
      </c>
      <c r="F388" s="28" t="s">
        <v>109</v>
      </c>
      <c r="G388" s="28" t="s">
        <v>110</v>
      </c>
      <c r="H388" s="28" t="s">
        <v>102</v>
      </c>
      <c r="I388" s="28" t="s">
        <v>103</v>
      </c>
      <c r="J388" s="28" t="s">
        <v>66</v>
      </c>
      <c r="K388" s="28" t="s">
        <v>76</v>
      </c>
      <c r="L388" s="28" t="s">
        <v>77</v>
      </c>
      <c r="M388" s="28" t="s">
        <v>78</v>
      </c>
      <c r="N388" s="28" t="s">
        <v>79</v>
      </c>
      <c r="O388" s="29" t="n">
        <v>33</v>
      </c>
      <c r="P388" s="30" t="n">
        <v>27.44</v>
      </c>
      <c r="Q388" s="30" t="n">
        <v>13.44</v>
      </c>
      <c r="R388" s="30" t="n">
        <f aca="false">ROUND(O388*P388,2)</f>
        <v>905.52</v>
      </c>
      <c r="S388" s="30" t="n">
        <f aca="false">ROUND(O388*Q388,2)</f>
        <v>443.52</v>
      </c>
      <c r="T388" s="30" t="n">
        <f aca="false">ROUND(R388*SUMIFS(Parametros!$E$23:$E$38,Parametros!$B$23:$B$38,J388,Parametros!$C$23:$C$38,C388,Parametros!$D$23:$D$38,D388),2)</f>
        <v>10.87</v>
      </c>
      <c r="U388" s="30" t="n">
        <f aca="false">R388-S388-T388</f>
        <v>451.13</v>
      </c>
    </row>
    <row r="389" customFormat="false" ht="15" hidden="false" customHeight="false" outlineLevel="0" collapsed="false">
      <c r="A389" s="0" t="n">
        <v>388</v>
      </c>
      <c r="B389" s="27" t="n">
        <v>45399</v>
      </c>
      <c r="C389" s="0" t="n">
        <v>2024</v>
      </c>
      <c r="D389" s="28" t="s">
        <v>108</v>
      </c>
      <c r="E389" s="0" t="n">
        <v>4</v>
      </c>
      <c r="F389" s="28" t="s">
        <v>109</v>
      </c>
      <c r="G389" s="28" t="s">
        <v>110</v>
      </c>
      <c r="H389" s="28" t="s">
        <v>102</v>
      </c>
      <c r="I389" s="28" t="s">
        <v>103</v>
      </c>
      <c r="J389" s="28" t="s">
        <v>71</v>
      </c>
      <c r="K389" s="28" t="s">
        <v>76</v>
      </c>
      <c r="L389" s="28" t="s">
        <v>77</v>
      </c>
      <c r="M389" s="28" t="s">
        <v>78</v>
      </c>
      <c r="N389" s="28" t="s">
        <v>79</v>
      </c>
      <c r="O389" s="29" t="n">
        <v>9</v>
      </c>
      <c r="P389" s="30" t="n">
        <v>27.44</v>
      </c>
      <c r="Q389" s="30" t="n">
        <v>13.44</v>
      </c>
      <c r="R389" s="30" t="n">
        <f aca="false">ROUND(O389*P389,2)</f>
        <v>246.96</v>
      </c>
      <c r="S389" s="30" t="n">
        <f aca="false">ROUND(O389*Q389,2)</f>
        <v>120.96</v>
      </c>
      <c r="T389" s="30" t="n">
        <f aca="false">ROUND(R389*SUMIFS(Parametros!$E$23:$E$38,Parametros!$B$23:$B$38,J389,Parametros!$C$23:$C$38,C389,Parametros!$D$23:$D$38,D389),2)</f>
        <v>10.87</v>
      </c>
      <c r="U389" s="30" t="n">
        <f aca="false">R389-S389-T389</f>
        <v>115.13</v>
      </c>
    </row>
    <row r="390" customFormat="false" ht="15" hidden="false" customHeight="false" outlineLevel="0" collapsed="false">
      <c r="A390" s="0" t="n">
        <v>389</v>
      </c>
      <c r="B390" s="27" t="n">
        <v>45406</v>
      </c>
      <c r="C390" s="0" t="n">
        <v>2024</v>
      </c>
      <c r="D390" s="28" t="s">
        <v>108</v>
      </c>
      <c r="E390" s="0" t="n">
        <v>4</v>
      </c>
      <c r="F390" s="28" t="s">
        <v>109</v>
      </c>
      <c r="G390" s="28" t="s">
        <v>110</v>
      </c>
      <c r="H390" s="28" t="s">
        <v>102</v>
      </c>
      <c r="I390" s="28" t="s">
        <v>103</v>
      </c>
      <c r="J390" s="28" t="s">
        <v>66</v>
      </c>
      <c r="K390" s="28" t="s">
        <v>76</v>
      </c>
      <c r="L390" s="28" t="s">
        <v>77</v>
      </c>
      <c r="M390" s="28" t="s">
        <v>80</v>
      </c>
      <c r="N390" s="28" t="s">
        <v>81</v>
      </c>
      <c r="O390" s="29" t="n">
        <v>27</v>
      </c>
      <c r="P390" s="30" t="n">
        <v>93.1</v>
      </c>
      <c r="Q390" s="30" t="n">
        <v>47.98</v>
      </c>
      <c r="R390" s="30" t="n">
        <f aca="false">ROUND(O390*P390,2)</f>
        <v>2513.7</v>
      </c>
      <c r="S390" s="30" t="n">
        <f aca="false">ROUND(O390*Q390,2)</f>
        <v>1295.46</v>
      </c>
      <c r="T390" s="30" t="n">
        <f aca="false">ROUND(R390*SUMIFS(Parametros!$E$23:$E$38,Parametros!$B$23:$B$38,J390,Parametros!$C$23:$C$38,C390,Parametros!$D$23:$D$38,D390),2)</f>
        <v>30.16</v>
      </c>
      <c r="U390" s="30" t="n">
        <f aca="false">R390-S390-T390</f>
        <v>1188.08</v>
      </c>
    </row>
    <row r="391" customFormat="false" ht="15" hidden="false" customHeight="false" outlineLevel="0" collapsed="false">
      <c r="A391" s="0" t="n">
        <v>390</v>
      </c>
      <c r="B391" s="27" t="n">
        <v>45386</v>
      </c>
      <c r="C391" s="0" t="n">
        <v>2024</v>
      </c>
      <c r="D391" s="28" t="s">
        <v>108</v>
      </c>
      <c r="E391" s="0" t="n">
        <v>4</v>
      </c>
      <c r="F391" s="28" t="s">
        <v>109</v>
      </c>
      <c r="G391" s="28" t="s">
        <v>110</v>
      </c>
      <c r="H391" s="28" t="s">
        <v>102</v>
      </c>
      <c r="I391" s="28" t="s">
        <v>103</v>
      </c>
      <c r="J391" s="28" t="s">
        <v>71</v>
      </c>
      <c r="K391" s="28" t="s">
        <v>76</v>
      </c>
      <c r="L391" s="28" t="s">
        <v>77</v>
      </c>
      <c r="M391" s="28" t="s">
        <v>80</v>
      </c>
      <c r="N391" s="28" t="s">
        <v>81</v>
      </c>
      <c r="O391" s="29" t="n">
        <v>12</v>
      </c>
      <c r="P391" s="30" t="n">
        <v>93.1</v>
      </c>
      <c r="Q391" s="30" t="n">
        <v>47.98</v>
      </c>
      <c r="R391" s="30" t="n">
        <f aca="false">ROUND(O391*P391,2)</f>
        <v>1117.2</v>
      </c>
      <c r="S391" s="30" t="n">
        <f aca="false">ROUND(O391*Q391,2)</f>
        <v>575.76</v>
      </c>
      <c r="T391" s="30" t="n">
        <f aca="false">ROUND(R391*SUMIFS(Parametros!$E$23:$E$38,Parametros!$B$23:$B$38,J391,Parametros!$C$23:$C$38,C391,Parametros!$D$23:$D$38,D391),2)</f>
        <v>49.16</v>
      </c>
      <c r="U391" s="30" t="n">
        <f aca="false">R391-S391-T391</f>
        <v>492.28</v>
      </c>
    </row>
    <row r="392" customFormat="false" ht="15" hidden="false" customHeight="false" outlineLevel="0" collapsed="false">
      <c r="A392" s="0" t="n">
        <v>391</v>
      </c>
      <c r="B392" s="27" t="n">
        <v>45393</v>
      </c>
      <c r="C392" s="0" t="n">
        <v>2024</v>
      </c>
      <c r="D392" s="28" t="s">
        <v>108</v>
      </c>
      <c r="E392" s="0" t="n">
        <v>4</v>
      </c>
      <c r="F392" s="28" t="s">
        <v>109</v>
      </c>
      <c r="G392" s="28" t="s">
        <v>110</v>
      </c>
      <c r="H392" s="28" t="s">
        <v>102</v>
      </c>
      <c r="I392" s="28" t="s">
        <v>103</v>
      </c>
      <c r="J392" s="28" t="s">
        <v>66</v>
      </c>
      <c r="K392" s="28" t="s">
        <v>76</v>
      </c>
      <c r="L392" s="28" t="s">
        <v>77</v>
      </c>
      <c r="M392" s="28" t="s">
        <v>82</v>
      </c>
      <c r="N392" s="28" t="s">
        <v>83</v>
      </c>
      <c r="O392" s="29" t="n">
        <v>32</v>
      </c>
      <c r="P392" s="30" t="n">
        <v>63.7</v>
      </c>
      <c r="Q392" s="30" t="n">
        <v>35.43</v>
      </c>
      <c r="R392" s="30" t="n">
        <f aca="false">ROUND(O392*P392,2)</f>
        <v>2038.4</v>
      </c>
      <c r="S392" s="30" t="n">
        <f aca="false">ROUND(O392*Q392,2)</f>
        <v>1133.76</v>
      </c>
      <c r="T392" s="30" t="n">
        <f aca="false">ROUND(R392*SUMIFS(Parametros!$E$23:$E$38,Parametros!$B$23:$B$38,J392,Parametros!$C$23:$C$38,C392,Parametros!$D$23:$D$38,D392),2)</f>
        <v>24.46</v>
      </c>
      <c r="U392" s="30" t="n">
        <f aca="false">R392-S392-T392</f>
        <v>880.18</v>
      </c>
    </row>
    <row r="393" customFormat="false" ht="15" hidden="false" customHeight="false" outlineLevel="0" collapsed="false">
      <c r="A393" s="0" t="n">
        <v>392</v>
      </c>
      <c r="B393" s="27" t="n">
        <v>45400</v>
      </c>
      <c r="C393" s="0" t="n">
        <v>2024</v>
      </c>
      <c r="D393" s="28" t="s">
        <v>108</v>
      </c>
      <c r="E393" s="0" t="n">
        <v>4</v>
      </c>
      <c r="F393" s="28" t="s">
        <v>109</v>
      </c>
      <c r="G393" s="28" t="s">
        <v>110</v>
      </c>
      <c r="H393" s="28" t="s">
        <v>102</v>
      </c>
      <c r="I393" s="28" t="s">
        <v>103</v>
      </c>
      <c r="J393" s="28" t="s">
        <v>71</v>
      </c>
      <c r="K393" s="28" t="s">
        <v>76</v>
      </c>
      <c r="L393" s="28" t="s">
        <v>77</v>
      </c>
      <c r="M393" s="28" t="s">
        <v>82</v>
      </c>
      <c r="N393" s="28" t="s">
        <v>83</v>
      </c>
      <c r="O393" s="29" t="n">
        <v>10</v>
      </c>
      <c r="P393" s="30" t="n">
        <v>63.7</v>
      </c>
      <c r="Q393" s="30" t="n">
        <v>35.43</v>
      </c>
      <c r="R393" s="30" t="n">
        <f aca="false">ROUND(O393*P393,2)</f>
        <v>637</v>
      </c>
      <c r="S393" s="30" t="n">
        <f aca="false">ROUND(O393*Q393,2)</f>
        <v>354.3</v>
      </c>
      <c r="T393" s="30" t="n">
        <f aca="false">ROUND(R393*SUMIFS(Parametros!$E$23:$E$38,Parametros!$B$23:$B$38,J393,Parametros!$C$23:$C$38,C393,Parametros!$D$23:$D$38,D393),2)</f>
        <v>28.03</v>
      </c>
      <c r="U393" s="30" t="n">
        <f aca="false">R393-S393-T393</f>
        <v>254.67</v>
      </c>
    </row>
    <row r="394" customFormat="false" ht="15" hidden="false" customHeight="false" outlineLevel="0" collapsed="false">
      <c r="A394" s="0" t="n">
        <v>393</v>
      </c>
      <c r="B394" s="27" t="n">
        <v>45407</v>
      </c>
      <c r="C394" s="0" t="n">
        <v>2024</v>
      </c>
      <c r="D394" s="28" t="s">
        <v>108</v>
      </c>
      <c r="E394" s="0" t="n">
        <v>4</v>
      </c>
      <c r="F394" s="28" t="s">
        <v>109</v>
      </c>
      <c r="G394" s="28" t="s">
        <v>110</v>
      </c>
      <c r="H394" s="28" t="s">
        <v>102</v>
      </c>
      <c r="I394" s="28" t="s">
        <v>103</v>
      </c>
      <c r="J394" s="28" t="s">
        <v>66</v>
      </c>
      <c r="K394" s="28" t="s">
        <v>84</v>
      </c>
      <c r="L394" s="28" t="s">
        <v>85</v>
      </c>
      <c r="M394" s="28" t="s">
        <v>86</v>
      </c>
      <c r="N394" s="28" t="s">
        <v>87</v>
      </c>
      <c r="O394" s="29" t="n">
        <v>15</v>
      </c>
      <c r="P394" s="30" t="n">
        <v>117.6</v>
      </c>
      <c r="Q394" s="30" t="n">
        <v>63.6</v>
      </c>
      <c r="R394" s="30" t="n">
        <f aca="false">ROUND(O394*P394,2)</f>
        <v>1764</v>
      </c>
      <c r="S394" s="30" t="n">
        <f aca="false">ROUND(O394*Q394,2)</f>
        <v>954</v>
      </c>
      <c r="T394" s="30" t="n">
        <f aca="false">ROUND(R394*SUMIFS(Parametros!$E$23:$E$38,Parametros!$B$23:$B$38,J394,Parametros!$C$23:$C$38,C394,Parametros!$D$23:$D$38,D394),2)</f>
        <v>21.17</v>
      </c>
      <c r="U394" s="30" t="n">
        <f aca="false">R394-S394-T394</f>
        <v>788.83</v>
      </c>
    </row>
    <row r="395" customFormat="false" ht="15" hidden="false" customHeight="false" outlineLevel="0" collapsed="false">
      <c r="A395" s="0" t="n">
        <v>394</v>
      </c>
      <c r="B395" s="27" t="n">
        <v>45387</v>
      </c>
      <c r="C395" s="0" t="n">
        <v>2024</v>
      </c>
      <c r="D395" s="28" t="s">
        <v>108</v>
      </c>
      <c r="E395" s="0" t="n">
        <v>4</v>
      </c>
      <c r="F395" s="28" t="s">
        <v>109</v>
      </c>
      <c r="G395" s="28" t="s">
        <v>110</v>
      </c>
      <c r="H395" s="28" t="s">
        <v>102</v>
      </c>
      <c r="I395" s="28" t="s">
        <v>103</v>
      </c>
      <c r="J395" s="28" t="s">
        <v>71</v>
      </c>
      <c r="K395" s="28" t="s">
        <v>84</v>
      </c>
      <c r="L395" s="28" t="s">
        <v>85</v>
      </c>
      <c r="M395" s="28" t="s">
        <v>86</v>
      </c>
      <c r="N395" s="28" t="s">
        <v>87</v>
      </c>
      <c r="O395" s="29" t="n">
        <v>5</v>
      </c>
      <c r="P395" s="30" t="n">
        <v>117.6</v>
      </c>
      <c r="Q395" s="30" t="n">
        <v>63.6</v>
      </c>
      <c r="R395" s="30" t="n">
        <f aca="false">ROUND(O395*P395,2)</f>
        <v>588</v>
      </c>
      <c r="S395" s="30" t="n">
        <f aca="false">ROUND(O395*Q395,2)</f>
        <v>318</v>
      </c>
      <c r="T395" s="30" t="n">
        <f aca="false">ROUND(R395*SUMIFS(Parametros!$E$23:$E$38,Parametros!$B$23:$B$38,J395,Parametros!$C$23:$C$38,C395,Parametros!$D$23:$D$38,D395),2)</f>
        <v>25.87</v>
      </c>
      <c r="U395" s="30" t="n">
        <f aca="false">R395-S395-T395</f>
        <v>244.13</v>
      </c>
    </row>
    <row r="396" customFormat="false" ht="15" hidden="false" customHeight="false" outlineLevel="0" collapsed="false">
      <c r="A396" s="0" t="n">
        <v>395</v>
      </c>
      <c r="B396" s="27" t="n">
        <v>45394</v>
      </c>
      <c r="C396" s="0" t="n">
        <v>2024</v>
      </c>
      <c r="D396" s="28" t="s">
        <v>108</v>
      </c>
      <c r="E396" s="0" t="n">
        <v>4</v>
      </c>
      <c r="F396" s="28" t="s">
        <v>109</v>
      </c>
      <c r="G396" s="28" t="s">
        <v>110</v>
      </c>
      <c r="H396" s="28" t="s">
        <v>102</v>
      </c>
      <c r="I396" s="28" t="s">
        <v>103</v>
      </c>
      <c r="J396" s="28" t="s">
        <v>66</v>
      </c>
      <c r="K396" s="28" t="s">
        <v>84</v>
      </c>
      <c r="L396" s="28" t="s">
        <v>85</v>
      </c>
      <c r="M396" s="28" t="s">
        <v>88</v>
      </c>
      <c r="N396" s="28" t="s">
        <v>89</v>
      </c>
      <c r="O396" s="29" t="n">
        <v>11</v>
      </c>
      <c r="P396" s="30" t="n">
        <v>83.3</v>
      </c>
      <c r="Q396" s="30" t="n">
        <v>48.02</v>
      </c>
      <c r="R396" s="30" t="n">
        <f aca="false">ROUND(O396*P396,2)</f>
        <v>916.3</v>
      </c>
      <c r="S396" s="30" t="n">
        <f aca="false">ROUND(O396*Q396,2)</f>
        <v>528.22</v>
      </c>
      <c r="T396" s="30" t="n">
        <f aca="false">ROUND(R396*SUMIFS(Parametros!$E$23:$E$38,Parametros!$B$23:$B$38,J396,Parametros!$C$23:$C$38,C396,Parametros!$D$23:$D$38,D396),2)</f>
        <v>11</v>
      </c>
      <c r="U396" s="30" t="n">
        <f aca="false">R396-S396-T396</f>
        <v>377.08</v>
      </c>
    </row>
    <row r="397" customFormat="false" ht="15" hidden="false" customHeight="false" outlineLevel="0" collapsed="false">
      <c r="A397" s="0" t="n">
        <v>396</v>
      </c>
      <c r="B397" s="27" t="n">
        <v>45401</v>
      </c>
      <c r="C397" s="0" t="n">
        <v>2024</v>
      </c>
      <c r="D397" s="28" t="s">
        <v>108</v>
      </c>
      <c r="E397" s="0" t="n">
        <v>4</v>
      </c>
      <c r="F397" s="28" t="s">
        <v>109</v>
      </c>
      <c r="G397" s="28" t="s">
        <v>110</v>
      </c>
      <c r="H397" s="28" t="s">
        <v>102</v>
      </c>
      <c r="I397" s="28" t="s">
        <v>103</v>
      </c>
      <c r="J397" s="28" t="s">
        <v>71</v>
      </c>
      <c r="K397" s="28" t="s">
        <v>84</v>
      </c>
      <c r="L397" s="28" t="s">
        <v>85</v>
      </c>
      <c r="M397" s="28" t="s">
        <v>88</v>
      </c>
      <c r="N397" s="28" t="s">
        <v>89</v>
      </c>
      <c r="O397" s="29" t="n">
        <v>5</v>
      </c>
      <c r="P397" s="30" t="n">
        <v>83.3</v>
      </c>
      <c r="Q397" s="30" t="n">
        <v>48.02</v>
      </c>
      <c r="R397" s="30" t="n">
        <f aca="false">ROUND(O397*P397,2)</f>
        <v>416.5</v>
      </c>
      <c r="S397" s="30" t="n">
        <f aca="false">ROUND(O397*Q397,2)</f>
        <v>240.1</v>
      </c>
      <c r="T397" s="30" t="n">
        <f aca="false">ROUND(R397*SUMIFS(Parametros!$E$23:$E$38,Parametros!$B$23:$B$38,J397,Parametros!$C$23:$C$38,C397,Parametros!$D$23:$D$38,D397),2)</f>
        <v>18.33</v>
      </c>
      <c r="U397" s="30" t="n">
        <f aca="false">R397-S397-T397</f>
        <v>158.07</v>
      </c>
    </row>
    <row r="398" customFormat="false" ht="15" hidden="false" customHeight="false" outlineLevel="0" collapsed="false">
      <c r="A398" s="0" t="n">
        <v>397</v>
      </c>
      <c r="B398" s="27" t="n">
        <v>45408</v>
      </c>
      <c r="C398" s="0" t="n">
        <v>2024</v>
      </c>
      <c r="D398" s="28" t="s">
        <v>108</v>
      </c>
      <c r="E398" s="0" t="n">
        <v>4</v>
      </c>
      <c r="F398" s="28" t="s">
        <v>109</v>
      </c>
      <c r="G398" s="28" t="s">
        <v>110</v>
      </c>
      <c r="H398" s="28" t="s">
        <v>102</v>
      </c>
      <c r="I398" s="28" t="s">
        <v>103</v>
      </c>
      <c r="J398" s="28" t="s">
        <v>66</v>
      </c>
      <c r="K398" s="28" t="s">
        <v>90</v>
      </c>
      <c r="L398" s="28" t="s">
        <v>91</v>
      </c>
      <c r="M398" s="28" t="s">
        <v>92</v>
      </c>
      <c r="N398" s="28" t="s">
        <v>93</v>
      </c>
      <c r="O398" s="29" t="n">
        <v>19</v>
      </c>
      <c r="P398" s="30" t="n">
        <v>127.4</v>
      </c>
      <c r="Q398" s="30" t="n">
        <v>76.05</v>
      </c>
      <c r="R398" s="30" t="n">
        <f aca="false">ROUND(O398*P398,2)</f>
        <v>2420.6</v>
      </c>
      <c r="S398" s="30" t="n">
        <f aca="false">ROUND(O398*Q398,2)</f>
        <v>1444.95</v>
      </c>
      <c r="T398" s="30" t="n">
        <f aca="false">ROUND(R398*SUMIFS(Parametros!$E$23:$E$38,Parametros!$B$23:$B$38,J398,Parametros!$C$23:$C$38,C398,Parametros!$D$23:$D$38,D398),2)</f>
        <v>29.05</v>
      </c>
      <c r="U398" s="30" t="n">
        <f aca="false">R398-S398-T398</f>
        <v>946.6</v>
      </c>
    </row>
    <row r="399" customFormat="false" ht="15" hidden="false" customHeight="false" outlineLevel="0" collapsed="false">
      <c r="A399" s="0" t="n">
        <v>398</v>
      </c>
      <c r="B399" s="27" t="n">
        <v>45388</v>
      </c>
      <c r="C399" s="0" t="n">
        <v>2024</v>
      </c>
      <c r="D399" s="28" t="s">
        <v>108</v>
      </c>
      <c r="E399" s="0" t="n">
        <v>4</v>
      </c>
      <c r="F399" s="28" t="s">
        <v>109</v>
      </c>
      <c r="G399" s="28" t="s">
        <v>110</v>
      </c>
      <c r="H399" s="28" t="s">
        <v>102</v>
      </c>
      <c r="I399" s="28" t="s">
        <v>103</v>
      </c>
      <c r="J399" s="28" t="s">
        <v>71</v>
      </c>
      <c r="K399" s="28" t="s">
        <v>90</v>
      </c>
      <c r="L399" s="28" t="s">
        <v>91</v>
      </c>
      <c r="M399" s="28" t="s">
        <v>92</v>
      </c>
      <c r="N399" s="28" t="s">
        <v>93</v>
      </c>
      <c r="O399" s="29" t="n">
        <v>7</v>
      </c>
      <c r="P399" s="30" t="n">
        <v>127.4</v>
      </c>
      <c r="Q399" s="30" t="n">
        <v>76.05</v>
      </c>
      <c r="R399" s="30" t="n">
        <f aca="false">ROUND(O399*P399,2)</f>
        <v>891.8</v>
      </c>
      <c r="S399" s="30" t="n">
        <f aca="false">ROUND(O399*Q399,2)</f>
        <v>532.35</v>
      </c>
      <c r="T399" s="30" t="n">
        <f aca="false">ROUND(R399*SUMIFS(Parametros!$E$23:$E$38,Parametros!$B$23:$B$38,J399,Parametros!$C$23:$C$38,C399,Parametros!$D$23:$D$38,D399),2)</f>
        <v>39.24</v>
      </c>
      <c r="U399" s="30" t="n">
        <f aca="false">R399-S399-T399</f>
        <v>320.21</v>
      </c>
    </row>
    <row r="400" customFormat="false" ht="15" hidden="false" customHeight="false" outlineLevel="0" collapsed="false">
      <c r="A400" s="0" t="n">
        <v>399</v>
      </c>
      <c r="B400" s="27" t="n">
        <v>45395</v>
      </c>
      <c r="C400" s="0" t="n">
        <v>2024</v>
      </c>
      <c r="D400" s="28" t="s">
        <v>108</v>
      </c>
      <c r="E400" s="0" t="n">
        <v>4</v>
      </c>
      <c r="F400" s="28" t="s">
        <v>109</v>
      </c>
      <c r="G400" s="28" t="s">
        <v>110</v>
      </c>
      <c r="H400" s="28" t="s">
        <v>102</v>
      </c>
      <c r="I400" s="28" t="s">
        <v>103</v>
      </c>
      <c r="J400" s="28" t="s">
        <v>66</v>
      </c>
      <c r="K400" s="28" t="s">
        <v>90</v>
      </c>
      <c r="L400" s="28" t="s">
        <v>91</v>
      </c>
      <c r="M400" s="28" t="s">
        <v>94</v>
      </c>
      <c r="N400" s="28" t="s">
        <v>95</v>
      </c>
      <c r="O400" s="29" t="n">
        <v>19</v>
      </c>
      <c r="P400" s="30" t="n">
        <v>34.3</v>
      </c>
      <c r="Q400" s="30" t="n">
        <v>17.85</v>
      </c>
      <c r="R400" s="30" t="n">
        <f aca="false">ROUND(O400*P400,2)</f>
        <v>651.7</v>
      </c>
      <c r="S400" s="30" t="n">
        <f aca="false">ROUND(O400*Q400,2)</f>
        <v>339.15</v>
      </c>
      <c r="T400" s="30" t="n">
        <f aca="false">ROUND(R400*SUMIFS(Parametros!$E$23:$E$38,Parametros!$B$23:$B$38,J400,Parametros!$C$23:$C$38,C400,Parametros!$D$23:$D$38,D400),2)</f>
        <v>7.82</v>
      </c>
      <c r="U400" s="30" t="n">
        <f aca="false">R400-S400-T400</f>
        <v>304.73</v>
      </c>
    </row>
    <row r="401" customFormat="false" ht="15" hidden="false" customHeight="false" outlineLevel="0" collapsed="false">
      <c r="A401" s="0" t="n">
        <v>400</v>
      </c>
      <c r="B401" s="27" t="n">
        <v>45402</v>
      </c>
      <c r="C401" s="0" t="n">
        <v>2024</v>
      </c>
      <c r="D401" s="28" t="s">
        <v>108</v>
      </c>
      <c r="E401" s="0" t="n">
        <v>4</v>
      </c>
      <c r="F401" s="28" t="s">
        <v>109</v>
      </c>
      <c r="G401" s="28" t="s">
        <v>110</v>
      </c>
      <c r="H401" s="28" t="s">
        <v>102</v>
      </c>
      <c r="I401" s="28" t="s">
        <v>103</v>
      </c>
      <c r="J401" s="28" t="s">
        <v>71</v>
      </c>
      <c r="K401" s="28" t="s">
        <v>90</v>
      </c>
      <c r="L401" s="28" t="s">
        <v>91</v>
      </c>
      <c r="M401" s="28" t="s">
        <v>94</v>
      </c>
      <c r="N401" s="28" t="s">
        <v>95</v>
      </c>
      <c r="O401" s="29" t="n">
        <v>5</v>
      </c>
      <c r="P401" s="30" t="n">
        <v>34.3</v>
      </c>
      <c r="Q401" s="30" t="n">
        <v>17.85</v>
      </c>
      <c r="R401" s="30" t="n">
        <f aca="false">ROUND(O401*P401,2)</f>
        <v>171.5</v>
      </c>
      <c r="S401" s="30" t="n">
        <f aca="false">ROUND(O401*Q401,2)</f>
        <v>89.25</v>
      </c>
      <c r="T401" s="30" t="n">
        <f aca="false">ROUND(R401*SUMIFS(Parametros!$E$23:$E$38,Parametros!$B$23:$B$38,J401,Parametros!$C$23:$C$38,C401,Parametros!$D$23:$D$38,D401),2)</f>
        <v>7.55</v>
      </c>
      <c r="U401" s="30" t="n">
        <f aca="false">R401-S401-T401</f>
        <v>74.7</v>
      </c>
    </row>
    <row r="402" customFormat="false" ht="15" hidden="false" customHeight="false" outlineLevel="0" collapsed="false">
      <c r="A402" s="0" t="n">
        <v>401</v>
      </c>
      <c r="B402" s="27" t="n">
        <v>45439</v>
      </c>
      <c r="C402" s="0" t="n">
        <v>2024</v>
      </c>
      <c r="D402" s="28" t="s">
        <v>108</v>
      </c>
      <c r="E402" s="0" t="n">
        <v>5</v>
      </c>
      <c r="F402" s="28" t="s">
        <v>111</v>
      </c>
      <c r="G402" s="28" t="s">
        <v>112</v>
      </c>
      <c r="H402" s="28" t="s">
        <v>64</v>
      </c>
      <c r="I402" s="28" t="s">
        <v>65</v>
      </c>
      <c r="J402" s="28" t="s">
        <v>66</v>
      </c>
      <c r="K402" s="28" t="s">
        <v>67</v>
      </c>
      <c r="L402" s="28" t="s">
        <v>68</v>
      </c>
      <c r="M402" s="28" t="s">
        <v>69</v>
      </c>
      <c r="N402" s="28" t="s">
        <v>70</v>
      </c>
      <c r="O402" s="29" t="n">
        <v>21</v>
      </c>
      <c r="P402" s="30" t="n">
        <v>1176</v>
      </c>
      <c r="Q402" s="30" t="n">
        <v>744</v>
      </c>
      <c r="R402" s="30" t="n">
        <f aca="false">ROUND(O402*P402,2)</f>
        <v>24696</v>
      </c>
      <c r="S402" s="30" t="n">
        <f aca="false">ROUND(O402*Q402,2)</f>
        <v>15624</v>
      </c>
      <c r="T402" s="30" t="n">
        <f aca="false">ROUND(R402*SUMIFS(Parametros!$E$23:$E$38,Parametros!$B$23:$B$38,J402,Parametros!$C$23:$C$38,C402,Parametros!$D$23:$D$38,D402),2)</f>
        <v>296.35</v>
      </c>
      <c r="U402" s="30" t="n">
        <f aca="false">R402-S402-T402</f>
        <v>8775.65</v>
      </c>
    </row>
    <row r="403" customFormat="false" ht="15" hidden="false" customHeight="false" outlineLevel="0" collapsed="false">
      <c r="A403" s="0" t="n">
        <v>402</v>
      </c>
      <c r="B403" s="27" t="n">
        <v>45419</v>
      </c>
      <c r="C403" s="0" t="n">
        <v>2024</v>
      </c>
      <c r="D403" s="28" t="s">
        <v>108</v>
      </c>
      <c r="E403" s="0" t="n">
        <v>5</v>
      </c>
      <c r="F403" s="28" t="s">
        <v>111</v>
      </c>
      <c r="G403" s="28" t="s">
        <v>112</v>
      </c>
      <c r="H403" s="28" t="s">
        <v>64</v>
      </c>
      <c r="I403" s="28" t="s">
        <v>65</v>
      </c>
      <c r="J403" s="28" t="s">
        <v>71</v>
      </c>
      <c r="K403" s="28" t="s">
        <v>67</v>
      </c>
      <c r="L403" s="28" t="s">
        <v>68</v>
      </c>
      <c r="M403" s="28" t="s">
        <v>69</v>
      </c>
      <c r="N403" s="28" t="s">
        <v>70</v>
      </c>
      <c r="O403" s="29" t="n">
        <v>7</v>
      </c>
      <c r="P403" s="30" t="n">
        <v>1176</v>
      </c>
      <c r="Q403" s="30" t="n">
        <v>744</v>
      </c>
      <c r="R403" s="30" t="n">
        <f aca="false">ROUND(O403*P403,2)</f>
        <v>8232</v>
      </c>
      <c r="S403" s="30" t="n">
        <f aca="false">ROUND(O403*Q403,2)</f>
        <v>5208</v>
      </c>
      <c r="T403" s="30" t="n">
        <f aca="false">ROUND(R403*SUMIFS(Parametros!$E$23:$E$38,Parametros!$B$23:$B$38,J403,Parametros!$C$23:$C$38,C403,Parametros!$D$23:$D$38,D403),2)</f>
        <v>362.21</v>
      </c>
      <c r="U403" s="30" t="n">
        <f aca="false">R403-S403-T403</f>
        <v>2661.79</v>
      </c>
    </row>
    <row r="404" customFormat="false" ht="15" hidden="false" customHeight="false" outlineLevel="0" collapsed="false">
      <c r="A404" s="0" t="n">
        <v>403</v>
      </c>
      <c r="B404" s="27" t="n">
        <v>45426</v>
      </c>
      <c r="C404" s="0" t="n">
        <v>2024</v>
      </c>
      <c r="D404" s="28" t="s">
        <v>108</v>
      </c>
      <c r="E404" s="0" t="n">
        <v>5</v>
      </c>
      <c r="F404" s="28" t="s">
        <v>111</v>
      </c>
      <c r="G404" s="28" t="s">
        <v>112</v>
      </c>
      <c r="H404" s="28" t="s">
        <v>64</v>
      </c>
      <c r="I404" s="28" t="s">
        <v>65</v>
      </c>
      <c r="J404" s="28" t="s">
        <v>66</v>
      </c>
      <c r="K404" s="28" t="s">
        <v>67</v>
      </c>
      <c r="L404" s="28" t="s">
        <v>68</v>
      </c>
      <c r="M404" s="28" t="s">
        <v>72</v>
      </c>
      <c r="N404" s="28" t="s">
        <v>73</v>
      </c>
      <c r="O404" s="29" t="n">
        <v>22</v>
      </c>
      <c r="P404" s="30" t="n">
        <v>441</v>
      </c>
      <c r="Q404" s="30" t="n">
        <v>272.25</v>
      </c>
      <c r="R404" s="30" t="n">
        <f aca="false">ROUND(O404*P404,2)</f>
        <v>9702</v>
      </c>
      <c r="S404" s="30" t="n">
        <f aca="false">ROUND(O404*Q404,2)</f>
        <v>5989.5</v>
      </c>
      <c r="T404" s="30" t="n">
        <f aca="false">ROUND(R404*SUMIFS(Parametros!$E$23:$E$38,Parametros!$B$23:$B$38,J404,Parametros!$C$23:$C$38,C404,Parametros!$D$23:$D$38,D404),2)</f>
        <v>116.42</v>
      </c>
      <c r="U404" s="30" t="n">
        <f aca="false">R404-S404-T404</f>
        <v>3596.08</v>
      </c>
    </row>
    <row r="405" customFormat="false" ht="15" hidden="false" customHeight="false" outlineLevel="0" collapsed="false">
      <c r="A405" s="0" t="n">
        <v>404</v>
      </c>
      <c r="B405" s="27" t="n">
        <v>45433</v>
      </c>
      <c r="C405" s="0" t="n">
        <v>2024</v>
      </c>
      <c r="D405" s="28" t="s">
        <v>108</v>
      </c>
      <c r="E405" s="0" t="n">
        <v>5</v>
      </c>
      <c r="F405" s="28" t="s">
        <v>111</v>
      </c>
      <c r="G405" s="28" t="s">
        <v>112</v>
      </c>
      <c r="H405" s="28" t="s">
        <v>64</v>
      </c>
      <c r="I405" s="28" t="s">
        <v>65</v>
      </c>
      <c r="J405" s="28" t="s">
        <v>71</v>
      </c>
      <c r="K405" s="28" t="s">
        <v>67</v>
      </c>
      <c r="L405" s="28" t="s">
        <v>68</v>
      </c>
      <c r="M405" s="28" t="s">
        <v>72</v>
      </c>
      <c r="N405" s="28" t="s">
        <v>73</v>
      </c>
      <c r="O405" s="29" t="n">
        <v>9</v>
      </c>
      <c r="P405" s="30" t="n">
        <v>441</v>
      </c>
      <c r="Q405" s="30" t="n">
        <v>272.25</v>
      </c>
      <c r="R405" s="30" t="n">
        <f aca="false">ROUND(O405*P405,2)</f>
        <v>3969</v>
      </c>
      <c r="S405" s="30" t="n">
        <f aca="false">ROUND(O405*Q405,2)</f>
        <v>2450.25</v>
      </c>
      <c r="T405" s="30" t="n">
        <f aca="false">ROUND(R405*SUMIFS(Parametros!$E$23:$E$38,Parametros!$B$23:$B$38,J405,Parametros!$C$23:$C$38,C405,Parametros!$D$23:$D$38,D405),2)</f>
        <v>174.64</v>
      </c>
      <c r="U405" s="30" t="n">
        <f aca="false">R405-S405-T405</f>
        <v>1344.11</v>
      </c>
    </row>
    <row r="406" customFormat="false" ht="15" hidden="false" customHeight="false" outlineLevel="0" collapsed="false">
      <c r="A406" s="0" t="n">
        <v>405</v>
      </c>
      <c r="B406" s="27" t="n">
        <v>45413</v>
      </c>
      <c r="C406" s="0" t="n">
        <v>2024</v>
      </c>
      <c r="D406" s="28" t="s">
        <v>108</v>
      </c>
      <c r="E406" s="0" t="n">
        <v>5</v>
      </c>
      <c r="F406" s="28" t="s">
        <v>111</v>
      </c>
      <c r="G406" s="28" t="s">
        <v>112</v>
      </c>
      <c r="H406" s="28" t="s">
        <v>64</v>
      </c>
      <c r="I406" s="28" t="s">
        <v>65</v>
      </c>
      <c r="J406" s="28" t="s">
        <v>66</v>
      </c>
      <c r="K406" s="28" t="s">
        <v>67</v>
      </c>
      <c r="L406" s="28" t="s">
        <v>68</v>
      </c>
      <c r="M406" s="28" t="s">
        <v>74</v>
      </c>
      <c r="N406" s="28" t="s">
        <v>75</v>
      </c>
      <c r="O406" s="29" t="n">
        <v>18</v>
      </c>
      <c r="P406" s="30" t="n">
        <v>1617</v>
      </c>
      <c r="Q406" s="30" t="n">
        <v>1122</v>
      </c>
      <c r="R406" s="30" t="n">
        <f aca="false">ROUND(O406*P406,2)</f>
        <v>29106</v>
      </c>
      <c r="S406" s="30" t="n">
        <f aca="false">ROUND(O406*Q406,2)</f>
        <v>20196</v>
      </c>
      <c r="T406" s="30" t="n">
        <f aca="false">ROUND(R406*SUMIFS(Parametros!$E$23:$E$38,Parametros!$B$23:$B$38,J406,Parametros!$C$23:$C$38,C406,Parametros!$D$23:$D$38,D406),2)</f>
        <v>349.27</v>
      </c>
      <c r="U406" s="30" t="n">
        <f aca="false">R406-S406-T406</f>
        <v>8560.73</v>
      </c>
    </row>
    <row r="407" customFormat="false" ht="15" hidden="false" customHeight="false" outlineLevel="0" collapsed="false">
      <c r="A407" s="0" t="n">
        <v>406</v>
      </c>
      <c r="B407" s="27" t="n">
        <v>45420</v>
      </c>
      <c r="C407" s="0" t="n">
        <v>2024</v>
      </c>
      <c r="D407" s="28" t="s">
        <v>108</v>
      </c>
      <c r="E407" s="0" t="n">
        <v>5</v>
      </c>
      <c r="F407" s="28" t="s">
        <v>111</v>
      </c>
      <c r="G407" s="28" t="s">
        <v>112</v>
      </c>
      <c r="H407" s="28" t="s">
        <v>64</v>
      </c>
      <c r="I407" s="28" t="s">
        <v>65</v>
      </c>
      <c r="J407" s="28" t="s">
        <v>71</v>
      </c>
      <c r="K407" s="28" t="s">
        <v>67</v>
      </c>
      <c r="L407" s="28" t="s">
        <v>68</v>
      </c>
      <c r="M407" s="28" t="s">
        <v>74</v>
      </c>
      <c r="N407" s="28" t="s">
        <v>75</v>
      </c>
      <c r="O407" s="29" t="n">
        <v>10</v>
      </c>
      <c r="P407" s="30" t="n">
        <v>1617</v>
      </c>
      <c r="Q407" s="30" t="n">
        <v>1122</v>
      </c>
      <c r="R407" s="30" t="n">
        <f aca="false">ROUND(O407*P407,2)</f>
        <v>16170</v>
      </c>
      <c r="S407" s="30" t="n">
        <f aca="false">ROUND(O407*Q407,2)</f>
        <v>11220</v>
      </c>
      <c r="T407" s="30" t="n">
        <f aca="false">ROUND(R407*SUMIFS(Parametros!$E$23:$E$38,Parametros!$B$23:$B$38,J407,Parametros!$C$23:$C$38,C407,Parametros!$D$23:$D$38,D407),2)</f>
        <v>711.48</v>
      </c>
      <c r="U407" s="30" t="n">
        <f aca="false">R407-S407-T407</f>
        <v>4238.52</v>
      </c>
    </row>
    <row r="408" customFormat="false" ht="15" hidden="false" customHeight="false" outlineLevel="0" collapsed="false">
      <c r="A408" s="0" t="n">
        <v>407</v>
      </c>
      <c r="B408" s="27" t="n">
        <v>45427</v>
      </c>
      <c r="C408" s="0" t="n">
        <v>2024</v>
      </c>
      <c r="D408" s="28" t="s">
        <v>108</v>
      </c>
      <c r="E408" s="0" t="n">
        <v>5</v>
      </c>
      <c r="F408" s="28" t="s">
        <v>111</v>
      </c>
      <c r="G408" s="28" t="s">
        <v>112</v>
      </c>
      <c r="H408" s="28" t="s">
        <v>64</v>
      </c>
      <c r="I408" s="28" t="s">
        <v>65</v>
      </c>
      <c r="J408" s="28" t="s">
        <v>66</v>
      </c>
      <c r="K408" s="28" t="s">
        <v>76</v>
      </c>
      <c r="L408" s="28" t="s">
        <v>77</v>
      </c>
      <c r="M408" s="28" t="s">
        <v>78</v>
      </c>
      <c r="N408" s="28" t="s">
        <v>79</v>
      </c>
      <c r="O408" s="29" t="n">
        <v>98</v>
      </c>
      <c r="P408" s="30" t="n">
        <v>27.44</v>
      </c>
      <c r="Q408" s="30" t="n">
        <v>13.44</v>
      </c>
      <c r="R408" s="30" t="n">
        <f aca="false">ROUND(O408*P408,2)</f>
        <v>2689.12</v>
      </c>
      <c r="S408" s="30" t="n">
        <f aca="false">ROUND(O408*Q408,2)</f>
        <v>1317.12</v>
      </c>
      <c r="T408" s="30" t="n">
        <f aca="false">ROUND(R408*SUMIFS(Parametros!$E$23:$E$38,Parametros!$B$23:$B$38,J408,Parametros!$C$23:$C$38,C408,Parametros!$D$23:$D$38,D408),2)</f>
        <v>32.27</v>
      </c>
      <c r="U408" s="30" t="n">
        <f aca="false">R408-S408-T408</f>
        <v>1339.73</v>
      </c>
    </row>
    <row r="409" customFormat="false" ht="15" hidden="false" customHeight="false" outlineLevel="0" collapsed="false">
      <c r="A409" s="0" t="n">
        <v>408</v>
      </c>
      <c r="B409" s="27" t="n">
        <v>45434</v>
      </c>
      <c r="C409" s="0" t="n">
        <v>2024</v>
      </c>
      <c r="D409" s="28" t="s">
        <v>108</v>
      </c>
      <c r="E409" s="0" t="n">
        <v>5</v>
      </c>
      <c r="F409" s="28" t="s">
        <v>111</v>
      </c>
      <c r="G409" s="28" t="s">
        <v>112</v>
      </c>
      <c r="H409" s="28" t="s">
        <v>64</v>
      </c>
      <c r="I409" s="28" t="s">
        <v>65</v>
      </c>
      <c r="J409" s="28" t="s">
        <v>71</v>
      </c>
      <c r="K409" s="28" t="s">
        <v>76</v>
      </c>
      <c r="L409" s="28" t="s">
        <v>77</v>
      </c>
      <c r="M409" s="28" t="s">
        <v>78</v>
      </c>
      <c r="N409" s="28" t="s">
        <v>79</v>
      </c>
      <c r="O409" s="29" t="n">
        <v>41</v>
      </c>
      <c r="P409" s="30" t="n">
        <v>27.44</v>
      </c>
      <c r="Q409" s="30" t="n">
        <v>13.44</v>
      </c>
      <c r="R409" s="30" t="n">
        <f aca="false">ROUND(O409*P409,2)</f>
        <v>1125.04</v>
      </c>
      <c r="S409" s="30" t="n">
        <f aca="false">ROUND(O409*Q409,2)</f>
        <v>551.04</v>
      </c>
      <c r="T409" s="30" t="n">
        <f aca="false">ROUND(R409*SUMIFS(Parametros!$E$23:$E$38,Parametros!$B$23:$B$38,J409,Parametros!$C$23:$C$38,C409,Parametros!$D$23:$D$38,D409),2)</f>
        <v>49.5</v>
      </c>
      <c r="U409" s="30" t="n">
        <f aca="false">R409-S409-T409</f>
        <v>524.5</v>
      </c>
    </row>
    <row r="410" customFormat="false" ht="15" hidden="false" customHeight="false" outlineLevel="0" collapsed="false">
      <c r="A410" s="0" t="n">
        <v>409</v>
      </c>
      <c r="B410" s="27" t="n">
        <v>45414</v>
      </c>
      <c r="C410" s="0" t="n">
        <v>2024</v>
      </c>
      <c r="D410" s="28" t="s">
        <v>108</v>
      </c>
      <c r="E410" s="0" t="n">
        <v>5</v>
      </c>
      <c r="F410" s="28" t="s">
        <v>111</v>
      </c>
      <c r="G410" s="28" t="s">
        <v>112</v>
      </c>
      <c r="H410" s="28" t="s">
        <v>64</v>
      </c>
      <c r="I410" s="28" t="s">
        <v>65</v>
      </c>
      <c r="J410" s="28" t="s">
        <v>66</v>
      </c>
      <c r="K410" s="28" t="s">
        <v>76</v>
      </c>
      <c r="L410" s="28" t="s">
        <v>77</v>
      </c>
      <c r="M410" s="28" t="s">
        <v>80</v>
      </c>
      <c r="N410" s="28" t="s">
        <v>81</v>
      </c>
      <c r="O410" s="29" t="n">
        <v>87</v>
      </c>
      <c r="P410" s="30" t="n">
        <v>93.1</v>
      </c>
      <c r="Q410" s="30" t="n">
        <v>47.98</v>
      </c>
      <c r="R410" s="30" t="n">
        <f aca="false">ROUND(O410*P410,2)</f>
        <v>8099.7</v>
      </c>
      <c r="S410" s="30" t="n">
        <f aca="false">ROUND(O410*Q410,2)</f>
        <v>4174.26</v>
      </c>
      <c r="T410" s="30" t="n">
        <f aca="false">ROUND(R410*SUMIFS(Parametros!$E$23:$E$38,Parametros!$B$23:$B$38,J410,Parametros!$C$23:$C$38,C410,Parametros!$D$23:$D$38,D410),2)</f>
        <v>97.2</v>
      </c>
      <c r="U410" s="30" t="n">
        <f aca="false">R410-S410-T410</f>
        <v>3828.24</v>
      </c>
    </row>
    <row r="411" customFormat="false" ht="15" hidden="false" customHeight="false" outlineLevel="0" collapsed="false">
      <c r="A411" s="0" t="n">
        <v>410</v>
      </c>
      <c r="B411" s="27" t="n">
        <v>45421</v>
      </c>
      <c r="C411" s="0" t="n">
        <v>2024</v>
      </c>
      <c r="D411" s="28" t="s">
        <v>108</v>
      </c>
      <c r="E411" s="0" t="n">
        <v>5</v>
      </c>
      <c r="F411" s="28" t="s">
        <v>111</v>
      </c>
      <c r="G411" s="28" t="s">
        <v>112</v>
      </c>
      <c r="H411" s="28" t="s">
        <v>64</v>
      </c>
      <c r="I411" s="28" t="s">
        <v>65</v>
      </c>
      <c r="J411" s="28" t="s">
        <v>71</v>
      </c>
      <c r="K411" s="28" t="s">
        <v>76</v>
      </c>
      <c r="L411" s="28" t="s">
        <v>77</v>
      </c>
      <c r="M411" s="28" t="s">
        <v>80</v>
      </c>
      <c r="N411" s="28" t="s">
        <v>81</v>
      </c>
      <c r="O411" s="29" t="n">
        <v>37</v>
      </c>
      <c r="P411" s="30" t="n">
        <v>93.1</v>
      </c>
      <c r="Q411" s="30" t="n">
        <v>47.98</v>
      </c>
      <c r="R411" s="30" t="n">
        <f aca="false">ROUND(O411*P411,2)</f>
        <v>3444.7</v>
      </c>
      <c r="S411" s="30" t="n">
        <f aca="false">ROUND(O411*Q411,2)</f>
        <v>1775.26</v>
      </c>
      <c r="T411" s="30" t="n">
        <f aca="false">ROUND(R411*SUMIFS(Parametros!$E$23:$E$38,Parametros!$B$23:$B$38,J411,Parametros!$C$23:$C$38,C411,Parametros!$D$23:$D$38,D411),2)</f>
        <v>151.57</v>
      </c>
      <c r="U411" s="30" t="n">
        <f aca="false">R411-S411-T411</f>
        <v>1517.87</v>
      </c>
    </row>
    <row r="412" customFormat="false" ht="15" hidden="false" customHeight="false" outlineLevel="0" collapsed="false">
      <c r="A412" s="0" t="n">
        <v>411</v>
      </c>
      <c r="B412" s="27" t="n">
        <v>45428</v>
      </c>
      <c r="C412" s="0" t="n">
        <v>2024</v>
      </c>
      <c r="D412" s="28" t="s">
        <v>108</v>
      </c>
      <c r="E412" s="0" t="n">
        <v>5</v>
      </c>
      <c r="F412" s="28" t="s">
        <v>111</v>
      </c>
      <c r="G412" s="28" t="s">
        <v>112</v>
      </c>
      <c r="H412" s="28" t="s">
        <v>64</v>
      </c>
      <c r="I412" s="28" t="s">
        <v>65</v>
      </c>
      <c r="J412" s="28" t="s">
        <v>66</v>
      </c>
      <c r="K412" s="28" t="s">
        <v>76</v>
      </c>
      <c r="L412" s="28" t="s">
        <v>77</v>
      </c>
      <c r="M412" s="28" t="s">
        <v>82</v>
      </c>
      <c r="N412" s="28" t="s">
        <v>83</v>
      </c>
      <c r="O412" s="29" t="n">
        <v>81</v>
      </c>
      <c r="P412" s="30" t="n">
        <v>63.7</v>
      </c>
      <c r="Q412" s="30" t="n">
        <v>35.43</v>
      </c>
      <c r="R412" s="30" t="n">
        <f aca="false">ROUND(O412*P412,2)</f>
        <v>5159.7</v>
      </c>
      <c r="S412" s="30" t="n">
        <f aca="false">ROUND(O412*Q412,2)</f>
        <v>2869.83</v>
      </c>
      <c r="T412" s="30" t="n">
        <f aca="false">ROUND(R412*SUMIFS(Parametros!$E$23:$E$38,Parametros!$B$23:$B$38,J412,Parametros!$C$23:$C$38,C412,Parametros!$D$23:$D$38,D412),2)</f>
        <v>61.92</v>
      </c>
      <c r="U412" s="30" t="n">
        <f aca="false">R412-S412-T412</f>
        <v>2227.95</v>
      </c>
    </row>
    <row r="413" customFormat="false" ht="15" hidden="false" customHeight="false" outlineLevel="0" collapsed="false">
      <c r="A413" s="0" t="n">
        <v>412</v>
      </c>
      <c r="B413" s="27" t="n">
        <v>45435</v>
      </c>
      <c r="C413" s="0" t="n">
        <v>2024</v>
      </c>
      <c r="D413" s="28" t="s">
        <v>108</v>
      </c>
      <c r="E413" s="0" t="n">
        <v>5</v>
      </c>
      <c r="F413" s="28" t="s">
        <v>111</v>
      </c>
      <c r="G413" s="28" t="s">
        <v>112</v>
      </c>
      <c r="H413" s="28" t="s">
        <v>64</v>
      </c>
      <c r="I413" s="28" t="s">
        <v>65</v>
      </c>
      <c r="J413" s="28" t="s">
        <v>71</v>
      </c>
      <c r="K413" s="28" t="s">
        <v>76</v>
      </c>
      <c r="L413" s="28" t="s">
        <v>77</v>
      </c>
      <c r="M413" s="28" t="s">
        <v>82</v>
      </c>
      <c r="N413" s="28" t="s">
        <v>83</v>
      </c>
      <c r="O413" s="29" t="n">
        <v>33</v>
      </c>
      <c r="P413" s="30" t="n">
        <v>63.7</v>
      </c>
      <c r="Q413" s="30" t="n">
        <v>35.43</v>
      </c>
      <c r="R413" s="30" t="n">
        <f aca="false">ROUND(O413*P413,2)</f>
        <v>2102.1</v>
      </c>
      <c r="S413" s="30" t="n">
        <f aca="false">ROUND(O413*Q413,2)</f>
        <v>1169.19</v>
      </c>
      <c r="T413" s="30" t="n">
        <f aca="false">ROUND(R413*SUMIFS(Parametros!$E$23:$E$38,Parametros!$B$23:$B$38,J413,Parametros!$C$23:$C$38,C413,Parametros!$D$23:$D$38,D413),2)</f>
        <v>92.49</v>
      </c>
      <c r="U413" s="30" t="n">
        <f aca="false">R413-S413-T413</f>
        <v>840.42</v>
      </c>
    </row>
    <row r="414" customFormat="false" ht="15" hidden="false" customHeight="false" outlineLevel="0" collapsed="false">
      <c r="A414" s="0" t="n">
        <v>413</v>
      </c>
      <c r="B414" s="27" t="n">
        <v>45415</v>
      </c>
      <c r="C414" s="0" t="n">
        <v>2024</v>
      </c>
      <c r="D414" s="28" t="s">
        <v>108</v>
      </c>
      <c r="E414" s="0" t="n">
        <v>5</v>
      </c>
      <c r="F414" s="28" t="s">
        <v>111</v>
      </c>
      <c r="G414" s="28" t="s">
        <v>112</v>
      </c>
      <c r="H414" s="28" t="s">
        <v>64</v>
      </c>
      <c r="I414" s="28" t="s">
        <v>65</v>
      </c>
      <c r="J414" s="28" t="s">
        <v>66</v>
      </c>
      <c r="K414" s="28" t="s">
        <v>84</v>
      </c>
      <c r="L414" s="28" t="s">
        <v>85</v>
      </c>
      <c r="M414" s="28" t="s">
        <v>86</v>
      </c>
      <c r="N414" s="28" t="s">
        <v>87</v>
      </c>
      <c r="O414" s="29" t="n">
        <v>51</v>
      </c>
      <c r="P414" s="30" t="n">
        <v>117.6</v>
      </c>
      <c r="Q414" s="30" t="n">
        <v>63.6</v>
      </c>
      <c r="R414" s="30" t="n">
        <f aca="false">ROUND(O414*P414,2)</f>
        <v>5997.6</v>
      </c>
      <c r="S414" s="30" t="n">
        <f aca="false">ROUND(O414*Q414,2)</f>
        <v>3243.6</v>
      </c>
      <c r="T414" s="30" t="n">
        <f aca="false">ROUND(R414*SUMIFS(Parametros!$E$23:$E$38,Parametros!$B$23:$B$38,J414,Parametros!$C$23:$C$38,C414,Parametros!$D$23:$D$38,D414),2)</f>
        <v>71.97</v>
      </c>
      <c r="U414" s="30" t="n">
        <f aca="false">R414-S414-T414</f>
        <v>2682.03</v>
      </c>
    </row>
    <row r="415" customFormat="false" ht="15" hidden="false" customHeight="false" outlineLevel="0" collapsed="false">
      <c r="A415" s="0" t="n">
        <v>414</v>
      </c>
      <c r="B415" s="27" t="n">
        <v>45422</v>
      </c>
      <c r="C415" s="0" t="n">
        <v>2024</v>
      </c>
      <c r="D415" s="28" t="s">
        <v>108</v>
      </c>
      <c r="E415" s="0" t="n">
        <v>5</v>
      </c>
      <c r="F415" s="28" t="s">
        <v>111</v>
      </c>
      <c r="G415" s="28" t="s">
        <v>112</v>
      </c>
      <c r="H415" s="28" t="s">
        <v>64</v>
      </c>
      <c r="I415" s="28" t="s">
        <v>65</v>
      </c>
      <c r="J415" s="28" t="s">
        <v>71</v>
      </c>
      <c r="K415" s="28" t="s">
        <v>84</v>
      </c>
      <c r="L415" s="28" t="s">
        <v>85</v>
      </c>
      <c r="M415" s="28" t="s">
        <v>86</v>
      </c>
      <c r="N415" s="28" t="s">
        <v>87</v>
      </c>
      <c r="O415" s="29" t="n">
        <v>15</v>
      </c>
      <c r="P415" s="30" t="n">
        <v>117.6</v>
      </c>
      <c r="Q415" s="30" t="n">
        <v>63.6</v>
      </c>
      <c r="R415" s="30" t="n">
        <f aca="false">ROUND(O415*P415,2)</f>
        <v>1764</v>
      </c>
      <c r="S415" s="30" t="n">
        <f aca="false">ROUND(O415*Q415,2)</f>
        <v>954</v>
      </c>
      <c r="T415" s="30" t="n">
        <f aca="false">ROUND(R415*SUMIFS(Parametros!$E$23:$E$38,Parametros!$B$23:$B$38,J415,Parametros!$C$23:$C$38,C415,Parametros!$D$23:$D$38,D415),2)</f>
        <v>77.62</v>
      </c>
      <c r="U415" s="30" t="n">
        <f aca="false">R415-S415-T415</f>
        <v>732.38</v>
      </c>
    </row>
    <row r="416" customFormat="false" ht="15" hidden="false" customHeight="false" outlineLevel="0" collapsed="false">
      <c r="A416" s="0" t="n">
        <v>415</v>
      </c>
      <c r="B416" s="27" t="n">
        <v>45429</v>
      </c>
      <c r="C416" s="0" t="n">
        <v>2024</v>
      </c>
      <c r="D416" s="28" t="s">
        <v>108</v>
      </c>
      <c r="E416" s="0" t="n">
        <v>5</v>
      </c>
      <c r="F416" s="28" t="s">
        <v>111</v>
      </c>
      <c r="G416" s="28" t="s">
        <v>112</v>
      </c>
      <c r="H416" s="28" t="s">
        <v>64</v>
      </c>
      <c r="I416" s="28" t="s">
        <v>65</v>
      </c>
      <c r="J416" s="28" t="s">
        <v>66</v>
      </c>
      <c r="K416" s="28" t="s">
        <v>84</v>
      </c>
      <c r="L416" s="28" t="s">
        <v>85</v>
      </c>
      <c r="M416" s="28" t="s">
        <v>88</v>
      </c>
      <c r="N416" s="28" t="s">
        <v>89</v>
      </c>
      <c r="O416" s="29" t="n">
        <v>44</v>
      </c>
      <c r="P416" s="30" t="n">
        <v>83.3</v>
      </c>
      <c r="Q416" s="30" t="n">
        <v>48.02</v>
      </c>
      <c r="R416" s="30" t="n">
        <f aca="false">ROUND(O416*P416,2)</f>
        <v>3665.2</v>
      </c>
      <c r="S416" s="30" t="n">
        <f aca="false">ROUND(O416*Q416,2)</f>
        <v>2112.88</v>
      </c>
      <c r="T416" s="30" t="n">
        <f aca="false">ROUND(R416*SUMIFS(Parametros!$E$23:$E$38,Parametros!$B$23:$B$38,J416,Parametros!$C$23:$C$38,C416,Parametros!$D$23:$D$38,D416),2)</f>
        <v>43.98</v>
      </c>
      <c r="U416" s="30" t="n">
        <f aca="false">R416-S416-T416</f>
        <v>1508.34</v>
      </c>
    </row>
    <row r="417" customFormat="false" ht="15" hidden="false" customHeight="false" outlineLevel="0" collapsed="false">
      <c r="A417" s="0" t="n">
        <v>416</v>
      </c>
      <c r="B417" s="27" t="n">
        <v>45436</v>
      </c>
      <c r="C417" s="0" t="n">
        <v>2024</v>
      </c>
      <c r="D417" s="28" t="s">
        <v>108</v>
      </c>
      <c r="E417" s="0" t="n">
        <v>5</v>
      </c>
      <c r="F417" s="28" t="s">
        <v>111</v>
      </c>
      <c r="G417" s="28" t="s">
        <v>112</v>
      </c>
      <c r="H417" s="28" t="s">
        <v>64</v>
      </c>
      <c r="I417" s="28" t="s">
        <v>65</v>
      </c>
      <c r="J417" s="28" t="s">
        <v>71</v>
      </c>
      <c r="K417" s="28" t="s">
        <v>84</v>
      </c>
      <c r="L417" s="28" t="s">
        <v>85</v>
      </c>
      <c r="M417" s="28" t="s">
        <v>88</v>
      </c>
      <c r="N417" s="28" t="s">
        <v>89</v>
      </c>
      <c r="O417" s="29" t="n">
        <v>20</v>
      </c>
      <c r="P417" s="30" t="n">
        <v>83.3</v>
      </c>
      <c r="Q417" s="30" t="n">
        <v>48.02</v>
      </c>
      <c r="R417" s="30" t="n">
        <f aca="false">ROUND(O417*P417,2)</f>
        <v>1666</v>
      </c>
      <c r="S417" s="30" t="n">
        <f aca="false">ROUND(O417*Q417,2)</f>
        <v>960.4</v>
      </c>
      <c r="T417" s="30" t="n">
        <f aca="false">ROUND(R417*SUMIFS(Parametros!$E$23:$E$38,Parametros!$B$23:$B$38,J417,Parametros!$C$23:$C$38,C417,Parametros!$D$23:$D$38,D417),2)</f>
        <v>73.3</v>
      </c>
      <c r="U417" s="30" t="n">
        <f aca="false">R417-S417-T417</f>
        <v>632.3</v>
      </c>
    </row>
    <row r="418" customFormat="false" ht="15" hidden="false" customHeight="false" outlineLevel="0" collapsed="false">
      <c r="A418" s="0" t="n">
        <v>417</v>
      </c>
      <c r="B418" s="27" t="n">
        <v>45416</v>
      </c>
      <c r="C418" s="0" t="n">
        <v>2024</v>
      </c>
      <c r="D418" s="28" t="s">
        <v>108</v>
      </c>
      <c r="E418" s="0" t="n">
        <v>5</v>
      </c>
      <c r="F418" s="28" t="s">
        <v>111</v>
      </c>
      <c r="G418" s="28" t="s">
        <v>112</v>
      </c>
      <c r="H418" s="28" t="s">
        <v>64</v>
      </c>
      <c r="I418" s="28" t="s">
        <v>65</v>
      </c>
      <c r="J418" s="28" t="s">
        <v>66</v>
      </c>
      <c r="K418" s="28" t="s">
        <v>90</v>
      </c>
      <c r="L418" s="28" t="s">
        <v>91</v>
      </c>
      <c r="M418" s="28" t="s">
        <v>92</v>
      </c>
      <c r="N418" s="28" t="s">
        <v>93</v>
      </c>
      <c r="O418" s="29" t="n">
        <v>48</v>
      </c>
      <c r="P418" s="30" t="n">
        <v>127.4</v>
      </c>
      <c r="Q418" s="30" t="n">
        <v>76.05</v>
      </c>
      <c r="R418" s="30" t="n">
        <f aca="false">ROUND(O418*P418,2)</f>
        <v>6115.2</v>
      </c>
      <c r="S418" s="30" t="n">
        <f aca="false">ROUND(O418*Q418,2)</f>
        <v>3650.4</v>
      </c>
      <c r="T418" s="30" t="n">
        <f aca="false">ROUND(R418*SUMIFS(Parametros!$E$23:$E$38,Parametros!$B$23:$B$38,J418,Parametros!$C$23:$C$38,C418,Parametros!$D$23:$D$38,D418),2)</f>
        <v>73.38</v>
      </c>
      <c r="U418" s="30" t="n">
        <f aca="false">R418-S418-T418</f>
        <v>2391.42</v>
      </c>
    </row>
    <row r="419" customFormat="false" ht="15" hidden="false" customHeight="false" outlineLevel="0" collapsed="false">
      <c r="A419" s="0" t="n">
        <v>418</v>
      </c>
      <c r="B419" s="27" t="n">
        <v>45423</v>
      </c>
      <c r="C419" s="0" t="n">
        <v>2024</v>
      </c>
      <c r="D419" s="28" t="s">
        <v>108</v>
      </c>
      <c r="E419" s="0" t="n">
        <v>5</v>
      </c>
      <c r="F419" s="28" t="s">
        <v>111</v>
      </c>
      <c r="G419" s="28" t="s">
        <v>112</v>
      </c>
      <c r="H419" s="28" t="s">
        <v>64</v>
      </c>
      <c r="I419" s="28" t="s">
        <v>65</v>
      </c>
      <c r="J419" s="28" t="s">
        <v>71</v>
      </c>
      <c r="K419" s="28" t="s">
        <v>90</v>
      </c>
      <c r="L419" s="28" t="s">
        <v>91</v>
      </c>
      <c r="M419" s="28" t="s">
        <v>92</v>
      </c>
      <c r="N419" s="28" t="s">
        <v>93</v>
      </c>
      <c r="O419" s="29" t="n">
        <v>20</v>
      </c>
      <c r="P419" s="30" t="n">
        <v>127.4</v>
      </c>
      <c r="Q419" s="30" t="n">
        <v>76.05</v>
      </c>
      <c r="R419" s="30" t="n">
        <f aca="false">ROUND(O419*P419,2)</f>
        <v>2548</v>
      </c>
      <c r="S419" s="30" t="n">
        <f aca="false">ROUND(O419*Q419,2)</f>
        <v>1521</v>
      </c>
      <c r="T419" s="30" t="n">
        <f aca="false">ROUND(R419*SUMIFS(Parametros!$E$23:$E$38,Parametros!$B$23:$B$38,J419,Parametros!$C$23:$C$38,C419,Parametros!$D$23:$D$38,D419),2)</f>
        <v>112.11</v>
      </c>
      <c r="U419" s="30" t="n">
        <f aca="false">R419-S419-T419</f>
        <v>914.89</v>
      </c>
    </row>
    <row r="420" customFormat="false" ht="15" hidden="false" customHeight="false" outlineLevel="0" collapsed="false">
      <c r="A420" s="0" t="n">
        <v>419</v>
      </c>
      <c r="B420" s="27" t="n">
        <v>45430</v>
      </c>
      <c r="C420" s="0" t="n">
        <v>2024</v>
      </c>
      <c r="D420" s="28" t="s">
        <v>108</v>
      </c>
      <c r="E420" s="0" t="n">
        <v>5</v>
      </c>
      <c r="F420" s="28" t="s">
        <v>111</v>
      </c>
      <c r="G420" s="28" t="s">
        <v>112</v>
      </c>
      <c r="H420" s="28" t="s">
        <v>64</v>
      </c>
      <c r="I420" s="28" t="s">
        <v>65</v>
      </c>
      <c r="J420" s="28" t="s">
        <v>66</v>
      </c>
      <c r="K420" s="28" t="s">
        <v>90</v>
      </c>
      <c r="L420" s="28" t="s">
        <v>91</v>
      </c>
      <c r="M420" s="28" t="s">
        <v>94</v>
      </c>
      <c r="N420" s="28" t="s">
        <v>95</v>
      </c>
      <c r="O420" s="29" t="n">
        <v>64</v>
      </c>
      <c r="P420" s="30" t="n">
        <v>34.3</v>
      </c>
      <c r="Q420" s="30" t="n">
        <v>17.85</v>
      </c>
      <c r="R420" s="30" t="n">
        <f aca="false">ROUND(O420*P420,2)</f>
        <v>2195.2</v>
      </c>
      <c r="S420" s="30" t="n">
        <f aca="false">ROUND(O420*Q420,2)</f>
        <v>1142.4</v>
      </c>
      <c r="T420" s="30" t="n">
        <f aca="false">ROUND(R420*SUMIFS(Parametros!$E$23:$E$38,Parametros!$B$23:$B$38,J420,Parametros!$C$23:$C$38,C420,Parametros!$D$23:$D$38,D420),2)</f>
        <v>26.34</v>
      </c>
      <c r="U420" s="30" t="n">
        <f aca="false">R420-S420-T420</f>
        <v>1026.46</v>
      </c>
    </row>
    <row r="421" customFormat="false" ht="15" hidden="false" customHeight="false" outlineLevel="0" collapsed="false">
      <c r="A421" s="0" t="n">
        <v>420</v>
      </c>
      <c r="B421" s="27" t="n">
        <v>45437</v>
      </c>
      <c r="C421" s="0" t="n">
        <v>2024</v>
      </c>
      <c r="D421" s="28" t="s">
        <v>108</v>
      </c>
      <c r="E421" s="0" t="n">
        <v>5</v>
      </c>
      <c r="F421" s="28" t="s">
        <v>111</v>
      </c>
      <c r="G421" s="28" t="s">
        <v>112</v>
      </c>
      <c r="H421" s="28" t="s">
        <v>64</v>
      </c>
      <c r="I421" s="28" t="s">
        <v>65</v>
      </c>
      <c r="J421" s="28" t="s">
        <v>71</v>
      </c>
      <c r="K421" s="28" t="s">
        <v>90</v>
      </c>
      <c r="L421" s="28" t="s">
        <v>91</v>
      </c>
      <c r="M421" s="28" t="s">
        <v>94</v>
      </c>
      <c r="N421" s="28" t="s">
        <v>95</v>
      </c>
      <c r="O421" s="29" t="n">
        <v>25</v>
      </c>
      <c r="P421" s="30" t="n">
        <v>34.3</v>
      </c>
      <c r="Q421" s="30" t="n">
        <v>17.85</v>
      </c>
      <c r="R421" s="30" t="n">
        <f aca="false">ROUND(O421*P421,2)</f>
        <v>857.5</v>
      </c>
      <c r="S421" s="30" t="n">
        <f aca="false">ROUND(O421*Q421,2)</f>
        <v>446.25</v>
      </c>
      <c r="T421" s="30" t="n">
        <f aca="false">ROUND(R421*SUMIFS(Parametros!$E$23:$E$38,Parametros!$B$23:$B$38,J421,Parametros!$C$23:$C$38,C421,Parametros!$D$23:$D$38,D421),2)</f>
        <v>37.73</v>
      </c>
      <c r="U421" s="30" t="n">
        <f aca="false">R421-S421-T421</f>
        <v>373.52</v>
      </c>
    </row>
    <row r="422" customFormat="false" ht="15" hidden="false" customHeight="false" outlineLevel="0" collapsed="false">
      <c r="A422" s="0" t="n">
        <v>421</v>
      </c>
      <c r="B422" s="27" t="n">
        <v>45417</v>
      </c>
      <c r="C422" s="0" t="n">
        <v>2024</v>
      </c>
      <c r="D422" s="28" t="s">
        <v>108</v>
      </c>
      <c r="E422" s="0" t="n">
        <v>5</v>
      </c>
      <c r="F422" s="28" t="s">
        <v>111</v>
      </c>
      <c r="G422" s="28" t="s">
        <v>112</v>
      </c>
      <c r="H422" s="28" t="s">
        <v>96</v>
      </c>
      <c r="I422" s="28" t="s">
        <v>97</v>
      </c>
      <c r="J422" s="28" t="s">
        <v>66</v>
      </c>
      <c r="K422" s="28" t="s">
        <v>67</v>
      </c>
      <c r="L422" s="28" t="s">
        <v>68</v>
      </c>
      <c r="M422" s="28" t="s">
        <v>69</v>
      </c>
      <c r="N422" s="28" t="s">
        <v>70</v>
      </c>
      <c r="O422" s="29" t="n">
        <v>14</v>
      </c>
      <c r="P422" s="30" t="n">
        <v>1176</v>
      </c>
      <c r="Q422" s="30" t="n">
        <v>744</v>
      </c>
      <c r="R422" s="30" t="n">
        <f aca="false">ROUND(O422*P422,2)</f>
        <v>16464</v>
      </c>
      <c r="S422" s="30" t="n">
        <f aca="false">ROUND(O422*Q422,2)</f>
        <v>10416</v>
      </c>
      <c r="T422" s="30" t="n">
        <f aca="false">ROUND(R422*SUMIFS(Parametros!$E$23:$E$38,Parametros!$B$23:$B$38,J422,Parametros!$C$23:$C$38,C422,Parametros!$D$23:$D$38,D422),2)</f>
        <v>197.57</v>
      </c>
      <c r="U422" s="30" t="n">
        <f aca="false">R422-S422-T422</f>
        <v>5850.43</v>
      </c>
    </row>
    <row r="423" customFormat="false" ht="15" hidden="false" customHeight="false" outlineLevel="0" collapsed="false">
      <c r="A423" s="0" t="n">
        <v>422</v>
      </c>
      <c r="B423" s="27" t="n">
        <v>45424</v>
      </c>
      <c r="C423" s="0" t="n">
        <v>2024</v>
      </c>
      <c r="D423" s="28" t="s">
        <v>108</v>
      </c>
      <c r="E423" s="0" t="n">
        <v>5</v>
      </c>
      <c r="F423" s="28" t="s">
        <v>111</v>
      </c>
      <c r="G423" s="28" t="s">
        <v>112</v>
      </c>
      <c r="H423" s="28" t="s">
        <v>96</v>
      </c>
      <c r="I423" s="28" t="s">
        <v>97</v>
      </c>
      <c r="J423" s="28" t="s">
        <v>71</v>
      </c>
      <c r="K423" s="28" t="s">
        <v>67</v>
      </c>
      <c r="L423" s="28" t="s">
        <v>68</v>
      </c>
      <c r="M423" s="28" t="s">
        <v>69</v>
      </c>
      <c r="N423" s="28" t="s">
        <v>70</v>
      </c>
      <c r="O423" s="29" t="n">
        <v>6</v>
      </c>
      <c r="P423" s="30" t="n">
        <v>1176</v>
      </c>
      <c r="Q423" s="30" t="n">
        <v>744</v>
      </c>
      <c r="R423" s="30" t="n">
        <f aca="false">ROUND(O423*P423,2)</f>
        <v>7056</v>
      </c>
      <c r="S423" s="30" t="n">
        <f aca="false">ROUND(O423*Q423,2)</f>
        <v>4464</v>
      </c>
      <c r="T423" s="30" t="n">
        <f aca="false">ROUND(R423*SUMIFS(Parametros!$E$23:$E$38,Parametros!$B$23:$B$38,J423,Parametros!$C$23:$C$38,C423,Parametros!$D$23:$D$38,D423),2)</f>
        <v>310.46</v>
      </c>
      <c r="U423" s="30" t="n">
        <f aca="false">R423-S423-T423</f>
        <v>2281.54</v>
      </c>
    </row>
    <row r="424" customFormat="false" ht="15" hidden="false" customHeight="false" outlineLevel="0" collapsed="false">
      <c r="A424" s="0" t="n">
        <v>423</v>
      </c>
      <c r="B424" s="27" t="n">
        <v>45431</v>
      </c>
      <c r="C424" s="0" t="n">
        <v>2024</v>
      </c>
      <c r="D424" s="28" t="s">
        <v>108</v>
      </c>
      <c r="E424" s="0" t="n">
        <v>5</v>
      </c>
      <c r="F424" s="28" t="s">
        <v>111</v>
      </c>
      <c r="G424" s="28" t="s">
        <v>112</v>
      </c>
      <c r="H424" s="28" t="s">
        <v>96</v>
      </c>
      <c r="I424" s="28" t="s">
        <v>97</v>
      </c>
      <c r="J424" s="28" t="s">
        <v>66</v>
      </c>
      <c r="K424" s="28" t="s">
        <v>67</v>
      </c>
      <c r="L424" s="28" t="s">
        <v>68</v>
      </c>
      <c r="M424" s="28" t="s">
        <v>72</v>
      </c>
      <c r="N424" s="28" t="s">
        <v>73</v>
      </c>
      <c r="O424" s="29" t="n">
        <v>13</v>
      </c>
      <c r="P424" s="30" t="n">
        <v>441</v>
      </c>
      <c r="Q424" s="30" t="n">
        <v>272.25</v>
      </c>
      <c r="R424" s="30" t="n">
        <f aca="false">ROUND(O424*P424,2)</f>
        <v>5733</v>
      </c>
      <c r="S424" s="30" t="n">
        <f aca="false">ROUND(O424*Q424,2)</f>
        <v>3539.25</v>
      </c>
      <c r="T424" s="30" t="n">
        <f aca="false">ROUND(R424*SUMIFS(Parametros!$E$23:$E$38,Parametros!$B$23:$B$38,J424,Parametros!$C$23:$C$38,C424,Parametros!$D$23:$D$38,D424),2)</f>
        <v>68.8</v>
      </c>
      <c r="U424" s="30" t="n">
        <f aca="false">R424-S424-T424</f>
        <v>2124.95</v>
      </c>
    </row>
    <row r="425" customFormat="false" ht="15" hidden="false" customHeight="false" outlineLevel="0" collapsed="false">
      <c r="A425" s="0" t="n">
        <v>424</v>
      </c>
      <c r="B425" s="27" t="n">
        <v>45438</v>
      </c>
      <c r="C425" s="0" t="n">
        <v>2024</v>
      </c>
      <c r="D425" s="28" t="s">
        <v>108</v>
      </c>
      <c r="E425" s="0" t="n">
        <v>5</v>
      </c>
      <c r="F425" s="28" t="s">
        <v>111</v>
      </c>
      <c r="G425" s="28" t="s">
        <v>112</v>
      </c>
      <c r="H425" s="28" t="s">
        <v>96</v>
      </c>
      <c r="I425" s="28" t="s">
        <v>97</v>
      </c>
      <c r="J425" s="28" t="s">
        <v>71</v>
      </c>
      <c r="K425" s="28" t="s">
        <v>67</v>
      </c>
      <c r="L425" s="28" t="s">
        <v>68</v>
      </c>
      <c r="M425" s="28" t="s">
        <v>72</v>
      </c>
      <c r="N425" s="28" t="s">
        <v>73</v>
      </c>
      <c r="O425" s="29" t="n">
        <v>4</v>
      </c>
      <c r="P425" s="30" t="n">
        <v>441</v>
      </c>
      <c r="Q425" s="30" t="n">
        <v>272.25</v>
      </c>
      <c r="R425" s="30" t="n">
        <f aca="false">ROUND(O425*P425,2)</f>
        <v>1764</v>
      </c>
      <c r="S425" s="30" t="n">
        <f aca="false">ROUND(O425*Q425,2)</f>
        <v>1089</v>
      </c>
      <c r="T425" s="30" t="n">
        <f aca="false">ROUND(R425*SUMIFS(Parametros!$E$23:$E$38,Parametros!$B$23:$B$38,J425,Parametros!$C$23:$C$38,C425,Parametros!$D$23:$D$38,D425),2)</f>
        <v>77.62</v>
      </c>
      <c r="U425" s="30" t="n">
        <f aca="false">R425-S425-T425</f>
        <v>597.38</v>
      </c>
    </row>
    <row r="426" customFormat="false" ht="15" hidden="false" customHeight="false" outlineLevel="0" collapsed="false">
      <c r="A426" s="0" t="n">
        <v>425</v>
      </c>
      <c r="B426" s="27" t="n">
        <v>45418</v>
      </c>
      <c r="C426" s="0" t="n">
        <v>2024</v>
      </c>
      <c r="D426" s="28" t="s">
        <v>108</v>
      </c>
      <c r="E426" s="0" t="n">
        <v>5</v>
      </c>
      <c r="F426" s="28" t="s">
        <v>111</v>
      </c>
      <c r="G426" s="28" t="s">
        <v>112</v>
      </c>
      <c r="H426" s="28" t="s">
        <v>96</v>
      </c>
      <c r="I426" s="28" t="s">
        <v>97</v>
      </c>
      <c r="J426" s="28" t="s">
        <v>66</v>
      </c>
      <c r="K426" s="28" t="s">
        <v>67</v>
      </c>
      <c r="L426" s="28" t="s">
        <v>68</v>
      </c>
      <c r="M426" s="28" t="s">
        <v>74</v>
      </c>
      <c r="N426" s="28" t="s">
        <v>75</v>
      </c>
      <c r="O426" s="29" t="n">
        <v>11</v>
      </c>
      <c r="P426" s="30" t="n">
        <v>1617</v>
      </c>
      <c r="Q426" s="30" t="n">
        <v>1122</v>
      </c>
      <c r="R426" s="30" t="n">
        <f aca="false">ROUND(O426*P426,2)</f>
        <v>17787</v>
      </c>
      <c r="S426" s="30" t="n">
        <f aca="false">ROUND(O426*Q426,2)</f>
        <v>12342</v>
      </c>
      <c r="T426" s="30" t="n">
        <f aca="false">ROUND(R426*SUMIFS(Parametros!$E$23:$E$38,Parametros!$B$23:$B$38,J426,Parametros!$C$23:$C$38,C426,Parametros!$D$23:$D$38,D426),2)</f>
        <v>213.44</v>
      </c>
      <c r="U426" s="30" t="n">
        <f aca="false">R426-S426-T426</f>
        <v>5231.56</v>
      </c>
    </row>
    <row r="427" customFormat="false" ht="15" hidden="false" customHeight="false" outlineLevel="0" collapsed="false">
      <c r="A427" s="0" t="n">
        <v>426</v>
      </c>
      <c r="B427" s="27" t="n">
        <v>45425</v>
      </c>
      <c r="C427" s="0" t="n">
        <v>2024</v>
      </c>
      <c r="D427" s="28" t="s">
        <v>108</v>
      </c>
      <c r="E427" s="0" t="n">
        <v>5</v>
      </c>
      <c r="F427" s="28" t="s">
        <v>111</v>
      </c>
      <c r="G427" s="28" t="s">
        <v>112</v>
      </c>
      <c r="H427" s="28" t="s">
        <v>96</v>
      </c>
      <c r="I427" s="28" t="s">
        <v>97</v>
      </c>
      <c r="J427" s="28" t="s">
        <v>71</v>
      </c>
      <c r="K427" s="28" t="s">
        <v>67</v>
      </c>
      <c r="L427" s="28" t="s">
        <v>68</v>
      </c>
      <c r="M427" s="28" t="s">
        <v>74</v>
      </c>
      <c r="N427" s="28" t="s">
        <v>75</v>
      </c>
      <c r="O427" s="29" t="n">
        <v>4</v>
      </c>
      <c r="P427" s="30" t="n">
        <v>1617</v>
      </c>
      <c r="Q427" s="30" t="n">
        <v>1122</v>
      </c>
      <c r="R427" s="30" t="n">
        <f aca="false">ROUND(O427*P427,2)</f>
        <v>6468</v>
      </c>
      <c r="S427" s="30" t="n">
        <f aca="false">ROUND(O427*Q427,2)</f>
        <v>4488</v>
      </c>
      <c r="T427" s="30" t="n">
        <f aca="false">ROUND(R427*SUMIFS(Parametros!$E$23:$E$38,Parametros!$B$23:$B$38,J427,Parametros!$C$23:$C$38,C427,Parametros!$D$23:$D$38,D427),2)</f>
        <v>284.59</v>
      </c>
      <c r="U427" s="30" t="n">
        <f aca="false">R427-S427-T427</f>
        <v>1695.41</v>
      </c>
    </row>
    <row r="428" customFormat="false" ht="15" hidden="false" customHeight="false" outlineLevel="0" collapsed="false">
      <c r="A428" s="0" t="n">
        <v>427</v>
      </c>
      <c r="B428" s="27" t="n">
        <v>45432</v>
      </c>
      <c r="C428" s="0" t="n">
        <v>2024</v>
      </c>
      <c r="D428" s="28" t="s">
        <v>108</v>
      </c>
      <c r="E428" s="0" t="n">
        <v>5</v>
      </c>
      <c r="F428" s="28" t="s">
        <v>111</v>
      </c>
      <c r="G428" s="28" t="s">
        <v>112</v>
      </c>
      <c r="H428" s="28" t="s">
        <v>96</v>
      </c>
      <c r="I428" s="28" t="s">
        <v>97</v>
      </c>
      <c r="J428" s="28" t="s">
        <v>66</v>
      </c>
      <c r="K428" s="28" t="s">
        <v>76</v>
      </c>
      <c r="L428" s="28" t="s">
        <v>77</v>
      </c>
      <c r="M428" s="28" t="s">
        <v>78</v>
      </c>
      <c r="N428" s="28" t="s">
        <v>79</v>
      </c>
      <c r="O428" s="29" t="n">
        <v>52</v>
      </c>
      <c r="P428" s="30" t="n">
        <v>27.44</v>
      </c>
      <c r="Q428" s="30" t="n">
        <v>13.44</v>
      </c>
      <c r="R428" s="30" t="n">
        <f aca="false">ROUND(O428*P428,2)</f>
        <v>1426.88</v>
      </c>
      <c r="S428" s="30" t="n">
        <f aca="false">ROUND(O428*Q428,2)</f>
        <v>698.88</v>
      </c>
      <c r="T428" s="30" t="n">
        <f aca="false">ROUND(R428*SUMIFS(Parametros!$E$23:$E$38,Parametros!$B$23:$B$38,J428,Parametros!$C$23:$C$38,C428,Parametros!$D$23:$D$38,D428),2)</f>
        <v>17.12</v>
      </c>
      <c r="U428" s="30" t="n">
        <f aca="false">R428-S428-T428</f>
        <v>710.88</v>
      </c>
    </row>
    <row r="429" customFormat="false" ht="15" hidden="false" customHeight="false" outlineLevel="0" collapsed="false">
      <c r="A429" s="0" t="n">
        <v>428</v>
      </c>
      <c r="B429" s="27" t="n">
        <v>45439</v>
      </c>
      <c r="C429" s="0" t="n">
        <v>2024</v>
      </c>
      <c r="D429" s="28" t="s">
        <v>108</v>
      </c>
      <c r="E429" s="0" t="n">
        <v>5</v>
      </c>
      <c r="F429" s="28" t="s">
        <v>111</v>
      </c>
      <c r="G429" s="28" t="s">
        <v>112</v>
      </c>
      <c r="H429" s="28" t="s">
        <v>96</v>
      </c>
      <c r="I429" s="28" t="s">
        <v>97</v>
      </c>
      <c r="J429" s="28" t="s">
        <v>71</v>
      </c>
      <c r="K429" s="28" t="s">
        <v>76</v>
      </c>
      <c r="L429" s="28" t="s">
        <v>77</v>
      </c>
      <c r="M429" s="28" t="s">
        <v>78</v>
      </c>
      <c r="N429" s="28" t="s">
        <v>79</v>
      </c>
      <c r="O429" s="29" t="n">
        <v>25</v>
      </c>
      <c r="P429" s="30" t="n">
        <v>27.44</v>
      </c>
      <c r="Q429" s="30" t="n">
        <v>13.44</v>
      </c>
      <c r="R429" s="30" t="n">
        <f aca="false">ROUND(O429*P429,2)</f>
        <v>686</v>
      </c>
      <c r="S429" s="30" t="n">
        <f aca="false">ROUND(O429*Q429,2)</f>
        <v>336</v>
      </c>
      <c r="T429" s="30" t="n">
        <f aca="false">ROUND(R429*SUMIFS(Parametros!$E$23:$E$38,Parametros!$B$23:$B$38,J429,Parametros!$C$23:$C$38,C429,Parametros!$D$23:$D$38,D429),2)</f>
        <v>30.18</v>
      </c>
      <c r="U429" s="30" t="n">
        <f aca="false">R429-S429-T429</f>
        <v>319.82</v>
      </c>
    </row>
    <row r="430" customFormat="false" ht="15" hidden="false" customHeight="false" outlineLevel="0" collapsed="false">
      <c r="A430" s="0" t="n">
        <v>429</v>
      </c>
      <c r="B430" s="27" t="n">
        <v>45419</v>
      </c>
      <c r="C430" s="0" t="n">
        <v>2024</v>
      </c>
      <c r="D430" s="28" t="s">
        <v>108</v>
      </c>
      <c r="E430" s="0" t="n">
        <v>5</v>
      </c>
      <c r="F430" s="28" t="s">
        <v>111</v>
      </c>
      <c r="G430" s="28" t="s">
        <v>112</v>
      </c>
      <c r="H430" s="28" t="s">
        <v>96</v>
      </c>
      <c r="I430" s="28" t="s">
        <v>97</v>
      </c>
      <c r="J430" s="28" t="s">
        <v>66</v>
      </c>
      <c r="K430" s="28" t="s">
        <v>76</v>
      </c>
      <c r="L430" s="28" t="s">
        <v>77</v>
      </c>
      <c r="M430" s="28" t="s">
        <v>80</v>
      </c>
      <c r="N430" s="28" t="s">
        <v>81</v>
      </c>
      <c r="O430" s="29" t="n">
        <v>65</v>
      </c>
      <c r="P430" s="30" t="n">
        <v>93.1</v>
      </c>
      <c r="Q430" s="30" t="n">
        <v>47.98</v>
      </c>
      <c r="R430" s="30" t="n">
        <f aca="false">ROUND(O430*P430,2)</f>
        <v>6051.5</v>
      </c>
      <c r="S430" s="30" t="n">
        <f aca="false">ROUND(O430*Q430,2)</f>
        <v>3118.7</v>
      </c>
      <c r="T430" s="30" t="n">
        <f aca="false">ROUND(R430*SUMIFS(Parametros!$E$23:$E$38,Parametros!$B$23:$B$38,J430,Parametros!$C$23:$C$38,C430,Parametros!$D$23:$D$38,D430),2)</f>
        <v>72.62</v>
      </c>
      <c r="U430" s="30" t="n">
        <f aca="false">R430-S430-T430</f>
        <v>2860.18</v>
      </c>
    </row>
    <row r="431" customFormat="false" ht="15" hidden="false" customHeight="false" outlineLevel="0" collapsed="false">
      <c r="A431" s="0" t="n">
        <v>430</v>
      </c>
      <c r="B431" s="27" t="n">
        <v>45426</v>
      </c>
      <c r="C431" s="0" t="n">
        <v>2024</v>
      </c>
      <c r="D431" s="28" t="s">
        <v>108</v>
      </c>
      <c r="E431" s="0" t="n">
        <v>5</v>
      </c>
      <c r="F431" s="28" t="s">
        <v>111</v>
      </c>
      <c r="G431" s="28" t="s">
        <v>112</v>
      </c>
      <c r="H431" s="28" t="s">
        <v>96</v>
      </c>
      <c r="I431" s="28" t="s">
        <v>97</v>
      </c>
      <c r="J431" s="28" t="s">
        <v>71</v>
      </c>
      <c r="K431" s="28" t="s">
        <v>76</v>
      </c>
      <c r="L431" s="28" t="s">
        <v>77</v>
      </c>
      <c r="M431" s="28" t="s">
        <v>80</v>
      </c>
      <c r="N431" s="28" t="s">
        <v>81</v>
      </c>
      <c r="O431" s="29" t="n">
        <v>21</v>
      </c>
      <c r="P431" s="30" t="n">
        <v>93.1</v>
      </c>
      <c r="Q431" s="30" t="n">
        <v>47.98</v>
      </c>
      <c r="R431" s="30" t="n">
        <f aca="false">ROUND(O431*P431,2)</f>
        <v>1955.1</v>
      </c>
      <c r="S431" s="30" t="n">
        <f aca="false">ROUND(O431*Q431,2)</f>
        <v>1007.58</v>
      </c>
      <c r="T431" s="30" t="n">
        <f aca="false">ROUND(R431*SUMIFS(Parametros!$E$23:$E$38,Parametros!$B$23:$B$38,J431,Parametros!$C$23:$C$38,C431,Parametros!$D$23:$D$38,D431),2)</f>
        <v>86.02</v>
      </c>
      <c r="U431" s="30" t="n">
        <f aca="false">R431-S431-T431</f>
        <v>861.5</v>
      </c>
    </row>
    <row r="432" customFormat="false" ht="15" hidden="false" customHeight="false" outlineLevel="0" collapsed="false">
      <c r="A432" s="0" t="n">
        <v>431</v>
      </c>
      <c r="B432" s="27" t="n">
        <v>45433</v>
      </c>
      <c r="C432" s="0" t="n">
        <v>2024</v>
      </c>
      <c r="D432" s="28" t="s">
        <v>108</v>
      </c>
      <c r="E432" s="0" t="n">
        <v>5</v>
      </c>
      <c r="F432" s="28" t="s">
        <v>111</v>
      </c>
      <c r="G432" s="28" t="s">
        <v>112</v>
      </c>
      <c r="H432" s="28" t="s">
        <v>96</v>
      </c>
      <c r="I432" s="28" t="s">
        <v>97</v>
      </c>
      <c r="J432" s="28" t="s">
        <v>66</v>
      </c>
      <c r="K432" s="28" t="s">
        <v>76</v>
      </c>
      <c r="L432" s="28" t="s">
        <v>77</v>
      </c>
      <c r="M432" s="28" t="s">
        <v>82</v>
      </c>
      <c r="N432" s="28" t="s">
        <v>83</v>
      </c>
      <c r="O432" s="29" t="n">
        <v>60</v>
      </c>
      <c r="P432" s="30" t="n">
        <v>63.7</v>
      </c>
      <c r="Q432" s="30" t="n">
        <v>35.43</v>
      </c>
      <c r="R432" s="30" t="n">
        <f aca="false">ROUND(O432*P432,2)</f>
        <v>3822</v>
      </c>
      <c r="S432" s="30" t="n">
        <f aca="false">ROUND(O432*Q432,2)</f>
        <v>2125.8</v>
      </c>
      <c r="T432" s="30" t="n">
        <f aca="false">ROUND(R432*SUMIFS(Parametros!$E$23:$E$38,Parametros!$B$23:$B$38,J432,Parametros!$C$23:$C$38,C432,Parametros!$D$23:$D$38,D432),2)</f>
        <v>45.86</v>
      </c>
      <c r="U432" s="30" t="n">
        <f aca="false">R432-S432-T432</f>
        <v>1650.34</v>
      </c>
    </row>
    <row r="433" customFormat="false" ht="15" hidden="false" customHeight="false" outlineLevel="0" collapsed="false">
      <c r="A433" s="0" t="n">
        <v>432</v>
      </c>
      <c r="B433" s="27" t="n">
        <v>45413</v>
      </c>
      <c r="C433" s="0" t="n">
        <v>2024</v>
      </c>
      <c r="D433" s="28" t="s">
        <v>108</v>
      </c>
      <c r="E433" s="0" t="n">
        <v>5</v>
      </c>
      <c r="F433" s="28" t="s">
        <v>111</v>
      </c>
      <c r="G433" s="28" t="s">
        <v>112</v>
      </c>
      <c r="H433" s="28" t="s">
        <v>96</v>
      </c>
      <c r="I433" s="28" t="s">
        <v>97</v>
      </c>
      <c r="J433" s="28" t="s">
        <v>71</v>
      </c>
      <c r="K433" s="28" t="s">
        <v>76</v>
      </c>
      <c r="L433" s="28" t="s">
        <v>77</v>
      </c>
      <c r="M433" s="28" t="s">
        <v>82</v>
      </c>
      <c r="N433" s="28" t="s">
        <v>83</v>
      </c>
      <c r="O433" s="29" t="n">
        <v>21</v>
      </c>
      <c r="P433" s="30" t="n">
        <v>63.7</v>
      </c>
      <c r="Q433" s="30" t="n">
        <v>35.43</v>
      </c>
      <c r="R433" s="30" t="n">
        <f aca="false">ROUND(O433*P433,2)</f>
        <v>1337.7</v>
      </c>
      <c r="S433" s="30" t="n">
        <f aca="false">ROUND(O433*Q433,2)</f>
        <v>744.03</v>
      </c>
      <c r="T433" s="30" t="n">
        <f aca="false">ROUND(R433*SUMIFS(Parametros!$E$23:$E$38,Parametros!$B$23:$B$38,J433,Parametros!$C$23:$C$38,C433,Parametros!$D$23:$D$38,D433),2)</f>
        <v>58.86</v>
      </c>
      <c r="U433" s="30" t="n">
        <f aca="false">R433-S433-T433</f>
        <v>534.81</v>
      </c>
    </row>
    <row r="434" customFormat="false" ht="15" hidden="false" customHeight="false" outlineLevel="0" collapsed="false">
      <c r="A434" s="0" t="n">
        <v>433</v>
      </c>
      <c r="B434" s="27" t="n">
        <v>45420</v>
      </c>
      <c r="C434" s="0" t="n">
        <v>2024</v>
      </c>
      <c r="D434" s="28" t="s">
        <v>108</v>
      </c>
      <c r="E434" s="0" t="n">
        <v>5</v>
      </c>
      <c r="F434" s="28" t="s">
        <v>111</v>
      </c>
      <c r="G434" s="28" t="s">
        <v>112</v>
      </c>
      <c r="H434" s="28" t="s">
        <v>96</v>
      </c>
      <c r="I434" s="28" t="s">
        <v>97</v>
      </c>
      <c r="J434" s="28" t="s">
        <v>66</v>
      </c>
      <c r="K434" s="28" t="s">
        <v>84</v>
      </c>
      <c r="L434" s="28" t="s">
        <v>85</v>
      </c>
      <c r="M434" s="28" t="s">
        <v>86</v>
      </c>
      <c r="N434" s="28" t="s">
        <v>87</v>
      </c>
      <c r="O434" s="29" t="n">
        <v>26</v>
      </c>
      <c r="P434" s="30" t="n">
        <v>117.6</v>
      </c>
      <c r="Q434" s="30" t="n">
        <v>63.6</v>
      </c>
      <c r="R434" s="30" t="n">
        <f aca="false">ROUND(O434*P434,2)</f>
        <v>3057.6</v>
      </c>
      <c r="S434" s="30" t="n">
        <f aca="false">ROUND(O434*Q434,2)</f>
        <v>1653.6</v>
      </c>
      <c r="T434" s="30" t="n">
        <f aca="false">ROUND(R434*SUMIFS(Parametros!$E$23:$E$38,Parametros!$B$23:$B$38,J434,Parametros!$C$23:$C$38,C434,Parametros!$D$23:$D$38,D434),2)</f>
        <v>36.69</v>
      </c>
      <c r="U434" s="30" t="n">
        <f aca="false">R434-S434-T434</f>
        <v>1367.31</v>
      </c>
    </row>
    <row r="435" customFormat="false" ht="15" hidden="false" customHeight="false" outlineLevel="0" collapsed="false">
      <c r="A435" s="0" t="n">
        <v>434</v>
      </c>
      <c r="B435" s="27" t="n">
        <v>45427</v>
      </c>
      <c r="C435" s="0" t="n">
        <v>2024</v>
      </c>
      <c r="D435" s="28" t="s">
        <v>108</v>
      </c>
      <c r="E435" s="0" t="n">
        <v>5</v>
      </c>
      <c r="F435" s="28" t="s">
        <v>111</v>
      </c>
      <c r="G435" s="28" t="s">
        <v>112</v>
      </c>
      <c r="H435" s="28" t="s">
        <v>96</v>
      </c>
      <c r="I435" s="28" t="s">
        <v>97</v>
      </c>
      <c r="J435" s="28" t="s">
        <v>71</v>
      </c>
      <c r="K435" s="28" t="s">
        <v>84</v>
      </c>
      <c r="L435" s="28" t="s">
        <v>85</v>
      </c>
      <c r="M435" s="28" t="s">
        <v>86</v>
      </c>
      <c r="N435" s="28" t="s">
        <v>87</v>
      </c>
      <c r="O435" s="29" t="n">
        <v>11</v>
      </c>
      <c r="P435" s="30" t="n">
        <v>117.6</v>
      </c>
      <c r="Q435" s="30" t="n">
        <v>63.6</v>
      </c>
      <c r="R435" s="30" t="n">
        <f aca="false">ROUND(O435*P435,2)</f>
        <v>1293.6</v>
      </c>
      <c r="S435" s="30" t="n">
        <f aca="false">ROUND(O435*Q435,2)</f>
        <v>699.6</v>
      </c>
      <c r="T435" s="30" t="n">
        <f aca="false">ROUND(R435*SUMIFS(Parametros!$E$23:$E$38,Parametros!$B$23:$B$38,J435,Parametros!$C$23:$C$38,C435,Parametros!$D$23:$D$38,D435),2)</f>
        <v>56.92</v>
      </c>
      <c r="U435" s="30" t="n">
        <f aca="false">R435-S435-T435</f>
        <v>537.08</v>
      </c>
    </row>
    <row r="436" customFormat="false" ht="15" hidden="false" customHeight="false" outlineLevel="0" collapsed="false">
      <c r="A436" s="0" t="n">
        <v>435</v>
      </c>
      <c r="B436" s="27" t="n">
        <v>45434</v>
      </c>
      <c r="C436" s="0" t="n">
        <v>2024</v>
      </c>
      <c r="D436" s="28" t="s">
        <v>108</v>
      </c>
      <c r="E436" s="0" t="n">
        <v>5</v>
      </c>
      <c r="F436" s="28" t="s">
        <v>111</v>
      </c>
      <c r="G436" s="28" t="s">
        <v>112</v>
      </c>
      <c r="H436" s="28" t="s">
        <v>96</v>
      </c>
      <c r="I436" s="28" t="s">
        <v>97</v>
      </c>
      <c r="J436" s="28" t="s">
        <v>66</v>
      </c>
      <c r="K436" s="28" t="s">
        <v>84</v>
      </c>
      <c r="L436" s="28" t="s">
        <v>85</v>
      </c>
      <c r="M436" s="28" t="s">
        <v>88</v>
      </c>
      <c r="N436" s="28" t="s">
        <v>89</v>
      </c>
      <c r="O436" s="29" t="n">
        <v>30</v>
      </c>
      <c r="P436" s="30" t="n">
        <v>83.3</v>
      </c>
      <c r="Q436" s="30" t="n">
        <v>48.02</v>
      </c>
      <c r="R436" s="30" t="n">
        <f aca="false">ROUND(O436*P436,2)</f>
        <v>2499</v>
      </c>
      <c r="S436" s="30" t="n">
        <f aca="false">ROUND(O436*Q436,2)</f>
        <v>1440.6</v>
      </c>
      <c r="T436" s="30" t="n">
        <f aca="false">ROUND(R436*SUMIFS(Parametros!$E$23:$E$38,Parametros!$B$23:$B$38,J436,Parametros!$C$23:$C$38,C436,Parametros!$D$23:$D$38,D436),2)</f>
        <v>29.99</v>
      </c>
      <c r="U436" s="30" t="n">
        <f aca="false">R436-S436-T436</f>
        <v>1028.41</v>
      </c>
    </row>
    <row r="437" customFormat="false" ht="15" hidden="false" customHeight="false" outlineLevel="0" collapsed="false">
      <c r="A437" s="0" t="n">
        <v>436</v>
      </c>
      <c r="B437" s="27" t="n">
        <v>45414</v>
      </c>
      <c r="C437" s="0" t="n">
        <v>2024</v>
      </c>
      <c r="D437" s="28" t="s">
        <v>108</v>
      </c>
      <c r="E437" s="0" t="n">
        <v>5</v>
      </c>
      <c r="F437" s="28" t="s">
        <v>111</v>
      </c>
      <c r="G437" s="28" t="s">
        <v>112</v>
      </c>
      <c r="H437" s="28" t="s">
        <v>96</v>
      </c>
      <c r="I437" s="28" t="s">
        <v>97</v>
      </c>
      <c r="J437" s="28" t="s">
        <v>71</v>
      </c>
      <c r="K437" s="28" t="s">
        <v>84</v>
      </c>
      <c r="L437" s="28" t="s">
        <v>85</v>
      </c>
      <c r="M437" s="28" t="s">
        <v>88</v>
      </c>
      <c r="N437" s="28" t="s">
        <v>89</v>
      </c>
      <c r="O437" s="29" t="n">
        <v>9</v>
      </c>
      <c r="P437" s="30" t="n">
        <v>83.3</v>
      </c>
      <c r="Q437" s="30" t="n">
        <v>48.02</v>
      </c>
      <c r="R437" s="30" t="n">
        <f aca="false">ROUND(O437*P437,2)</f>
        <v>749.7</v>
      </c>
      <c r="S437" s="30" t="n">
        <f aca="false">ROUND(O437*Q437,2)</f>
        <v>432.18</v>
      </c>
      <c r="T437" s="30" t="n">
        <f aca="false">ROUND(R437*SUMIFS(Parametros!$E$23:$E$38,Parametros!$B$23:$B$38,J437,Parametros!$C$23:$C$38,C437,Parametros!$D$23:$D$38,D437),2)</f>
        <v>32.99</v>
      </c>
      <c r="U437" s="30" t="n">
        <f aca="false">R437-S437-T437</f>
        <v>284.53</v>
      </c>
    </row>
    <row r="438" customFormat="false" ht="15" hidden="false" customHeight="false" outlineLevel="0" collapsed="false">
      <c r="A438" s="0" t="n">
        <v>437</v>
      </c>
      <c r="B438" s="27" t="n">
        <v>45421</v>
      </c>
      <c r="C438" s="0" t="n">
        <v>2024</v>
      </c>
      <c r="D438" s="28" t="s">
        <v>108</v>
      </c>
      <c r="E438" s="0" t="n">
        <v>5</v>
      </c>
      <c r="F438" s="28" t="s">
        <v>111</v>
      </c>
      <c r="G438" s="28" t="s">
        <v>112</v>
      </c>
      <c r="H438" s="28" t="s">
        <v>96</v>
      </c>
      <c r="I438" s="28" t="s">
        <v>97</v>
      </c>
      <c r="J438" s="28" t="s">
        <v>66</v>
      </c>
      <c r="K438" s="28" t="s">
        <v>90</v>
      </c>
      <c r="L438" s="28" t="s">
        <v>91</v>
      </c>
      <c r="M438" s="28" t="s">
        <v>92</v>
      </c>
      <c r="N438" s="28" t="s">
        <v>93</v>
      </c>
      <c r="O438" s="29" t="n">
        <v>32</v>
      </c>
      <c r="P438" s="30" t="n">
        <v>127.4</v>
      </c>
      <c r="Q438" s="30" t="n">
        <v>76.05</v>
      </c>
      <c r="R438" s="30" t="n">
        <f aca="false">ROUND(O438*P438,2)</f>
        <v>4076.8</v>
      </c>
      <c r="S438" s="30" t="n">
        <f aca="false">ROUND(O438*Q438,2)</f>
        <v>2433.6</v>
      </c>
      <c r="T438" s="30" t="n">
        <f aca="false">ROUND(R438*SUMIFS(Parametros!$E$23:$E$38,Parametros!$B$23:$B$38,J438,Parametros!$C$23:$C$38,C438,Parametros!$D$23:$D$38,D438),2)</f>
        <v>48.92</v>
      </c>
      <c r="U438" s="30" t="n">
        <f aca="false">R438-S438-T438</f>
        <v>1594.28</v>
      </c>
    </row>
    <row r="439" customFormat="false" ht="15" hidden="false" customHeight="false" outlineLevel="0" collapsed="false">
      <c r="A439" s="0" t="n">
        <v>438</v>
      </c>
      <c r="B439" s="27" t="n">
        <v>45428</v>
      </c>
      <c r="C439" s="0" t="n">
        <v>2024</v>
      </c>
      <c r="D439" s="28" t="s">
        <v>108</v>
      </c>
      <c r="E439" s="0" t="n">
        <v>5</v>
      </c>
      <c r="F439" s="28" t="s">
        <v>111</v>
      </c>
      <c r="G439" s="28" t="s">
        <v>112</v>
      </c>
      <c r="H439" s="28" t="s">
        <v>96</v>
      </c>
      <c r="I439" s="28" t="s">
        <v>97</v>
      </c>
      <c r="J439" s="28" t="s">
        <v>71</v>
      </c>
      <c r="K439" s="28" t="s">
        <v>90</v>
      </c>
      <c r="L439" s="28" t="s">
        <v>91</v>
      </c>
      <c r="M439" s="28" t="s">
        <v>92</v>
      </c>
      <c r="N439" s="28" t="s">
        <v>93</v>
      </c>
      <c r="O439" s="29" t="n">
        <v>11</v>
      </c>
      <c r="P439" s="30" t="n">
        <v>127.4</v>
      </c>
      <c r="Q439" s="30" t="n">
        <v>76.05</v>
      </c>
      <c r="R439" s="30" t="n">
        <f aca="false">ROUND(O439*P439,2)</f>
        <v>1401.4</v>
      </c>
      <c r="S439" s="30" t="n">
        <f aca="false">ROUND(O439*Q439,2)</f>
        <v>836.55</v>
      </c>
      <c r="T439" s="30" t="n">
        <f aca="false">ROUND(R439*SUMIFS(Parametros!$E$23:$E$38,Parametros!$B$23:$B$38,J439,Parametros!$C$23:$C$38,C439,Parametros!$D$23:$D$38,D439),2)</f>
        <v>61.66</v>
      </c>
      <c r="U439" s="30" t="n">
        <f aca="false">R439-S439-T439</f>
        <v>503.19</v>
      </c>
    </row>
    <row r="440" customFormat="false" ht="15" hidden="false" customHeight="false" outlineLevel="0" collapsed="false">
      <c r="A440" s="0" t="n">
        <v>439</v>
      </c>
      <c r="B440" s="27" t="n">
        <v>45435</v>
      </c>
      <c r="C440" s="0" t="n">
        <v>2024</v>
      </c>
      <c r="D440" s="28" t="s">
        <v>108</v>
      </c>
      <c r="E440" s="0" t="n">
        <v>5</v>
      </c>
      <c r="F440" s="28" t="s">
        <v>111</v>
      </c>
      <c r="G440" s="28" t="s">
        <v>112</v>
      </c>
      <c r="H440" s="28" t="s">
        <v>96</v>
      </c>
      <c r="I440" s="28" t="s">
        <v>97</v>
      </c>
      <c r="J440" s="28" t="s">
        <v>66</v>
      </c>
      <c r="K440" s="28" t="s">
        <v>90</v>
      </c>
      <c r="L440" s="28" t="s">
        <v>91</v>
      </c>
      <c r="M440" s="28" t="s">
        <v>94</v>
      </c>
      <c r="N440" s="28" t="s">
        <v>95</v>
      </c>
      <c r="O440" s="29" t="n">
        <v>30</v>
      </c>
      <c r="P440" s="30" t="n">
        <v>34.3</v>
      </c>
      <c r="Q440" s="30" t="n">
        <v>17.85</v>
      </c>
      <c r="R440" s="30" t="n">
        <f aca="false">ROUND(O440*P440,2)</f>
        <v>1029</v>
      </c>
      <c r="S440" s="30" t="n">
        <f aca="false">ROUND(O440*Q440,2)</f>
        <v>535.5</v>
      </c>
      <c r="T440" s="30" t="n">
        <f aca="false">ROUND(R440*SUMIFS(Parametros!$E$23:$E$38,Parametros!$B$23:$B$38,J440,Parametros!$C$23:$C$38,C440,Parametros!$D$23:$D$38,D440),2)</f>
        <v>12.35</v>
      </c>
      <c r="U440" s="30" t="n">
        <f aca="false">R440-S440-T440</f>
        <v>481.15</v>
      </c>
    </row>
    <row r="441" customFormat="false" ht="15" hidden="false" customHeight="false" outlineLevel="0" collapsed="false">
      <c r="A441" s="0" t="n">
        <v>440</v>
      </c>
      <c r="B441" s="27" t="n">
        <v>45415</v>
      </c>
      <c r="C441" s="0" t="n">
        <v>2024</v>
      </c>
      <c r="D441" s="28" t="s">
        <v>108</v>
      </c>
      <c r="E441" s="0" t="n">
        <v>5</v>
      </c>
      <c r="F441" s="28" t="s">
        <v>111</v>
      </c>
      <c r="G441" s="28" t="s">
        <v>112</v>
      </c>
      <c r="H441" s="28" t="s">
        <v>96</v>
      </c>
      <c r="I441" s="28" t="s">
        <v>97</v>
      </c>
      <c r="J441" s="28" t="s">
        <v>71</v>
      </c>
      <c r="K441" s="28" t="s">
        <v>90</v>
      </c>
      <c r="L441" s="28" t="s">
        <v>91</v>
      </c>
      <c r="M441" s="28" t="s">
        <v>94</v>
      </c>
      <c r="N441" s="28" t="s">
        <v>95</v>
      </c>
      <c r="O441" s="29" t="n">
        <v>12</v>
      </c>
      <c r="P441" s="30" t="n">
        <v>34.3</v>
      </c>
      <c r="Q441" s="30" t="n">
        <v>17.85</v>
      </c>
      <c r="R441" s="30" t="n">
        <f aca="false">ROUND(O441*P441,2)</f>
        <v>411.6</v>
      </c>
      <c r="S441" s="30" t="n">
        <f aca="false">ROUND(O441*Q441,2)</f>
        <v>214.2</v>
      </c>
      <c r="T441" s="30" t="n">
        <f aca="false">ROUND(R441*SUMIFS(Parametros!$E$23:$E$38,Parametros!$B$23:$B$38,J441,Parametros!$C$23:$C$38,C441,Parametros!$D$23:$D$38,D441),2)</f>
        <v>18.11</v>
      </c>
      <c r="U441" s="30" t="n">
        <f aca="false">R441-S441-T441</f>
        <v>179.29</v>
      </c>
    </row>
    <row r="442" customFormat="false" ht="15" hidden="false" customHeight="false" outlineLevel="0" collapsed="false">
      <c r="A442" s="0" t="n">
        <v>441</v>
      </c>
      <c r="B442" s="27" t="n">
        <v>45422</v>
      </c>
      <c r="C442" s="0" t="n">
        <v>2024</v>
      </c>
      <c r="D442" s="28" t="s">
        <v>108</v>
      </c>
      <c r="E442" s="0" t="n">
        <v>5</v>
      </c>
      <c r="F442" s="28" t="s">
        <v>111</v>
      </c>
      <c r="G442" s="28" t="s">
        <v>112</v>
      </c>
      <c r="H442" s="28" t="s">
        <v>98</v>
      </c>
      <c r="I442" s="28" t="s">
        <v>99</v>
      </c>
      <c r="J442" s="28" t="s">
        <v>66</v>
      </c>
      <c r="K442" s="28" t="s">
        <v>67</v>
      </c>
      <c r="L442" s="28" t="s">
        <v>68</v>
      </c>
      <c r="M442" s="28" t="s">
        <v>69</v>
      </c>
      <c r="N442" s="28" t="s">
        <v>70</v>
      </c>
      <c r="O442" s="29" t="n">
        <v>9</v>
      </c>
      <c r="P442" s="30" t="n">
        <v>1176</v>
      </c>
      <c r="Q442" s="30" t="n">
        <v>744</v>
      </c>
      <c r="R442" s="30" t="n">
        <f aca="false">ROUND(O442*P442,2)</f>
        <v>10584</v>
      </c>
      <c r="S442" s="30" t="n">
        <f aca="false">ROUND(O442*Q442,2)</f>
        <v>6696</v>
      </c>
      <c r="T442" s="30" t="n">
        <f aca="false">ROUND(R442*SUMIFS(Parametros!$E$23:$E$38,Parametros!$B$23:$B$38,J442,Parametros!$C$23:$C$38,C442,Parametros!$D$23:$D$38,D442),2)</f>
        <v>127.01</v>
      </c>
      <c r="U442" s="30" t="n">
        <f aca="false">R442-S442-T442</f>
        <v>3760.99</v>
      </c>
    </row>
    <row r="443" customFormat="false" ht="15" hidden="false" customHeight="false" outlineLevel="0" collapsed="false">
      <c r="A443" s="0" t="n">
        <v>442</v>
      </c>
      <c r="B443" s="27" t="n">
        <v>45429</v>
      </c>
      <c r="C443" s="0" t="n">
        <v>2024</v>
      </c>
      <c r="D443" s="28" t="s">
        <v>108</v>
      </c>
      <c r="E443" s="0" t="n">
        <v>5</v>
      </c>
      <c r="F443" s="28" t="s">
        <v>111</v>
      </c>
      <c r="G443" s="28" t="s">
        <v>112</v>
      </c>
      <c r="H443" s="28" t="s">
        <v>98</v>
      </c>
      <c r="I443" s="28" t="s">
        <v>99</v>
      </c>
      <c r="J443" s="28" t="s">
        <v>71</v>
      </c>
      <c r="K443" s="28" t="s">
        <v>67</v>
      </c>
      <c r="L443" s="28" t="s">
        <v>68</v>
      </c>
      <c r="M443" s="28" t="s">
        <v>69</v>
      </c>
      <c r="N443" s="28" t="s">
        <v>70</v>
      </c>
      <c r="O443" s="29" t="n">
        <v>4</v>
      </c>
      <c r="P443" s="30" t="n">
        <v>1176</v>
      </c>
      <c r="Q443" s="30" t="n">
        <v>744</v>
      </c>
      <c r="R443" s="30" t="n">
        <f aca="false">ROUND(O443*P443,2)</f>
        <v>4704</v>
      </c>
      <c r="S443" s="30" t="n">
        <f aca="false">ROUND(O443*Q443,2)</f>
        <v>2976</v>
      </c>
      <c r="T443" s="30" t="n">
        <f aca="false">ROUND(R443*SUMIFS(Parametros!$E$23:$E$38,Parametros!$B$23:$B$38,J443,Parametros!$C$23:$C$38,C443,Parametros!$D$23:$D$38,D443),2)</f>
        <v>206.98</v>
      </c>
      <c r="U443" s="30" t="n">
        <f aca="false">R443-S443-T443</f>
        <v>1521.02</v>
      </c>
    </row>
    <row r="444" customFormat="false" ht="15" hidden="false" customHeight="false" outlineLevel="0" collapsed="false">
      <c r="A444" s="0" t="n">
        <v>443</v>
      </c>
      <c r="B444" s="27" t="n">
        <v>45436</v>
      </c>
      <c r="C444" s="0" t="n">
        <v>2024</v>
      </c>
      <c r="D444" s="28" t="s">
        <v>108</v>
      </c>
      <c r="E444" s="0" t="n">
        <v>5</v>
      </c>
      <c r="F444" s="28" t="s">
        <v>111</v>
      </c>
      <c r="G444" s="28" t="s">
        <v>112</v>
      </c>
      <c r="H444" s="28" t="s">
        <v>98</v>
      </c>
      <c r="I444" s="28" t="s">
        <v>99</v>
      </c>
      <c r="J444" s="28" t="s">
        <v>66</v>
      </c>
      <c r="K444" s="28" t="s">
        <v>67</v>
      </c>
      <c r="L444" s="28" t="s">
        <v>68</v>
      </c>
      <c r="M444" s="28" t="s">
        <v>72</v>
      </c>
      <c r="N444" s="28" t="s">
        <v>73</v>
      </c>
      <c r="O444" s="29" t="n">
        <v>9</v>
      </c>
      <c r="P444" s="30" t="n">
        <v>441</v>
      </c>
      <c r="Q444" s="30" t="n">
        <v>272.25</v>
      </c>
      <c r="R444" s="30" t="n">
        <f aca="false">ROUND(O444*P444,2)</f>
        <v>3969</v>
      </c>
      <c r="S444" s="30" t="n">
        <f aca="false">ROUND(O444*Q444,2)</f>
        <v>2450.25</v>
      </c>
      <c r="T444" s="30" t="n">
        <f aca="false">ROUND(R444*SUMIFS(Parametros!$E$23:$E$38,Parametros!$B$23:$B$38,J444,Parametros!$C$23:$C$38,C444,Parametros!$D$23:$D$38,D444),2)</f>
        <v>47.63</v>
      </c>
      <c r="U444" s="30" t="n">
        <f aca="false">R444-S444-T444</f>
        <v>1471.12</v>
      </c>
    </row>
    <row r="445" customFormat="false" ht="15" hidden="false" customHeight="false" outlineLevel="0" collapsed="false">
      <c r="A445" s="0" t="n">
        <v>444</v>
      </c>
      <c r="B445" s="27" t="n">
        <v>45416</v>
      </c>
      <c r="C445" s="0" t="n">
        <v>2024</v>
      </c>
      <c r="D445" s="28" t="s">
        <v>108</v>
      </c>
      <c r="E445" s="0" t="n">
        <v>5</v>
      </c>
      <c r="F445" s="28" t="s">
        <v>111</v>
      </c>
      <c r="G445" s="28" t="s">
        <v>112</v>
      </c>
      <c r="H445" s="28" t="s">
        <v>98</v>
      </c>
      <c r="I445" s="28" t="s">
        <v>99</v>
      </c>
      <c r="J445" s="28" t="s">
        <v>71</v>
      </c>
      <c r="K445" s="28" t="s">
        <v>67</v>
      </c>
      <c r="L445" s="28" t="s">
        <v>68</v>
      </c>
      <c r="M445" s="28" t="s">
        <v>72</v>
      </c>
      <c r="N445" s="28" t="s">
        <v>73</v>
      </c>
      <c r="O445" s="29" t="n">
        <v>3</v>
      </c>
      <c r="P445" s="30" t="n">
        <v>441</v>
      </c>
      <c r="Q445" s="30" t="n">
        <v>272.25</v>
      </c>
      <c r="R445" s="30" t="n">
        <f aca="false">ROUND(O445*P445,2)</f>
        <v>1323</v>
      </c>
      <c r="S445" s="30" t="n">
        <f aca="false">ROUND(O445*Q445,2)</f>
        <v>816.75</v>
      </c>
      <c r="T445" s="30" t="n">
        <f aca="false">ROUND(R445*SUMIFS(Parametros!$E$23:$E$38,Parametros!$B$23:$B$38,J445,Parametros!$C$23:$C$38,C445,Parametros!$D$23:$D$38,D445),2)</f>
        <v>58.21</v>
      </c>
      <c r="U445" s="30" t="n">
        <f aca="false">R445-S445-T445</f>
        <v>448.04</v>
      </c>
    </row>
    <row r="446" customFormat="false" ht="15" hidden="false" customHeight="false" outlineLevel="0" collapsed="false">
      <c r="A446" s="0" t="n">
        <v>445</v>
      </c>
      <c r="B446" s="27" t="n">
        <v>45423</v>
      </c>
      <c r="C446" s="0" t="n">
        <v>2024</v>
      </c>
      <c r="D446" s="28" t="s">
        <v>108</v>
      </c>
      <c r="E446" s="0" t="n">
        <v>5</v>
      </c>
      <c r="F446" s="28" t="s">
        <v>111</v>
      </c>
      <c r="G446" s="28" t="s">
        <v>112</v>
      </c>
      <c r="H446" s="28" t="s">
        <v>98</v>
      </c>
      <c r="I446" s="28" t="s">
        <v>99</v>
      </c>
      <c r="J446" s="28" t="s">
        <v>66</v>
      </c>
      <c r="K446" s="28" t="s">
        <v>67</v>
      </c>
      <c r="L446" s="28" t="s">
        <v>68</v>
      </c>
      <c r="M446" s="28" t="s">
        <v>74</v>
      </c>
      <c r="N446" s="28" t="s">
        <v>75</v>
      </c>
      <c r="O446" s="29" t="n">
        <v>10</v>
      </c>
      <c r="P446" s="30" t="n">
        <v>1617</v>
      </c>
      <c r="Q446" s="30" t="n">
        <v>1122</v>
      </c>
      <c r="R446" s="30" t="n">
        <f aca="false">ROUND(O446*P446,2)</f>
        <v>16170</v>
      </c>
      <c r="S446" s="30" t="n">
        <f aca="false">ROUND(O446*Q446,2)</f>
        <v>11220</v>
      </c>
      <c r="T446" s="30" t="n">
        <f aca="false">ROUND(R446*SUMIFS(Parametros!$E$23:$E$38,Parametros!$B$23:$B$38,J446,Parametros!$C$23:$C$38,C446,Parametros!$D$23:$D$38,D446),2)</f>
        <v>194.04</v>
      </c>
      <c r="U446" s="30" t="n">
        <f aca="false">R446-S446-T446</f>
        <v>4755.96</v>
      </c>
    </row>
    <row r="447" customFormat="false" ht="15" hidden="false" customHeight="false" outlineLevel="0" collapsed="false">
      <c r="A447" s="0" t="n">
        <v>446</v>
      </c>
      <c r="B447" s="27" t="n">
        <v>45430</v>
      </c>
      <c r="C447" s="0" t="n">
        <v>2024</v>
      </c>
      <c r="D447" s="28" t="s">
        <v>108</v>
      </c>
      <c r="E447" s="0" t="n">
        <v>5</v>
      </c>
      <c r="F447" s="28" t="s">
        <v>111</v>
      </c>
      <c r="G447" s="28" t="s">
        <v>112</v>
      </c>
      <c r="H447" s="28" t="s">
        <v>98</v>
      </c>
      <c r="I447" s="28" t="s">
        <v>99</v>
      </c>
      <c r="J447" s="28" t="s">
        <v>71</v>
      </c>
      <c r="K447" s="28" t="s">
        <v>67</v>
      </c>
      <c r="L447" s="28" t="s">
        <v>68</v>
      </c>
      <c r="M447" s="28" t="s">
        <v>74</v>
      </c>
      <c r="N447" s="28" t="s">
        <v>75</v>
      </c>
      <c r="O447" s="29" t="n">
        <v>3</v>
      </c>
      <c r="P447" s="30" t="n">
        <v>1617</v>
      </c>
      <c r="Q447" s="30" t="n">
        <v>1122</v>
      </c>
      <c r="R447" s="30" t="n">
        <f aca="false">ROUND(O447*P447,2)</f>
        <v>4851</v>
      </c>
      <c r="S447" s="30" t="n">
        <f aca="false">ROUND(O447*Q447,2)</f>
        <v>3366</v>
      </c>
      <c r="T447" s="30" t="n">
        <f aca="false">ROUND(R447*SUMIFS(Parametros!$E$23:$E$38,Parametros!$B$23:$B$38,J447,Parametros!$C$23:$C$38,C447,Parametros!$D$23:$D$38,D447),2)</f>
        <v>213.44</v>
      </c>
      <c r="U447" s="30" t="n">
        <f aca="false">R447-S447-T447</f>
        <v>1271.56</v>
      </c>
    </row>
    <row r="448" customFormat="false" ht="15" hidden="false" customHeight="false" outlineLevel="0" collapsed="false">
      <c r="A448" s="0" t="n">
        <v>447</v>
      </c>
      <c r="B448" s="27" t="n">
        <v>45437</v>
      </c>
      <c r="C448" s="0" t="n">
        <v>2024</v>
      </c>
      <c r="D448" s="28" t="s">
        <v>108</v>
      </c>
      <c r="E448" s="0" t="n">
        <v>5</v>
      </c>
      <c r="F448" s="28" t="s">
        <v>111</v>
      </c>
      <c r="G448" s="28" t="s">
        <v>112</v>
      </c>
      <c r="H448" s="28" t="s">
        <v>98</v>
      </c>
      <c r="I448" s="28" t="s">
        <v>99</v>
      </c>
      <c r="J448" s="28" t="s">
        <v>66</v>
      </c>
      <c r="K448" s="28" t="s">
        <v>76</v>
      </c>
      <c r="L448" s="28" t="s">
        <v>77</v>
      </c>
      <c r="M448" s="28" t="s">
        <v>78</v>
      </c>
      <c r="N448" s="28" t="s">
        <v>79</v>
      </c>
      <c r="O448" s="29" t="n">
        <v>46</v>
      </c>
      <c r="P448" s="30" t="n">
        <v>27.44</v>
      </c>
      <c r="Q448" s="30" t="n">
        <v>13.44</v>
      </c>
      <c r="R448" s="30" t="n">
        <f aca="false">ROUND(O448*P448,2)</f>
        <v>1262.24</v>
      </c>
      <c r="S448" s="30" t="n">
        <f aca="false">ROUND(O448*Q448,2)</f>
        <v>618.24</v>
      </c>
      <c r="T448" s="30" t="n">
        <f aca="false">ROUND(R448*SUMIFS(Parametros!$E$23:$E$38,Parametros!$B$23:$B$38,J448,Parametros!$C$23:$C$38,C448,Parametros!$D$23:$D$38,D448),2)</f>
        <v>15.15</v>
      </c>
      <c r="U448" s="30" t="n">
        <f aca="false">R448-S448-T448</f>
        <v>628.85</v>
      </c>
    </row>
    <row r="449" customFormat="false" ht="15" hidden="false" customHeight="false" outlineLevel="0" collapsed="false">
      <c r="A449" s="0" t="n">
        <v>448</v>
      </c>
      <c r="B449" s="27" t="n">
        <v>45417</v>
      </c>
      <c r="C449" s="0" t="n">
        <v>2024</v>
      </c>
      <c r="D449" s="28" t="s">
        <v>108</v>
      </c>
      <c r="E449" s="0" t="n">
        <v>5</v>
      </c>
      <c r="F449" s="28" t="s">
        <v>111</v>
      </c>
      <c r="G449" s="28" t="s">
        <v>112</v>
      </c>
      <c r="H449" s="28" t="s">
        <v>98</v>
      </c>
      <c r="I449" s="28" t="s">
        <v>99</v>
      </c>
      <c r="J449" s="28" t="s">
        <v>71</v>
      </c>
      <c r="K449" s="28" t="s">
        <v>76</v>
      </c>
      <c r="L449" s="28" t="s">
        <v>77</v>
      </c>
      <c r="M449" s="28" t="s">
        <v>78</v>
      </c>
      <c r="N449" s="28" t="s">
        <v>79</v>
      </c>
      <c r="O449" s="29" t="n">
        <v>14</v>
      </c>
      <c r="P449" s="30" t="n">
        <v>27.44</v>
      </c>
      <c r="Q449" s="30" t="n">
        <v>13.44</v>
      </c>
      <c r="R449" s="30" t="n">
        <f aca="false">ROUND(O449*P449,2)</f>
        <v>384.16</v>
      </c>
      <c r="S449" s="30" t="n">
        <f aca="false">ROUND(O449*Q449,2)</f>
        <v>188.16</v>
      </c>
      <c r="T449" s="30" t="n">
        <f aca="false">ROUND(R449*SUMIFS(Parametros!$E$23:$E$38,Parametros!$B$23:$B$38,J449,Parametros!$C$23:$C$38,C449,Parametros!$D$23:$D$38,D449),2)</f>
        <v>16.9</v>
      </c>
      <c r="U449" s="30" t="n">
        <f aca="false">R449-S449-T449</f>
        <v>179.1</v>
      </c>
    </row>
    <row r="450" customFormat="false" ht="15" hidden="false" customHeight="false" outlineLevel="0" collapsed="false">
      <c r="A450" s="0" t="n">
        <v>449</v>
      </c>
      <c r="B450" s="27" t="n">
        <v>45424</v>
      </c>
      <c r="C450" s="0" t="n">
        <v>2024</v>
      </c>
      <c r="D450" s="28" t="s">
        <v>108</v>
      </c>
      <c r="E450" s="0" t="n">
        <v>5</v>
      </c>
      <c r="F450" s="28" t="s">
        <v>111</v>
      </c>
      <c r="G450" s="28" t="s">
        <v>112</v>
      </c>
      <c r="H450" s="28" t="s">
        <v>98</v>
      </c>
      <c r="I450" s="28" t="s">
        <v>99</v>
      </c>
      <c r="J450" s="28" t="s">
        <v>66</v>
      </c>
      <c r="K450" s="28" t="s">
        <v>76</v>
      </c>
      <c r="L450" s="28" t="s">
        <v>77</v>
      </c>
      <c r="M450" s="28" t="s">
        <v>80</v>
      </c>
      <c r="N450" s="28" t="s">
        <v>81</v>
      </c>
      <c r="O450" s="29" t="n">
        <v>38</v>
      </c>
      <c r="P450" s="30" t="n">
        <v>93.1</v>
      </c>
      <c r="Q450" s="30" t="n">
        <v>47.98</v>
      </c>
      <c r="R450" s="30" t="n">
        <f aca="false">ROUND(O450*P450,2)</f>
        <v>3537.8</v>
      </c>
      <c r="S450" s="30" t="n">
        <f aca="false">ROUND(O450*Q450,2)</f>
        <v>1823.24</v>
      </c>
      <c r="T450" s="30" t="n">
        <f aca="false">ROUND(R450*SUMIFS(Parametros!$E$23:$E$38,Parametros!$B$23:$B$38,J450,Parametros!$C$23:$C$38,C450,Parametros!$D$23:$D$38,D450),2)</f>
        <v>42.45</v>
      </c>
      <c r="U450" s="30" t="n">
        <f aca="false">R450-S450-T450</f>
        <v>1672.11</v>
      </c>
    </row>
    <row r="451" customFormat="false" ht="15" hidden="false" customHeight="false" outlineLevel="0" collapsed="false">
      <c r="A451" s="0" t="n">
        <v>450</v>
      </c>
      <c r="B451" s="27" t="n">
        <v>45431</v>
      </c>
      <c r="C451" s="0" t="n">
        <v>2024</v>
      </c>
      <c r="D451" s="28" t="s">
        <v>108</v>
      </c>
      <c r="E451" s="0" t="n">
        <v>5</v>
      </c>
      <c r="F451" s="28" t="s">
        <v>111</v>
      </c>
      <c r="G451" s="28" t="s">
        <v>112</v>
      </c>
      <c r="H451" s="28" t="s">
        <v>98</v>
      </c>
      <c r="I451" s="28" t="s">
        <v>99</v>
      </c>
      <c r="J451" s="28" t="s">
        <v>71</v>
      </c>
      <c r="K451" s="28" t="s">
        <v>76</v>
      </c>
      <c r="L451" s="28" t="s">
        <v>77</v>
      </c>
      <c r="M451" s="28" t="s">
        <v>80</v>
      </c>
      <c r="N451" s="28" t="s">
        <v>81</v>
      </c>
      <c r="O451" s="29" t="n">
        <v>14</v>
      </c>
      <c r="P451" s="30" t="n">
        <v>93.1</v>
      </c>
      <c r="Q451" s="30" t="n">
        <v>47.98</v>
      </c>
      <c r="R451" s="30" t="n">
        <f aca="false">ROUND(O451*P451,2)</f>
        <v>1303.4</v>
      </c>
      <c r="S451" s="30" t="n">
        <f aca="false">ROUND(O451*Q451,2)</f>
        <v>671.72</v>
      </c>
      <c r="T451" s="30" t="n">
        <f aca="false">ROUND(R451*SUMIFS(Parametros!$E$23:$E$38,Parametros!$B$23:$B$38,J451,Parametros!$C$23:$C$38,C451,Parametros!$D$23:$D$38,D451),2)</f>
        <v>57.35</v>
      </c>
      <c r="U451" s="30" t="n">
        <f aca="false">R451-S451-T451</f>
        <v>574.33</v>
      </c>
    </row>
    <row r="452" customFormat="false" ht="15" hidden="false" customHeight="false" outlineLevel="0" collapsed="false">
      <c r="A452" s="0" t="n">
        <v>451</v>
      </c>
      <c r="B452" s="27" t="n">
        <v>45438</v>
      </c>
      <c r="C452" s="0" t="n">
        <v>2024</v>
      </c>
      <c r="D452" s="28" t="s">
        <v>108</v>
      </c>
      <c r="E452" s="0" t="n">
        <v>5</v>
      </c>
      <c r="F452" s="28" t="s">
        <v>111</v>
      </c>
      <c r="G452" s="28" t="s">
        <v>112</v>
      </c>
      <c r="H452" s="28" t="s">
        <v>98</v>
      </c>
      <c r="I452" s="28" t="s">
        <v>99</v>
      </c>
      <c r="J452" s="28" t="s">
        <v>66</v>
      </c>
      <c r="K452" s="28" t="s">
        <v>76</v>
      </c>
      <c r="L452" s="28" t="s">
        <v>77</v>
      </c>
      <c r="M452" s="28" t="s">
        <v>82</v>
      </c>
      <c r="N452" s="28" t="s">
        <v>83</v>
      </c>
      <c r="O452" s="29" t="n">
        <v>43</v>
      </c>
      <c r="P452" s="30" t="n">
        <v>63.7</v>
      </c>
      <c r="Q452" s="30" t="n">
        <v>35.43</v>
      </c>
      <c r="R452" s="30" t="n">
        <f aca="false">ROUND(O452*P452,2)</f>
        <v>2739.1</v>
      </c>
      <c r="S452" s="30" t="n">
        <f aca="false">ROUND(O452*Q452,2)</f>
        <v>1523.49</v>
      </c>
      <c r="T452" s="30" t="n">
        <f aca="false">ROUND(R452*SUMIFS(Parametros!$E$23:$E$38,Parametros!$B$23:$B$38,J452,Parametros!$C$23:$C$38,C452,Parametros!$D$23:$D$38,D452),2)</f>
        <v>32.87</v>
      </c>
      <c r="U452" s="30" t="n">
        <f aca="false">R452-S452-T452</f>
        <v>1182.74</v>
      </c>
    </row>
    <row r="453" customFormat="false" ht="15" hidden="false" customHeight="false" outlineLevel="0" collapsed="false">
      <c r="A453" s="0" t="n">
        <v>452</v>
      </c>
      <c r="B453" s="27" t="n">
        <v>45418</v>
      </c>
      <c r="C453" s="0" t="n">
        <v>2024</v>
      </c>
      <c r="D453" s="28" t="s">
        <v>108</v>
      </c>
      <c r="E453" s="0" t="n">
        <v>5</v>
      </c>
      <c r="F453" s="28" t="s">
        <v>111</v>
      </c>
      <c r="G453" s="28" t="s">
        <v>112</v>
      </c>
      <c r="H453" s="28" t="s">
        <v>98</v>
      </c>
      <c r="I453" s="28" t="s">
        <v>99</v>
      </c>
      <c r="J453" s="28" t="s">
        <v>71</v>
      </c>
      <c r="K453" s="28" t="s">
        <v>76</v>
      </c>
      <c r="L453" s="28" t="s">
        <v>77</v>
      </c>
      <c r="M453" s="28" t="s">
        <v>82</v>
      </c>
      <c r="N453" s="28" t="s">
        <v>83</v>
      </c>
      <c r="O453" s="29" t="n">
        <v>14</v>
      </c>
      <c r="P453" s="30" t="n">
        <v>63.7</v>
      </c>
      <c r="Q453" s="30" t="n">
        <v>35.43</v>
      </c>
      <c r="R453" s="30" t="n">
        <f aca="false">ROUND(O453*P453,2)</f>
        <v>891.8</v>
      </c>
      <c r="S453" s="30" t="n">
        <f aca="false">ROUND(O453*Q453,2)</f>
        <v>496.02</v>
      </c>
      <c r="T453" s="30" t="n">
        <f aca="false">ROUND(R453*SUMIFS(Parametros!$E$23:$E$38,Parametros!$B$23:$B$38,J453,Parametros!$C$23:$C$38,C453,Parametros!$D$23:$D$38,D453),2)</f>
        <v>39.24</v>
      </c>
      <c r="U453" s="30" t="n">
        <f aca="false">R453-S453-T453</f>
        <v>356.54</v>
      </c>
    </row>
    <row r="454" customFormat="false" ht="15" hidden="false" customHeight="false" outlineLevel="0" collapsed="false">
      <c r="A454" s="0" t="n">
        <v>453</v>
      </c>
      <c r="B454" s="27" t="n">
        <v>45425</v>
      </c>
      <c r="C454" s="0" t="n">
        <v>2024</v>
      </c>
      <c r="D454" s="28" t="s">
        <v>108</v>
      </c>
      <c r="E454" s="0" t="n">
        <v>5</v>
      </c>
      <c r="F454" s="28" t="s">
        <v>111</v>
      </c>
      <c r="G454" s="28" t="s">
        <v>112</v>
      </c>
      <c r="H454" s="28" t="s">
        <v>98</v>
      </c>
      <c r="I454" s="28" t="s">
        <v>99</v>
      </c>
      <c r="J454" s="28" t="s">
        <v>66</v>
      </c>
      <c r="K454" s="28" t="s">
        <v>84</v>
      </c>
      <c r="L454" s="28" t="s">
        <v>85</v>
      </c>
      <c r="M454" s="28" t="s">
        <v>86</v>
      </c>
      <c r="N454" s="28" t="s">
        <v>87</v>
      </c>
      <c r="O454" s="29" t="n">
        <v>18</v>
      </c>
      <c r="P454" s="30" t="n">
        <v>117.6</v>
      </c>
      <c r="Q454" s="30" t="n">
        <v>63.6</v>
      </c>
      <c r="R454" s="30" t="n">
        <f aca="false">ROUND(O454*P454,2)</f>
        <v>2116.8</v>
      </c>
      <c r="S454" s="30" t="n">
        <f aca="false">ROUND(O454*Q454,2)</f>
        <v>1144.8</v>
      </c>
      <c r="T454" s="30" t="n">
        <f aca="false">ROUND(R454*SUMIFS(Parametros!$E$23:$E$38,Parametros!$B$23:$B$38,J454,Parametros!$C$23:$C$38,C454,Parametros!$D$23:$D$38,D454),2)</f>
        <v>25.4</v>
      </c>
      <c r="U454" s="30" t="n">
        <f aca="false">R454-S454-T454</f>
        <v>946.6</v>
      </c>
    </row>
    <row r="455" customFormat="false" ht="15" hidden="false" customHeight="false" outlineLevel="0" collapsed="false">
      <c r="A455" s="0" t="n">
        <v>454</v>
      </c>
      <c r="B455" s="27" t="n">
        <v>45432</v>
      </c>
      <c r="C455" s="0" t="n">
        <v>2024</v>
      </c>
      <c r="D455" s="28" t="s">
        <v>108</v>
      </c>
      <c r="E455" s="0" t="n">
        <v>5</v>
      </c>
      <c r="F455" s="28" t="s">
        <v>111</v>
      </c>
      <c r="G455" s="28" t="s">
        <v>112</v>
      </c>
      <c r="H455" s="28" t="s">
        <v>98</v>
      </c>
      <c r="I455" s="28" t="s">
        <v>99</v>
      </c>
      <c r="J455" s="28" t="s">
        <v>71</v>
      </c>
      <c r="K455" s="28" t="s">
        <v>84</v>
      </c>
      <c r="L455" s="28" t="s">
        <v>85</v>
      </c>
      <c r="M455" s="28" t="s">
        <v>86</v>
      </c>
      <c r="N455" s="28" t="s">
        <v>87</v>
      </c>
      <c r="O455" s="29" t="n">
        <v>7</v>
      </c>
      <c r="P455" s="30" t="n">
        <v>117.6</v>
      </c>
      <c r="Q455" s="30" t="n">
        <v>63.6</v>
      </c>
      <c r="R455" s="30" t="n">
        <f aca="false">ROUND(O455*P455,2)</f>
        <v>823.2</v>
      </c>
      <c r="S455" s="30" t="n">
        <f aca="false">ROUND(O455*Q455,2)</f>
        <v>445.2</v>
      </c>
      <c r="T455" s="30" t="n">
        <f aca="false">ROUND(R455*SUMIFS(Parametros!$E$23:$E$38,Parametros!$B$23:$B$38,J455,Parametros!$C$23:$C$38,C455,Parametros!$D$23:$D$38,D455),2)</f>
        <v>36.22</v>
      </c>
      <c r="U455" s="30" t="n">
        <f aca="false">R455-S455-T455</f>
        <v>341.78</v>
      </c>
    </row>
    <row r="456" customFormat="false" ht="15" hidden="false" customHeight="false" outlineLevel="0" collapsed="false">
      <c r="A456" s="0" t="n">
        <v>455</v>
      </c>
      <c r="B456" s="27" t="n">
        <v>45439</v>
      </c>
      <c r="C456" s="0" t="n">
        <v>2024</v>
      </c>
      <c r="D456" s="28" t="s">
        <v>108</v>
      </c>
      <c r="E456" s="0" t="n">
        <v>5</v>
      </c>
      <c r="F456" s="28" t="s">
        <v>111</v>
      </c>
      <c r="G456" s="28" t="s">
        <v>112</v>
      </c>
      <c r="H456" s="28" t="s">
        <v>98</v>
      </c>
      <c r="I456" s="28" t="s">
        <v>99</v>
      </c>
      <c r="J456" s="28" t="s">
        <v>66</v>
      </c>
      <c r="K456" s="28" t="s">
        <v>84</v>
      </c>
      <c r="L456" s="28" t="s">
        <v>85</v>
      </c>
      <c r="M456" s="28" t="s">
        <v>88</v>
      </c>
      <c r="N456" s="28" t="s">
        <v>89</v>
      </c>
      <c r="O456" s="29" t="n">
        <v>17</v>
      </c>
      <c r="P456" s="30" t="n">
        <v>83.3</v>
      </c>
      <c r="Q456" s="30" t="n">
        <v>48.02</v>
      </c>
      <c r="R456" s="30" t="n">
        <f aca="false">ROUND(O456*P456,2)</f>
        <v>1416.1</v>
      </c>
      <c r="S456" s="30" t="n">
        <f aca="false">ROUND(O456*Q456,2)</f>
        <v>816.34</v>
      </c>
      <c r="T456" s="30" t="n">
        <f aca="false">ROUND(R456*SUMIFS(Parametros!$E$23:$E$38,Parametros!$B$23:$B$38,J456,Parametros!$C$23:$C$38,C456,Parametros!$D$23:$D$38,D456),2)</f>
        <v>16.99</v>
      </c>
      <c r="U456" s="30" t="n">
        <f aca="false">R456-S456-T456</f>
        <v>582.77</v>
      </c>
    </row>
    <row r="457" customFormat="false" ht="15" hidden="false" customHeight="false" outlineLevel="0" collapsed="false">
      <c r="A457" s="0" t="n">
        <v>456</v>
      </c>
      <c r="B457" s="27" t="n">
        <v>45419</v>
      </c>
      <c r="C457" s="0" t="n">
        <v>2024</v>
      </c>
      <c r="D457" s="28" t="s">
        <v>108</v>
      </c>
      <c r="E457" s="0" t="n">
        <v>5</v>
      </c>
      <c r="F457" s="28" t="s">
        <v>111</v>
      </c>
      <c r="G457" s="28" t="s">
        <v>112</v>
      </c>
      <c r="H457" s="28" t="s">
        <v>98</v>
      </c>
      <c r="I457" s="28" t="s">
        <v>99</v>
      </c>
      <c r="J457" s="28" t="s">
        <v>71</v>
      </c>
      <c r="K457" s="28" t="s">
        <v>84</v>
      </c>
      <c r="L457" s="28" t="s">
        <v>85</v>
      </c>
      <c r="M457" s="28" t="s">
        <v>88</v>
      </c>
      <c r="N457" s="28" t="s">
        <v>89</v>
      </c>
      <c r="O457" s="29" t="n">
        <v>9</v>
      </c>
      <c r="P457" s="30" t="n">
        <v>83.3</v>
      </c>
      <c r="Q457" s="30" t="n">
        <v>48.02</v>
      </c>
      <c r="R457" s="30" t="n">
        <f aca="false">ROUND(O457*P457,2)</f>
        <v>749.7</v>
      </c>
      <c r="S457" s="30" t="n">
        <f aca="false">ROUND(O457*Q457,2)</f>
        <v>432.18</v>
      </c>
      <c r="T457" s="30" t="n">
        <f aca="false">ROUND(R457*SUMIFS(Parametros!$E$23:$E$38,Parametros!$B$23:$B$38,J457,Parametros!$C$23:$C$38,C457,Parametros!$D$23:$D$38,D457),2)</f>
        <v>32.99</v>
      </c>
      <c r="U457" s="30" t="n">
        <f aca="false">R457-S457-T457</f>
        <v>284.53</v>
      </c>
    </row>
    <row r="458" customFormat="false" ht="15" hidden="false" customHeight="false" outlineLevel="0" collapsed="false">
      <c r="A458" s="0" t="n">
        <v>457</v>
      </c>
      <c r="B458" s="27" t="n">
        <v>45426</v>
      </c>
      <c r="C458" s="0" t="n">
        <v>2024</v>
      </c>
      <c r="D458" s="28" t="s">
        <v>108</v>
      </c>
      <c r="E458" s="0" t="n">
        <v>5</v>
      </c>
      <c r="F458" s="28" t="s">
        <v>111</v>
      </c>
      <c r="G458" s="28" t="s">
        <v>112</v>
      </c>
      <c r="H458" s="28" t="s">
        <v>98</v>
      </c>
      <c r="I458" s="28" t="s">
        <v>99</v>
      </c>
      <c r="J458" s="28" t="s">
        <v>66</v>
      </c>
      <c r="K458" s="28" t="s">
        <v>90</v>
      </c>
      <c r="L458" s="28" t="s">
        <v>91</v>
      </c>
      <c r="M458" s="28" t="s">
        <v>92</v>
      </c>
      <c r="N458" s="28" t="s">
        <v>93</v>
      </c>
      <c r="O458" s="29" t="n">
        <v>25</v>
      </c>
      <c r="P458" s="30" t="n">
        <v>127.4</v>
      </c>
      <c r="Q458" s="30" t="n">
        <v>76.05</v>
      </c>
      <c r="R458" s="30" t="n">
        <f aca="false">ROUND(O458*P458,2)</f>
        <v>3185</v>
      </c>
      <c r="S458" s="30" t="n">
        <f aca="false">ROUND(O458*Q458,2)</f>
        <v>1901.25</v>
      </c>
      <c r="T458" s="30" t="n">
        <f aca="false">ROUND(R458*SUMIFS(Parametros!$E$23:$E$38,Parametros!$B$23:$B$38,J458,Parametros!$C$23:$C$38,C458,Parametros!$D$23:$D$38,D458),2)</f>
        <v>38.22</v>
      </c>
      <c r="U458" s="30" t="n">
        <f aca="false">R458-S458-T458</f>
        <v>1245.53</v>
      </c>
    </row>
    <row r="459" customFormat="false" ht="15" hidden="false" customHeight="false" outlineLevel="0" collapsed="false">
      <c r="A459" s="0" t="n">
        <v>458</v>
      </c>
      <c r="B459" s="27" t="n">
        <v>45433</v>
      </c>
      <c r="C459" s="0" t="n">
        <v>2024</v>
      </c>
      <c r="D459" s="28" t="s">
        <v>108</v>
      </c>
      <c r="E459" s="0" t="n">
        <v>5</v>
      </c>
      <c r="F459" s="28" t="s">
        <v>111</v>
      </c>
      <c r="G459" s="28" t="s">
        <v>112</v>
      </c>
      <c r="H459" s="28" t="s">
        <v>98</v>
      </c>
      <c r="I459" s="28" t="s">
        <v>99</v>
      </c>
      <c r="J459" s="28" t="s">
        <v>71</v>
      </c>
      <c r="K459" s="28" t="s">
        <v>90</v>
      </c>
      <c r="L459" s="28" t="s">
        <v>91</v>
      </c>
      <c r="M459" s="28" t="s">
        <v>92</v>
      </c>
      <c r="N459" s="28" t="s">
        <v>93</v>
      </c>
      <c r="O459" s="29" t="n">
        <v>8</v>
      </c>
      <c r="P459" s="30" t="n">
        <v>127.4</v>
      </c>
      <c r="Q459" s="30" t="n">
        <v>76.05</v>
      </c>
      <c r="R459" s="30" t="n">
        <f aca="false">ROUND(O459*P459,2)</f>
        <v>1019.2</v>
      </c>
      <c r="S459" s="30" t="n">
        <f aca="false">ROUND(O459*Q459,2)</f>
        <v>608.4</v>
      </c>
      <c r="T459" s="30" t="n">
        <f aca="false">ROUND(R459*SUMIFS(Parametros!$E$23:$E$38,Parametros!$B$23:$B$38,J459,Parametros!$C$23:$C$38,C459,Parametros!$D$23:$D$38,D459),2)</f>
        <v>44.84</v>
      </c>
      <c r="U459" s="30" t="n">
        <f aca="false">R459-S459-T459</f>
        <v>365.96</v>
      </c>
    </row>
    <row r="460" customFormat="false" ht="15" hidden="false" customHeight="false" outlineLevel="0" collapsed="false">
      <c r="A460" s="0" t="n">
        <v>459</v>
      </c>
      <c r="B460" s="27" t="n">
        <v>45413</v>
      </c>
      <c r="C460" s="0" t="n">
        <v>2024</v>
      </c>
      <c r="D460" s="28" t="s">
        <v>108</v>
      </c>
      <c r="E460" s="0" t="n">
        <v>5</v>
      </c>
      <c r="F460" s="28" t="s">
        <v>111</v>
      </c>
      <c r="G460" s="28" t="s">
        <v>112</v>
      </c>
      <c r="H460" s="28" t="s">
        <v>98</v>
      </c>
      <c r="I460" s="28" t="s">
        <v>99</v>
      </c>
      <c r="J460" s="28" t="s">
        <v>66</v>
      </c>
      <c r="K460" s="28" t="s">
        <v>90</v>
      </c>
      <c r="L460" s="28" t="s">
        <v>91</v>
      </c>
      <c r="M460" s="28" t="s">
        <v>94</v>
      </c>
      <c r="N460" s="28" t="s">
        <v>95</v>
      </c>
      <c r="O460" s="29" t="n">
        <v>24</v>
      </c>
      <c r="P460" s="30" t="n">
        <v>34.3</v>
      </c>
      <c r="Q460" s="30" t="n">
        <v>17.85</v>
      </c>
      <c r="R460" s="30" t="n">
        <f aca="false">ROUND(O460*P460,2)</f>
        <v>823.2</v>
      </c>
      <c r="S460" s="30" t="n">
        <f aca="false">ROUND(O460*Q460,2)</f>
        <v>428.4</v>
      </c>
      <c r="T460" s="30" t="n">
        <f aca="false">ROUND(R460*SUMIFS(Parametros!$E$23:$E$38,Parametros!$B$23:$B$38,J460,Parametros!$C$23:$C$38,C460,Parametros!$D$23:$D$38,D460),2)</f>
        <v>9.88</v>
      </c>
      <c r="U460" s="30" t="n">
        <f aca="false">R460-S460-T460</f>
        <v>384.92</v>
      </c>
    </row>
    <row r="461" customFormat="false" ht="15" hidden="false" customHeight="false" outlineLevel="0" collapsed="false">
      <c r="A461" s="0" t="n">
        <v>460</v>
      </c>
      <c r="B461" s="27" t="n">
        <v>45420</v>
      </c>
      <c r="C461" s="0" t="n">
        <v>2024</v>
      </c>
      <c r="D461" s="28" t="s">
        <v>108</v>
      </c>
      <c r="E461" s="0" t="n">
        <v>5</v>
      </c>
      <c r="F461" s="28" t="s">
        <v>111</v>
      </c>
      <c r="G461" s="28" t="s">
        <v>112</v>
      </c>
      <c r="H461" s="28" t="s">
        <v>98</v>
      </c>
      <c r="I461" s="28" t="s">
        <v>99</v>
      </c>
      <c r="J461" s="28" t="s">
        <v>71</v>
      </c>
      <c r="K461" s="28" t="s">
        <v>90</v>
      </c>
      <c r="L461" s="28" t="s">
        <v>91</v>
      </c>
      <c r="M461" s="28" t="s">
        <v>94</v>
      </c>
      <c r="N461" s="28" t="s">
        <v>95</v>
      </c>
      <c r="O461" s="29" t="n">
        <v>10</v>
      </c>
      <c r="P461" s="30" t="n">
        <v>34.3</v>
      </c>
      <c r="Q461" s="30" t="n">
        <v>17.85</v>
      </c>
      <c r="R461" s="30" t="n">
        <f aca="false">ROUND(O461*P461,2)</f>
        <v>343</v>
      </c>
      <c r="S461" s="30" t="n">
        <f aca="false">ROUND(O461*Q461,2)</f>
        <v>178.5</v>
      </c>
      <c r="T461" s="30" t="n">
        <f aca="false">ROUND(R461*SUMIFS(Parametros!$E$23:$E$38,Parametros!$B$23:$B$38,J461,Parametros!$C$23:$C$38,C461,Parametros!$D$23:$D$38,D461),2)</f>
        <v>15.09</v>
      </c>
      <c r="U461" s="30" t="n">
        <f aca="false">R461-S461-T461</f>
        <v>149.41</v>
      </c>
    </row>
    <row r="462" customFormat="false" ht="15" hidden="false" customHeight="false" outlineLevel="0" collapsed="false">
      <c r="A462" s="0" t="n">
        <v>461</v>
      </c>
      <c r="B462" s="27" t="n">
        <v>45427</v>
      </c>
      <c r="C462" s="0" t="n">
        <v>2024</v>
      </c>
      <c r="D462" s="28" t="s">
        <v>108</v>
      </c>
      <c r="E462" s="0" t="n">
        <v>5</v>
      </c>
      <c r="F462" s="28" t="s">
        <v>111</v>
      </c>
      <c r="G462" s="28" t="s">
        <v>112</v>
      </c>
      <c r="H462" s="28" t="s">
        <v>100</v>
      </c>
      <c r="I462" s="28" t="s">
        <v>101</v>
      </c>
      <c r="J462" s="28" t="s">
        <v>66</v>
      </c>
      <c r="K462" s="28" t="s">
        <v>67</v>
      </c>
      <c r="L462" s="28" t="s">
        <v>68</v>
      </c>
      <c r="M462" s="28" t="s">
        <v>69</v>
      </c>
      <c r="N462" s="28" t="s">
        <v>70</v>
      </c>
      <c r="O462" s="29" t="n">
        <v>8</v>
      </c>
      <c r="P462" s="30" t="n">
        <v>1176</v>
      </c>
      <c r="Q462" s="30" t="n">
        <v>744</v>
      </c>
      <c r="R462" s="30" t="n">
        <f aca="false">ROUND(O462*P462,2)</f>
        <v>9408</v>
      </c>
      <c r="S462" s="30" t="n">
        <f aca="false">ROUND(O462*Q462,2)</f>
        <v>5952</v>
      </c>
      <c r="T462" s="30" t="n">
        <f aca="false">ROUND(R462*SUMIFS(Parametros!$E$23:$E$38,Parametros!$B$23:$B$38,J462,Parametros!$C$23:$C$38,C462,Parametros!$D$23:$D$38,D462),2)</f>
        <v>112.9</v>
      </c>
      <c r="U462" s="30" t="n">
        <f aca="false">R462-S462-T462</f>
        <v>3343.1</v>
      </c>
    </row>
    <row r="463" customFormat="false" ht="15" hidden="false" customHeight="false" outlineLevel="0" collapsed="false">
      <c r="A463" s="0" t="n">
        <v>462</v>
      </c>
      <c r="B463" s="27" t="n">
        <v>45434</v>
      </c>
      <c r="C463" s="0" t="n">
        <v>2024</v>
      </c>
      <c r="D463" s="28" t="s">
        <v>108</v>
      </c>
      <c r="E463" s="0" t="n">
        <v>5</v>
      </c>
      <c r="F463" s="28" t="s">
        <v>111</v>
      </c>
      <c r="G463" s="28" t="s">
        <v>112</v>
      </c>
      <c r="H463" s="28" t="s">
        <v>100</v>
      </c>
      <c r="I463" s="28" t="s">
        <v>101</v>
      </c>
      <c r="J463" s="28" t="s">
        <v>71</v>
      </c>
      <c r="K463" s="28" t="s">
        <v>67</v>
      </c>
      <c r="L463" s="28" t="s">
        <v>68</v>
      </c>
      <c r="M463" s="28" t="s">
        <v>69</v>
      </c>
      <c r="N463" s="28" t="s">
        <v>70</v>
      </c>
      <c r="O463" s="29" t="n">
        <v>3</v>
      </c>
      <c r="P463" s="30" t="n">
        <v>1176</v>
      </c>
      <c r="Q463" s="30" t="n">
        <v>744</v>
      </c>
      <c r="R463" s="30" t="n">
        <f aca="false">ROUND(O463*P463,2)</f>
        <v>3528</v>
      </c>
      <c r="S463" s="30" t="n">
        <f aca="false">ROUND(O463*Q463,2)</f>
        <v>2232</v>
      </c>
      <c r="T463" s="30" t="n">
        <f aca="false">ROUND(R463*SUMIFS(Parametros!$E$23:$E$38,Parametros!$B$23:$B$38,J463,Parametros!$C$23:$C$38,C463,Parametros!$D$23:$D$38,D463),2)</f>
        <v>155.23</v>
      </c>
      <c r="U463" s="30" t="n">
        <f aca="false">R463-S463-T463</f>
        <v>1140.77</v>
      </c>
    </row>
    <row r="464" customFormat="false" ht="15" hidden="false" customHeight="false" outlineLevel="0" collapsed="false">
      <c r="A464" s="0" t="n">
        <v>463</v>
      </c>
      <c r="B464" s="27" t="n">
        <v>45414</v>
      </c>
      <c r="C464" s="0" t="n">
        <v>2024</v>
      </c>
      <c r="D464" s="28" t="s">
        <v>108</v>
      </c>
      <c r="E464" s="0" t="n">
        <v>5</v>
      </c>
      <c r="F464" s="28" t="s">
        <v>111</v>
      </c>
      <c r="G464" s="28" t="s">
        <v>112</v>
      </c>
      <c r="H464" s="28" t="s">
        <v>100</v>
      </c>
      <c r="I464" s="28" t="s">
        <v>101</v>
      </c>
      <c r="J464" s="28" t="s">
        <v>66</v>
      </c>
      <c r="K464" s="28" t="s">
        <v>67</v>
      </c>
      <c r="L464" s="28" t="s">
        <v>68</v>
      </c>
      <c r="M464" s="28" t="s">
        <v>72</v>
      </c>
      <c r="N464" s="28" t="s">
        <v>73</v>
      </c>
      <c r="O464" s="29" t="n">
        <v>7</v>
      </c>
      <c r="P464" s="30" t="n">
        <v>441</v>
      </c>
      <c r="Q464" s="30" t="n">
        <v>272.25</v>
      </c>
      <c r="R464" s="30" t="n">
        <f aca="false">ROUND(O464*P464,2)</f>
        <v>3087</v>
      </c>
      <c r="S464" s="30" t="n">
        <f aca="false">ROUND(O464*Q464,2)</f>
        <v>1905.75</v>
      </c>
      <c r="T464" s="30" t="n">
        <f aca="false">ROUND(R464*SUMIFS(Parametros!$E$23:$E$38,Parametros!$B$23:$B$38,J464,Parametros!$C$23:$C$38,C464,Parametros!$D$23:$D$38,D464),2)</f>
        <v>37.04</v>
      </c>
      <c r="U464" s="30" t="n">
        <f aca="false">R464-S464-T464</f>
        <v>1144.21</v>
      </c>
    </row>
    <row r="465" customFormat="false" ht="15" hidden="false" customHeight="false" outlineLevel="0" collapsed="false">
      <c r="A465" s="0" t="n">
        <v>464</v>
      </c>
      <c r="B465" s="27" t="n">
        <v>45421</v>
      </c>
      <c r="C465" s="0" t="n">
        <v>2024</v>
      </c>
      <c r="D465" s="28" t="s">
        <v>108</v>
      </c>
      <c r="E465" s="0" t="n">
        <v>5</v>
      </c>
      <c r="F465" s="28" t="s">
        <v>111</v>
      </c>
      <c r="G465" s="28" t="s">
        <v>112</v>
      </c>
      <c r="H465" s="28" t="s">
        <v>100</v>
      </c>
      <c r="I465" s="28" t="s">
        <v>101</v>
      </c>
      <c r="J465" s="28" t="s">
        <v>71</v>
      </c>
      <c r="K465" s="28" t="s">
        <v>67</v>
      </c>
      <c r="L465" s="28" t="s">
        <v>68</v>
      </c>
      <c r="M465" s="28" t="s">
        <v>72</v>
      </c>
      <c r="N465" s="28" t="s">
        <v>73</v>
      </c>
      <c r="O465" s="29" t="n">
        <v>2</v>
      </c>
      <c r="P465" s="30" t="n">
        <v>441</v>
      </c>
      <c r="Q465" s="30" t="n">
        <v>272.25</v>
      </c>
      <c r="R465" s="30" t="n">
        <f aca="false">ROUND(O465*P465,2)</f>
        <v>882</v>
      </c>
      <c r="S465" s="30" t="n">
        <f aca="false">ROUND(O465*Q465,2)</f>
        <v>544.5</v>
      </c>
      <c r="T465" s="30" t="n">
        <f aca="false">ROUND(R465*SUMIFS(Parametros!$E$23:$E$38,Parametros!$B$23:$B$38,J465,Parametros!$C$23:$C$38,C465,Parametros!$D$23:$D$38,D465),2)</f>
        <v>38.81</v>
      </c>
      <c r="U465" s="30" t="n">
        <f aca="false">R465-S465-T465</f>
        <v>298.69</v>
      </c>
    </row>
    <row r="466" customFormat="false" ht="15" hidden="false" customHeight="false" outlineLevel="0" collapsed="false">
      <c r="A466" s="0" t="n">
        <v>465</v>
      </c>
      <c r="B466" s="27" t="n">
        <v>45428</v>
      </c>
      <c r="C466" s="0" t="n">
        <v>2024</v>
      </c>
      <c r="D466" s="28" t="s">
        <v>108</v>
      </c>
      <c r="E466" s="0" t="n">
        <v>5</v>
      </c>
      <c r="F466" s="28" t="s">
        <v>111</v>
      </c>
      <c r="G466" s="28" t="s">
        <v>112</v>
      </c>
      <c r="H466" s="28" t="s">
        <v>100</v>
      </c>
      <c r="I466" s="28" t="s">
        <v>101</v>
      </c>
      <c r="J466" s="28" t="s">
        <v>66</v>
      </c>
      <c r="K466" s="28" t="s">
        <v>67</v>
      </c>
      <c r="L466" s="28" t="s">
        <v>68</v>
      </c>
      <c r="M466" s="28" t="s">
        <v>74</v>
      </c>
      <c r="N466" s="28" t="s">
        <v>75</v>
      </c>
      <c r="O466" s="29" t="n">
        <v>7</v>
      </c>
      <c r="P466" s="30" t="n">
        <v>1617</v>
      </c>
      <c r="Q466" s="30" t="n">
        <v>1122</v>
      </c>
      <c r="R466" s="30" t="n">
        <f aca="false">ROUND(O466*P466,2)</f>
        <v>11319</v>
      </c>
      <c r="S466" s="30" t="n">
        <f aca="false">ROUND(O466*Q466,2)</f>
        <v>7854</v>
      </c>
      <c r="T466" s="30" t="n">
        <f aca="false">ROUND(R466*SUMIFS(Parametros!$E$23:$E$38,Parametros!$B$23:$B$38,J466,Parametros!$C$23:$C$38,C466,Parametros!$D$23:$D$38,D466),2)</f>
        <v>135.83</v>
      </c>
      <c r="U466" s="30" t="n">
        <f aca="false">R466-S466-T466</f>
        <v>3329.17</v>
      </c>
    </row>
    <row r="467" customFormat="false" ht="15" hidden="false" customHeight="false" outlineLevel="0" collapsed="false">
      <c r="A467" s="0" t="n">
        <v>466</v>
      </c>
      <c r="B467" s="27" t="n">
        <v>45435</v>
      </c>
      <c r="C467" s="0" t="n">
        <v>2024</v>
      </c>
      <c r="D467" s="28" t="s">
        <v>108</v>
      </c>
      <c r="E467" s="0" t="n">
        <v>5</v>
      </c>
      <c r="F467" s="28" t="s">
        <v>111</v>
      </c>
      <c r="G467" s="28" t="s">
        <v>112</v>
      </c>
      <c r="H467" s="28" t="s">
        <v>100</v>
      </c>
      <c r="I467" s="28" t="s">
        <v>101</v>
      </c>
      <c r="J467" s="28" t="s">
        <v>71</v>
      </c>
      <c r="K467" s="28" t="s">
        <v>67</v>
      </c>
      <c r="L467" s="28" t="s">
        <v>68</v>
      </c>
      <c r="M467" s="28" t="s">
        <v>74</v>
      </c>
      <c r="N467" s="28" t="s">
        <v>75</v>
      </c>
      <c r="O467" s="29" t="n">
        <v>3</v>
      </c>
      <c r="P467" s="30" t="n">
        <v>1617</v>
      </c>
      <c r="Q467" s="30" t="n">
        <v>1122</v>
      </c>
      <c r="R467" s="30" t="n">
        <f aca="false">ROUND(O467*P467,2)</f>
        <v>4851</v>
      </c>
      <c r="S467" s="30" t="n">
        <f aca="false">ROUND(O467*Q467,2)</f>
        <v>3366</v>
      </c>
      <c r="T467" s="30" t="n">
        <f aca="false">ROUND(R467*SUMIFS(Parametros!$E$23:$E$38,Parametros!$B$23:$B$38,J467,Parametros!$C$23:$C$38,C467,Parametros!$D$23:$D$38,D467),2)</f>
        <v>213.44</v>
      </c>
      <c r="U467" s="30" t="n">
        <f aca="false">R467-S467-T467</f>
        <v>1271.56</v>
      </c>
    </row>
    <row r="468" customFormat="false" ht="15" hidden="false" customHeight="false" outlineLevel="0" collapsed="false">
      <c r="A468" s="0" t="n">
        <v>467</v>
      </c>
      <c r="B468" s="27" t="n">
        <v>45415</v>
      </c>
      <c r="C468" s="0" t="n">
        <v>2024</v>
      </c>
      <c r="D468" s="28" t="s">
        <v>108</v>
      </c>
      <c r="E468" s="0" t="n">
        <v>5</v>
      </c>
      <c r="F468" s="28" t="s">
        <v>111</v>
      </c>
      <c r="G468" s="28" t="s">
        <v>112</v>
      </c>
      <c r="H468" s="28" t="s">
        <v>100</v>
      </c>
      <c r="I468" s="28" t="s">
        <v>101</v>
      </c>
      <c r="J468" s="28" t="s">
        <v>66</v>
      </c>
      <c r="K468" s="28" t="s">
        <v>76</v>
      </c>
      <c r="L468" s="28" t="s">
        <v>77</v>
      </c>
      <c r="M468" s="28" t="s">
        <v>78</v>
      </c>
      <c r="N468" s="28" t="s">
        <v>79</v>
      </c>
      <c r="O468" s="29" t="n">
        <v>29</v>
      </c>
      <c r="P468" s="30" t="n">
        <v>27.44</v>
      </c>
      <c r="Q468" s="30" t="n">
        <v>13.44</v>
      </c>
      <c r="R468" s="30" t="n">
        <f aca="false">ROUND(O468*P468,2)</f>
        <v>795.76</v>
      </c>
      <c r="S468" s="30" t="n">
        <f aca="false">ROUND(O468*Q468,2)</f>
        <v>389.76</v>
      </c>
      <c r="T468" s="30" t="n">
        <f aca="false">ROUND(R468*SUMIFS(Parametros!$E$23:$E$38,Parametros!$B$23:$B$38,J468,Parametros!$C$23:$C$38,C468,Parametros!$D$23:$D$38,D468),2)</f>
        <v>9.55</v>
      </c>
      <c r="U468" s="30" t="n">
        <f aca="false">R468-S468-T468</f>
        <v>396.45</v>
      </c>
    </row>
    <row r="469" customFormat="false" ht="15" hidden="false" customHeight="false" outlineLevel="0" collapsed="false">
      <c r="A469" s="0" t="n">
        <v>468</v>
      </c>
      <c r="B469" s="27" t="n">
        <v>45422</v>
      </c>
      <c r="C469" s="0" t="n">
        <v>2024</v>
      </c>
      <c r="D469" s="28" t="s">
        <v>108</v>
      </c>
      <c r="E469" s="0" t="n">
        <v>5</v>
      </c>
      <c r="F469" s="28" t="s">
        <v>111</v>
      </c>
      <c r="G469" s="28" t="s">
        <v>112</v>
      </c>
      <c r="H469" s="28" t="s">
        <v>100</v>
      </c>
      <c r="I469" s="28" t="s">
        <v>101</v>
      </c>
      <c r="J469" s="28" t="s">
        <v>71</v>
      </c>
      <c r="K469" s="28" t="s">
        <v>76</v>
      </c>
      <c r="L469" s="28" t="s">
        <v>77</v>
      </c>
      <c r="M469" s="28" t="s">
        <v>78</v>
      </c>
      <c r="N469" s="28" t="s">
        <v>79</v>
      </c>
      <c r="O469" s="29" t="n">
        <v>12</v>
      </c>
      <c r="P469" s="30" t="n">
        <v>27.44</v>
      </c>
      <c r="Q469" s="30" t="n">
        <v>13.44</v>
      </c>
      <c r="R469" s="30" t="n">
        <f aca="false">ROUND(O469*P469,2)</f>
        <v>329.28</v>
      </c>
      <c r="S469" s="30" t="n">
        <f aca="false">ROUND(O469*Q469,2)</f>
        <v>161.28</v>
      </c>
      <c r="T469" s="30" t="n">
        <f aca="false">ROUND(R469*SUMIFS(Parametros!$E$23:$E$38,Parametros!$B$23:$B$38,J469,Parametros!$C$23:$C$38,C469,Parametros!$D$23:$D$38,D469),2)</f>
        <v>14.49</v>
      </c>
      <c r="U469" s="30" t="n">
        <f aca="false">R469-S469-T469</f>
        <v>153.51</v>
      </c>
    </row>
    <row r="470" customFormat="false" ht="15" hidden="false" customHeight="false" outlineLevel="0" collapsed="false">
      <c r="A470" s="0" t="n">
        <v>469</v>
      </c>
      <c r="B470" s="27" t="n">
        <v>45429</v>
      </c>
      <c r="C470" s="0" t="n">
        <v>2024</v>
      </c>
      <c r="D470" s="28" t="s">
        <v>108</v>
      </c>
      <c r="E470" s="0" t="n">
        <v>5</v>
      </c>
      <c r="F470" s="28" t="s">
        <v>111</v>
      </c>
      <c r="G470" s="28" t="s">
        <v>112</v>
      </c>
      <c r="H470" s="28" t="s">
        <v>100</v>
      </c>
      <c r="I470" s="28" t="s">
        <v>101</v>
      </c>
      <c r="J470" s="28" t="s">
        <v>66</v>
      </c>
      <c r="K470" s="28" t="s">
        <v>76</v>
      </c>
      <c r="L470" s="28" t="s">
        <v>77</v>
      </c>
      <c r="M470" s="28" t="s">
        <v>80</v>
      </c>
      <c r="N470" s="28" t="s">
        <v>81</v>
      </c>
      <c r="O470" s="29" t="n">
        <v>26</v>
      </c>
      <c r="P470" s="30" t="n">
        <v>93.1</v>
      </c>
      <c r="Q470" s="30" t="n">
        <v>47.98</v>
      </c>
      <c r="R470" s="30" t="n">
        <f aca="false">ROUND(O470*P470,2)</f>
        <v>2420.6</v>
      </c>
      <c r="S470" s="30" t="n">
        <f aca="false">ROUND(O470*Q470,2)</f>
        <v>1247.48</v>
      </c>
      <c r="T470" s="30" t="n">
        <f aca="false">ROUND(R470*SUMIFS(Parametros!$E$23:$E$38,Parametros!$B$23:$B$38,J470,Parametros!$C$23:$C$38,C470,Parametros!$D$23:$D$38,D470),2)</f>
        <v>29.05</v>
      </c>
      <c r="U470" s="30" t="n">
        <f aca="false">R470-S470-T470</f>
        <v>1144.07</v>
      </c>
    </row>
    <row r="471" customFormat="false" ht="15" hidden="false" customHeight="false" outlineLevel="0" collapsed="false">
      <c r="A471" s="0" t="n">
        <v>470</v>
      </c>
      <c r="B471" s="27" t="n">
        <v>45436</v>
      </c>
      <c r="C471" s="0" t="n">
        <v>2024</v>
      </c>
      <c r="D471" s="28" t="s">
        <v>108</v>
      </c>
      <c r="E471" s="0" t="n">
        <v>5</v>
      </c>
      <c r="F471" s="28" t="s">
        <v>111</v>
      </c>
      <c r="G471" s="28" t="s">
        <v>112</v>
      </c>
      <c r="H471" s="28" t="s">
        <v>100</v>
      </c>
      <c r="I471" s="28" t="s">
        <v>101</v>
      </c>
      <c r="J471" s="28" t="s">
        <v>71</v>
      </c>
      <c r="K471" s="28" t="s">
        <v>76</v>
      </c>
      <c r="L471" s="28" t="s">
        <v>77</v>
      </c>
      <c r="M471" s="28" t="s">
        <v>80</v>
      </c>
      <c r="N471" s="28" t="s">
        <v>81</v>
      </c>
      <c r="O471" s="29" t="n">
        <v>11</v>
      </c>
      <c r="P471" s="30" t="n">
        <v>93.1</v>
      </c>
      <c r="Q471" s="30" t="n">
        <v>47.98</v>
      </c>
      <c r="R471" s="30" t="n">
        <f aca="false">ROUND(O471*P471,2)</f>
        <v>1024.1</v>
      </c>
      <c r="S471" s="30" t="n">
        <f aca="false">ROUND(O471*Q471,2)</f>
        <v>527.78</v>
      </c>
      <c r="T471" s="30" t="n">
        <f aca="false">ROUND(R471*SUMIFS(Parametros!$E$23:$E$38,Parametros!$B$23:$B$38,J471,Parametros!$C$23:$C$38,C471,Parametros!$D$23:$D$38,D471),2)</f>
        <v>45.06</v>
      </c>
      <c r="U471" s="30" t="n">
        <f aca="false">R471-S471-T471</f>
        <v>451.26</v>
      </c>
    </row>
    <row r="472" customFormat="false" ht="15" hidden="false" customHeight="false" outlineLevel="0" collapsed="false">
      <c r="A472" s="0" t="n">
        <v>471</v>
      </c>
      <c r="B472" s="27" t="n">
        <v>45416</v>
      </c>
      <c r="C472" s="0" t="n">
        <v>2024</v>
      </c>
      <c r="D472" s="28" t="s">
        <v>108</v>
      </c>
      <c r="E472" s="0" t="n">
        <v>5</v>
      </c>
      <c r="F472" s="28" t="s">
        <v>111</v>
      </c>
      <c r="G472" s="28" t="s">
        <v>112</v>
      </c>
      <c r="H472" s="28" t="s">
        <v>100</v>
      </c>
      <c r="I472" s="28" t="s">
        <v>101</v>
      </c>
      <c r="J472" s="28" t="s">
        <v>66</v>
      </c>
      <c r="K472" s="28" t="s">
        <v>76</v>
      </c>
      <c r="L472" s="28" t="s">
        <v>77</v>
      </c>
      <c r="M472" s="28" t="s">
        <v>82</v>
      </c>
      <c r="N472" s="28" t="s">
        <v>83</v>
      </c>
      <c r="O472" s="29" t="n">
        <v>26</v>
      </c>
      <c r="P472" s="30" t="n">
        <v>63.7</v>
      </c>
      <c r="Q472" s="30" t="n">
        <v>35.43</v>
      </c>
      <c r="R472" s="30" t="n">
        <f aca="false">ROUND(O472*P472,2)</f>
        <v>1656.2</v>
      </c>
      <c r="S472" s="30" t="n">
        <f aca="false">ROUND(O472*Q472,2)</f>
        <v>921.18</v>
      </c>
      <c r="T472" s="30" t="n">
        <f aca="false">ROUND(R472*SUMIFS(Parametros!$E$23:$E$38,Parametros!$B$23:$B$38,J472,Parametros!$C$23:$C$38,C472,Parametros!$D$23:$D$38,D472),2)</f>
        <v>19.87</v>
      </c>
      <c r="U472" s="30" t="n">
        <f aca="false">R472-S472-T472</f>
        <v>715.15</v>
      </c>
    </row>
    <row r="473" customFormat="false" ht="15" hidden="false" customHeight="false" outlineLevel="0" collapsed="false">
      <c r="A473" s="0" t="n">
        <v>472</v>
      </c>
      <c r="B473" s="27" t="n">
        <v>45423</v>
      </c>
      <c r="C473" s="0" t="n">
        <v>2024</v>
      </c>
      <c r="D473" s="28" t="s">
        <v>108</v>
      </c>
      <c r="E473" s="0" t="n">
        <v>5</v>
      </c>
      <c r="F473" s="28" t="s">
        <v>111</v>
      </c>
      <c r="G473" s="28" t="s">
        <v>112</v>
      </c>
      <c r="H473" s="28" t="s">
        <v>100</v>
      </c>
      <c r="I473" s="28" t="s">
        <v>101</v>
      </c>
      <c r="J473" s="28" t="s">
        <v>71</v>
      </c>
      <c r="K473" s="28" t="s">
        <v>76</v>
      </c>
      <c r="L473" s="28" t="s">
        <v>77</v>
      </c>
      <c r="M473" s="28" t="s">
        <v>82</v>
      </c>
      <c r="N473" s="28" t="s">
        <v>83</v>
      </c>
      <c r="O473" s="29" t="n">
        <v>11</v>
      </c>
      <c r="P473" s="30" t="n">
        <v>63.7</v>
      </c>
      <c r="Q473" s="30" t="n">
        <v>35.43</v>
      </c>
      <c r="R473" s="30" t="n">
        <f aca="false">ROUND(O473*P473,2)</f>
        <v>700.7</v>
      </c>
      <c r="S473" s="30" t="n">
        <f aca="false">ROUND(O473*Q473,2)</f>
        <v>389.73</v>
      </c>
      <c r="T473" s="30" t="n">
        <f aca="false">ROUND(R473*SUMIFS(Parametros!$E$23:$E$38,Parametros!$B$23:$B$38,J473,Parametros!$C$23:$C$38,C473,Parametros!$D$23:$D$38,D473),2)</f>
        <v>30.83</v>
      </c>
      <c r="U473" s="30" t="n">
        <f aca="false">R473-S473-T473</f>
        <v>280.14</v>
      </c>
    </row>
    <row r="474" customFormat="false" ht="15" hidden="false" customHeight="false" outlineLevel="0" collapsed="false">
      <c r="A474" s="0" t="n">
        <v>473</v>
      </c>
      <c r="B474" s="27" t="n">
        <v>45430</v>
      </c>
      <c r="C474" s="0" t="n">
        <v>2024</v>
      </c>
      <c r="D474" s="28" t="s">
        <v>108</v>
      </c>
      <c r="E474" s="0" t="n">
        <v>5</v>
      </c>
      <c r="F474" s="28" t="s">
        <v>111</v>
      </c>
      <c r="G474" s="28" t="s">
        <v>112</v>
      </c>
      <c r="H474" s="28" t="s">
        <v>100</v>
      </c>
      <c r="I474" s="28" t="s">
        <v>101</v>
      </c>
      <c r="J474" s="28" t="s">
        <v>66</v>
      </c>
      <c r="K474" s="28" t="s">
        <v>84</v>
      </c>
      <c r="L474" s="28" t="s">
        <v>85</v>
      </c>
      <c r="M474" s="28" t="s">
        <v>86</v>
      </c>
      <c r="N474" s="28" t="s">
        <v>87</v>
      </c>
      <c r="O474" s="29" t="n">
        <v>14</v>
      </c>
      <c r="P474" s="30" t="n">
        <v>117.6</v>
      </c>
      <c r="Q474" s="30" t="n">
        <v>63.6</v>
      </c>
      <c r="R474" s="30" t="n">
        <f aca="false">ROUND(O474*P474,2)</f>
        <v>1646.4</v>
      </c>
      <c r="S474" s="30" t="n">
        <f aca="false">ROUND(O474*Q474,2)</f>
        <v>890.4</v>
      </c>
      <c r="T474" s="30" t="n">
        <f aca="false">ROUND(R474*SUMIFS(Parametros!$E$23:$E$38,Parametros!$B$23:$B$38,J474,Parametros!$C$23:$C$38,C474,Parametros!$D$23:$D$38,D474),2)</f>
        <v>19.76</v>
      </c>
      <c r="U474" s="30" t="n">
        <f aca="false">R474-S474-T474</f>
        <v>736.24</v>
      </c>
    </row>
    <row r="475" customFormat="false" ht="15" hidden="false" customHeight="false" outlineLevel="0" collapsed="false">
      <c r="A475" s="0" t="n">
        <v>474</v>
      </c>
      <c r="B475" s="27" t="n">
        <v>45437</v>
      </c>
      <c r="C475" s="0" t="n">
        <v>2024</v>
      </c>
      <c r="D475" s="28" t="s">
        <v>108</v>
      </c>
      <c r="E475" s="0" t="n">
        <v>5</v>
      </c>
      <c r="F475" s="28" t="s">
        <v>111</v>
      </c>
      <c r="G475" s="28" t="s">
        <v>112</v>
      </c>
      <c r="H475" s="28" t="s">
        <v>100</v>
      </c>
      <c r="I475" s="28" t="s">
        <v>101</v>
      </c>
      <c r="J475" s="28" t="s">
        <v>71</v>
      </c>
      <c r="K475" s="28" t="s">
        <v>84</v>
      </c>
      <c r="L475" s="28" t="s">
        <v>85</v>
      </c>
      <c r="M475" s="28" t="s">
        <v>86</v>
      </c>
      <c r="N475" s="28" t="s">
        <v>87</v>
      </c>
      <c r="O475" s="29" t="n">
        <v>5</v>
      </c>
      <c r="P475" s="30" t="n">
        <v>117.6</v>
      </c>
      <c r="Q475" s="30" t="n">
        <v>63.6</v>
      </c>
      <c r="R475" s="30" t="n">
        <f aca="false">ROUND(O475*P475,2)</f>
        <v>588</v>
      </c>
      <c r="S475" s="30" t="n">
        <f aca="false">ROUND(O475*Q475,2)</f>
        <v>318</v>
      </c>
      <c r="T475" s="30" t="n">
        <f aca="false">ROUND(R475*SUMIFS(Parametros!$E$23:$E$38,Parametros!$B$23:$B$38,J475,Parametros!$C$23:$C$38,C475,Parametros!$D$23:$D$38,D475),2)</f>
        <v>25.87</v>
      </c>
      <c r="U475" s="30" t="n">
        <f aca="false">R475-S475-T475</f>
        <v>244.13</v>
      </c>
    </row>
    <row r="476" customFormat="false" ht="15" hidden="false" customHeight="false" outlineLevel="0" collapsed="false">
      <c r="A476" s="0" t="n">
        <v>475</v>
      </c>
      <c r="B476" s="27" t="n">
        <v>45417</v>
      </c>
      <c r="C476" s="0" t="n">
        <v>2024</v>
      </c>
      <c r="D476" s="28" t="s">
        <v>108</v>
      </c>
      <c r="E476" s="0" t="n">
        <v>5</v>
      </c>
      <c r="F476" s="28" t="s">
        <v>111</v>
      </c>
      <c r="G476" s="28" t="s">
        <v>112</v>
      </c>
      <c r="H476" s="28" t="s">
        <v>100</v>
      </c>
      <c r="I476" s="28" t="s">
        <v>101</v>
      </c>
      <c r="J476" s="28" t="s">
        <v>66</v>
      </c>
      <c r="K476" s="28" t="s">
        <v>84</v>
      </c>
      <c r="L476" s="28" t="s">
        <v>85</v>
      </c>
      <c r="M476" s="28" t="s">
        <v>88</v>
      </c>
      <c r="N476" s="28" t="s">
        <v>89</v>
      </c>
      <c r="O476" s="29" t="n">
        <v>15</v>
      </c>
      <c r="P476" s="30" t="n">
        <v>83.3</v>
      </c>
      <c r="Q476" s="30" t="n">
        <v>48.02</v>
      </c>
      <c r="R476" s="30" t="n">
        <f aca="false">ROUND(O476*P476,2)</f>
        <v>1249.5</v>
      </c>
      <c r="S476" s="30" t="n">
        <f aca="false">ROUND(O476*Q476,2)</f>
        <v>720.3</v>
      </c>
      <c r="T476" s="30" t="n">
        <f aca="false">ROUND(R476*SUMIFS(Parametros!$E$23:$E$38,Parametros!$B$23:$B$38,J476,Parametros!$C$23:$C$38,C476,Parametros!$D$23:$D$38,D476),2)</f>
        <v>14.99</v>
      </c>
      <c r="U476" s="30" t="n">
        <f aca="false">R476-S476-T476</f>
        <v>514.21</v>
      </c>
    </row>
    <row r="477" customFormat="false" ht="15" hidden="false" customHeight="false" outlineLevel="0" collapsed="false">
      <c r="A477" s="0" t="n">
        <v>476</v>
      </c>
      <c r="B477" s="27" t="n">
        <v>45424</v>
      </c>
      <c r="C477" s="0" t="n">
        <v>2024</v>
      </c>
      <c r="D477" s="28" t="s">
        <v>108</v>
      </c>
      <c r="E477" s="0" t="n">
        <v>5</v>
      </c>
      <c r="F477" s="28" t="s">
        <v>111</v>
      </c>
      <c r="G477" s="28" t="s">
        <v>112</v>
      </c>
      <c r="H477" s="28" t="s">
        <v>100</v>
      </c>
      <c r="I477" s="28" t="s">
        <v>101</v>
      </c>
      <c r="J477" s="28" t="s">
        <v>71</v>
      </c>
      <c r="K477" s="28" t="s">
        <v>84</v>
      </c>
      <c r="L477" s="28" t="s">
        <v>85</v>
      </c>
      <c r="M477" s="28" t="s">
        <v>88</v>
      </c>
      <c r="N477" s="28" t="s">
        <v>89</v>
      </c>
      <c r="O477" s="29" t="n">
        <v>5</v>
      </c>
      <c r="P477" s="30" t="n">
        <v>83.3</v>
      </c>
      <c r="Q477" s="30" t="n">
        <v>48.02</v>
      </c>
      <c r="R477" s="30" t="n">
        <f aca="false">ROUND(O477*P477,2)</f>
        <v>416.5</v>
      </c>
      <c r="S477" s="30" t="n">
        <f aca="false">ROUND(O477*Q477,2)</f>
        <v>240.1</v>
      </c>
      <c r="T477" s="30" t="n">
        <f aca="false">ROUND(R477*SUMIFS(Parametros!$E$23:$E$38,Parametros!$B$23:$B$38,J477,Parametros!$C$23:$C$38,C477,Parametros!$D$23:$D$38,D477),2)</f>
        <v>18.33</v>
      </c>
      <c r="U477" s="30" t="n">
        <f aca="false">R477-S477-T477</f>
        <v>158.07</v>
      </c>
    </row>
    <row r="478" customFormat="false" ht="15" hidden="false" customHeight="false" outlineLevel="0" collapsed="false">
      <c r="A478" s="0" t="n">
        <v>477</v>
      </c>
      <c r="B478" s="27" t="n">
        <v>45431</v>
      </c>
      <c r="C478" s="0" t="n">
        <v>2024</v>
      </c>
      <c r="D478" s="28" t="s">
        <v>108</v>
      </c>
      <c r="E478" s="0" t="n">
        <v>5</v>
      </c>
      <c r="F478" s="28" t="s">
        <v>111</v>
      </c>
      <c r="G478" s="28" t="s">
        <v>112</v>
      </c>
      <c r="H478" s="28" t="s">
        <v>100</v>
      </c>
      <c r="I478" s="28" t="s">
        <v>101</v>
      </c>
      <c r="J478" s="28" t="s">
        <v>66</v>
      </c>
      <c r="K478" s="28" t="s">
        <v>90</v>
      </c>
      <c r="L478" s="28" t="s">
        <v>91</v>
      </c>
      <c r="M478" s="28" t="s">
        <v>92</v>
      </c>
      <c r="N478" s="28" t="s">
        <v>93</v>
      </c>
      <c r="O478" s="29" t="n">
        <v>15</v>
      </c>
      <c r="P478" s="30" t="n">
        <v>127.4</v>
      </c>
      <c r="Q478" s="30" t="n">
        <v>76.05</v>
      </c>
      <c r="R478" s="30" t="n">
        <f aca="false">ROUND(O478*P478,2)</f>
        <v>1911</v>
      </c>
      <c r="S478" s="30" t="n">
        <f aca="false">ROUND(O478*Q478,2)</f>
        <v>1140.75</v>
      </c>
      <c r="T478" s="30" t="n">
        <f aca="false">ROUND(R478*SUMIFS(Parametros!$E$23:$E$38,Parametros!$B$23:$B$38,J478,Parametros!$C$23:$C$38,C478,Parametros!$D$23:$D$38,D478),2)</f>
        <v>22.93</v>
      </c>
      <c r="U478" s="30" t="n">
        <f aca="false">R478-S478-T478</f>
        <v>747.32</v>
      </c>
    </row>
    <row r="479" customFormat="false" ht="15" hidden="false" customHeight="false" outlineLevel="0" collapsed="false">
      <c r="A479" s="0" t="n">
        <v>478</v>
      </c>
      <c r="B479" s="27" t="n">
        <v>45438</v>
      </c>
      <c r="C479" s="0" t="n">
        <v>2024</v>
      </c>
      <c r="D479" s="28" t="s">
        <v>108</v>
      </c>
      <c r="E479" s="0" t="n">
        <v>5</v>
      </c>
      <c r="F479" s="28" t="s">
        <v>111</v>
      </c>
      <c r="G479" s="28" t="s">
        <v>112</v>
      </c>
      <c r="H479" s="28" t="s">
        <v>100</v>
      </c>
      <c r="I479" s="28" t="s">
        <v>101</v>
      </c>
      <c r="J479" s="28" t="s">
        <v>71</v>
      </c>
      <c r="K479" s="28" t="s">
        <v>90</v>
      </c>
      <c r="L479" s="28" t="s">
        <v>91</v>
      </c>
      <c r="M479" s="28" t="s">
        <v>92</v>
      </c>
      <c r="N479" s="28" t="s">
        <v>93</v>
      </c>
      <c r="O479" s="29" t="n">
        <v>6</v>
      </c>
      <c r="P479" s="30" t="n">
        <v>127.4</v>
      </c>
      <c r="Q479" s="30" t="n">
        <v>76.05</v>
      </c>
      <c r="R479" s="30" t="n">
        <f aca="false">ROUND(O479*P479,2)</f>
        <v>764.4</v>
      </c>
      <c r="S479" s="30" t="n">
        <f aca="false">ROUND(O479*Q479,2)</f>
        <v>456.3</v>
      </c>
      <c r="T479" s="30" t="n">
        <f aca="false">ROUND(R479*SUMIFS(Parametros!$E$23:$E$38,Parametros!$B$23:$B$38,J479,Parametros!$C$23:$C$38,C479,Parametros!$D$23:$D$38,D479),2)</f>
        <v>33.63</v>
      </c>
      <c r="U479" s="30" t="n">
        <f aca="false">R479-S479-T479</f>
        <v>274.47</v>
      </c>
    </row>
    <row r="480" customFormat="false" ht="15" hidden="false" customHeight="false" outlineLevel="0" collapsed="false">
      <c r="A480" s="0" t="n">
        <v>479</v>
      </c>
      <c r="B480" s="27" t="n">
        <v>45418</v>
      </c>
      <c r="C480" s="0" t="n">
        <v>2024</v>
      </c>
      <c r="D480" s="28" t="s">
        <v>108</v>
      </c>
      <c r="E480" s="0" t="n">
        <v>5</v>
      </c>
      <c r="F480" s="28" t="s">
        <v>111</v>
      </c>
      <c r="G480" s="28" t="s">
        <v>112</v>
      </c>
      <c r="H480" s="28" t="s">
        <v>100</v>
      </c>
      <c r="I480" s="28" t="s">
        <v>101</v>
      </c>
      <c r="J480" s="28" t="s">
        <v>66</v>
      </c>
      <c r="K480" s="28" t="s">
        <v>90</v>
      </c>
      <c r="L480" s="28" t="s">
        <v>91</v>
      </c>
      <c r="M480" s="28" t="s">
        <v>94</v>
      </c>
      <c r="N480" s="28" t="s">
        <v>95</v>
      </c>
      <c r="O480" s="29" t="n">
        <v>15</v>
      </c>
      <c r="P480" s="30" t="n">
        <v>34.3</v>
      </c>
      <c r="Q480" s="30" t="n">
        <v>17.85</v>
      </c>
      <c r="R480" s="30" t="n">
        <f aca="false">ROUND(O480*P480,2)</f>
        <v>514.5</v>
      </c>
      <c r="S480" s="30" t="n">
        <f aca="false">ROUND(O480*Q480,2)</f>
        <v>267.75</v>
      </c>
      <c r="T480" s="30" t="n">
        <f aca="false">ROUND(R480*SUMIFS(Parametros!$E$23:$E$38,Parametros!$B$23:$B$38,J480,Parametros!$C$23:$C$38,C480,Parametros!$D$23:$D$38,D480),2)</f>
        <v>6.17</v>
      </c>
      <c r="U480" s="30" t="n">
        <f aca="false">R480-S480-T480</f>
        <v>240.58</v>
      </c>
    </row>
    <row r="481" customFormat="false" ht="15" hidden="false" customHeight="false" outlineLevel="0" collapsed="false">
      <c r="A481" s="0" t="n">
        <v>480</v>
      </c>
      <c r="B481" s="27" t="n">
        <v>45425</v>
      </c>
      <c r="C481" s="0" t="n">
        <v>2024</v>
      </c>
      <c r="D481" s="28" t="s">
        <v>108</v>
      </c>
      <c r="E481" s="0" t="n">
        <v>5</v>
      </c>
      <c r="F481" s="28" t="s">
        <v>111</v>
      </c>
      <c r="G481" s="28" t="s">
        <v>112</v>
      </c>
      <c r="H481" s="28" t="s">
        <v>100</v>
      </c>
      <c r="I481" s="28" t="s">
        <v>101</v>
      </c>
      <c r="J481" s="28" t="s">
        <v>71</v>
      </c>
      <c r="K481" s="28" t="s">
        <v>90</v>
      </c>
      <c r="L481" s="28" t="s">
        <v>91</v>
      </c>
      <c r="M481" s="28" t="s">
        <v>94</v>
      </c>
      <c r="N481" s="28" t="s">
        <v>95</v>
      </c>
      <c r="O481" s="29" t="n">
        <v>7</v>
      </c>
      <c r="P481" s="30" t="n">
        <v>34.3</v>
      </c>
      <c r="Q481" s="30" t="n">
        <v>17.85</v>
      </c>
      <c r="R481" s="30" t="n">
        <f aca="false">ROUND(O481*P481,2)</f>
        <v>240.1</v>
      </c>
      <c r="S481" s="30" t="n">
        <f aca="false">ROUND(O481*Q481,2)</f>
        <v>124.95</v>
      </c>
      <c r="T481" s="30" t="n">
        <f aca="false">ROUND(R481*SUMIFS(Parametros!$E$23:$E$38,Parametros!$B$23:$B$38,J481,Parametros!$C$23:$C$38,C481,Parametros!$D$23:$D$38,D481),2)</f>
        <v>10.56</v>
      </c>
      <c r="U481" s="30" t="n">
        <f aca="false">R481-S481-T481</f>
        <v>104.59</v>
      </c>
    </row>
    <row r="482" customFormat="false" ht="15" hidden="false" customHeight="false" outlineLevel="0" collapsed="false">
      <c r="A482" s="0" t="n">
        <v>481</v>
      </c>
      <c r="B482" s="27" t="n">
        <v>45432</v>
      </c>
      <c r="C482" s="0" t="n">
        <v>2024</v>
      </c>
      <c r="D482" s="28" t="s">
        <v>108</v>
      </c>
      <c r="E482" s="0" t="n">
        <v>5</v>
      </c>
      <c r="F482" s="28" t="s">
        <v>111</v>
      </c>
      <c r="G482" s="28" t="s">
        <v>112</v>
      </c>
      <c r="H482" s="28" t="s">
        <v>102</v>
      </c>
      <c r="I482" s="28" t="s">
        <v>103</v>
      </c>
      <c r="J482" s="28" t="s">
        <v>66</v>
      </c>
      <c r="K482" s="28" t="s">
        <v>67</v>
      </c>
      <c r="L482" s="28" t="s">
        <v>68</v>
      </c>
      <c r="M482" s="28" t="s">
        <v>69</v>
      </c>
      <c r="N482" s="28" t="s">
        <v>70</v>
      </c>
      <c r="O482" s="29" t="n">
        <v>8</v>
      </c>
      <c r="P482" s="30" t="n">
        <v>1176</v>
      </c>
      <c r="Q482" s="30" t="n">
        <v>744</v>
      </c>
      <c r="R482" s="30" t="n">
        <f aca="false">ROUND(O482*P482,2)</f>
        <v>9408</v>
      </c>
      <c r="S482" s="30" t="n">
        <f aca="false">ROUND(O482*Q482,2)</f>
        <v>5952</v>
      </c>
      <c r="T482" s="30" t="n">
        <f aca="false">ROUND(R482*SUMIFS(Parametros!$E$23:$E$38,Parametros!$B$23:$B$38,J482,Parametros!$C$23:$C$38,C482,Parametros!$D$23:$D$38,D482),2)</f>
        <v>112.9</v>
      </c>
      <c r="U482" s="30" t="n">
        <f aca="false">R482-S482-T482</f>
        <v>3343.1</v>
      </c>
    </row>
    <row r="483" customFormat="false" ht="15" hidden="false" customHeight="false" outlineLevel="0" collapsed="false">
      <c r="A483" s="0" t="n">
        <v>482</v>
      </c>
      <c r="B483" s="27" t="n">
        <v>45439</v>
      </c>
      <c r="C483" s="0" t="n">
        <v>2024</v>
      </c>
      <c r="D483" s="28" t="s">
        <v>108</v>
      </c>
      <c r="E483" s="0" t="n">
        <v>5</v>
      </c>
      <c r="F483" s="28" t="s">
        <v>111</v>
      </c>
      <c r="G483" s="28" t="s">
        <v>112</v>
      </c>
      <c r="H483" s="28" t="s">
        <v>102</v>
      </c>
      <c r="I483" s="28" t="s">
        <v>103</v>
      </c>
      <c r="J483" s="28" t="s">
        <v>71</v>
      </c>
      <c r="K483" s="28" t="s">
        <v>67</v>
      </c>
      <c r="L483" s="28" t="s">
        <v>68</v>
      </c>
      <c r="M483" s="28" t="s">
        <v>69</v>
      </c>
      <c r="N483" s="28" t="s">
        <v>70</v>
      </c>
      <c r="O483" s="29" t="n">
        <v>2</v>
      </c>
      <c r="P483" s="30" t="n">
        <v>1176</v>
      </c>
      <c r="Q483" s="30" t="n">
        <v>744</v>
      </c>
      <c r="R483" s="30" t="n">
        <f aca="false">ROUND(O483*P483,2)</f>
        <v>2352</v>
      </c>
      <c r="S483" s="30" t="n">
        <f aca="false">ROUND(O483*Q483,2)</f>
        <v>1488</v>
      </c>
      <c r="T483" s="30" t="n">
        <f aca="false">ROUND(R483*SUMIFS(Parametros!$E$23:$E$38,Parametros!$B$23:$B$38,J483,Parametros!$C$23:$C$38,C483,Parametros!$D$23:$D$38,D483),2)</f>
        <v>103.49</v>
      </c>
      <c r="U483" s="30" t="n">
        <f aca="false">R483-S483-T483</f>
        <v>760.51</v>
      </c>
    </row>
    <row r="484" customFormat="false" ht="15" hidden="false" customHeight="false" outlineLevel="0" collapsed="false">
      <c r="A484" s="0" t="n">
        <v>483</v>
      </c>
      <c r="B484" s="27" t="n">
        <v>45419</v>
      </c>
      <c r="C484" s="0" t="n">
        <v>2024</v>
      </c>
      <c r="D484" s="28" t="s">
        <v>108</v>
      </c>
      <c r="E484" s="0" t="n">
        <v>5</v>
      </c>
      <c r="F484" s="28" t="s">
        <v>111</v>
      </c>
      <c r="G484" s="28" t="s">
        <v>112</v>
      </c>
      <c r="H484" s="28" t="s">
        <v>102</v>
      </c>
      <c r="I484" s="28" t="s">
        <v>103</v>
      </c>
      <c r="J484" s="28" t="s">
        <v>66</v>
      </c>
      <c r="K484" s="28" t="s">
        <v>67</v>
      </c>
      <c r="L484" s="28" t="s">
        <v>68</v>
      </c>
      <c r="M484" s="28" t="s">
        <v>72</v>
      </c>
      <c r="N484" s="28" t="s">
        <v>73</v>
      </c>
      <c r="O484" s="29" t="n">
        <v>6</v>
      </c>
      <c r="P484" s="30" t="n">
        <v>441</v>
      </c>
      <c r="Q484" s="30" t="n">
        <v>272.25</v>
      </c>
      <c r="R484" s="30" t="n">
        <f aca="false">ROUND(O484*P484,2)</f>
        <v>2646</v>
      </c>
      <c r="S484" s="30" t="n">
        <f aca="false">ROUND(O484*Q484,2)</f>
        <v>1633.5</v>
      </c>
      <c r="T484" s="30" t="n">
        <f aca="false">ROUND(R484*SUMIFS(Parametros!$E$23:$E$38,Parametros!$B$23:$B$38,J484,Parametros!$C$23:$C$38,C484,Parametros!$D$23:$D$38,D484),2)</f>
        <v>31.75</v>
      </c>
      <c r="U484" s="30" t="n">
        <f aca="false">R484-S484-T484</f>
        <v>980.75</v>
      </c>
    </row>
    <row r="485" customFormat="false" ht="15" hidden="false" customHeight="false" outlineLevel="0" collapsed="false">
      <c r="A485" s="0" t="n">
        <v>484</v>
      </c>
      <c r="B485" s="27" t="n">
        <v>45426</v>
      </c>
      <c r="C485" s="0" t="n">
        <v>2024</v>
      </c>
      <c r="D485" s="28" t="s">
        <v>108</v>
      </c>
      <c r="E485" s="0" t="n">
        <v>5</v>
      </c>
      <c r="F485" s="28" t="s">
        <v>111</v>
      </c>
      <c r="G485" s="28" t="s">
        <v>112</v>
      </c>
      <c r="H485" s="28" t="s">
        <v>102</v>
      </c>
      <c r="I485" s="28" t="s">
        <v>103</v>
      </c>
      <c r="J485" s="28" t="s">
        <v>71</v>
      </c>
      <c r="K485" s="28" t="s">
        <v>67</v>
      </c>
      <c r="L485" s="28" t="s">
        <v>68</v>
      </c>
      <c r="M485" s="28" t="s">
        <v>72</v>
      </c>
      <c r="N485" s="28" t="s">
        <v>73</v>
      </c>
      <c r="O485" s="29" t="n">
        <v>2</v>
      </c>
      <c r="P485" s="30" t="n">
        <v>441</v>
      </c>
      <c r="Q485" s="30" t="n">
        <v>272.25</v>
      </c>
      <c r="R485" s="30" t="n">
        <f aca="false">ROUND(O485*P485,2)</f>
        <v>882</v>
      </c>
      <c r="S485" s="30" t="n">
        <f aca="false">ROUND(O485*Q485,2)</f>
        <v>544.5</v>
      </c>
      <c r="T485" s="30" t="n">
        <f aca="false">ROUND(R485*SUMIFS(Parametros!$E$23:$E$38,Parametros!$B$23:$B$38,J485,Parametros!$C$23:$C$38,C485,Parametros!$D$23:$D$38,D485),2)</f>
        <v>38.81</v>
      </c>
      <c r="U485" s="30" t="n">
        <f aca="false">R485-S485-T485</f>
        <v>298.69</v>
      </c>
    </row>
    <row r="486" customFormat="false" ht="15" hidden="false" customHeight="false" outlineLevel="0" collapsed="false">
      <c r="A486" s="0" t="n">
        <v>485</v>
      </c>
      <c r="B486" s="27" t="n">
        <v>45433</v>
      </c>
      <c r="C486" s="0" t="n">
        <v>2024</v>
      </c>
      <c r="D486" s="28" t="s">
        <v>108</v>
      </c>
      <c r="E486" s="0" t="n">
        <v>5</v>
      </c>
      <c r="F486" s="28" t="s">
        <v>111</v>
      </c>
      <c r="G486" s="28" t="s">
        <v>112</v>
      </c>
      <c r="H486" s="28" t="s">
        <v>102</v>
      </c>
      <c r="I486" s="28" t="s">
        <v>103</v>
      </c>
      <c r="J486" s="28" t="s">
        <v>66</v>
      </c>
      <c r="K486" s="28" t="s">
        <v>67</v>
      </c>
      <c r="L486" s="28" t="s">
        <v>68</v>
      </c>
      <c r="M486" s="28" t="s">
        <v>74</v>
      </c>
      <c r="N486" s="28" t="s">
        <v>75</v>
      </c>
      <c r="O486" s="29" t="n">
        <v>6</v>
      </c>
      <c r="P486" s="30" t="n">
        <v>1617</v>
      </c>
      <c r="Q486" s="30" t="n">
        <v>1122</v>
      </c>
      <c r="R486" s="30" t="n">
        <f aca="false">ROUND(O486*P486,2)</f>
        <v>9702</v>
      </c>
      <c r="S486" s="30" t="n">
        <f aca="false">ROUND(O486*Q486,2)</f>
        <v>6732</v>
      </c>
      <c r="T486" s="30" t="n">
        <f aca="false">ROUND(R486*SUMIFS(Parametros!$E$23:$E$38,Parametros!$B$23:$B$38,J486,Parametros!$C$23:$C$38,C486,Parametros!$D$23:$D$38,D486),2)</f>
        <v>116.42</v>
      </c>
      <c r="U486" s="30" t="n">
        <f aca="false">R486-S486-T486</f>
        <v>2853.58</v>
      </c>
    </row>
    <row r="487" customFormat="false" ht="15" hidden="false" customHeight="false" outlineLevel="0" collapsed="false">
      <c r="A487" s="0" t="n">
        <v>486</v>
      </c>
      <c r="B487" s="27" t="n">
        <v>45413</v>
      </c>
      <c r="C487" s="0" t="n">
        <v>2024</v>
      </c>
      <c r="D487" s="28" t="s">
        <v>108</v>
      </c>
      <c r="E487" s="0" t="n">
        <v>5</v>
      </c>
      <c r="F487" s="28" t="s">
        <v>111</v>
      </c>
      <c r="G487" s="28" t="s">
        <v>112</v>
      </c>
      <c r="H487" s="28" t="s">
        <v>102</v>
      </c>
      <c r="I487" s="28" t="s">
        <v>103</v>
      </c>
      <c r="J487" s="28" t="s">
        <v>71</v>
      </c>
      <c r="K487" s="28" t="s">
        <v>67</v>
      </c>
      <c r="L487" s="28" t="s">
        <v>68</v>
      </c>
      <c r="M487" s="28" t="s">
        <v>74</v>
      </c>
      <c r="N487" s="28" t="s">
        <v>75</v>
      </c>
      <c r="O487" s="29" t="n">
        <v>3</v>
      </c>
      <c r="P487" s="30" t="n">
        <v>1617</v>
      </c>
      <c r="Q487" s="30" t="n">
        <v>1122</v>
      </c>
      <c r="R487" s="30" t="n">
        <f aca="false">ROUND(O487*P487,2)</f>
        <v>4851</v>
      </c>
      <c r="S487" s="30" t="n">
        <f aca="false">ROUND(O487*Q487,2)</f>
        <v>3366</v>
      </c>
      <c r="T487" s="30" t="n">
        <f aca="false">ROUND(R487*SUMIFS(Parametros!$E$23:$E$38,Parametros!$B$23:$B$38,J487,Parametros!$C$23:$C$38,C487,Parametros!$D$23:$D$38,D487),2)</f>
        <v>213.44</v>
      </c>
      <c r="U487" s="30" t="n">
        <f aca="false">R487-S487-T487</f>
        <v>1271.56</v>
      </c>
    </row>
    <row r="488" customFormat="false" ht="15" hidden="false" customHeight="false" outlineLevel="0" collapsed="false">
      <c r="A488" s="0" t="n">
        <v>487</v>
      </c>
      <c r="B488" s="27" t="n">
        <v>45420</v>
      </c>
      <c r="C488" s="0" t="n">
        <v>2024</v>
      </c>
      <c r="D488" s="28" t="s">
        <v>108</v>
      </c>
      <c r="E488" s="0" t="n">
        <v>5</v>
      </c>
      <c r="F488" s="28" t="s">
        <v>111</v>
      </c>
      <c r="G488" s="28" t="s">
        <v>112</v>
      </c>
      <c r="H488" s="28" t="s">
        <v>102</v>
      </c>
      <c r="I488" s="28" t="s">
        <v>103</v>
      </c>
      <c r="J488" s="28" t="s">
        <v>66</v>
      </c>
      <c r="K488" s="28" t="s">
        <v>76</v>
      </c>
      <c r="L488" s="28" t="s">
        <v>77</v>
      </c>
      <c r="M488" s="28" t="s">
        <v>78</v>
      </c>
      <c r="N488" s="28" t="s">
        <v>79</v>
      </c>
      <c r="O488" s="29" t="n">
        <v>33</v>
      </c>
      <c r="P488" s="30" t="n">
        <v>27.44</v>
      </c>
      <c r="Q488" s="30" t="n">
        <v>13.44</v>
      </c>
      <c r="R488" s="30" t="n">
        <f aca="false">ROUND(O488*P488,2)</f>
        <v>905.52</v>
      </c>
      <c r="S488" s="30" t="n">
        <f aca="false">ROUND(O488*Q488,2)</f>
        <v>443.52</v>
      </c>
      <c r="T488" s="30" t="n">
        <f aca="false">ROUND(R488*SUMIFS(Parametros!$E$23:$E$38,Parametros!$B$23:$B$38,J488,Parametros!$C$23:$C$38,C488,Parametros!$D$23:$D$38,D488),2)</f>
        <v>10.87</v>
      </c>
      <c r="U488" s="30" t="n">
        <f aca="false">R488-S488-T488</f>
        <v>451.13</v>
      </c>
    </row>
    <row r="489" customFormat="false" ht="15" hidden="false" customHeight="false" outlineLevel="0" collapsed="false">
      <c r="A489" s="0" t="n">
        <v>488</v>
      </c>
      <c r="B489" s="27" t="n">
        <v>45427</v>
      </c>
      <c r="C489" s="0" t="n">
        <v>2024</v>
      </c>
      <c r="D489" s="28" t="s">
        <v>108</v>
      </c>
      <c r="E489" s="0" t="n">
        <v>5</v>
      </c>
      <c r="F489" s="28" t="s">
        <v>111</v>
      </c>
      <c r="G489" s="28" t="s">
        <v>112</v>
      </c>
      <c r="H489" s="28" t="s">
        <v>102</v>
      </c>
      <c r="I489" s="28" t="s">
        <v>103</v>
      </c>
      <c r="J489" s="28" t="s">
        <v>71</v>
      </c>
      <c r="K489" s="28" t="s">
        <v>76</v>
      </c>
      <c r="L489" s="28" t="s">
        <v>77</v>
      </c>
      <c r="M489" s="28" t="s">
        <v>78</v>
      </c>
      <c r="N489" s="28" t="s">
        <v>79</v>
      </c>
      <c r="O489" s="29" t="n">
        <v>11</v>
      </c>
      <c r="P489" s="30" t="n">
        <v>27.44</v>
      </c>
      <c r="Q489" s="30" t="n">
        <v>13.44</v>
      </c>
      <c r="R489" s="30" t="n">
        <f aca="false">ROUND(O489*P489,2)</f>
        <v>301.84</v>
      </c>
      <c r="S489" s="30" t="n">
        <f aca="false">ROUND(O489*Q489,2)</f>
        <v>147.84</v>
      </c>
      <c r="T489" s="30" t="n">
        <f aca="false">ROUND(R489*SUMIFS(Parametros!$E$23:$E$38,Parametros!$B$23:$B$38,J489,Parametros!$C$23:$C$38,C489,Parametros!$D$23:$D$38,D489),2)</f>
        <v>13.28</v>
      </c>
      <c r="U489" s="30" t="n">
        <f aca="false">R489-S489-T489</f>
        <v>140.72</v>
      </c>
    </row>
    <row r="490" customFormat="false" ht="15" hidden="false" customHeight="false" outlineLevel="0" collapsed="false">
      <c r="A490" s="0" t="n">
        <v>489</v>
      </c>
      <c r="B490" s="27" t="n">
        <v>45434</v>
      </c>
      <c r="C490" s="0" t="n">
        <v>2024</v>
      </c>
      <c r="D490" s="28" t="s">
        <v>108</v>
      </c>
      <c r="E490" s="0" t="n">
        <v>5</v>
      </c>
      <c r="F490" s="28" t="s">
        <v>111</v>
      </c>
      <c r="G490" s="28" t="s">
        <v>112</v>
      </c>
      <c r="H490" s="28" t="s">
        <v>102</v>
      </c>
      <c r="I490" s="28" t="s">
        <v>103</v>
      </c>
      <c r="J490" s="28" t="s">
        <v>66</v>
      </c>
      <c r="K490" s="28" t="s">
        <v>76</v>
      </c>
      <c r="L490" s="28" t="s">
        <v>77</v>
      </c>
      <c r="M490" s="28" t="s">
        <v>80</v>
      </c>
      <c r="N490" s="28" t="s">
        <v>81</v>
      </c>
      <c r="O490" s="29" t="n">
        <v>29</v>
      </c>
      <c r="P490" s="30" t="n">
        <v>93.1</v>
      </c>
      <c r="Q490" s="30" t="n">
        <v>47.98</v>
      </c>
      <c r="R490" s="30" t="n">
        <f aca="false">ROUND(O490*P490,2)</f>
        <v>2699.9</v>
      </c>
      <c r="S490" s="30" t="n">
        <f aca="false">ROUND(O490*Q490,2)</f>
        <v>1391.42</v>
      </c>
      <c r="T490" s="30" t="n">
        <f aca="false">ROUND(R490*SUMIFS(Parametros!$E$23:$E$38,Parametros!$B$23:$B$38,J490,Parametros!$C$23:$C$38,C490,Parametros!$D$23:$D$38,D490),2)</f>
        <v>32.4</v>
      </c>
      <c r="U490" s="30" t="n">
        <f aca="false">R490-S490-T490</f>
        <v>1276.08</v>
      </c>
    </row>
    <row r="491" customFormat="false" ht="15" hidden="false" customHeight="false" outlineLevel="0" collapsed="false">
      <c r="A491" s="0" t="n">
        <v>490</v>
      </c>
      <c r="B491" s="27" t="n">
        <v>45414</v>
      </c>
      <c r="C491" s="0" t="n">
        <v>2024</v>
      </c>
      <c r="D491" s="28" t="s">
        <v>108</v>
      </c>
      <c r="E491" s="0" t="n">
        <v>5</v>
      </c>
      <c r="F491" s="28" t="s">
        <v>111</v>
      </c>
      <c r="G491" s="28" t="s">
        <v>112</v>
      </c>
      <c r="H491" s="28" t="s">
        <v>102</v>
      </c>
      <c r="I491" s="28" t="s">
        <v>103</v>
      </c>
      <c r="J491" s="28" t="s">
        <v>71</v>
      </c>
      <c r="K491" s="28" t="s">
        <v>76</v>
      </c>
      <c r="L491" s="28" t="s">
        <v>77</v>
      </c>
      <c r="M491" s="28" t="s">
        <v>80</v>
      </c>
      <c r="N491" s="28" t="s">
        <v>81</v>
      </c>
      <c r="O491" s="29" t="n">
        <v>12</v>
      </c>
      <c r="P491" s="30" t="n">
        <v>93.1</v>
      </c>
      <c r="Q491" s="30" t="n">
        <v>47.98</v>
      </c>
      <c r="R491" s="30" t="n">
        <f aca="false">ROUND(O491*P491,2)</f>
        <v>1117.2</v>
      </c>
      <c r="S491" s="30" t="n">
        <f aca="false">ROUND(O491*Q491,2)</f>
        <v>575.76</v>
      </c>
      <c r="T491" s="30" t="n">
        <f aca="false">ROUND(R491*SUMIFS(Parametros!$E$23:$E$38,Parametros!$B$23:$B$38,J491,Parametros!$C$23:$C$38,C491,Parametros!$D$23:$D$38,D491),2)</f>
        <v>49.16</v>
      </c>
      <c r="U491" s="30" t="n">
        <f aca="false">R491-S491-T491</f>
        <v>492.28</v>
      </c>
    </row>
    <row r="492" customFormat="false" ht="15" hidden="false" customHeight="false" outlineLevel="0" collapsed="false">
      <c r="A492" s="0" t="n">
        <v>491</v>
      </c>
      <c r="B492" s="27" t="n">
        <v>45421</v>
      </c>
      <c r="C492" s="0" t="n">
        <v>2024</v>
      </c>
      <c r="D492" s="28" t="s">
        <v>108</v>
      </c>
      <c r="E492" s="0" t="n">
        <v>5</v>
      </c>
      <c r="F492" s="28" t="s">
        <v>111</v>
      </c>
      <c r="G492" s="28" t="s">
        <v>112</v>
      </c>
      <c r="H492" s="28" t="s">
        <v>102</v>
      </c>
      <c r="I492" s="28" t="s">
        <v>103</v>
      </c>
      <c r="J492" s="28" t="s">
        <v>66</v>
      </c>
      <c r="K492" s="28" t="s">
        <v>76</v>
      </c>
      <c r="L492" s="28" t="s">
        <v>77</v>
      </c>
      <c r="M492" s="28" t="s">
        <v>82</v>
      </c>
      <c r="N492" s="28" t="s">
        <v>83</v>
      </c>
      <c r="O492" s="29" t="n">
        <v>35</v>
      </c>
      <c r="P492" s="30" t="n">
        <v>63.7</v>
      </c>
      <c r="Q492" s="30" t="n">
        <v>35.43</v>
      </c>
      <c r="R492" s="30" t="n">
        <f aca="false">ROUND(O492*P492,2)</f>
        <v>2229.5</v>
      </c>
      <c r="S492" s="30" t="n">
        <f aca="false">ROUND(O492*Q492,2)</f>
        <v>1240.05</v>
      </c>
      <c r="T492" s="30" t="n">
        <f aca="false">ROUND(R492*SUMIFS(Parametros!$E$23:$E$38,Parametros!$B$23:$B$38,J492,Parametros!$C$23:$C$38,C492,Parametros!$D$23:$D$38,D492),2)</f>
        <v>26.75</v>
      </c>
      <c r="U492" s="30" t="n">
        <f aca="false">R492-S492-T492</f>
        <v>962.7</v>
      </c>
    </row>
    <row r="493" customFormat="false" ht="15" hidden="false" customHeight="false" outlineLevel="0" collapsed="false">
      <c r="A493" s="0" t="n">
        <v>492</v>
      </c>
      <c r="B493" s="27" t="n">
        <v>45428</v>
      </c>
      <c r="C493" s="0" t="n">
        <v>2024</v>
      </c>
      <c r="D493" s="28" t="s">
        <v>108</v>
      </c>
      <c r="E493" s="0" t="n">
        <v>5</v>
      </c>
      <c r="F493" s="28" t="s">
        <v>111</v>
      </c>
      <c r="G493" s="28" t="s">
        <v>112</v>
      </c>
      <c r="H493" s="28" t="s">
        <v>102</v>
      </c>
      <c r="I493" s="28" t="s">
        <v>103</v>
      </c>
      <c r="J493" s="28" t="s">
        <v>71</v>
      </c>
      <c r="K493" s="28" t="s">
        <v>76</v>
      </c>
      <c r="L493" s="28" t="s">
        <v>77</v>
      </c>
      <c r="M493" s="28" t="s">
        <v>82</v>
      </c>
      <c r="N493" s="28" t="s">
        <v>83</v>
      </c>
      <c r="O493" s="29" t="n">
        <v>12</v>
      </c>
      <c r="P493" s="30" t="n">
        <v>63.7</v>
      </c>
      <c r="Q493" s="30" t="n">
        <v>35.43</v>
      </c>
      <c r="R493" s="30" t="n">
        <f aca="false">ROUND(O493*P493,2)</f>
        <v>764.4</v>
      </c>
      <c r="S493" s="30" t="n">
        <f aca="false">ROUND(O493*Q493,2)</f>
        <v>425.16</v>
      </c>
      <c r="T493" s="30" t="n">
        <f aca="false">ROUND(R493*SUMIFS(Parametros!$E$23:$E$38,Parametros!$B$23:$B$38,J493,Parametros!$C$23:$C$38,C493,Parametros!$D$23:$D$38,D493),2)</f>
        <v>33.63</v>
      </c>
      <c r="U493" s="30" t="n">
        <f aca="false">R493-S493-T493</f>
        <v>305.61</v>
      </c>
    </row>
    <row r="494" customFormat="false" ht="15" hidden="false" customHeight="false" outlineLevel="0" collapsed="false">
      <c r="A494" s="0" t="n">
        <v>493</v>
      </c>
      <c r="B494" s="27" t="n">
        <v>45435</v>
      </c>
      <c r="C494" s="0" t="n">
        <v>2024</v>
      </c>
      <c r="D494" s="28" t="s">
        <v>108</v>
      </c>
      <c r="E494" s="0" t="n">
        <v>5</v>
      </c>
      <c r="F494" s="28" t="s">
        <v>111</v>
      </c>
      <c r="G494" s="28" t="s">
        <v>112</v>
      </c>
      <c r="H494" s="28" t="s">
        <v>102</v>
      </c>
      <c r="I494" s="28" t="s">
        <v>103</v>
      </c>
      <c r="J494" s="28" t="s">
        <v>66</v>
      </c>
      <c r="K494" s="28" t="s">
        <v>84</v>
      </c>
      <c r="L494" s="28" t="s">
        <v>85</v>
      </c>
      <c r="M494" s="28" t="s">
        <v>86</v>
      </c>
      <c r="N494" s="28" t="s">
        <v>87</v>
      </c>
      <c r="O494" s="29" t="n">
        <v>16</v>
      </c>
      <c r="P494" s="30" t="n">
        <v>117.6</v>
      </c>
      <c r="Q494" s="30" t="n">
        <v>63.6</v>
      </c>
      <c r="R494" s="30" t="n">
        <f aca="false">ROUND(O494*P494,2)</f>
        <v>1881.6</v>
      </c>
      <c r="S494" s="30" t="n">
        <f aca="false">ROUND(O494*Q494,2)</f>
        <v>1017.6</v>
      </c>
      <c r="T494" s="30" t="n">
        <f aca="false">ROUND(R494*SUMIFS(Parametros!$E$23:$E$38,Parametros!$B$23:$B$38,J494,Parametros!$C$23:$C$38,C494,Parametros!$D$23:$D$38,D494),2)</f>
        <v>22.58</v>
      </c>
      <c r="U494" s="30" t="n">
        <f aca="false">R494-S494-T494</f>
        <v>841.42</v>
      </c>
    </row>
    <row r="495" customFormat="false" ht="15" hidden="false" customHeight="false" outlineLevel="0" collapsed="false">
      <c r="A495" s="0" t="n">
        <v>494</v>
      </c>
      <c r="B495" s="27" t="n">
        <v>45415</v>
      </c>
      <c r="C495" s="0" t="n">
        <v>2024</v>
      </c>
      <c r="D495" s="28" t="s">
        <v>108</v>
      </c>
      <c r="E495" s="0" t="n">
        <v>5</v>
      </c>
      <c r="F495" s="28" t="s">
        <v>111</v>
      </c>
      <c r="G495" s="28" t="s">
        <v>112</v>
      </c>
      <c r="H495" s="28" t="s">
        <v>102</v>
      </c>
      <c r="I495" s="28" t="s">
        <v>103</v>
      </c>
      <c r="J495" s="28" t="s">
        <v>71</v>
      </c>
      <c r="K495" s="28" t="s">
        <v>84</v>
      </c>
      <c r="L495" s="28" t="s">
        <v>85</v>
      </c>
      <c r="M495" s="28" t="s">
        <v>86</v>
      </c>
      <c r="N495" s="28" t="s">
        <v>87</v>
      </c>
      <c r="O495" s="29" t="n">
        <v>6</v>
      </c>
      <c r="P495" s="30" t="n">
        <v>117.6</v>
      </c>
      <c r="Q495" s="30" t="n">
        <v>63.6</v>
      </c>
      <c r="R495" s="30" t="n">
        <f aca="false">ROUND(O495*P495,2)</f>
        <v>705.6</v>
      </c>
      <c r="S495" s="30" t="n">
        <f aca="false">ROUND(O495*Q495,2)</f>
        <v>381.6</v>
      </c>
      <c r="T495" s="30" t="n">
        <f aca="false">ROUND(R495*SUMIFS(Parametros!$E$23:$E$38,Parametros!$B$23:$B$38,J495,Parametros!$C$23:$C$38,C495,Parametros!$D$23:$D$38,D495),2)</f>
        <v>31.05</v>
      </c>
      <c r="U495" s="30" t="n">
        <f aca="false">R495-S495-T495</f>
        <v>292.95</v>
      </c>
    </row>
    <row r="496" customFormat="false" ht="15" hidden="false" customHeight="false" outlineLevel="0" collapsed="false">
      <c r="A496" s="0" t="n">
        <v>495</v>
      </c>
      <c r="B496" s="27" t="n">
        <v>45422</v>
      </c>
      <c r="C496" s="0" t="n">
        <v>2024</v>
      </c>
      <c r="D496" s="28" t="s">
        <v>108</v>
      </c>
      <c r="E496" s="0" t="n">
        <v>5</v>
      </c>
      <c r="F496" s="28" t="s">
        <v>111</v>
      </c>
      <c r="G496" s="28" t="s">
        <v>112</v>
      </c>
      <c r="H496" s="28" t="s">
        <v>102</v>
      </c>
      <c r="I496" s="28" t="s">
        <v>103</v>
      </c>
      <c r="J496" s="28" t="s">
        <v>66</v>
      </c>
      <c r="K496" s="28" t="s">
        <v>84</v>
      </c>
      <c r="L496" s="28" t="s">
        <v>85</v>
      </c>
      <c r="M496" s="28" t="s">
        <v>88</v>
      </c>
      <c r="N496" s="28" t="s">
        <v>89</v>
      </c>
      <c r="O496" s="29" t="n">
        <v>12</v>
      </c>
      <c r="P496" s="30" t="n">
        <v>83.3</v>
      </c>
      <c r="Q496" s="30" t="n">
        <v>48.02</v>
      </c>
      <c r="R496" s="30" t="n">
        <f aca="false">ROUND(O496*P496,2)</f>
        <v>999.6</v>
      </c>
      <c r="S496" s="30" t="n">
        <f aca="false">ROUND(O496*Q496,2)</f>
        <v>576.24</v>
      </c>
      <c r="T496" s="30" t="n">
        <f aca="false">ROUND(R496*SUMIFS(Parametros!$E$23:$E$38,Parametros!$B$23:$B$38,J496,Parametros!$C$23:$C$38,C496,Parametros!$D$23:$D$38,D496),2)</f>
        <v>12</v>
      </c>
      <c r="U496" s="30" t="n">
        <f aca="false">R496-S496-T496</f>
        <v>411.36</v>
      </c>
    </row>
    <row r="497" customFormat="false" ht="15" hidden="false" customHeight="false" outlineLevel="0" collapsed="false">
      <c r="A497" s="0" t="n">
        <v>496</v>
      </c>
      <c r="B497" s="27" t="n">
        <v>45429</v>
      </c>
      <c r="C497" s="0" t="n">
        <v>2024</v>
      </c>
      <c r="D497" s="28" t="s">
        <v>108</v>
      </c>
      <c r="E497" s="0" t="n">
        <v>5</v>
      </c>
      <c r="F497" s="28" t="s">
        <v>111</v>
      </c>
      <c r="G497" s="28" t="s">
        <v>112</v>
      </c>
      <c r="H497" s="28" t="s">
        <v>102</v>
      </c>
      <c r="I497" s="28" t="s">
        <v>103</v>
      </c>
      <c r="J497" s="28" t="s">
        <v>71</v>
      </c>
      <c r="K497" s="28" t="s">
        <v>84</v>
      </c>
      <c r="L497" s="28" t="s">
        <v>85</v>
      </c>
      <c r="M497" s="28" t="s">
        <v>88</v>
      </c>
      <c r="N497" s="28" t="s">
        <v>89</v>
      </c>
      <c r="O497" s="29" t="n">
        <v>6</v>
      </c>
      <c r="P497" s="30" t="n">
        <v>83.3</v>
      </c>
      <c r="Q497" s="30" t="n">
        <v>48.02</v>
      </c>
      <c r="R497" s="30" t="n">
        <f aca="false">ROUND(O497*P497,2)</f>
        <v>499.8</v>
      </c>
      <c r="S497" s="30" t="n">
        <f aca="false">ROUND(O497*Q497,2)</f>
        <v>288.12</v>
      </c>
      <c r="T497" s="30" t="n">
        <f aca="false">ROUND(R497*SUMIFS(Parametros!$E$23:$E$38,Parametros!$B$23:$B$38,J497,Parametros!$C$23:$C$38,C497,Parametros!$D$23:$D$38,D497),2)</f>
        <v>21.99</v>
      </c>
      <c r="U497" s="30" t="n">
        <f aca="false">R497-S497-T497</f>
        <v>189.69</v>
      </c>
    </row>
    <row r="498" customFormat="false" ht="15" hidden="false" customHeight="false" outlineLevel="0" collapsed="false">
      <c r="A498" s="0" t="n">
        <v>497</v>
      </c>
      <c r="B498" s="27" t="n">
        <v>45436</v>
      </c>
      <c r="C498" s="0" t="n">
        <v>2024</v>
      </c>
      <c r="D498" s="28" t="s">
        <v>108</v>
      </c>
      <c r="E498" s="0" t="n">
        <v>5</v>
      </c>
      <c r="F498" s="28" t="s">
        <v>111</v>
      </c>
      <c r="G498" s="28" t="s">
        <v>112</v>
      </c>
      <c r="H498" s="28" t="s">
        <v>102</v>
      </c>
      <c r="I498" s="28" t="s">
        <v>103</v>
      </c>
      <c r="J498" s="28" t="s">
        <v>66</v>
      </c>
      <c r="K498" s="28" t="s">
        <v>90</v>
      </c>
      <c r="L498" s="28" t="s">
        <v>91</v>
      </c>
      <c r="M498" s="28" t="s">
        <v>92</v>
      </c>
      <c r="N498" s="28" t="s">
        <v>93</v>
      </c>
      <c r="O498" s="29" t="n">
        <v>18</v>
      </c>
      <c r="P498" s="30" t="n">
        <v>127.4</v>
      </c>
      <c r="Q498" s="30" t="n">
        <v>76.05</v>
      </c>
      <c r="R498" s="30" t="n">
        <f aca="false">ROUND(O498*P498,2)</f>
        <v>2293.2</v>
      </c>
      <c r="S498" s="30" t="n">
        <f aca="false">ROUND(O498*Q498,2)</f>
        <v>1368.9</v>
      </c>
      <c r="T498" s="30" t="n">
        <f aca="false">ROUND(R498*SUMIFS(Parametros!$E$23:$E$38,Parametros!$B$23:$B$38,J498,Parametros!$C$23:$C$38,C498,Parametros!$D$23:$D$38,D498),2)</f>
        <v>27.52</v>
      </c>
      <c r="U498" s="30" t="n">
        <f aca="false">R498-S498-T498</f>
        <v>896.78</v>
      </c>
    </row>
    <row r="499" customFormat="false" ht="15" hidden="false" customHeight="false" outlineLevel="0" collapsed="false">
      <c r="A499" s="0" t="n">
        <v>498</v>
      </c>
      <c r="B499" s="27" t="n">
        <v>45416</v>
      </c>
      <c r="C499" s="0" t="n">
        <v>2024</v>
      </c>
      <c r="D499" s="28" t="s">
        <v>108</v>
      </c>
      <c r="E499" s="0" t="n">
        <v>5</v>
      </c>
      <c r="F499" s="28" t="s">
        <v>111</v>
      </c>
      <c r="G499" s="28" t="s">
        <v>112</v>
      </c>
      <c r="H499" s="28" t="s">
        <v>102</v>
      </c>
      <c r="I499" s="28" t="s">
        <v>103</v>
      </c>
      <c r="J499" s="28" t="s">
        <v>71</v>
      </c>
      <c r="K499" s="28" t="s">
        <v>90</v>
      </c>
      <c r="L499" s="28" t="s">
        <v>91</v>
      </c>
      <c r="M499" s="28" t="s">
        <v>92</v>
      </c>
      <c r="N499" s="28" t="s">
        <v>93</v>
      </c>
      <c r="O499" s="29" t="n">
        <v>7</v>
      </c>
      <c r="P499" s="30" t="n">
        <v>127.4</v>
      </c>
      <c r="Q499" s="30" t="n">
        <v>76.05</v>
      </c>
      <c r="R499" s="30" t="n">
        <f aca="false">ROUND(O499*P499,2)</f>
        <v>891.8</v>
      </c>
      <c r="S499" s="30" t="n">
        <f aca="false">ROUND(O499*Q499,2)</f>
        <v>532.35</v>
      </c>
      <c r="T499" s="30" t="n">
        <f aca="false">ROUND(R499*SUMIFS(Parametros!$E$23:$E$38,Parametros!$B$23:$B$38,J499,Parametros!$C$23:$C$38,C499,Parametros!$D$23:$D$38,D499),2)</f>
        <v>39.24</v>
      </c>
      <c r="U499" s="30" t="n">
        <f aca="false">R499-S499-T499</f>
        <v>320.21</v>
      </c>
    </row>
    <row r="500" customFormat="false" ht="15" hidden="false" customHeight="false" outlineLevel="0" collapsed="false">
      <c r="A500" s="0" t="n">
        <v>499</v>
      </c>
      <c r="B500" s="27" t="n">
        <v>45423</v>
      </c>
      <c r="C500" s="0" t="n">
        <v>2024</v>
      </c>
      <c r="D500" s="28" t="s">
        <v>108</v>
      </c>
      <c r="E500" s="0" t="n">
        <v>5</v>
      </c>
      <c r="F500" s="28" t="s">
        <v>111</v>
      </c>
      <c r="G500" s="28" t="s">
        <v>112</v>
      </c>
      <c r="H500" s="28" t="s">
        <v>102</v>
      </c>
      <c r="I500" s="28" t="s">
        <v>103</v>
      </c>
      <c r="J500" s="28" t="s">
        <v>66</v>
      </c>
      <c r="K500" s="28" t="s">
        <v>90</v>
      </c>
      <c r="L500" s="28" t="s">
        <v>91</v>
      </c>
      <c r="M500" s="28" t="s">
        <v>94</v>
      </c>
      <c r="N500" s="28" t="s">
        <v>95</v>
      </c>
      <c r="O500" s="29" t="n">
        <v>16</v>
      </c>
      <c r="P500" s="30" t="n">
        <v>34.3</v>
      </c>
      <c r="Q500" s="30" t="n">
        <v>17.85</v>
      </c>
      <c r="R500" s="30" t="n">
        <f aca="false">ROUND(O500*P500,2)</f>
        <v>548.8</v>
      </c>
      <c r="S500" s="30" t="n">
        <f aca="false">ROUND(O500*Q500,2)</f>
        <v>285.6</v>
      </c>
      <c r="T500" s="30" t="n">
        <f aca="false">ROUND(R500*SUMIFS(Parametros!$E$23:$E$38,Parametros!$B$23:$B$38,J500,Parametros!$C$23:$C$38,C500,Parametros!$D$23:$D$38,D500),2)</f>
        <v>6.59</v>
      </c>
      <c r="U500" s="30" t="n">
        <f aca="false">R500-S500-T500</f>
        <v>256.61</v>
      </c>
    </row>
    <row r="501" customFormat="false" ht="15" hidden="false" customHeight="false" outlineLevel="0" collapsed="false">
      <c r="A501" s="0" t="n">
        <v>500</v>
      </c>
      <c r="B501" s="27" t="n">
        <v>45430</v>
      </c>
      <c r="C501" s="0" t="n">
        <v>2024</v>
      </c>
      <c r="D501" s="28" t="s">
        <v>108</v>
      </c>
      <c r="E501" s="0" t="n">
        <v>5</v>
      </c>
      <c r="F501" s="28" t="s">
        <v>111</v>
      </c>
      <c r="G501" s="28" t="s">
        <v>112</v>
      </c>
      <c r="H501" s="28" t="s">
        <v>102</v>
      </c>
      <c r="I501" s="28" t="s">
        <v>103</v>
      </c>
      <c r="J501" s="28" t="s">
        <v>71</v>
      </c>
      <c r="K501" s="28" t="s">
        <v>90</v>
      </c>
      <c r="L501" s="28" t="s">
        <v>91</v>
      </c>
      <c r="M501" s="28" t="s">
        <v>94</v>
      </c>
      <c r="N501" s="28" t="s">
        <v>95</v>
      </c>
      <c r="O501" s="29" t="n">
        <v>6</v>
      </c>
      <c r="P501" s="30" t="n">
        <v>34.3</v>
      </c>
      <c r="Q501" s="30" t="n">
        <v>17.85</v>
      </c>
      <c r="R501" s="30" t="n">
        <f aca="false">ROUND(O501*P501,2)</f>
        <v>205.8</v>
      </c>
      <c r="S501" s="30" t="n">
        <f aca="false">ROUND(O501*Q501,2)</f>
        <v>107.1</v>
      </c>
      <c r="T501" s="30" t="n">
        <f aca="false">ROUND(R501*SUMIFS(Parametros!$E$23:$E$38,Parametros!$B$23:$B$38,J501,Parametros!$C$23:$C$38,C501,Parametros!$D$23:$D$38,D501),2)</f>
        <v>9.06</v>
      </c>
      <c r="U501" s="30" t="n">
        <f aca="false">R501-S501-T501</f>
        <v>89.64</v>
      </c>
    </row>
    <row r="502" customFormat="false" ht="15" hidden="false" customHeight="false" outlineLevel="0" collapsed="false">
      <c r="A502" s="0" t="n">
        <v>501</v>
      </c>
      <c r="B502" s="27" t="n">
        <v>45468</v>
      </c>
      <c r="C502" s="0" t="n">
        <v>2024</v>
      </c>
      <c r="D502" s="28" t="s">
        <v>108</v>
      </c>
      <c r="E502" s="0" t="n">
        <v>6</v>
      </c>
      <c r="F502" s="28" t="s">
        <v>113</v>
      </c>
      <c r="G502" s="28" t="s">
        <v>114</v>
      </c>
      <c r="H502" s="28" t="s">
        <v>64</v>
      </c>
      <c r="I502" s="28" t="s">
        <v>65</v>
      </c>
      <c r="J502" s="28" t="s">
        <v>66</v>
      </c>
      <c r="K502" s="28" t="s">
        <v>67</v>
      </c>
      <c r="L502" s="28" t="s">
        <v>68</v>
      </c>
      <c r="M502" s="28" t="s">
        <v>69</v>
      </c>
      <c r="N502" s="28" t="s">
        <v>70</v>
      </c>
      <c r="O502" s="29" t="n">
        <v>19</v>
      </c>
      <c r="P502" s="30" t="n">
        <v>1176</v>
      </c>
      <c r="Q502" s="30" t="n">
        <v>744</v>
      </c>
      <c r="R502" s="30" t="n">
        <f aca="false">ROUND(O502*P502,2)</f>
        <v>22344</v>
      </c>
      <c r="S502" s="30" t="n">
        <f aca="false">ROUND(O502*Q502,2)</f>
        <v>14136</v>
      </c>
      <c r="T502" s="30" t="n">
        <f aca="false">ROUND(R502*SUMIFS(Parametros!$E$23:$E$38,Parametros!$B$23:$B$38,J502,Parametros!$C$23:$C$38,C502,Parametros!$D$23:$D$38,D502),2)</f>
        <v>268.13</v>
      </c>
      <c r="U502" s="30" t="n">
        <f aca="false">R502-S502-T502</f>
        <v>7939.87</v>
      </c>
    </row>
    <row r="503" customFormat="false" ht="15" hidden="false" customHeight="false" outlineLevel="0" collapsed="false">
      <c r="A503" s="0" t="n">
        <v>502</v>
      </c>
      <c r="B503" s="27" t="n">
        <v>45448</v>
      </c>
      <c r="C503" s="0" t="n">
        <v>2024</v>
      </c>
      <c r="D503" s="28" t="s">
        <v>108</v>
      </c>
      <c r="E503" s="0" t="n">
        <v>6</v>
      </c>
      <c r="F503" s="28" t="s">
        <v>113</v>
      </c>
      <c r="G503" s="28" t="s">
        <v>114</v>
      </c>
      <c r="H503" s="28" t="s">
        <v>64</v>
      </c>
      <c r="I503" s="28" t="s">
        <v>65</v>
      </c>
      <c r="J503" s="28" t="s">
        <v>71</v>
      </c>
      <c r="K503" s="28" t="s">
        <v>67</v>
      </c>
      <c r="L503" s="28" t="s">
        <v>68</v>
      </c>
      <c r="M503" s="28" t="s">
        <v>69</v>
      </c>
      <c r="N503" s="28" t="s">
        <v>70</v>
      </c>
      <c r="O503" s="29" t="n">
        <v>7</v>
      </c>
      <c r="P503" s="30" t="n">
        <v>1176</v>
      </c>
      <c r="Q503" s="30" t="n">
        <v>744</v>
      </c>
      <c r="R503" s="30" t="n">
        <f aca="false">ROUND(O503*P503,2)</f>
        <v>8232</v>
      </c>
      <c r="S503" s="30" t="n">
        <f aca="false">ROUND(O503*Q503,2)</f>
        <v>5208</v>
      </c>
      <c r="T503" s="30" t="n">
        <f aca="false">ROUND(R503*SUMIFS(Parametros!$E$23:$E$38,Parametros!$B$23:$B$38,J503,Parametros!$C$23:$C$38,C503,Parametros!$D$23:$D$38,D503),2)</f>
        <v>362.21</v>
      </c>
      <c r="U503" s="30" t="n">
        <f aca="false">R503-S503-T503</f>
        <v>2661.79</v>
      </c>
    </row>
    <row r="504" customFormat="false" ht="15" hidden="false" customHeight="false" outlineLevel="0" collapsed="false">
      <c r="A504" s="0" t="n">
        <v>503</v>
      </c>
      <c r="B504" s="27" t="n">
        <v>45455</v>
      </c>
      <c r="C504" s="0" t="n">
        <v>2024</v>
      </c>
      <c r="D504" s="28" t="s">
        <v>108</v>
      </c>
      <c r="E504" s="0" t="n">
        <v>6</v>
      </c>
      <c r="F504" s="28" t="s">
        <v>113</v>
      </c>
      <c r="G504" s="28" t="s">
        <v>114</v>
      </c>
      <c r="H504" s="28" t="s">
        <v>64</v>
      </c>
      <c r="I504" s="28" t="s">
        <v>65</v>
      </c>
      <c r="J504" s="28" t="s">
        <v>66</v>
      </c>
      <c r="K504" s="28" t="s">
        <v>67</v>
      </c>
      <c r="L504" s="28" t="s">
        <v>68</v>
      </c>
      <c r="M504" s="28" t="s">
        <v>72</v>
      </c>
      <c r="N504" s="28" t="s">
        <v>73</v>
      </c>
      <c r="O504" s="29" t="n">
        <v>24</v>
      </c>
      <c r="P504" s="30" t="n">
        <v>441</v>
      </c>
      <c r="Q504" s="30" t="n">
        <v>272.25</v>
      </c>
      <c r="R504" s="30" t="n">
        <f aca="false">ROUND(O504*P504,2)</f>
        <v>10584</v>
      </c>
      <c r="S504" s="30" t="n">
        <f aca="false">ROUND(O504*Q504,2)</f>
        <v>6534</v>
      </c>
      <c r="T504" s="30" t="n">
        <f aca="false">ROUND(R504*SUMIFS(Parametros!$E$23:$E$38,Parametros!$B$23:$B$38,J504,Parametros!$C$23:$C$38,C504,Parametros!$D$23:$D$38,D504),2)</f>
        <v>127.01</v>
      </c>
      <c r="U504" s="30" t="n">
        <f aca="false">R504-S504-T504</f>
        <v>3922.99</v>
      </c>
    </row>
    <row r="505" customFormat="false" ht="15" hidden="false" customHeight="false" outlineLevel="0" collapsed="false">
      <c r="A505" s="0" t="n">
        <v>504</v>
      </c>
      <c r="B505" s="27" t="n">
        <v>45462</v>
      </c>
      <c r="C505" s="0" t="n">
        <v>2024</v>
      </c>
      <c r="D505" s="28" t="s">
        <v>108</v>
      </c>
      <c r="E505" s="0" t="n">
        <v>6</v>
      </c>
      <c r="F505" s="28" t="s">
        <v>113</v>
      </c>
      <c r="G505" s="28" t="s">
        <v>114</v>
      </c>
      <c r="H505" s="28" t="s">
        <v>64</v>
      </c>
      <c r="I505" s="28" t="s">
        <v>65</v>
      </c>
      <c r="J505" s="28" t="s">
        <v>71</v>
      </c>
      <c r="K505" s="28" t="s">
        <v>67</v>
      </c>
      <c r="L505" s="28" t="s">
        <v>68</v>
      </c>
      <c r="M505" s="28" t="s">
        <v>72</v>
      </c>
      <c r="N505" s="28" t="s">
        <v>73</v>
      </c>
      <c r="O505" s="29" t="n">
        <v>10</v>
      </c>
      <c r="P505" s="30" t="n">
        <v>441</v>
      </c>
      <c r="Q505" s="30" t="n">
        <v>272.25</v>
      </c>
      <c r="R505" s="30" t="n">
        <f aca="false">ROUND(O505*P505,2)</f>
        <v>4410</v>
      </c>
      <c r="S505" s="30" t="n">
        <f aca="false">ROUND(O505*Q505,2)</f>
        <v>2722.5</v>
      </c>
      <c r="T505" s="30" t="n">
        <f aca="false">ROUND(R505*SUMIFS(Parametros!$E$23:$E$38,Parametros!$B$23:$B$38,J505,Parametros!$C$23:$C$38,C505,Parametros!$D$23:$D$38,D505),2)</f>
        <v>194.04</v>
      </c>
      <c r="U505" s="30" t="n">
        <f aca="false">R505-S505-T505</f>
        <v>1493.46</v>
      </c>
    </row>
    <row r="506" customFormat="false" ht="15" hidden="false" customHeight="false" outlineLevel="0" collapsed="false">
      <c r="A506" s="0" t="n">
        <v>505</v>
      </c>
      <c r="B506" s="27" t="n">
        <v>45469</v>
      </c>
      <c r="C506" s="0" t="n">
        <v>2024</v>
      </c>
      <c r="D506" s="28" t="s">
        <v>108</v>
      </c>
      <c r="E506" s="0" t="n">
        <v>6</v>
      </c>
      <c r="F506" s="28" t="s">
        <v>113</v>
      </c>
      <c r="G506" s="28" t="s">
        <v>114</v>
      </c>
      <c r="H506" s="28" t="s">
        <v>64</v>
      </c>
      <c r="I506" s="28" t="s">
        <v>65</v>
      </c>
      <c r="J506" s="28" t="s">
        <v>66</v>
      </c>
      <c r="K506" s="28" t="s">
        <v>67</v>
      </c>
      <c r="L506" s="28" t="s">
        <v>68</v>
      </c>
      <c r="M506" s="28" t="s">
        <v>74</v>
      </c>
      <c r="N506" s="28" t="s">
        <v>75</v>
      </c>
      <c r="O506" s="29" t="n">
        <v>22</v>
      </c>
      <c r="P506" s="30" t="n">
        <v>1617</v>
      </c>
      <c r="Q506" s="30" t="n">
        <v>1122</v>
      </c>
      <c r="R506" s="30" t="n">
        <f aca="false">ROUND(O506*P506,2)</f>
        <v>35574</v>
      </c>
      <c r="S506" s="30" t="n">
        <f aca="false">ROUND(O506*Q506,2)</f>
        <v>24684</v>
      </c>
      <c r="T506" s="30" t="n">
        <f aca="false">ROUND(R506*SUMIFS(Parametros!$E$23:$E$38,Parametros!$B$23:$B$38,J506,Parametros!$C$23:$C$38,C506,Parametros!$D$23:$D$38,D506),2)</f>
        <v>426.89</v>
      </c>
      <c r="U506" s="30" t="n">
        <f aca="false">R506-S506-T506</f>
        <v>10463.11</v>
      </c>
    </row>
    <row r="507" customFormat="false" ht="15" hidden="false" customHeight="false" outlineLevel="0" collapsed="false">
      <c r="A507" s="0" t="n">
        <v>506</v>
      </c>
      <c r="B507" s="27" t="n">
        <v>45449</v>
      </c>
      <c r="C507" s="0" t="n">
        <v>2024</v>
      </c>
      <c r="D507" s="28" t="s">
        <v>108</v>
      </c>
      <c r="E507" s="0" t="n">
        <v>6</v>
      </c>
      <c r="F507" s="28" t="s">
        <v>113</v>
      </c>
      <c r="G507" s="28" t="s">
        <v>114</v>
      </c>
      <c r="H507" s="28" t="s">
        <v>64</v>
      </c>
      <c r="I507" s="28" t="s">
        <v>65</v>
      </c>
      <c r="J507" s="28" t="s">
        <v>71</v>
      </c>
      <c r="K507" s="28" t="s">
        <v>67</v>
      </c>
      <c r="L507" s="28" t="s">
        <v>68</v>
      </c>
      <c r="M507" s="28" t="s">
        <v>74</v>
      </c>
      <c r="N507" s="28" t="s">
        <v>75</v>
      </c>
      <c r="O507" s="29" t="n">
        <v>9</v>
      </c>
      <c r="P507" s="30" t="n">
        <v>1617</v>
      </c>
      <c r="Q507" s="30" t="n">
        <v>1122</v>
      </c>
      <c r="R507" s="30" t="n">
        <f aca="false">ROUND(O507*P507,2)</f>
        <v>14553</v>
      </c>
      <c r="S507" s="30" t="n">
        <f aca="false">ROUND(O507*Q507,2)</f>
        <v>10098</v>
      </c>
      <c r="T507" s="30" t="n">
        <f aca="false">ROUND(R507*SUMIFS(Parametros!$E$23:$E$38,Parametros!$B$23:$B$38,J507,Parametros!$C$23:$C$38,C507,Parametros!$D$23:$D$38,D507),2)</f>
        <v>640.33</v>
      </c>
      <c r="U507" s="30" t="n">
        <f aca="false">R507-S507-T507</f>
        <v>3814.67</v>
      </c>
    </row>
    <row r="508" customFormat="false" ht="15" hidden="false" customHeight="false" outlineLevel="0" collapsed="false">
      <c r="A508" s="0" t="n">
        <v>507</v>
      </c>
      <c r="B508" s="27" t="n">
        <v>45456</v>
      </c>
      <c r="C508" s="0" t="n">
        <v>2024</v>
      </c>
      <c r="D508" s="28" t="s">
        <v>108</v>
      </c>
      <c r="E508" s="0" t="n">
        <v>6</v>
      </c>
      <c r="F508" s="28" t="s">
        <v>113</v>
      </c>
      <c r="G508" s="28" t="s">
        <v>114</v>
      </c>
      <c r="H508" s="28" t="s">
        <v>64</v>
      </c>
      <c r="I508" s="28" t="s">
        <v>65</v>
      </c>
      <c r="J508" s="28" t="s">
        <v>66</v>
      </c>
      <c r="K508" s="28" t="s">
        <v>76</v>
      </c>
      <c r="L508" s="28" t="s">
        <v>77</v>
      </c>
      <c r="M508" s="28" t="s">
        <v>78</v>
      </c>
      <c r="N508" s="28" t="s">
        <v>79</v>
      </c>
      <c r="O508" s="29" t="n">
        <v>122</v>
      </c>
      <c r="P508" s="30" t="n">
        <v>27.44</v>
      </c>
      <c r="Q508" s="30" t="n">
        <v>13.44</v>
      </c>
      <c r="R508" s="30" t="n">
        <f aca="false">ROUND(O508*P508,2)</f>
        <v>3347.68</v>
      </c>
      <c r="S508" s="30" t="n">
        <f aca="false">ROUND(O508*Q508,2)</f>
        <v>1639.68</v>
      </c>
      <c r="T508" s="30" t="n">
        <f aca="false">ROUND(R508*SUMIFS(Parametros!$E$23:$E$38,Parametros!$B$23:$B$38,J508,Parametros!$C$23:$C$38,C508,Parametros!$D$23:$D$38,D508),2)</f>
        <v>40.17</v>
      </c>
      <c r="U508" s="30" t="n">
        <f aca="false">R508-S508-T508</f>
        <v>1667.83</v>
      </c>
    </row>
    <row r="509" customFormat="false" ht="15" hidden="false" customHeight="false" outlineLevel="0" collapsed="false">
      <c r="A509" s="0" t="n">
        <v>508</v>
      </c>
      <c r="B509" s="27" t="n">
        <v>45463</v>
      </c>
      <c r="C509" s="0" t="n">
        <v>2024</v>
      </c>
      <c r="D509" s="28" t="s">
        <v>108</v>
      </c>
      <c r="E509" s="0" t="n">
        <v>6</v>
      </c>
      <c r="F509" s="28" t="s">
        <v>113</v>
      </c>
      <c r="G509" s="28" t="s">
        <v>114</v>
      </c>
      <c r="H509" s="28" t="s">
        <v>64</v>
      </c>
      <c r="I509" s="28" t="s">
        <v>65</v>
      </c>
      <c r="J509" s="28" t="s">
        <v>71</v>
      </c>
      <c r="K509" s="28" t="s">
        <v>76</v>
      </c>
      <c r="L509" s="28" t="s">
        <v>77</v>
      </c>
      <c r="M509" s="28" t="s">
        <v>78</v>
      </c>
      <c r="N509" s="28" t="s">
        <v>79</v>
      </c>
      <c r="O509" s="29" t="n">
        <v>36</v>
      </c>
      <c r="P509" s="30" t="n">
        <v>27.44</v>
      </c>
      <c r="Q509" s="30" t="n">
        <v>13.44</v>
      </c>
      <c r="R509" s="30" t="n">
        <f aca="false">ROUND(O509*P509,2)</f>
        <v>987.84</v>
      </c>
      <c r="S509" s="30" t="n">
        <f aca="false">ROUND(O509*Q509,2)</f>
        <v>483.84</v>
      </c>
      <c r="T509" s="30" t="n">
        <f aca="false">ROUND(R509*SUMIFS(Parametros!$E$23:$E$38,Parametros!$B$23:$B$38,J509,Parametros!$C$23:$C$38,C509,Parametros!$D$23:$D$38,D509),2)</f>
        <v>43.46</v>
      </c>
      <c r="U509" s="30" t="n">
        <f aca="false">R509-S509-T509</f>
        <v>460.54</v>
      </c>
    </row>
    <row r="510" customFormat="false" ht="15" hidden="false" customHeight="false" outlineLevel="0" collapsed="false">
      <c r="A510" s="0" t="n">
        <v>509</v>
      </c>
      <c r="B510" s="27" t="n">
        <v>45470</v>
      </c>
      <c r="C510" s="0" t="n">
        <v>2024</v>
      </c>
      <c r="D510" s="28" t="s">
        <v>108</v>
      </c>
      <c r="E510" s="0" t="n">
        <v>6</v>
      </c>
      <c r="F510" s="28" t="s">
        <v>113</v>
      </c>
      <c r="G510" s="28" t="s">
        <v>114</v>
      </c>
      <c r="H510" s="28" t="s">
        <v>64</v>
      </c>
      <c r="I510" s="28" t="s">
        <v>65</v>
      </c>
      <c r="J510" s="28" t="s">
        <v>66</v>
      </c>
      <c r="K510" s="28" t="s">
        <v>76</v>
      </c>
      <c r="L510" s="28" t="s">
        <v>77</v>
      </c>
      <c r="M510" s="28" t="s">
        <v>80</v>
      </c>
      <c r="N510" s="28" t="s">
        <v>81</v>
      </c>
      <c r="O510" s="29" t="n">
        <v>112</v>
      </c>
      <c r="P510" s="30" t="n">
        <v>93.1</v>
      </c>
      <c r="Q510" s="30" t="n">
        <v>47.98</v>
      </c>
      <c r="R510" s="30" t="n">
        <f aca="false">ROUND(O510*P510,2)</f>
        <v>10427.2</v>
      </c>
      <c r="S510" s="30" t="n">
        <f aca="false">ROUND(O510*Q510,2)</f>
        <v>5373.76</v>
      </c>
      <c r="T510" s="30" t="n">
        <f aca="false">ROUND(R510*SUMIFS(Parametros!$E$23:$E$38,Parametros!$B$23:$B$38,J510,Parametros!$C$23:$C$38,C510,Parametros!$D$23:$D$38,D510),2)</f>
        <v>125.13</v>
      </c>
      <c r="U510" s="30" t="n">
        <f aca="false">R510-S510-T510</f>
        <v>4928.31</v>
      </c>
    </row>
    <row r="511" customFormat="false" ht="15" hidden="false" customHeight="false" outlineLevel="0" collapsed="false">
      <c r="A511" s="0" t="n">
        <v>510</v>
      </c>
      <c r="B511" s="27" t="n">
        <v>45450</v>
      </c>
      <c r="C511" s="0" t="n">
        <v>2024</v>
      </c>
      <c r="D511" s="28" t="s">
        <v>108</v>
      </c>
      <c r="E511" s="0" t="n">
        <v>6</v>
      </c>
      <c r="F511" s="28" t="s">
        <v>113</v>
      </c>
      <c r="G511" s="28" t="s">
        <v>114</v>
      </c>
      <c r="H511" s="28" t="s">
        <v>64</v>
      </c>
      <c r="I511" s="28" t="s">
        <v>65</v>
      </c>
      <c r="J511" s="28" t="s">
        <v>71</v>
      </c>
      <c r="K511" s="28" t="s">
        <v>76</v>
      </c>
      <c r="L511" s="28" t="s">
        <v>77</v>
      </c>
      <c r="M511" s="28" t="s">
        <v>80</v>
      </c>
      <c r="N511" s="28" t="s">
        <v>81</v>
      </c>
      <c r="O511" s="29" t="n">
        <v>45</v>
      </c>
      <c r="P511" s="30" t="n">
        <v>93.1</v>
      </c>
      <c r="Q511" s="30" t="n">
        <v>47.98</v>
      </c>
      <c r="R511" s="30" t="n">
        <f aca="false">ROUND(O511*P511,2)</f>
        <v>4189.5</v>
      </c>
      <c r="S511" s="30" t="n">
        <f aca="false">ROUND(O511*Q511,2)</f>
        <v>2159.1</v>
      </c>
      <c r="T511" s="30" t="n">
        <f aca="false">ROUND(R511*SUMIFS(Parametros!$E$23:$E$38,Parametros!$B$23:$B$38,J511,Parametros!$C$23:$C$38,C511,Parametros!$D$23:$D$38,D511),2)</f>
        <v>184.34</v>
      </c>
      <c r="U511" s="30" t="n">
        <f aca="false">R511-S511-T511</f>
        <v>1846.06</v>
      </c>
    </row>
    <row r="512" customFormat="false" ht="15" hidden="false" customHeight="false" outlineLevel="0" collapsed="false">
      <c r="A512" s="0" t="n">
        <v>511</v>
      </c>
      <c r="B512" s="27" t="n">
        <v>45457</v>
      </c>
      <c r="C512" s="0" t="n">
        <v>2024</v>
      </c>
      <c r="D512" s="28" t="s">
        <v>108</v>
      </c>
      <c r="E512" s="0" t="n">
        <v>6</v>
      </c>
      <c r="F512" s="28" t="s">
        <v>113</v>
      </c>
      <c r="G512" s="28" t="s">
        <v>114</v>
      </c>
      <c r="H512" s="28" t="s">
        <v>64</v>
      </c>
      <c r="I512" s="28" t="s">
        <v>65</v>
      </c>
      <c r="J512" s="28" t="s">
        <v>66</v>
      </c>
      <c r="K512" s="28" t="s">
        <v>76</v>
      </c>
      <c r="L512" s="28" t="s">
        <v>77</v>
      </c>
      <c r="M512" s="28" t="s">
        <v>82</v>
      </c>
      <c r="N512" s="28" t="s">
        <v>83</v>
      </c>
      <c r="O512" s="29" t="n">
        <v>114</v>
      </c>
      <c r="P512" s="30" t="n">
        <v>63.7</v>
      </c>
      <c r="Q512" s="30" t="n">
        <v>35.43</v>
      </c>
      <c r="R512" s="30" t="n">
        <f aca="false">ROUND(O512*P512,2)</f>
        <v>7261.8</v>
      </c>
      <c r="S512" s="30" t="n">
        <f aca="false">ROUND(O512*Q512,2)</f>
        <v>4039.02</v>
      </c>
      <c r="T512" s="30" t="n">
        <f aca="false">ROUND(R512*SUMIFS(Parametros!$E$23:$E$38,Parametros!$B$23:$B$38,J512,Parametros!$C$23:$C$38,C512,Parametros!$D$23:$D$38,D512),2)</f>
        <v>87.14</v>
      </c>
      <c r="U512" s="30" t="n">
        <f aca="false">R512-S512-T512</f>
        <v>3135.64</v>
      </c>
    </row>
    <row r="513" customFormat="false" ht="15" hidden="false" customHeight="false" outlineLevel="0" collapsed="false">
      <c r="A513" s="0" t="n">
        <v>512</v>
      </c>
      <c r="B513" s="27" t="n">
        <v>45464</v>
      </c>
      <c r="C513" s="0" t="n">
        <v>2024</v>
      </c>
      <c r="D513" s="28" t="s">
        <v>108</v>
      </c>
      <c r="E513" s="0" t="n">
        <v>6</v>
      </c>
      <c r="F513" s="28" t="s">
        <v>113</v>
      </c>
      <c r="G513" s="28" t="s">
        <v>114</v>
      </c>
      <c r="H513" s="28" t="s">
        <v>64</v>
      </c>
      <c r="I513" s="28" t="s">
        <v>65</v>
      </c>
      <c r="J513" s="28" t="s">
        <v>71</v>
      </c>
      <c r="K513" s="28" t="s">
        <v>76</v>
      </c>
      <c r="L513" s="28" t="s">
        <v>77</v>
      </c>
      <c r="M513" s="28" t="s">
        <v>82</v>
      </c>
      <c r="N513" s="28" t="s">
        <v>83</v>
      </c>
      <c r="O513" s="29" t="n">
        <v>46</v>
      </c>
      <c r="P513" s="30" t="n">
        <v>63.7</v>
      </c>
      <c r="Q513" s="30" t="n">
        <v>35.43</v>
      </c>
      <c r="R513" s="30" t="n">
        <f aca="false">ROUND(O513*P513,2)</f>
        <v>2930.2</v>
      </c>
      <c r="S513" s="30" t="n">
        <f aca="false">ROUND(O513*Q513,2)</f>
        <v>1629.78</v>
      </c>
      <c r="T513" s="30" t="n">
        <f aca="false">ROUND(R513*SUMIFS(Parametros!$E$23:$E$38,Parametros!$B$23:$B$38,J513,Parametros!$C$23:$C$38,C513,Parametros!$D$23:$D$38,D513),2)</f>
        <v>128.93</v>
      </c>
      <c r="U513" s="30" t="n">
        <f aca="false">R513-S513-T513</f>
        <v>1171.49</v>
      </c>
    </row>
    <row r="514" customFormat="false" ht="15" hidden="false" customHeight="false" outlineLevel="0" collapsed="false">
      <c r="A514" s="0" t="n">
        <v>513</v>
      </c>
      <c r="B514" s="27" t="n">
        <v>45444</v>
      </c>
      <c r="C514" s="0" t="n">
        <v>2024</v>
      </c>
      <c r="D514" s="28" t="s">
        <v>108</v>
      </c>
      <c r="E514" s="0" t="n">
        <v>6</v>
      </c>
      <c r="F514" s="28" t="s">
        <v>113</v>
      </c>
      <c r="G514" s="28" t="s">
        <v>114</v>
      </c>
      <c r="H514" s="28" t="s">
        <v>64</v>
      </c>
      <c r="I514" s="28" t="s">
        <v>65</v>
      </c>
      <c r="J514" s="28" t="s">
        <v>66</v>
      </c>
      <c r="K514" s="28" t="s">
        <v>84</v>
      </c>
      <c r="L514" s="28" t="s">
        <v>85</v>
      </c>
      <c r="M514" s="28" t="s">
        <v>86</v>
      </c>
      <c r="N514" s="28" t="s">
        <v>87</v>
      </c>
      <c r="O514" s="29" t="n">
        <v>40</v>
      </c>
      <c r="P514" s="30" t="n">
        <v>117.6</v>
      </c>
      <c r="Q514" s="30" t="n">
        <v>63.6</v>
      </c>
      <c r="R514" s="30" t="n">
        <f aca="false">ROUND(O514*P514,2)</f>
        <v>4704</v>
      </c>
      <c r="S514" s="30" t="n">
        <f aca="false">ROUND(O514*Q514,2)</f>
        <v>2544</v>
      </c>
      <c r="T514" s="30" t="n">
        <f aca="false">ROUND(R514*SUMIFS(Parametros!$E$23:$E$38,Parametros!$B$23:$B$38,J514,Parametros!$C$23:$C$38,C514,Parametros!$D$23:$D$38,D514),2)</f>
        <v>56.45</v>
      </c>
      <c r="U514" s="30" t="n">
        <f aca="false">R514-S514-T514</f>
        <v>2103.55</v>
      </c>
    </row>
    <row r="515" customFormat="false" ht="15" hidden="false" customHeight="false" outlineLevel="0" collapsed="false">
      <c r="A515" s="0" t="n">
        <v>514</v>
      </c>
      <c r="B515" s="27" t="n">
        <v>45451</v>
      </c>
      <c r="C515" s="0" t="n">
        <v>2024</v>
      </c>
      <c r="D515" s="28" t="s">
        <v>108</v>
      </c>
      <c r="E515" s="0" t="n">
        <v>6</v>
      </c>
      <c r="F515" s="28" t="s">
        <v>113</v>
      </c>
      <c r="G515" s="28" t="s">
        <v>114</v>
      </c>
      <c r="H515" s="28" t="s">
        <v>64</v>
      </c>
      <c r="I515" s="28" t="s">
        <v>65</v>
      </c>
      <c r="J515" s="28" t="s">
        <v>71</v>
      </c>
      <c r="K515" s="28" t="s">
        <v>84</v>
      </c>
      <c r="L515" s="28" t="s">
        <v>85</v>
      </c>
      <c r="M515" s="28" t="s">
        <v>86</v>
      </c>
      <c r="N515" s="28" t="s">
        <v>87</v>
      </c>
      <c r="O515" s="29" t="n">
        <v>19</v>
      </c>
      <c r="P515" s="30" t="n">
        <v>117.6</v>
      </c>
      <c r="Q515" s="30" t="n">
        <v>63.6</v>
      </c>
      <c r="R515" s="30" t="n">
        <f aca="false">ROUND(O515*P515,2)</f>
        <v>2234.4</v>
      </c>
      <c r="S515" s="30" t="n">
        <f aca="false">ROUND(O515*Q515,2)</f>
        <v>1208.4</v>
      </c>
      <c r="T515" s="30" t="n">
        <f aca="false">ROUND(R515*SUMIFS(Parametros!$E$23:$E$38,Parametros!$B$23:$B$38,J515,Parametros!$C$23:$C$38,C515,Parametros!$D$23:$D$38,D515),2)</f>
        <v>98.31</v>
      </c>
      <c r="U515" s="30" t="n">
        <f aca="false">R515-S515-T515</f>
        <v>927.69</v>
      </c>
    </row>
    <row r="516" customFormat="false" ht="15" hidden="false" customHeight="false" outlineLevel="0" collapsed="false">
      <c r="A516" s="0" t="n">
        <v>515</v>
      </c>
      <c r="B516" s="27" t="n">
        <v>45458</v>
      </c>
      <c r="C516" s="0" t="n">
        <v>2024</v>
      </c>
      <c r="D516" s="28" t="s">
        <v>108</v>
      </c>
      <c r="E516" s="0" t="n">
        <v>6</v>
      </c>
      <c r="F516" s="28" t="s">
        <v>113</v>
      </c>
      <c r="G516" s="28" t="s">
        <v>114</v>
      </c>
      <c r="H516" s="28" t="s">
        <v>64</v>
      </c>
      <c r="I516" s="28" t="s">
        <v>65</v>
      </c>
      <c r="J516" s="28" t="s">
        <v>66</v>
      </c>
      <c r="K516" s="28" t="s">
        <v>84</v>
      </c>
      <c r="L516" s="28" t="s">
        <v>85</v>
      </c>
      <c r="M516" s="28" t="s">
        <v>88</v>
      </c>
      <c r="N516" s="28" t="s">
        <v>89</v>
      </c>
      <c r="O516" s="29" t="n">
        <v>48</v>
      </c>
      <c r="P516" s="30" t="n">
        <v>83.3</v>
      </c>
      <c r="Q516" s="30" t="n">
        <v>48.02</v>
      </c>
      <c r="R516" s="30" t="n">
        <f aca="false">ROUND(O516*P516,2)</f>
        <v>3998.4</v>
      </c>
      <c r="S516" s="30" t="n">
        <f aca="false">ROUND(O516*Q516,2)</f>
        <v>2304.96</v>
      </c>
      <c r="T516" s="30" t="n">
        <f aca="false">ROUND(R516*SUMIFS(Parametros!$E$23:$E$38,Parametros!$B$23:$B$38,J516,Parametros!$C$23:$C$38,C516,Parametros!$D$23:$D$38,D516),2)</f>
        <v>47.98</v>
      </c>
      <c r="U516" s="30" t="n">
        <f aca="false">R516-S516-T516</f>
        <v>1645.46</v>
      </c>
    </row>
    <row r="517" customFormat="false" ht="15" hidden="false" customHeight="false" outlineLevel="0" collapsed="false">
      <c r="A517" s="0" t="n">
        <v>516</v>
      </c>
      <c r="B517" s="27" t="n">
        <v>45465</v>
      </c>
      <c r="C517" s="0" t="n">
        <v>2024</v>
      </c>
      <c r="D517" s="28" t="s">
        <v>108</v>
      </c>
      <c r="E517" s="0" t="n">
        <v>6</v>
      </c>
      <c r="F517" s="28" t="s">
        <v>113</v>
      </c>
      <c r="G517" s="28" t="s">
        <v>114</v>
      </c>
      <c r="H517" s="28" t="s">
        <v>64</v>
      </c>
      <c r="I517" s="28" t="s">
        <v>65</v>
      </c>
      <c r="J517" s="28" t="s">
        <v>71</v>
      </c>
      <c r="K517" s="28" t="s">
        <v>84</v>
      </c>
      <c r="L517" s="28" t="s">
        <v>85</v>
      </c>
      <c r="M517" s="28" t="s">
        <v>88</v>
      </c>
      <c r="N517" s="28" t="s">
        <v>89</v>
      </c>
      <c r="O517" s="29" t="n">
        <v>17</v>
      </c>
      <c r="P517" s="30" t="n">
        <v>83.3</v>
      </c>
      <c r="Q517" s="30" t="n">
        <v>48.02</v>
      </c>
      <c r="R517" s="30" t="n">
        <f aca="false">ROUND(O517*P517,2)</f>
        <v>1416.1</v>
      </c>
      <c r="S517" s="30" t="n">
        <f aca="false">ROUND(O517*Q517,2)</f>
        <v>816.34</v>
      </c>
      <c r="T517" s="30" t="n">
        <f aca="false">ROUND(R517*SUMIFS(Parametros!$E$23:$E$38,Parametros!$B$23:$B$38,J517,Parametros!$C$23:$C$38,C517,Parametros!$D$23:$D$38,D517),2)</f>
        <v>62.31</v>
      </c>
      <c r="U517" s="30" t="n">
        <f aca="false">R517-S517-T517</f>
        <v>537.45</v>
      </c>
    </row>
    <row r="518" customFormat="false" ht="15" hidden="false" customHeight="false" outlineLevel="0" collapsed="false">
      <c r="A518" s="0" t="n">
        <v>517</v>
      </c>
      <c r="B518" s="27" t="n">
        <v>45445</v>
      </c>
      <c r="C518" s="0" t="n">
        <v>2024</v>
      </c>
      <c r="D518" s="28" t="s">
        <v>108</v>
      </c>
      <c r="E518" s="0" t="n">
        <v>6</v>
      </c>
      <c r="F518" s="28" t="s">
        <v>113</v>
      </c>
      <c r="G518" s="28" t="s">
        <v>114</v>
      </c>
      <c r="H518" s="28" t="s">
        <v>64</v>
      </c>
      <c r="I518" s="28" t="s">
        <v>65</v>
      </c>
      <c r="J518" s="28" t="s">
        <v>66</v>
      </c>
      <c r="K518" s="28" t="s">
        <v>90</v>
      </c>
      <c r="L518" s="28" t="s">
        <v>91</v>
      </c>
      <c r="M518" s="28" t="s">
        <v>92</v>
      </c>
      <c r="N518" s="28" t="s">
        <v>93</v>
      </c>
      <c r="O518" s="29" t="n">
        <v>65</v>
      </c>
      <c r="P518" s="30" t="n">
        <v>127.4</v>
      </c>
      <c r="Q518" s="30" t="n">
        <v>76.05</v>
      </c>
      <c r="R518" s="30" t="n">
        <f aca="false">ROUND(O518*P518,2)</f>
        <v>8281</v>
      </c>
      <c r="S518" s="30" t="n">
        <f aca="false">ROUND(O518*Q518,2)</f>
        <v>4943.25</v>
      </c>
      <c r="T518" s="30" t="n">
        <f aca="false">ROUND(R518*SUMIFS(Parametros!$E$23:$E$38,Parametros!$B$23:$B$38,J518,Parametros!$C$23:$C$38,C518,Parametros!$D$23:$D$38,D518),2)</f>
        <v>99.37</v>
      </c>
      <c r="U518" s="30" t="n">
        <f aca="false">R518-S518-T518</f>
        <v>3238.38</v>
      </c>
    </row>
    <row r="519" customFormat="false" ht="15" hidden="false" customHeight="false" outlineLevel="0" collapsed="false">
      <c r="A519" s="0" t="n">
        <v>518</v>
      </c>
      <c r="B519" s="27" t="n">
        <v>45452</v>
      </c>
      <c r="C519" s="0" t="n">
        <v>2024</v>
      </c>
      <c r="D519" s="28" t="s">
        <v>108</v>
      </c>
      <c r="E519" s="0" t="n">
        <v>6</v>
      </c>
      <c r="F519" s="28" t="s">
        <v>113</v>
      </c>
      <c r="G519" s="28" t="s">
        <v>114</v>
      </c>
      <c r="H519" s="28" t="s">
        <v>64</v>
      </c>
      <c r="I519" s="28" t="s">
        <v>65</v>
      </c>
      <c r="J519" s="28" t="s">
        <v>71</v>
      </c>
      <c r="K519" s="28" t="s">
        <v>90</v>
      </c>
      <c r="L519" s="28" t="s">
        <v>91</v>
      </c>
      <c r="M519" s="28" t="s">
        <v>92</v>
      </c>
      <c r="N519" s="28" t="s">
        <v>93</v>
      </c>
      <c r="O519" s="29" t="n">
        <v>22</v>
      </c>
      <c r="P519" s="30" t="n">
        <v>127.4</v>
      </c>
      <c r="Q519" s="30" t="n">
        <v>76.05</v>
      </c>
      <c r="R519" s="30" t="n">
        <f aca="false">ROUND(O519*P519,2)</f>
        <v>2802.8</v>
      </c>
      <c r="S519" s="30" t="n">
        <f aca="false">ROUND(O519*Q519,2)</f>
        <v>1673.1</v>
      </c>
      <c r="T519" s="30" t="n">
        <f aca="false">ROUND(R519*SUMIFS(Parametros!$E$23:$E$38,Parametros!$B$23:$B$38,J519,Parametros!$C$23:$C$38,C519,Parametros!$D$23:$D$38,D519),2)</f>
        <v>123.32</v>
      </c>
      <c r="U519" s="30" t="n">
        <f aca="false">R519-S519-T519</f>
        <v>1006.38</v>
      </c>
    </row>
    <row r="520" customFormat="false" ht="15" hidden="false" customHeight="false" outlineLevel="0" collapsed="false">
      <c r="A520" s="0" t="n">
        <v>519</v>
      </c>
      <c r="B520" s="27" t="n">
        <v>45459</v>
      </c>
      <c r="C520" s="0" t="n">
        <v>2024</v>
      </c>
      <c r="D520" s="28" t="s">
        <v>108</v>
      </c>
      <c r="E520" s="0" t="n">
        <v>6</v>
      </c>
      <c r="F520" s="28" t="s">
        <v>113</v>
      </c>
      <c r="G520" s="28" t="s">
        <v>114</v>
      </c>
      <c r="H520" s="28" t="s">
        <v>64</v>
      </c>
      <c r="I520" s="28" t="s">
        <v>65</v>
      </c>
      <c r="J520" s="28" t="s">
        <v>66</v>
      </c>
      <c r="K520" s="28" t="s">
        <v>90</v>
      </c>
      <c r="L520" s="28" t="s">
        <v>91</v>
      </c>
      <c r="M520" s="28" t="s">
        <v>94</v>
      </c>
      <c r="N520" s="28" t="s">
        <v>95</v>
      </c>
      <c r="O520" s="29" t="n">
        <v>63</v>
      </c>
      <c r="P520" s="30" t="n">
        <v>34.3</v>
      </c>
      <c r="Q520" s="30" t="n">
        <v>17.85</v>
      </c>
      <c r="R520" s="30" t="n">
        <f aca="false">ROUND(O520*P520,2)</f>
        <v>2160.9</v>
      </c>
      <c r="S520" s="30" t="n">
        <f aca="false">ROUND(O520*Q520,2)</f>
        <v>1124.55</v>
      </c>
      <c r="T520" s="30" t="n">
        <f aca="false">ROUND(R520*SUMIFS(Parametros!$E$23:$E$38,Parametros!$B$23:$B$38,J520,Parametros!$C$23:$C$38,C520,Parametros!$D$23:$D$38,D520),2)</f>
        <v>25.93</v>
      </c>
      <c r="U520" s="30" t="n">
        <f aca="false">R520-S520-T520</f>
        <v>1010.42</v>
      </c>
    </row>
    <row r="521" customFormat="false" ht="15" hidden="false" customHeight="false" outlineLevel="0" collapsed="false">
      <c r="A521" s="0" t="n">
        <v>520</v>
      </c>
      <c r="B521" s="27" t="n">
        <v>45466</v>
      </c>
      <c r="C521" s="0" t="n">
        <v>2024</v>
      </c>
      <c r="D521" s="28" t="s">
        <v>108</v>
      </c>
      <c r="E521" s="0" t="n">
        <v>6</v>
      </c>
      <c r="F521" s="28" t="s">
        <v>113</v>
      </c>
      <c r="G521" s="28" t="s">
        <v>114</v>
      </c>
      <c r="H521" s="28" t="s">
        <v>64</v>
      </c>
      <c r="I521" s="28" t="s">
        <v>65</v>
      </c>
      <c r="J521" s="28" t="s">
        <v>71</v>
      </c>
      <c r="K521" s="28" t="s">
        <v>90</v>
      </c>
      <c r="L521" s="28" t="s">
        <v>91</v>
      </c>
      <c r="M521" s="28" t="s">
        <v>94</v>
      </c>
      <c r="N521" s="28" t="s">
        <v>95</v>
      </c>
      <c r="O521" s="29" t="n">
        <v>24</v>
      </c>
      <c r="P521" s="30" t="n">
        <v>34.3</v>
      </c>
      <c r="Q521" s="30" t="n">
        <v>17.85</v>
      </c>
      <c r="R521" s="30" t="n">
        <f aca="false">ROUND(O521*P521,2)</f>
        <v>823.2</v>
      </c>
      <c r="S521" s="30" t="n">
        <f aca="false">ROUND(O521*Q521,2)</f>
        <v>428.4</v>
      </c>
      <c r="T521" s="30" t="n">
        <f aca="false">ROUND(R521*SUMIFS(Parametros!$E$23:$E$38,Parametros!$B$23:$B$38,J521,Parametros!$C$23:$C$38,C521,Parametros!$D$23:$D$38,D521),2)</f>
        <v>36.22</v>
      </c>
      <c r="U521" s="30" t="n">
        <f aca="false">R521-S521-T521</f>
        <v>358.58</v>
      </c>
    </row>
    <row r="522" customFormat="false" ht="15" hidden="false" customHeight="false" outlineLevel="0" collapsed="false">
      <c r="A522" s="0" t="n">
        <v>521</v>
      </c>
      <c r="B522" s="27" t="n">
        <v>45446</v>
      </c>
      <c r="C522" s="0" t="n">
        <v>2024</v>
      </c>
      <c r="D522" s="28" t="s">
        <v>108</v>
      </c>
      <c r="E522" s="0" t="n">
        <v>6</v>
      </c>
      <c r="F522" s="28" t="s">
        <v>113</v>
      </c>
      <c r="G522" s="28" t="s">
        <v>114</v>
      </c>
      <c r="H522" s="28" t="s">
        <v>96</v>
      </c>
      <c r="I522" s="28" t="s">
        <v>97</v>
      </c>
      <c r="J522" s="28" t="s">
        <v>66</v>
      </c>
      <c r="K522" s="28" t="s">
        <v>67</v>
      </c>
      <c r="L522" s="28" t="s">
        <v>68</v>
      </c>
      <c r="M522" s="28" t="s">
        <v>69</v>
      </c>
      <c r="N522" s="28" t="s">
        <v>70</v>
      </c>
      <c r="O522" s="29" t="n">
        <v>14</v>
      </c>
      <c r="P522" s="30" t="n">
        <v>1176</v>
      </c>
      <c r="Q522" s="30" t="n">
        <v>744</v>
      </c>
      <c r="R522" s="30" t="n">
        <f aca="false">ROUND(O522*P522,2)</f>
        <v>16464</v>
      </c>
      <c r="S522" s="30" t="n">
        <f aca="false">ROUND(O522*Q522,2)</f>
        <v>10416</v>
      </c>
      <c r="T522" s="30" t="n">
        <f aca="false">ROUND(R522*SUMIFS(Parametros!$E$23:$E$38,Parametros!$B$23:$B$38,J522,Parametros!$C$23:$C$38,C522,Parametros!$D$23:$D$38,D522),2)</f>
        <v>197.57</v>
      </c>
      <c r="U522" s="30" t="n">
        <f aca="false">R522-S522-T522</f>
        <v>5850.43</v>
      </c>
    </row>
    <row r="523" customFormat="false" ht="15" hidden="false" customHeight="false" outlineLevel="0" collapsed="false">
      <c r="A523" s="0" t="n">
        <v>522</v>
      </c>
      <c r="B523" s="27" t="n">
        <v>45453</v>
      </c>
      <c r="C523" s="0" t="n">
        <v>2024</v>
      </c>
      <c r="D523" s="28" t="s">
        <v>108</v>
      </c>
      <c r="E523" s="0" t="n">
        <v>6</v>
      </c>
      <c r="F523" s="28" t="s">
        <v>113</v>
      </c>
      <c r="G523" s="28" t="s">
        <v>114</v>
      </c>
      <c r="H523" s="28" t="s">
        <v>96</v>
      </c>
      <c r="I523" s="28" t="s">
        <v>97</v>
      </c>
      <c r="J523" s="28" t="s">
        <v>71</v>
      </c>
      <c r="K523" s="28" t="s">
        <v>67</v>
      </c>
      <c r="L523" s="28" t="s">
        <v>68</v>
      </c>
      <c r="M523" s="28" t="s">
        <v>69</v>
      </c>
      <c r="N523" s="28" t="s">
        <v>70</v>
      </c>
      <c r="O523" s="29" t="n">
        <v>5</v>
      </c>
      <c r="P523" s="30" t="n">
        <v>1176</v>
      </c>
      <c r="Q523" s="30" t="n">
        <v>744</v>
      </c>
      <c r="R523" s="30" t="n">
        <f aca="false">ROUND(O523*P523,2)</f>
        <v>5880</v>
      </c>
      <c r="S523" s="30" t="n">
        <f aca="false">ROUND(O523*Q523,2)</f>
        <v>3720</v>
      </c>
      <c r="T523" s="30" t="n">
        <f aca="false">ROUND(R523*SUMIFS(Parametros!$E$23:$E$38,Parametros!$B$23:$B$38,J523,Parametros!$C$23:$C$38,C523,Parametros!$D$23:$D$38,D523),2)</f>
        <v>258.72</v>
      </c>
      <c r="U523" s="30" t="n">
        <f aca="false">R523-S523-T523</f>
        <v>1901.28</v>
      </c>
    </row>
    <row r="524" customFormat="false" ht="15" hidden="false" customHeight="false" outlineLevel="0" collapsed="false">
      <c r="A524" s="0" t="n">
        <v>523</v>
      </c>
      <c r="B524" s="27" t="n">
        <v>45460</v>
      </c>
      <c r="C524" s="0" t="n">
        <v>2024</v>
      </c>
      <c r="D524" s="28" t="s">
        <v>108</v>
      </c>
      <c r="E524" s="0" t="n">
        <v>6</v>
      </c>
      <c r="F524" s="28" t="s">
        <v>113</v>
      </c>
      <c r="G524" s="28" t="s">
        <v>114</v>
      </c>
      <c r="H524" s="28" t="s">
        <v>96</v>
      </c>
      <c r="I524" s="28" t="s">
        <v>97</v>
      </c>
      <c r="J524" s="28" t="s">
        <v>66</v>
      </c>
      <c r="K524" s="28" t="s">
        <v>67</v>
      </c>
      <c r="L524" s="28" t="s">
        <v>68</v>
      </c>
      <c r="M524" s="28" t="s">
        <v>72</v>
      </c>
      <c r="N524" s="28" t="s">
        <v>73</v>
      </c>
      <c r="O524" s="29" t="n">
        <v>14</v>
      </c>
      <c r="P524" s="30" t="n">
        <v>441</v>
      </c>
      <c r="Q524" s="30" t="n">
        <v>272.25</v>
      </c>
      <c r="R524" s="30" t="n">
        <f aca="false">ROUND(O524*P524,2)</f>
        <v>6174</v>
      </c>
      <c r="S524" s="30" t="n">
        <f aca="false">ROUND(O524*Q524,2)</f>
        <v>3811.5</v>
      </c>
      <c r="T524" s="30" t="n">
        <f aca="false">ROUND(R524*SUMIFS(Parametros!$E$23:$E$38,Parametros!$B$23:$B$38,J524,Parametros!$C$23:$C$38,C524,Parametros!$D$23:$D$38,D524),2)</f>
        <v>74.09</v>
      </c>
      <c r="U524" s="30" t="n">
        <f aca="false">R524-S524-T524</f>
        <v>2288.41</v>
      </c>
    </row>
    <row r="525" customFormat="false" ht="15" hidden="false" customHeight="false" outlineLevel="0" collapsed="false">
      <c r="A525" s="0" t="n">
        <v>524</v>
      </c>
      <c r="B525" s="27" t="n">
        <v>45467</v>
      </c>
      <c r="C525" s="0" t="n">
        <v>2024</v>
      </c>
      <c r="D525" s="28" t="s">
        <v>108</v>
      </c>
      <c r="E525" s="0" t="n">
        <v>6</v>
      </c>
      <c r="F525" s="28" t="s">
        <v>113</v>
      </c>
      <c r="G525" s="28" t="s">
        <v>114</v>
      </c>
      <c r="H525" s="28" t="s">
        <v>96</v>
      </c>
      <c r="I525" s="28" t="s">
        <v>97</v>
      </c>
      <c r="J525" s="28" t="s">
        <v>71</v>
      </c>
      <c r="K525" s="28" t="s">
        <v>67</v>
      </c>
      <c r="L525" s="28" t="s">
        <v>68</v>
      </c>
      <c r="M525" s="28" t="s">
        <v>72</v>
      </c>
      <c r="N525" s="28" t="s">
        <v>73</v>
      </c>
      <c r="O525" s="29" t="n">
        <v>5</v>
      </c>
      <c r="P525" s="30" t="n">
        <v>441</v>
      </c>
      <c r="Q525" s="30" t="n">
        <v>272.25</v>
      </c>
      <c r="R525" s="30" t="n">
        <f aca="false">ROUND(O525*P525,2)</f>
        <v>2205</v>
      </c>
      <c r="S525" s="30" t="n">
        <f aca="false">ROUND(O525*Q525,2)</f>
        <v>1361.25</v>
      </c>
      <c r="T525" s="30" t="n">
        <f aca="false">ROUND(R525*SUMIFS(Parametros!$E$23:$E$38,Parametros!$B$23:$B$38,J525,Parametros!$C$23:$C$38,C525,Parametros!$D$23:$D$38,D525),2)</f>
        <v>97.02</v>
      </c>
      <c r="U525" s="30" t="n">
        <f aca="false">R525-S525-T525</f>
        <v>746.73</v>
      </c>
    </row>
    <row r="526" customFormat="false" ht="15" hidden="false" customHeight="false" outlineLevel="0" collapsed="false">
      <c r="A526" s="0" t="n">
        <v>525</v>
      </c>
      <c r="B526" s="27" t="n">
        <v>45447</v>
      </c>
      <c r="C526" s="0" t="n">
        <v>2024</v>
      </c>
      <c r="D526" s="28" t="s">
        <v>108</v>
      </c>
      <c r="E526" s="0" t="n">
        <v>6</v>
      </c>
      <c r="F526" s="28" t="s">
        <v>113</v>
      </c>
      <c r="G526" s="28" t="s">
        <v>114</v>
      </c>
      <c r="H526" s="28" t="s">
        <v>96</v>
      </c>
      <c r="I526" s="28" t="s">
        <v>97</v>
      </c>
      <c r="J526" s="28" t="s">
        <v>66</v>
      </c>
      <c r="K526" s="28" t="s">
        <v>67</v>
      </c>
      <c r="L526" s="28" t="s">
        <v>68</v>
      </c>
      <c r="M526" s="28" t="s">
        <v>74</v>
      </c>
      <c r="N526" s="28" t="s">
        <v>75</v>
      </c>
      <c r="O526" s="29" t="n">
        <v>11</v>
      </c>
      <c r="P526" s="30" t="n">
        <v>1617</v>
      </c>
      <c r="Q526" s="30" t="n">
        <v>1122</v>
      </c>
      <c r="R526" s="30" t="n">
        <f aca="false">ROUND(O526*P526,2)</f>
        <v>17787</v>
      </c>
      <c r="S526" s="30" t="n">
        <f aca="false">ROUND(O526*Q526,2)</f>
        <v>12342</v>
      </c>
      <c r="T526" s="30" t="n">
        <f aca="false">ROUND(R526*SUMIFS(Parametros!$E$23:$E$38,Parametros!$B$23:$B$38,J526,Parametros!$C$23:$C$38,C526,Parametros!$D$23:$D$38,D526),2)</f>
        <v>213.44</v>
      </c>
      <c r="U526" s="30" t="n">
        <f aca="false">R526-S526-T526</f>
        <v>5231.56</v>
      </c>
    </row>
    <row r="527" customFormat="false" ht="15" hidden="false" customHeight="false" outlineLevel="0" collapsed="false">
      <c r="A527" s="0" t="n">
        <v>526</v>
      </c>
      <c r="B527" s="27" t="n">
        <v>45454</v>
      </c>
      <c r="C527" s="0" t="n">
        <v>2024</v>
      </c>
      <c r="D527" s="28" t="s">
        <v>108</v>
      </c>
      <c r="E527" s="0" t="n">
        <v>6</v>
      </c>
      <c r="F527" s="28" t="s">
        <v>113</v>
      </c>
      <c r="G527" s="28" t="s">
        <v>114</v>
      </c>
      <c r="H527" s="28" t="s">
        <v>96</v>
      </c>
      <c r="I527" s="28" t="s">
        <v>97</v>
      </c>
      <c r="J527" s="28" t="s">
        <v>71</v>
      </c>
      <c r="K527" s="28" t="s">
        <v>67</v>
      </c>
      <c r="L527" s="28" t="s">
        <v>68</v>
      </c>
      <c r="M527" s="28" t="s">
        <v>74</v>
      </c>
      <c r="N527" s="28" t="s">
        <v>75</v>
      </c>
      <c r="O527" s="29" t="n">
        <v>5</v>
      </c>
      <c r="P527" s="30" t="n">
        <v>1617</v>
      </c>
      <c r="Q527" s="30" t="n">
        <v>1122</v>
      </c>
      <c r="R527" s="30" t="n">
        <f aca="false">ROUND(O527*P527,2)</f>
        <v>8085</v>
      </c>
      <c r="S527" s="30" t="n">
        <f aca="false">ROUND(O527*Q527,2)</f>
        <v>5610</v>
      </c>
      <c r="T527" s="30" t="n">
        <f aca="false">ROUND(R527*SUMIFS(Parametros!$E$23:$E$38,Parametros!$B$23:$B$38,J527,Parametros!$C$23:$C$38,C527,Parametros!$D$23:$D$38,D527),2)</f>
        <v>355.74</v>
      </c>
      <c r="U527" s="30" t="n">
        <f aca="false">R527-S527-T527</f>
        <v>2119.26</v>
      </c>
    </row>
    <row r="528" customFormat="false" ht="15" hidden="false" customHeight="false" outlineLevel="0" collapsed="false">
      <c r="A528" s="0" t="n">
        <v>527</v>
      </c>
      <c r="B528" s="27" t="n">
        <v>45461</v>
      </c>
      <c r="C528" s="0" t="n">
        <v>2024</v>
      </c>
      <c r="D528" s="28" t="s">
        <v>108</v>
      </c>
      <c r="E528" s="0" t="n">
        <v>6</v>
      </c>
      <c r="F528" s="28" t="s">
        <v>113</v>
      </c>
      <c r="G528" s="28" t="s">
        <v>114</v>
      </c>
      <c r="H528" s="28" t="s">
        <v>96</v>
      </c>
      <c r="I528" s="28" t="s">
        <v>97</v>
      </c>
      <c r="J528" s="28" t="s">
        <v>66</v>
      </c>
      <c r="K528" s="28" t="s">
        <v>76</v>
      </c>
      <c r="L528" s="28" t="s">
        <v>77</v>
      </c>
      <c r="M528" s="28" t="s">
        <v>78</v>
      </c>
      <c r="N528" s="28" t="s">
        <v>79</v>
      </c>
      <c r="O528" s="29" t="n">
        <v>70</v>
      </c>
      <c r="P528" s="30" t="n">
        <v>27.44</v>
      </c>
      <c r="Q528" s="30" t="n">
        <v>13.44</v>
      </c>
      <c r="R528" s="30" t="n">
        <f aca="false">ROUND(O528*P528,2)</f>
        <v>1920.8</v>
      </c>
      <c r="S528" s="30" t="n">
        <f aca="false">ROUND(O528*Q528,2)</f>
        <v>940.8</v>
      </c>
      <c r="T528" s="30" t="n">
        <f aca="false">ROUND(R528*SUMIFS(Parametros!$E$23:$E$38,Parametros!$B$23:$B$38,J528,Parametros!$C$23:$C$38,C528,Parametros!$D$23:$D$38,D528),2)</f>
        <v>23.05</v>
      </c>
      <c r="U528" s="30" t="n">
        <f aca="false">R528-S528-T528</f>
        <v>956.95</v>
      </c>
    </row>
    <row r="529" customFormat="false" ht="15" hidden="false" customHeight="false" outlineLevel="0" collapsed="false">
      <c r="A529" s="0" t="n">
        <v>528</v>
      </c>
      <c r="B529" s="27" t="n">
        <v>45468</v>
      </c>
      <c r="C529" s="0" t="n">
        <v>2024</v>
      </c>
      <c r="D529" s="28" t="s">
        <v>108</v>
      </c>
      <c r="E529" s="0" t="n">
        <v>6</v>
      </c>
      <c r="F529" s="28" t="s">
        <v>113</v>
      </c>
      <c r="G529" s="28" t="s">
        <v>114</v>
      </c>
      <c r="H529" s="28" t="s">
        <v>96</v>
      </c>
      <c r="I529" s="28" t="s">
        <v>97</v>
      </c>
      <c r="J529" s="28" t="s">
        <v>71</v>
      </c>
      <c r="K529" s="28" t="s">
        <v>76</v>
      </c>
      <c r="L529" s="28" t="s">
        <v>77</v>
      </c>
      <c r="M529" s="28" t="s">
        <v>78</v>
      </c>
      <c r="N529" s="28" t="s">
        <v>79</v>
      </c>
      <c r="O529" s="29" t="n">
        <v>24</v>
      </c>
      <c r="P529" s="30" t="n">
        <v>27.44</v>
      </c>
      <c r="Q529" s="30" t="n">
        <v>13.44</v>
      </c>
      <c r="R529" s="30" t="n">
        <f aca="false">ROUND(O529*P529,2)</f>
        <v>658.56</v>
      </c>
      <c r="S529" s="30" t="n">
        <f aca="false">ROUND(O529*Q529,2)</f>
        <v>322.56</v>
      </c>
      <c r="T529" s="30" t="n">
        <f aca="false">ROUND(R529*SUMIFS(Parametros!$E$23:$E$38,Parametros!$B$23:$B$38,J529,Parametros!$C$23:$C$38,C529,Parametros!$D$23:$D$38,D529),2)</f>
        <v>28.98</v>
      </c>
      <c r="U529" s="30" t="n">
        <f aca="false">R529-S529-T529</f>
        <v>307.02</v>
      </c>
    </row>
    <row r="530" customFormat="false" ht="15" hidden="false" customHeight="false" outlineLevel="0" collapsed="false">
      <c r="A530" s="0" t="n">
        <v>529</v>
      </c>
      <c r="B530" s="27" t="n">
        <v>45448</v>
      </c>
      <c r="C530" s="0" t="n">
        <v>2024</v>
      </c>
      <c r="D530" s="28" t="s">
        <v>108</v>
      </c>
      <c r="E530" s="0" t="n">
        <v>6</v>
      </c>
      <c r="F530" s="28" t="s">
        <v>113</v>
      </c>
      <c r="G530" s="28" t="s">
        <v>114</v>
      </c>
      <c r="H530" s="28" t="s">
        <v>96</v>
      </c>
      <c r="I530" s="28" t="s">
        <v>97</v>
      </c>
      <c r="J530" s="28" t="s">
        <v>66</v>
      </c>
      <c r="K530" s="28" t="s">
        <v>76</v>
      </c>
      <c r="L530" s="28" t="s">
        <v>77</v>
      </c>
      <c r="M530" s="28" t="s">
        <v>80</v>
      </c>
      <c r="N530" s="28" t="s">
        <v>81</v>
      </c>
      <c r="O530" s="29" t="n">
        <v>58</v>
      </c>
      <c r="P530" s="30" t="n">
        <v>93.1</v>
      </c>
      <c r="Q530" s="30" t="n">
        <v>47.98</v>
      </c>
      <c r="R530" s="30" t="n">
        <f aca="false">ROUND(O530*P530,2)</f>
        <v>5399.8</v>
      </c>
      <c r="S530" s="30" t="n">
        <f aca="false">ROUND(O530*Q530,2)</f>
        <v>2782.84</v>
      </c>
      <c r="T530" s="30" t="n">
        <f aca="false">ROUND(R530*SUMIFS(Parametros!$E$23:$E$38,Parametros!$B$23:$B$38,J530,Parametros!$C$23:$C$38,C530,Parametros!$D$23:$D$38,D530),2)</f>
        <v>64.8</v>
      </c>
      <c r="U530" s="30" t="n">
        <f aca="false">R530-S530-T530</f>
        <v>2552.16</v>
      </c>
    </row>
    <row r="531" customFormat="false" ht="15" hidden="false" customHeight="false" outlineLevel="0" collapsed="false">
      <c r="A531" s="0" t="n">
        <v>530</v>
      </c>
      <c r="B531" s="27" t="n">
        <v>45455</v>
      </c>
      <c r="C531" s="0" t="n">
        <v>2024</v>
      </c>
      <c r="D531" s="28" t="s">
        <v>108</v>
      </c>
      <c r="E531" s="0" t="n">
        <v>6</v>
      </c>
      <c r="F531" s="28" t="s">
        <v>113</v>
      </c>
      <c r="G531" s="28" t="s">
        <v>114</v>
      </c>
      <c r="H531" s="28" t="s">
        <v>96</v>
      </c>
      <c r="I531" s="28" t="s">
        <v>97</v>
      </c>
      <c r="J531" s="28" t="s">
        <v>71</v>
      </c>
      <c r="K531" s="28" t="s">
        <v>76</v>
      </c>
      <c r="L531" s="28" t="s">
        <v>77</v>
      </c>
      <c r="M531" s="28" t="s">
        <v>80</v>
      </c>
      <c r="N531" s="28" t="s">
        <v>81</v>
      </c>
      <c r="O531" s="29" t="n">
        <v>20</v>
      </c>
      <c r="P531" s="30" t="n">
        <v>93.1</v>
      </c>
      <c r="Q531" s="30" t="n">
        <v>47.98</v>
      </c>
      <c r="R531" s="30" t="n">
        <f aca="false">ROUND(O531*P531,2)</f>
        <v>1862</v>
      </c>
      <c r="S531" s="30" t="n">
        <f aca="false">ROUND(O531*Q531,2)</f>
        <v>959.6</v>
      </c>
      <c r="T531" s="30" t="n">
        <f aca="false">ROUND(R531*SUMIFS(Parametros!$E$23:$E$38,Parametros!$B$23:$B$38,J531,Parametros!$C$23:$C$38,C531,Parametros!$D$23:$D$38,D531),2)</f>
        <v>81.93</v>
      </c>
      <c r="U531" s="30" t="n">
        <f aca="false">R531-S531-T531</f>
        <v>820.47</v>
      </c>
    </row>
    <row r="532" customFormat="false" ht="15" hidden="false" customHeight="false" outlineLevel="0" collapsed="false">
      <c r="A532" s="0" t="n">
        <v>531</v>
      </c>
      <c r="B532" s="27" t="n">
        <v>45462</v>
      </c>
      <c r="C532" s="0" t="n">
        <v>2024</v>
      </c>
      <c r="D532" s="28" t="s">
        <v>108</v>
      </c>
      <c r="E532" s="0" t="n">
        <v>6</v>
      </c>
      <c r="F532" s="28" t="s">
        <v>113</v>
      </c>
      <c r="G532" s="28" t="s">
        <v>114</v>
      </c>
      <c r="H532" s="28" t="s">
        <v>96</v>
      </c>
      <c r="I532" s="28" t="s">
        <v>97</v>
      </c>
      <c r="J532" s="28" t="s">
        <v>66</v>
      </c>
      <c r="K532" s="28" t="s">
        <v>76</v>
      </c>
      <c r="L532" s="28" t="s">
        <v>77</v>
      </c>
      <c r="M532" s="28" t="s">
        <v>82</v>
      </c>
      <c r="N532" s="28" t="s">
        <v>83</v>
      </c>
      <c r="O532" s="29" t="n">
        <v>70</v>
      </c>
      <c r="P532" s="30" t="n">
        <v>63.7</v>
      </c>
      <c r="Q532" s="30" t="n">
        <v>35.43</v>
      </c>
      <c r="R532" s="30" t="n">
        <f aca="false">ROUND(O532*P532,2)</f>
        <v>4459</v>
      </c>
      <c r="S532" s="30" t="n">
        <f aca="false">ROUND(O532*Q532,2)</f>
        <v>2480.1</v>
      </c>
      <c r="T532" s="30" t="n">
        <f aca="false">ROUND(R532*SUMIFS(Parametros!$E$23:$E$38,Parametros!$B$23:$B$38,J532,Parametros!$C$23:$C$38,C532,Parametros!$D$23:$D$38,D532),2)</f>
        <v>53.51</v>
      </c>
      <c r="U532" s="30" t="n">
        <f aca="false">R532-S532-T532</f>
        <v>1925.39</v>
      </c>
    </row>
    <row r="533" customFormat="false" ht="15" hidden="false" customHeight="false" outlineLevel="0" collapsed="false">
      <c r="A533" s="0" t="n">
        <v>532</v>
      </c>
      <c r="B533" s="27" t="n">
        <v>45469</v>
      </c>
      <c r="C533" s="0" t="n">
        <v>2024</v>
      </c>
      <c r="D533" s="28" t="s">
        <v>108</v>
      </c>
      <c r="E533" s="0" t="n">
        <v>6</v>
      </c>
      <c r="F533" s="28" t="s">
        <v>113</v>
      </c>
      <c r="G533" s="28" t="s">
        <v>114</v>
      </c>
      <c r="H533" s="28" t="s">
        <v>96</v>
      </c>
      <c r="I533" s="28" t="s">
        <v>97</v>
      </c>
      <c r="J533" s="28" t="s">
        <v>71</v>
      </c>
      <c r="K533" s="28" t="s">
        <v>76</v>
      </c>
      <c r="L533" s="28" t="s">
        <v>77</v>
      </c>
      <c r="M533" s="28" t="s">
        <v>82</v>
      </c>
      <c r="N533" s="28" t="s">
        <v>83</v>
      </c>
      <c r="O533" s="29" t="n">
        <v>23</v>
      </c>
      <c r="P533" s="30" t="n">
        <v>63.7</v>
      </c>
      <c r="Q533" s="30" t="n">
        <v>35.43</v>
      </c>
      <c r="R533" s="30" t="n">
        <f aca="false">ROUND(O533*P533,2)</f>
        <v>1465.1</v>
      </c>
      <c r="S533" s="30" t="n">
        <f aca="false">ROUND(O533*Q533,2)</f>
        <v>814.89</v>
      </c>
      <c r="T533" s="30" t="n">
        <f aca="false">ROUND(R533*SUMIFS(Parametros!$E$23:$E$38,Parametros!$B$23:$B$38,J533,Parametros!$C$23:$C$38,C533,Parametros!$D$23:$D$38,D533),2)</f>
        <v>64.46</v>
      </c>
      <c r="U533" s="30" t="n">
        <f aca="false">R533-S533-T533</f>
        <v>585.75</v>
      </c>
    </row>
    <row r="534" customFormat="false" ht="15" hidden="false" customHeight="false" outlineLevel="0" collapsed="false">
      <c r="A534" s="0" t="n">
        <v>533</v>
      </c>
      <c r="B534" s="27" t="n">
        <v>45449</v>
      </c>
      <c r="C534" s="0" t="n">
        <v>2024</v>
      </c>
      <c r="D534" s="28" t="s">
        <v>108</v>
      </c>
      <c r="E534" s="0" t="n">
        <v>6</v>
      </c>
      <c r="F534" s="28" t="s">
        <v>113</v>
      </c>
      <c r="G534" s="28" t="s">
        <v>114</v>
      </c>
      <c r="H534" s="28" t="s">
        <v>96</v>
      </c>
      <c r="I534" s="28" t="s">
        <v>97</v>
      </c>
      <c r="J534" s="28" t="s">
        <v>66</v>
      </c>
      <c r="K534" s="28" t="s">
        <v>84</v>
      </c>
      <c r="L534" s="28" t="s">
        <v>85</v>
      </c>
      <c r="M534" s="28" t="s">
        <v>86</v>
      </c>
      <c r="N534" s="28" t="s">
        <v>87</v>
      </c>
      <c r="O534" s="29" t="n">
        <v>23</v>
      </c>
      <c r="P534" s="30" t="n">
        <v>117.6</v>
      </c>
      <c r="Q534" s="30" t="n">
        <v>63.6</v>
      </c>
      <c r="R534" s="30" t="n">
        <f aca="false">ROUND(O534*P534,2)</f>
        <v>2704.8</v>
      </c>
      <c r="S534" s="30" t="n">
        <f aca="false">ROUND(O534*Q534,2)</f>
        <v>1462.8</v>
      </c>
      <c r="T534" s="30" t="n">
        <f aca="false">ROUND(R534*SUMIFS(Parametros!$E$23:$E$38,Parametros!$B$23:$B$38,J534,Parametros!$C$23:$C$38,C534,Parametros!$D$23:$D$38,D534),2)</f>
        <v>32.46</v>
      </c>
      <c r="U534" s="30" t="n">
        <f aca="false">R534-S534-T534</f>
        <v>1209.54</v>
      </c>
    </row>
    <row r="535" customFormat="false" ht="15" hidden="false" customHeight="false" outlineLevel="0" collapsed="false">
      <c r="A535" s="0" t="n">
        <v>534</v>
      </c>
      <c r="B535" s="27" t="n">
        <v>45456</v>
      </c>
      <c r="C535" s="0" t="n">
        <v>2024</v>
      </c>
      <c r="D535" s="28" t="s">
        <v>108</v>
      </c>
      <c r="E535" s="0" t="n">
        <v>6</v>
      </c>
      <c r="F535" s="28" t="s">
        <v>113</v>
      </c>
      <c r="G535" s="28" t="s">
        <v>114</v>
      </c>
      <c r="H535" s="28" t="s">
        <v>96</v>
      </c>
      <c r="I535" s="28" t="s">
        <v>97</v>
      </c>
      <c r="J535" s="28" t="s">
        <v>71</v>
      </c>
      <c r="K535" s="28" t="s">
        <v>84</v>
      </c>
      <c r="L535" s="28" t="s">
        <v>85</v>
      </c>
      <c r="M535" s="28" t="s">
        <v>86</v>
      </c>
      <c r="N535" s="28" t="s">
        <v>87</v>
      </c>
      <c r="O535" s="29" t="n">
        <v>13</v>
      </c>
      <c r="P535" s="30" t="n">
        <v>117.6</v>
      </c>
      <c r="Q535" s="30" t="n">
        <v>63.6</v>
      </c>
      <c r="R535" s="30" t="n">
        <f aca="false">ROUND(O535*P535,2)</f>
        <v>1528.8</v>
      </c>
      <c r="S535" s="30" t="n">
        <f aca="false">ROUND(O535*Q535,2)</f>
        <v>826.8</v>
      </c>
      <c r="T535" s="30" t="n">
        <f aca="false">ROUND(R535*SUMIFS(Parametros!$E$23:$E$38,Parametros!$B$23:$B$38,J535,Parametros!$C$23:$C$38,C535,Parametros!$D$23:$D$38,D535),2)</f>
        <v>67.27</v>
      </c>
      <c r="U535" s="30" t="n">
        <f aca="false">R535-S535-T535</f>
        <v>634.73</v>
      </c>
    </row>
    <row r="536" customFormat="false" ht="15" hidden="false" customHeight="false" outlineLevel="0" collapsed="false">
      <c r="A536" s="0" t="n">
        <v>535</v>
      </c>
      <c r="B536" s="27" t="n">
        <v>45463</v>
      </c>
      <c r="C536" s="0" t="n">
        <v>2024</v>
      </c>
      <c r="D536" s="28" t="s">
        <v>108</v>
      </c>
      <c r="E536" s="0" t="n">
        <v>6</v>
      </c>
      <c r="F536" s="28" t="s">
        <v>113</v>
      </c>
      <c r="G536" s="28" t="s">
        <v>114</v>
      </c>
      <c r="H536" s="28" t="s">
        <v>96</v>
      </c>
      <c r="I536" s="28" t="s">
        <v>97</v>
      </c>
      <c r="J536" s="28" t="s">
        <v>66</v>
      </c>
      <c r="K536" s="28" t="s">
        <v>84</v>
      </c>
      <c r="L536" s="28" t="s">
        <v>85</v>
      </c>
      <c r="M536" s="28" t="s">
        <v>88</v>
      </c>
      <c r="N536" s="28" t="s">
        <v>89</v>
      </c>
      <c r="O536" s="29" t="n">
        <v>27</v>
      </c>
      <c r="P536" s="30" t="n">
        <v>83.3</v>
      </c>
      <c r="Q536" s="30" t="n">
        <v>48.02</v>
      </c>
      <c r="R536" s="30" t="n">
        <f aca="false">ROUND(O536*P536,2)</f>
        <v>2249.1</v>
      </c>
      <c r="S536" s="30" t="n">
        <f aca="false">ROUND(O536*Q536,2)</f>
        <v>1296.54</v>
      </c>
      <c r="T536" s="30" t="n">
        <f aca="false">ROUND(R536*SUMIFS(Parametros!$E$23:$E$38,Parametros!$B$23:$B$38,J536,Parametros!$C$23:$C$38,C536,Parametros!$D$23:$D$38,D536),2)</f>
        <v>26.99</v>
      </c>
      <c r="U536" s="30" t="n">
        <f aca="false">R536-S536-T536</f>
        <v>925.57</v>
      </c>
    </row>
    <row r="537" customFormat="false" ht="15" hidden="false" customHeight="false" outlineLevel="0" collapsed="false">
      <c r="A537" s="0" t="n">
        <v>536</v>
      </c>
      <c r="B537" s="27" t="n">
        <v>45470</v>
      </c>
      <c r="C537" s="0" t="n">
        <v>2024</v>
      </c>
      <c r="D537" s="28" t="s">
        <v>108</v>
      </c>
      <c r="E537" s="0" t="n">
        <v>6</v>
      </c>
      <c r="F537" s="28" t="s">
        <v>113</v>
      </c>
      <c r="G537" s="28" t="s">
        <v>114</v>
      </c>
      <c r="H537" s="28" t="s">
        <v>96</v>
      </c>
      <c r="I537" s="28" t="s">
        <v>97</v>
      </c>
      <c r="J537" s="28" t="s">
        <v>71</v>
      </c>
      <c r="K537" s="28" t="s">
        <v>84</v>
      </c>
      <c r="L537" s="28" t="s">
        <v>85</v>
      </c>
      <c r="M537" s="28" t="s">
        <v>88</v>
      </c>
      <c r="N537" s="28" t="s">
        <v>89</v>
      </c>
      <c r="O537" s="29" t="n">
        <v>11</v>
      </c>
      <c r="P537" s="30" t="n">
        <v>83.3</v>
      </c>
      <c r="Q537" s="30" t="n">
        <v>48.02</v>
      </c>
      <c r="R537" s="30" t="n">
        <f aca="false">ROUND(O537*P537,2)</f>
        <v>916.3</v>
      </c>
      <c r="S537" s="30" t="n">
        <f aca="false">ROUND(O537*Q537,2)</f>
        <v>528.22</v>
      </c>
      <c r="T537" s="30" t="n">
        <f aca="false">ROUND(R537*SUMIFS(Parametros!$E$23:$E$38,Parametros!$B$23:$B$38,J537,Parametros!$C$23:$C$38,C537,Parametros!$D$23:$D$38,D537),2)</f>
        <v>40.32</v>
      </c>
      <c r="U537" s="30" t="n">
        <f aca="false">R537-S537-T537</f>
        <v>347.76</v>
      </c>
    </row>
    <row r="538" customFormat="false" ht="15" hidden="false" customHeight="false" outlineLevel="0" collapsed="false">
      <c r="A538" s="0" t="n">
        <v>537</v>
      </c>
      <c r="B538" s="27" t="n">
        <v>45450</v>
      </c>
      <c r="C538" s="0" t="n">
        <v>2024</v>
      </c>
      <c r="D538" s="28" t="s">
        <v>108</v>
      </c>
      <c r="E538" s="0" t="n">
        <v>6</v>
      </c>
      <c r="F538" s="28" t="s">
        <v>113</v>
      </c>
      <c r="G538" s="28" t="s">
        <v>114</v>
      </c>
      <c r="H538" s="28" t="s">
        <v>96</v>
      </c>
      <c r="I538" s="28" t="s">
        <v>97</v>
      </c>
      <c r="J538" s="28" t="s">
        <v>66</v>
      </c>
      <c r="K538" s="28" t="s">
        <v>90</v>
      </c>
      <c r="L538" s="28" t="s">
        <v>91</v>
      </c>
      <c r="M538" s="28" t="s">
        <v>92</v>
      </c>
      <c r="N538" s="28" t="s">
        <v>93</v>
      </c>
      <c r="O538" s="29" t="n">
        <v>36</v>
      </c>
      <c r="P538" s="30" t="n">
        <v>127.4</v>
      </c>
      <c r="Q538" s="30" t="n">
        <v>76.05</v>
      </c>
      <c r="R538" s="30" t="n">
        <f aca="false">ROUND(O538*P538,2)</f>
        <v>4586.4</v>
      </c>
      <c r="S538" s="30" t="n">
        <f aca="false">ROUND(O538*Q538,2)</f>
        <v>2737.8</v>
      </c>
      <c r="T538" s="30" t="n">
        <f aca="false">ROUND(R538*SUMIFS(Parametros!$E$23:$E$38,Parametros!$B$23:$B$38,J538,Parametros!$C$23:$C$38,C538,Parametros!$D$23:$D$38,D538),2)</f>
        <v>55.04</v>
      </c>
      <c r="U538" s="30" t="n">
        <f aca="false">R538-S538-T538</f>
        <v>1793.56</v>
      </c>
    </row>
    <row r="539" customFormat="false" ht="15" hidden="false" customHeight="false" outlineLevel="0" collapsed="false">
      <c r="A539" s="0" t="n">
        <v>538</v>
      </c>
      <c r="B539" s="27" t="n">
        <v>45457</v>
      </c>
      <c r="C539" s="0" t="n">
        <v>2024</v>
      </c>
      <c r="D539" s="28" t="s">
        <v>108</v>
      </c>
      <c r="E539" s="0" t="n">
        <v>6</v>
      </c>
      <c r="F539" s="28" t="s">
        <v>113</v>
      </c>
      <c r="G539" s="28" t="s">
        <v>114</v>
      </c>
      <c r="H539" s="28" t="s">
        <v>96</v>
      </c>
      <c r="I539" s="28" t="s">
        <v>97</v>
      </c>
      <c r="J539" s="28" t="s">
        <v>71</v>
      </c>
      <c r="K539" s="28" t="s">
        <v>90</v>
      </c>
      <c r="L539" s="28" t="s">
        <v>91</v>
      </c>
      <c r="M539" s="28" t="s">
        <v>92</v>
      </c>
      <c r="N539" s="28" t="s">
        <v>93</v>
      </c>
      <c r="O539" s="29" t="n">
        <v>14</v>
      </c>
      <c r="P539" s="30" t="n">
        <v>127.4</v>
      </c>
      <c r="Q539" s="30" t="n">
        <v>76.05</v>
      </c>
      <c r="R539" s="30" t="n">
        <f aca="false">ROUND(O539*P539,2)</f>
        <v>1783.6</v>
      </c>
      <c r="S539" s="30" t="n">
        <f aca="false">ROUND(O539*Q539,2)</f>
        <v>1064.7</v>
      </c>
      <c r="T539" s="30" t="n">
        <f aca="false">ROUND(R539*SUMIFS(Parametros!$E$23:$E$38,Parametros!$B$23:$B$38,J539,Parametros!$C$23:$C$38,C539,Parametros!$D$23:$D$38,D539),2)</f>
        <v>78.48</v>
      </c>
      <c r="U539" s="30" t="n">
        <f aca="false">R539-S539-T539</f>
        <v>640.42</v>
      </c>
    </row>
    <row r="540" customFormat="false" ht="15" hidden="false" customHeight="false" outlineLevel="0" collapsed="false">
      <c r="A540" s="0" t="n">
        <v>539</v>
      </c>
      <c r="B540" s="27" t="n">
        <v>45464</v>
      </c>
      <c r="C540" s="0" t="n">
        <v>2024</v>
      </c>
      <c r="D540" s="28" t="s">
        <v>108</v>
      </c>
      <c r="E540" s="0" t="n">
        <v>6</v>
      </c>
      <c r="F540" s="28" t="s">
        <v>113</v>
      </c>
      <c r="G540" s="28" t="s">
        <v>114</v>
      </c>
      <c r="H540" s="28" t="s">
        <v>96</v>
      </c>
      <c r="I540" s="28" t="s">
        <v>97</v>
      </c>
      <c r="J540" s="28" t="s">
        <v>66</v>
      </c>
      <c r="K540" s="28" t="s">
        <v>90</v>
      </c>
      <c r="L540" s="28" t="s">
        <v>91</v>
      </c>
      <c r="M540" s="28" t="s">
        <v>94</v>
      </c>
      <c r="N540" s="28" t="s">
        <v>95</v>
      </c>
      <c r="O540" s="29" t="n">
        <v>40</v>
      </c>
      <c r="P540" s="30" t="n">
        <v>34.3</v>
      </c>
      <c r="Q540" s="30" t="n">
        <v>17.85</v>
      </c>
      <c r="R540" s="30" t="n">
        <f aca="false">ROUND(O540*P540,2)</f>
        <v>1372</v>
      </c>
      <c r="S540" s="30" t="n">
        <f aca="false">ROUND(O540*Q540,2)</f>
        <v>714</v>
      </c>
      <c r="T540" s="30" t="n">
        <f aca="false">ROUND(R540*SUMIFS(Parametros!$E$23:$E$38,Parametros!$B$23:$B$38,J540,Parametros!$C$23:$C$38,C540,Parametros!$D$23:$D$38,D540),2)</f>
        <v>16.46</v>
      </c>
      <c r="U540" s="30" t="n">
        <f aca="false">R540-S540-T540</f>
        <v>641.54</v>
      </c>
    </row>
    <row r="541" customFormat="false" ht="15" hidden="false" customHeight="false" outlineLevel="0" collapsed="false">
      <c r="A541" s="0" t="n">
        <v>540</v>
      </c>
      <c r="B541" s="27" t="n">
        <v>45444</v>
      </c>
      <c r="C541" s="0" t="n">
        <v>2024</v>
      </c>
      <c r="D541" s="28" t="s">
        <v>108</v>
      </c>
      <c r="E541" s="0" t="n">
        <v>6</v>
      </c>
      <c r="F541" s="28" t="s">
        <v>113</v>
      </c>
      <c r="G541" s="28" t="s">
        <v>114</v>
      </c>
      <c r="H541" s="28" t="s">
        <v>96</v>
      </c>
      <c r="I541" s="28" t="s">
        <v>97</v>
      </c>
      <c r="J541" s="28" t="s">
        <v>71</v>
      </c>
      <c r="K541" s="28" t="s">
        <v>90</v>
      </c>
      <c r="L541" s="28" t="s">
        <v>91</v>
      </c>
      <c r="M541" s="28" t="s">
        <v>94</v>
      </c>
      <c r="N541" s="28" t="s">
        <v>95</v>
      </c>
      <c r="O541" s="29" t="n">
        <v>15</v>
      </c>
      <c r="P541" s="30" t="n">
        <v>34.3</v>
      </c>
      <c r="Q541" s="30" t="n">
        <v>17.85</v>
      </c>
      <c r="R541" s="30" t="n">
        <f aca="false">ROUND(O541*P541,2)</f>
        <v>514.5</v>
      </c>
      <c r="S541" s="30" t="n">
        <f aca="false">ROUND(O541*Q541,2)</f>
        <v>267.75</v>
      </c>
      <c r="T541" s="30" t="n">
        <f aca="false">ROUND(R541*SUMIFS(Parametros!$E$23:$E$38,Parametros!$B$23:$B$38,J541,Parametros!$C$23:$C$38,C541,Parametros!$D$23:$D$38,D541),2)</f>
        <v>22.64</v>
      </c>
      <c r="U541" s="30" t="n">
        <f aca="false">R541-S541-T541</f>
        <v>224.11</v>
      </c>
    </row>
    <row r="542" customFormat="false" ht="15" hidden="false" customHeight="false" outlineLevel="0" collapsed="false">
      <c r="A542" s="0" t="n">
        <v>541</v>
      </c>
      <c r="B542" s="27" t="n">
        <v>45451</v>
      </c>
      <c r="C542" s="0" t="n">
        <v>2024</v>
      </c>
      <c r="D542" s="28" t="s">
        <v>108</v>
      </c>
      <c r="E542" s="0" t="n">
        <v>6</v>
      </c>
      <c r="F542" s="28" t="s">
        <v>113</v>
      </c>
      <c r="G542" s="28" t="s">
        <v>114</v>
      </c>
      <c r="H542" s="28" t="s">
        <v>98</v>
      </c>
      <c r="I542" s="28" t="s">
        <v>99</v>
      </c>
      <c r="J542" s="28" t="s">
        <v>66</v>
      </c>
      <c r="K542" s="28" t="s">
        <v>67</v>
      </c>
      <c r="L542" s="28" t="s">
        <v>68</v>
      </c>
      <c r="M542" s="28" t="s">
        <v>69</v>
      </c>
      <c r="N542" s="28" t="s">
        <v>70</v>
      </c>
      <c r="O542" s="29" t="n">
        <v>8</v>
      </c>
      <c r="P542" s="30" t="n">
        <v>1176</v>
      </c>
      <c r="Q542" s="30" t="n">
        <v>744</v>
      </c>
      <c r="R542" s="30" t="n">
        <f aca="false">ROUND(O542*P542,2)</f>
        <v>9408</v>
      </c>
      <c r="S542" s="30" t="n">
        <f aca="false">ROUND(O542*Q542,2)</f>
        <v>5952</v>
      </c>
      <c r="T542" s="30" t="n">
        <f aca="false">ROUND(R542*SUMIFS(Parametros!$E$23:$E$38,Parametros!$B$23:$B$38,J542,Parametros!$C$23:$C$38,C542,Parametros!$D$23:$D$38,D542),2)</f>
        <v>112.9</v>
      </c>
      <c r="U542" s="30" t="n">
        <f aca="false">R542-S542-T542</f>
        <v>3343.1</v>
      </c>
    </row>
    <row r="543" customFormat="false" ht="15" hidden="false" customHeight="false" outlineLevel="0" collapsed="false">
      <c r="A543" s="0" t="n">
        <v>542</v>
      </c>
      <c r="B543" s="27" t="n">
        <v>45458</v>
      </c>
      <c r="C543" s="0" t="n">
        <v>2024</v>
      </c>
      <c r="D543" s="28" t="s">
        <v>108</v>
      </c>
      <c r="E543" s="0" t="n">
        <v>6</v>
      </c>
      <c r="F543" s="28" t="s">
        <v>113</v>
      </c>
      <c r="G543" s="28" t="s">
        <v>114</v>
      </c>
      <c r="H543" s="28" t="s">
        <v>98</v>
      </c>
      <c r="I543" s="28" t="s">
        <v>99</v>
      </c>
      <c r="J543" s="28" t="s">
        <v>71</v>
      </c>
      <c r="K543" s="28" t="s">
        <v>67</v>
      </c>
      <c r="L543" s="28" t="s">
        <v>68</v>
      </c>
      <c r="M543" s="28" t="s">
        <v>69</v>
      </c>
      <c r="N543" s="28" t="s">
        <v>70</v>
      </c>
      <c r="O543" s="29" t="n">
        <v>3</v>
      </c>
      <c r="P543" s="30" t="n">
        <v>1176</v>
      </c>
      <c r="Q543" s="30" t="n">
        <v>744</v>
      </c>
      <c r="R543" s="30" t="n">
        <f aca="false">ROUND(O543*P543,2)</f>
        <v>3528</v>
      </c>
      <c r="S543" s="30" t="n">
        <f aca="false">ROUND(O543*Q543,2)</f>
        <v>2232</v>
      </c>
      <c r="T543" s="30" t="n">
        <f aca="false">ROUND(R543*SUMIFS(Parametros!$E$23:$E$38,Parametros!$B$23:$B$38,J543,Parametros!$C$23:$C$38,C543,Parametros!$D$23:$D$38,D543),2)</f>
        <v>155.23</v>
      </c>
      <c r="U543" s="30" t="n">
        <f aca="false">R543-S543-T543</f>
        <v>1140.77</v>
      </c>
    </row>
    <row r="544" customFormat="false" ht="15" hidden="false" customHeight="false" outlineLevel="0" collapsed="false">
      <c r="A544" s="0" t="n">
        <v>543</v>
      </c>
      <c r="B544" s="27" t="n">
        <v>45465</v>
      </c>
      <c r="C544" s="0" t="n">
        <v>2024</v>
      </c>
      <c r="D544" s="28" t="s">
        <v>108</v>
      </c>
      <c r="E544" s="0" t="n">
        <v>6</v>
      </c>
      <c r="F544" s="28" t="s">
        <v>113</v>
      </c>
      <c r="G544" s="28" t="s">
        <v>114</v>
      </c>
      <c r="H544" s="28" t="s">
        <v>98</v>
      </c>
      <c r="I544" s="28" t="s">
        <v>99</v>
      </c>
      <c r="J544" s="28" t="s">
        <v>66</v>
      </c>
      <c r="K544" s="28" t="s">
        <v>67</v>
      </c>
      <c r="L544" s="28" t="s">
        <v>68</v>
      </c>
      <c r="M544" s="28" t="s">
        <v>72</v>
      </c>
      <c r="N544" s="28" t="s">
        <v>73</v>
      </c>
      <c r="O544" s="29" t="n">
        <v>10</v>
      </c>
      <c r="P544" s="30" t="n">
        <v>441</v>
      </c>
      <c r="Q544" s="30" t="n">
        <v>272.25</v>
      </c>
      <c r="R544" s="30" t="n">
        <f aca="false">ROUND(O544*P544,2)</f>
        <v>4410</v>
      </c>
      <c r="S544" s="30" t="n">
        <f aca="false">ROUND(O544*Q544,2)</f>
        <v>2722.5</v>
      </c>
      <c r="T544" s="30" t="n">
        <f aca="false">ROUND(R544*SUMIFS(Parametros!$E$23:$E$38,Parametros!$B$23:$B$38,J544,Parametros!$C$23:$C$38,C544,Parametros!$D$23:$D$38,D544),2)</f>
        <v>52.92</v>
      </c>
      <c r="U544" s="30" t="n">
        <f aca="false">R544-S544-T544</f>
        <v>1634.58</v>
      </c>
    </row>
    <row r="545" customFormat="false" ht="15" hidden="false" customHeight="false" outlineLevel="0" collapsed="false">
      <c r="A545" s="0" t="n">
        <v>544</v>
      </c>
      <c r="B545" s="27" t="n">
        <v>45445</v>
      </c>
      <c r="C545" s="0" t="n">
        <v>2024</v>
      </c>
      <c r="D545" s="28" t="s">
        <v>108</v>
      </c>
      <c r="E545" s="0" t="n">
        <v>6</v>
      </c>
      <c r="F545" s="28" t="s">
        <v>113</v>
      </c>
      <c r="G545" s="28" t="s">
        <v>114</v>
      </c>
      <c r="H545" s="28" t="s">
        <v>98</v>
      </c>
      <c r="I545" s="28" t="s">
        <v>99</v>
      </c>
      <c r="J545" s="28" t="s">
        <v>71</v>
      </c>
      <c r="K545" s="28" t="s">
        <v>67</v>
      </c>
      <c r="L545" s="28" t="s">
        <v>68</v>
      </c>
      <c r="M545" s="28" t="s">
        <v>72</v>
      </c>
      <c r="N545" s="28" t="s">
        <v>73</v>
      </c>
      <c r="O545" s="29" t="n">
        <v>4</v>
      </c>
      <c r="P545" s="30" t="n">
        <v>441</v>
      </c>
      <c r="Q545" s="30" t="n">
        <v>272.25</v>
      </c>
      <c r="R545" s="30" t="n">
        <f aca="false">ROUND(O545*P545,2)</f>
        <v>1764</v>
      </c>
      <c r="S545" s="30" t="n">
        <f aca="false">ROUND(O545*Q545,2)</f>
        <v>1089</v>
      </c>
      <c r="T545" s="30" t="n">
        <f aca="false">ROUND(R545*SUMIFS(Parametros!$E$23:$E$38,Parametros!$B$23:$B$38,J545,Parametros!$C$23:$C$38,C545,Parametros!$D$23:$D$38,D545),2)</f>
        <v>77.62</v>
      </c>
      <c r="U545" s="30" t="n">
        <f aca="false">R545-S545-T545</f>
        <v>597.38</v>
      </c>
    </row>
    <row r="546" customFormat="false" ht="15" hidden="false" customHeight="false" outlineLevel="0" collapsed="false">
      <c r="A546" s="0" t="n">
        <v>545</v>
      </c>
      <c r="B546" s="27" t="n">
        <v>45452</v>
      </c>
      <c r="C546" s="0" t="n">
        <v>2024</v>
      </c>
      <c r="D546" s="28" t="s">
        <v>108</v>
      </c>
      <c r="E546" s="0" t="n">
        <v>6</v>
      </c>
      <c r="F546" s="28" t="s">
        <v>113</v>
      </c>
      <c r="G546" s="28" t="s">
        <v>114</v>
      </c>
      <c r="H546" s="28" t="s">
        <v>98</v>
      </c>
      <c r="I546" s="28" t="s">
        <v>99</v>
      </c>
      <c r="J546" s="28" t="s">
        <v>66</v>
      </c>
      <c r="K546" s="28" t="s">
        <v>67</v>
      </c>
      <c r="L546" s="28" t="s">
        <v>68</v>
      </c>
      <c r="M546" s="28" t="s">
        <v>74</v>
      </c>
      <c r="N546" s="28" t="s">
        <v>75</v>
      </c>
      <c r="O546" s="29" t="n">
        <v>10</v>
      </c>
      <c r="P546" s="30" t="n">
        <v>1617</v>
      </c>
      <c r="Q546" s="30" t="n">
        <v>1122</v>
      </c>
      <c r="R546" s="30" t="n">
        <f aca="false">ROUND(O546*P546,2)</f>
        <v>16170</v>
      </c>
      <c r="S546" s="30" t="n">
        <f aca="false">ROUND(O546*Q546,2)</f>
        <v>11220</v>
      </c>
      <c r="T546" s="30" t="n">
        <f aca="false">ROUND(R546*SUMIFS(Parametros!$E$23:$E$38,Parametros!$B$23:$B$38,J546,Parametros!$C$23:$C$38,C546,Parametros!$D$23:$D$38,D546),2)</f>
        <v>194.04</v>
      </c>
      <c r="U546" s="30" t="n">
        <f aca="false">R546-S546-T546</f>
        <v>4755.96</v>
      </c>
    </row>
    <row r="547" customFormat="false" ht="15" hidden="false" customHeight="false" outlineLevel="0" collapsed="false">
      <c r="A547" s="0" t="n">
        <v>546</v>
      </c>
      <c r="B547" s="27" t="n">
        <v>45459</v>
      </c>
      <c r="C547" s="0" t="n">
        <v>2024</v>
      </c>
      <c r="D547" s="28" t="s">
        <v>108</v>
      </c>
      <c r="E547" s="0" t="n">
        <v>6</v>
      </c>
      <c r="F547" s="28" t="s">
        <v>113</v>
      </c>
      <c r="G547" s="28" t="s">
        <v>114</v>
      </c>
      <c r="H547" s="28" t="s">
        <v>98</v>
      </c>
      <c r="I547" s="28" t="s">
        <v>99</v>
      </c>
      <c r="J547" s="28" t="s">
        <v>71</v>
      </c>
      <c r="K547" s="28" t="s">
        <v>67</v>
      </c>
      <c r="L547" s="28" t="s">
        <v>68</v>
      </c>
      <c r="M547" s="28" t="s">
        <v>74</v>
      </c>
      <c r="N547" s="28" t="s">
        <v>75</v>
      </c>
      <c r="O547" s="29" t="n">
        <v>4</v>
      </c>
      <c r="P547" s="30" t="n">
        <v>1617</v>
      </c>
      <c r="Q547" s="30" t="n">
        <v>1122</v>
      </c>
      <c r="R547" s="30" t="n">
        <f aca="false">ROUND(O547*P547,2)</f>
        <v>6468</v>
      </c>
      <c r="S547" s="30" t="n">
        <f aca="false">ROUND(O547*Q547,2)</f>
        <v>4488</v>
      </c>
      <c r="T547" s="30" t="n">
        <f aca="false">ROUND(R547*SUMIFS(Parametros!$E$23:$E$38,Parametros!$B$23:$B$38,J547,Parametros!$C$23:$C$38,C547,Parametros!$D$23:$D$38,D547),2)</f>
        <v>284.59</v>
      </c>
      <c r="U547" s="30" t="n">
        <f aca="false">R547-S547-T547</f>
        <v>1695.41</v>
      </c>
    </row>
    <row r="548" customFormat="false" ht="15" hidden="false" customHeight="false" outlineLevel="0" collapsed="false">
      <c r="A548" s="0" t="n">
        <v>547</v>
      </c>
      <c r="B548" s="27" t="n">
        <v>45466</v>
      </c>
      <c r="C548" s="0" t="n">
        <v>2024</v>
      </c>
      <c r="D548" s="28" t="s">
        <v>108</v>
      </c>
      <c r="E548" s="0" t="n">
        <v>6</v>
      </c>
      <c r="F548" s="28" t="s">
        <v>113</v>
      </c>
      <c r="G548" s="28" t="s">
        <v>114</v>
      </c>
      <c r="H548" s="28" t="s">
        <v>98</v>
      </c>
      <c r="I548" s="28" t="s">
        <v>99</v>
      </c>
      <c r="J548" s="28" t="s">
        <v>66</v>
      </c>
      <c r="K548" s="28" t="s">
        <v>76</v>
      </c>
      <c r="L548" s="28" t="s">
        <v>77</v>
      </c>
      <c r="M548" s="28" t="s">
        <v>78</v>
      </c>
      <c r="N548" s="28" t="s">
        <v>79</v>
      </c>
      <c r="O548" s="29" t="n">
        <v>44</v>
      </c>
      <c r="P548" s="30" t="n">
        <v>27.44</v>
      </c>
      <c r="Q548" s="30" t="n">
        <v>13.44</v>
      </c>
      <c r="R548" s="30" t="n">
        <f aca="false">ROUND(O548*P548,2)</f>
        <v>1207.36</v>
      </c>
      <c r="S548" s="30" t="n">
        <f aca="false">ROUND(O548*Q548,2)</f>
        <v>591.36</v>
      </c>
      <c r="T548" s="30" t="n">
        <f aca="false">ROUND(R548*SUMIFS(Parametros!$E$23:$E$38,Parametros!$B$23:$B$38,J548,Parametros!$C$23:$C$38,C548,Parametros!$D$23:$D$38,D548),2)</f>
        <v>14.49</v>
      </c>
      <c r="U548" s="30" t="n">
        <f aca="false">R548-S548-T548</f>
        <v>601.51</v>
      </c>
    </row>
    <row r="549" customFormat="false" ht="15" hidden="false" customHeight="false" outlineLevel="0" collapsed="false">
      <c r="A549" s="0" t="n">
        <v>548</v>
      </c>
      <c r="B549" s="27" t="n">
        <v>45446</v>
      </c>
      <c r="C549" s="0" t="n">
        <v>2024</v>
      </c>
      <c r="D549" s="28" t="s">
        <v>108</v>
      </c>
      <c r="E549" s="0" t="n">
        <v>6</v>
      </c>
      <c r="F549" s="28" t="s">
        <v>113</v>
      </c>
      <c r="G549" s="28" t="s">
        <v>114</v>
      </c>
      <c r="H549" s="28" t="s">
        <v>98</v>
      </c>
      <c r="I549" s="28" t="s">
        <v>99</v>
      </c>
      <c r="J549" s="28" t="s">
        <v>71</v>
      </c>
      <c r="K549" s="28" t="s">
        <v>76</v>
      </c>
      <c r="L549" s="28" t="s">
        <v>77</v>
      </c>
      <c r="M549" s="28" t="s">
        <v>78</v>
      </c>
      <c r="N549" s="28" t="s">
        <v>79</v>
      </c>
      <c r="O549" s="29" t="n">
        <v>17</v>
      </c>
      <c r="P549" s="30" t="n">
        <v>27.44</v>
      </c>
      <c r="Q549" s="30" t="n">
        <v>13.44</v>
      </c>
      <c r="R549" s="30" t="n">
        <f aca="false">ROUND(O549*P549,2)</f>
        <v>466.48</v>
      </c>
      <c r="S549" s="30" t="n">
        <f aca="false">ROUND(O549*Q549,2)</f>
        <v>228.48</v>
      </c>
      <c r="T549" s="30" t="n">
        <f aca="false">ROUND(R549*SUMIFS(Parametros!$E$23:$E$38,Parametros!$B$23:$B$38,J549,Parametros!$C$23:$C$38,C549,Parametros!$D$23:$D$38,D549),2)</f>
        <v>20.53</v>
      </c>
      <c r="U549" s="30" t="n">
        <f aca="false">R549-S549-T549</f>
        <v>217.47</v>
      </c>
    </row>
    <row r="550" customFormat="false" ht="15" hidden="false" customHeight="false" outlineLevel="0" collapsed="false">
      <c r="A550" s="0" t="n">
        <v>549</v>
      </c>
      <c r="B550" s="27" t="n">
        <v>45453</v>
      </c>
      <c r="C550" s="0" t="n">
        <v>2024</v>
      </c>
      <c r="D550" s="28" t="s">
        <v>108</v>
      </c>
      <c r="E550" s="0" t="n">
        <v>6</v>
      </c>
      <c r="F550" s="28" t="s">
        <v>113</v>
      </c>
      <c r="G550" s="28" t="s">
        <v>114</v>
      </c>
      <c r="H550" s="28" t="s">
        <v>98</v>
      </c>
      <c r="I550" s="28" t="s">
        <v>99</v>
      </c>
      <c r="J550" s="28" t="s">
        <v>66</v>
      </c>
      <c r="K550" s="28" t="s">
        <v>76</v>
      </c>
      <c r="L550" s="28" t="s">
        <v>77</v>
      </c>
      <c r="M550" s="28" t="s">
        <v>80</v>
      </c>
      <c r="N550" s="28" t="s">
        <v>81</v>
      </c>
      <c r="O550" s="29" t="n">
        <v>51</v>
      </c>
      <c r="P550" s="30" t="n">
        <v>93.1</v>
      </c>
      <c r="Q550" s="30" t="n">
        <v>47.98</v>
      </c>
      <c r="R550" s="30" t="n">
        <f aca="false">ROUND(O550*P550,2)</f>
        <v>4748.1</v>
      </c>
      <c r="S550" s="30" t="n">
        <f aca="false">ROUND(O550*Q550,2)</f>
        <v>2446.98</v>
      </c>
      <c r="T550" s="30" t="n">
        <f aca="false">ROUND(R550*SUMIFS(Parametros!$E$23:$E$38,Parametros!$B$23:$B$38,J550,Parametros!$C$23:$C$38,C550,Parametros!$D$23:$D$38,D550),2)</f>
        <v>56.98</v>
      </c>
      <c r="U550" s="30" t="n">
        <f aca="false">R550-S550-T550</f>
        <v>2244.14</v>
      </c>
    </row>
    <row r="551" customFormat="false" ht="15" hidden="false" customHeight="false" outlineLevel="0" collapsed="false">
      <c r="A551" s="0" t="n">
        <v>550</v>
      </c>
      <c r="B551" s="27" t="n">
        <v>45460</v>
      </c>
      <c r="C551" s="0" t="n">
        <v>2024</v>
      </c>
      <c r="D551" s="28" t="s">
        <v>108</v>
      </c>
      <c r="E551" s="0" t="n">
        <v>6</v>
      </c>
      <c r="F551" s="28" t="s">
        <v>113</v>
      </c>
      <c r="G551" s="28" t="s">
        <v>114</v>
      </c>
      <c r="H551" s="28" t="s">
        <v>98</v>
      </c>
      <c r="I551" s="28" t="s">
        <v>99</v>
      </c>
      <c r="J551" s="28" t="s">
        <v>71</v>
      </c>
      <c r="K551" s="28" t="s">
        <v>76</v>
      </c>
      <c r="L551" s="28" t="s">
        <v>77</v>
      </c>
      <c r="M551" s="28" t="s">
        <v>80</v>
      </c>
      <c r="N551" s="28" t="s">
        <v>81</v>
      </c>
      <c r="O551" s="29" t="n">
        <v>19</v>
      </c>
      <c r="P551" s="30" t="n">
        <v>93.1</v>
      </c>
      <c r="Q551" s="30" t="n">
        <v>47.98</v>
      </c>
      <c r="R551" s="30" t="n">
        <f aca="false">ROUND(O551*P551,2)</f>
        <v>1768.9</v>
      </c>
      <c r="S551" s="30" t="n">
        <f aca="false">ROUND(O551*Q551,2)</f>
        <v>911.62</v>
      </c>
      <c r="T551" s="30" t="n">
        <f aca="false">ROUND(R551*SUMIFS(Parametros!$E$23:$E$38,Parametros!$B$23:$B$38,J551,Parametros!$C$23:$C$38,C551,Parametros!$D$23:$D$38,D551),2)</f>
        <v>77.83</v>
      </c>
      <c r="U551" s="30" t="n">
        <f aca="false">R551-S551-T551</f>
        <v>779.45</v>
      </c>
    </row>
    <row r="552" customFormat="false" ht="15" hidden="false" customHeight="false" outlineLevel="0" collapsed="false">
      <c r="A552" s="0" t="n">
        <v>551</v>
      </c>
      <c r="B552" s="27" t="n">
        <v>45467</v>
      </c>
      <c r="C552" s="0" t="n">
        <v>2024</v>
      </c>
      <c r="D552" s="28" t="s">
        <v>108</v>
      </c>
      <c r="E552" s="0" t="n">
        <v>6</v>
      </c>
      <c r="F552" s="28" t="s">
        <v>113</v>
      </c>
      <c r="G552" s="28" t="s">
        <v>114</v>
      </c>
      <c r="H552" s="28" t="s">
        <v>98</v>
      </c>
      <c r="I552" s="28" t="s">
        <v>99</v>
      </c>
      <c r="J552" s="28" t="s">
        <v>66</v>
      </c>
      <c r="K552" s="28" t="s">
        <v>76</v>
      </c>
      <c r="L552" s="28" t="s">
        <v>77</v>
      </c>
      <c r="M552" s="28" t="s">
        <v>82</v>
      </c>
      <c r="N552" s="28" t="s">
        <v>83</v>
      </c>
      <c r="O552" s="29" t="n">
        <v>41</v>
      </c>
      <c r="P552" s="30" t="n">
        <v>63.7</v>
      </c>
      <c r="Q552" s="30" t="n">
        <v>35.43</v>
      </c>
      <c r="R552" s="30" t="n">
        <f aca="false">ROUND(O552*P552,2)</f>
        <v>2611.7</v>
      </c>
      <c r="S552" s="30" t="n">
        <f aca="false">ROUND(O552*Q552,2)</f>
        <v>1452.63</v>
      </c>
      <c r="T552" s="30" t="n">
        <f aca="false">ROUND(R552*SUMIFS(Parametros!$E$23:$E$38,Parametros!$B$23:$B$38,J552,Parametros!$C$23:$C$38,C552,Parametros!$D$23:$D$38,D552),2)</f>
        <v>31.34</v>
      </c>
      <c r="U552" s="30" t="n">
        <f aca="false">R552-S552-T552</f>
        <v>1127.73</v>
      </c>
    </row>
    <row r="553" customFormat="false" ht="15" hidden="false" customHeight="false" outlineLevel="0" collapsed="false">
      <c r="A553" s="0" t="n">
        <v>552</v>
      </c>
      <c r="B553" s="27" t="n">
        <v>45447</v>
      </c>
      <c r="C553" s="0" t="n">
        <v>2024</v>
      </c>
      <c r="D553" s="28" t="s">
        <v>108</v>
      </c>
      <c r="E553" s="0" t="n">
        <v>6</v>
      </c>
      <c r="F553" s="28" t="s">
        <v>113</v>
      </c>
      <c r="G553" s="28" t="s">
        <v>114</v>
      </c>
      <c r="H553" s="28" t="s">
        <v>98</v>
      </c>
      <c r="I553" s="28" t="s">
        <v>99</v>
      </c>
      <c r="J553" s="28" t="s">
        <v>71</v>
      </c>
      <c r="K553" s="28" t="s">
        <v>76</v>
      </c>
      <c r="L553" s="28" t="s">
        <v>77</v>
      </c>
      <c r="M553" s="28" t="s">
        <v>82</v>
      </c>
      <c r="N553" s="28" t="s">
        <v>83</v>
      </c>
      <c r="O553" s="29" t="n">
        <v>16</v>
      </c>
      <c r="P553" s="30" t="n">
        <v>63.7</v>
      </c>
      <c r="Q553" s="30" t="n">
        <v>35.43</v>
      </c>
      <c r="R553" s="30" t="n">
        <f aca="false">ROUND(O553*P553,2)</f>
        <v>1019.2</v>
      </c>
      <c r="S553" s="30" t="n">
        <f aca="false">ROUND(O553*Q553,2)</f>
        <v>566.88</v>
      </c>
      <c r="T553" s="30" t="n">
        <f aca="false">ROUND(R553*SUMIFS(Parametros!$E$23:$E$38,Parametros!$B$23:$B$38,J553,Parametros!$C$23:$C$38,C553,Parametros!$D$23:$D$38,D553),2)</f>
        <v>44.84</v>
      </c>
      <c r="U553" s="30" t="n">
        <f aca="false">R553-S553-T553</f>
        <v>407.48</v>
      </c>
    </row>
    <row r="554" customFormat="false" ht="15" hidden="false" customHeight="false" outlineLevel="0" collapsed="false">
      <c r="A554" s="0" t="n">
        <v>553</v>
      </c>
      <c r="B554" s="27" t="n">
        <v>45454</v>
      </c>
      <c r="C554" s="0" t="n">
        <v>2024</v>
      </c>
      <c r="D554" s="28" t="s">
        <v>108</v>
      </c>
      <c r="E554" s="0" t="n">
        <v>6</v>
      </c>
      <c r="F554" s="28" t="s">
        <v>113</v>
      </c>
      <c r="G554" s="28" t="s">
        <v>114</v>
      </c>
      <c r="H554" s="28" t="s">
        <v>98</v>
      </c>
      <c r="I554" s="28" t="s">
        <v>99</v>
      </c>
      <c r="J554" s="28" t="s">
        <v>66</v>
      </c>
      <c r="K554" s="28" t="s">
        <v>84</v>
      </c>
      <c r="L554" s="28" t="s">
        <v>85</v>
      </c>
      <c r="M554" s="28" t="s">
        <v>86</v>
      </c>
      <c r="N554" s="28" t="s">
        <v>87</v>
      </c>
      <c r="O554" s="29" t="n">
        <v>22</v>
      </c>
      <c r="P554" s="30" t="n">
        <v>117.6</v>
      </c>
      <c r="Q554" s="30" t="n">
        <v>63.6</v>
      </c>
      <c r="R554" s="30" t="n">
        <f aca="false">ROUND(O554*P554,2)</f>
        <v>2587.2</v>
      </c>
      <c r="S554" s="30" t="n">
        <f aca="false">ROUND(O554*Q554,2)</f>
        <v>1399.2</v>
      </c>
      <c r="T554" s="30" t="n">
        <f aca="false">ROUND(R554*SUMIFS(Parametros!$E$23:$E$38,Parametros!$B$23:$B$38,J554,Parametros!$C$23:$C$38,C554,Parametros!$D$23:$D$38,D554),2)</f>
        <v>31.05</v>
      </c>
      <c r="U554" s="30" t="n">
        <f aca="false">R554-S554-T554</f>
        <v>1156.95</v>
      </c>
    </row>
    <row r="555" customFormat="false" ht="15" hidden="false" customHeight="false" outlineLevel="0" collapsed="false">
      <c r="A555" s="0" t="n">
        <v>554</v>
      </c>
      <c r="B555" s="27" t="n">
        <v>45461</v>
      </c>
      <c r="C555" s="0" t="n">
        <v>2024</v>
      </c>
      <c r="D555" s="28" t="s">
        <v>108</v>
      </c>
      <c r="E555" s="0" t="n">
        <v>6</v>
      </c>
      <c r="F555" s="28" t="s">
        <v>113</v>
      </c>
      <c r="G555" s="28" t="s">
        <v>114</v>
      </c>
      <c r="H555" s="28" t="s">
        <v>98</v>
      </c>
      <c r="I555" s="28" t="s">
        <v>99</v>
      </c>
      <c r="J555" s="28" t="s">
        <v>71</v>
      </c>
      <c r="K555" s="28" t="s">
        <v>84</v>
      </c>
      <c r="L555" s="28" t="s">
        <v>85</v>
      </c>
      <c r="M555" s="28" t="s">
        <v>86</v>
      </c>
      <c r="N555" s="28" t="s">
        <v>87</v>
      </c>
      <c r="O555" s="29" t="n">
        <v>6</v>
      </c>
      <c r="P555" s="30" t="n">
        <v>117.6</v>
      </c>
      <c r="Q555" s="30" t="n">
        <v>63.6</v>
      </c>
      <c r="R555" s="30" t="n">
        <f aca="false">ROUND(O555*P555,2)</f>
        <v>705.6</v>
      </c>
      <c r="S555" s="30" t="n">
        <f aca="false">ROUND(O555*Q555,2)</f>
        <v>381.6</v>
      </c>
      <c r="T555" s="30" t="n">
        <f aca="false">ROUND(R555*SUMIFS(Parametros!$E$23:$E$38,Parametros!$B$23:$B$38,J555,Parametros!$C$23:$C$38,C555,Parametros!$D$23:$D$38,D555),2)</f>
        <v>31.05</v>
      </c>
      <c r="U555" s="30" t="n">
        <f aca="false">R555-S555-T555</f>
        <v>292.95</v>
      </c>
    </row>
    <row r="556" customFormat="false" ht="15" hidden="false" customHeight="false" outlineLevel="0" collapsed="false">
      <c r="A556" s="0" t="n">
        <v>555</v>
      </c>
      <c r="B556" s="27" t="n">
        <v>45468</v>
      </c>
      <c r="C556" s="0" t="n">
        <v>2024</v>
      </c>
      <c r="D556" s="28" t="s">
        <v>108</v>
      </c>
      <c r="E556" s="0" t="n">
        <v>6</v>
      </c>
      <c r="F556" s="28" t="s">
        <v>113</v>
      </c>
      <c r="G556" s="28" t="s">
        <v>114</v>
      </c>
      <c r="H556" s="28" t="s">
        <v>98</v>
      </c>
      <c r="I556" s="28" t="s">
        <v>99</v>
      </c>
      <c r="J556" s="28" t="s">
        <v>66</v>
      </c>
      <c r="K556" s="28" t="s">
        <v>84</v>
      </c>
      <c r="L556" s="28" t="s">
        <v>85</v>
      </c>
      <c r="M556" s="28" t="s">
        <v>88</v>
      </c>
      <c r="N556" s="28" t="s">
        <v>89</v>
      </c>
      <c r="O556" s="29" t="n">
        <v>23</v>
      </c>
      <c r="P556" s="30" t="n">
        <v>83.3</v>
      </c>
      <c r="Q556" s="30" t="n">
        <v>48.02</v>
      </c>
      <c r="R556" s="30" t="n">
        <f aca="false">ROUND(O556*P556,2)</f>
        <v>1915.9</v>
      </c>
      <c r="S556" s="30" t="n">
        <f aca="false">ROUND(O556*Q556,2)</f>
        <v>1104.46</v>
      </c>
      <c r="T556" s="30" t="n">
        <f aca="false">ROUND(R556*SUMIFS(Parametros!$E$23:$E$38,Parametros!$B$23:$B$38,J556,Parametros!$C$23:$C$38,C556,Parametros!$D$23:$D$38,D556),2)</f>
        <v>22.99</v>
      </c>
      <c r="U556" s="30" t="n">
        <f aca="false">R556-S556-T556</f>
        <v>788.45</v>
      </c>
    </row>
    <row r="557" customFormat="false" ht="15" hidden="false" customHeight="false" outlineLevel="0" collapsed="false">
      <c r="A557" s="0" t="n">
        <v>556</v>
      </c>
      <c r="B557" s="27" t="n">
        <v>45448</v>
      </c>
      <c r="C557" s="0" t="n">
        <v>2024</v>
      </c>
      <c r="D557" s="28" t="s">
        <v>108</v>
      </c>
      <c r="E557" s="0" t="n">
        <v>6</v>
      </c>
      <c r="F557" s="28" t="s">
        <v>113</v>
      </c>
      <c r="G557" s="28" t="s">
        <v>114</v>
      </c>
      <c r="H557" s="28" t="s">
        <v>98</v>
      </c>
      <c r="I557" s="28" t="s">
        <v>99</v>
      </c>
      <c r="J557" s="28" t="s">
        <v>71</v>
      </c>
      <c r="K557" s="28" t="s">
        <v>84</v>
      </c>
      <c r="L557" s="28" t="s">
        <v>85</v>
      </c>
      <c r="M557" s="28" t="s">
        <v>88</v>
      </c>
      <c r="N557" s="28" t="s">
        <v>89</v>
      </c>
      <c r="O557" s="29" t="n">
        <v>8</v>
      </c>
      <c r="P557" s="30" t="n">
        <v>83.3</v>
      </c>
      <c r="Q557" s="30" t="n">
        <v>48.02</v>
      </c>
      <c r="R557" s="30" t="n">
        <f aca="false">ROUND(O557*P557,2)</f>
        <v>666.4</v>
      </c>
      <c r="S557" s="30" t="n">
        <f aca="false">ROUND(O557*Q557,2)</f>
        <v>384.16</v>
      </c>
      <c r="T557" s="30" t="n">
        <f aca="false">ROUND(R557*SUMIFS(Parametros!$E$23:$E$38,Parametros!$B$23:$B$38,J557,Parametros!$C$23:$C$38,C557,Parametros!$D$23:$D$38,D557),2)</f>
        <v>29.32</v>
      </c>
      <c r="U557" s="30" t="n">
        <f aca="false">R557-S557-T557</f>
        <v>252.92</v>
      </c>
    </row>
    <row r="558" customFormat="false" ht="15" hidden="false" customHeight="false" outlineLevel="0" collapsed="false">
      <c r="A558" s="0" t="n">
        <v>557</v>
      </c>
      <c r="B558" s="27" t="n">
        <v>45455</v>
      </c>
      <c r="C558" s="0" t="n">
        <v>2024</v>
      </c>
      <c r="D558" s="28" t="s">
        <v>108</v>
      </c>
      <c r="E558" s="0" t="n">
        <v>6</v>
      </c>
      <c r="F558" s="28" t="s">
        <v>113</v>
      </c>
      <c r="G558" s="28" t="s">
        <v>114</v>
      </c>
      <c r="H558" s="28" t="s">
        <v>98</v>
      </c>
      <c r="I558" s="28" t="s">
        <v>99</v>
      </c>
      <c r="J558" s="28" t="s">
        <v>66</v>
      </c>
      <c r="K558" s="28" t="s">
        <v>90</v>
      </c>
      <c r="L558" s="28" t="s">
        <v>91</v>
      </c>
      <c r="M558" s="28" t="s">
        <v>92</v>
      </c>
      <c r="N558" s="28" t="s">
        <v>93</v>
      </c>
      <c r="O558" s="29" t="n">
        <v>23</v>
      </c>
      <c r="P558" s="30" t="n">
        <v>127.4</v>
      </c>
      <c r="Q558" s="30" t="n">
        <v>76.05</v>
      </c>
      <c r="R558" s="30" t="n">
        <f aca="false">ROUND(O558*P558,2)</f>
        <v>2930.2</v>
      </c>
      <c r="S558" s="30" t="n">
        <f aca="false">ROUND(O558*Q558,2)</f>
        <v>1749.15</v>
      </c>
      <c r="T558" s="30" t="n">
        <f aca="false">ROUND(R558*SUMIFS(Parametros!$E$23:$E$38,Parametros!$B$23:$B$38,J558,Parametros!$C$23:$C$38,C558,Parametros!$D$23:$D$38,D558),2)</f>
        <v>35.16</v>
      </c>
      <c r="U558" s="30" t="n">
        <f aca="false">R558-S558-T558</f>
        <v>1145.89</v>
      </c>
    </row>
    <row r="559" customFormat="false" ht="15" hidden="false" customHeight="false" outlineLevel="0" collapsed="false">
      <c r="A559" s="0" t="n">
        <v>558</v>
      </c>
      <c r="B559" s="27" t="n">
        <v>45462</v>
      </c>
      <c r="C559" s="0" t="n">
        <v>2024</v>
      </c>
      <c r="D559" s="28" t="s">
        <v>108</v>
      </c>
      <c r="E559" s="0" t="n">
        <v>6</v>
      </c>
      <c r="F559" s="28" t="s">
        <v>113</v>
      </c>
      <c r="G559" s="28" t="s">
        <v>114</v>
      </c>
      <c r="H559" s="28" t="s">
        <v>98</v>
      </c>
      <c r="I559" s="28" t="s">
        <v>99</v>
      </c>
      <c r="J559" s="28" t="s">
        <v>71</v>
      </c>
      <c r="K559" s="28" t="s">
        <v>90</v>
      </c>
      <c r="L559" s="28" t="s">
        <v>91</v>
      </c>
      <c r="M559" s="28" t="s">
        <v>92</v>
      </c>
      <c r="N559" s="28" t="s">
        <v>93</v>
      </c>
      <c r="O559" s="29" t="n">
        <v>10</v>
      </c>
      <c r="P559" s="30" t="n">
        <v>127.4</v>
      </c>
      <c r="Q559" s="30" t="n">
        <v>76.05</v>
      </c>
      <c r="R559" s="30" t="n">
        <f aca="false">ROUND(O559*P559,2)</f>
        <v>1274</v>
      </c>
      <c r="S559" s="30" t="n">
        <f aca="false">ROUND(O559*Q559,2)</f>
        <v>760.5</v>
      </c>
      <c r="T559" s="30" t="n">
        <f aca="false">ROUND(R559*SUMIFS(Parametros!$E$23:$E$38,Parametros!$B$23:$B$38,J559,Parametros!$C$23:$C$38,C559,Parametros!$D$23:$D$38,D559),2)</f>
        <v>56.06</v>
      </c>
      <c r="U559" s="30" t="n">
        <f aca="false">R559-S559-T559</f>
        <v>457.44</v>
      </c>
    </row>
    <row r="560" customFormat="false" ht="15" hidden="false" customHeight="false" outlineLevel="0" collapsed="false">
      <c r="A560" s="0" t="n">
        <v>559</v>
      </c>
      <c r="B560" s="27" t="n">
        <v>45469</v>
      </c>
      <c r="C560" s="0" t="n">
        <v>2024</v>
      </c>
      <c r="D560" s="28" t="s">
        <v>108</v>
      </c>
      <c r="E560" s="0" t="n">
        <v>6</v>
      </c>
      <c r="F560" s="28" t="s">
        <v>113</v>
      </c>
      <c r="G560" s="28" t="s">
        <v>114</v>
      </c>
      <c r="H560" s="28" t="s">
        <v>98</v>
      </c>
      <c r="I560" s="28" t="s">
        <v>99</v>
      </c>
      <c r="J560" s="28" t="s">
        <v>66</v>
      </c>
      <c r="K560" s="28" t="s">
        <v>90</v>
      </c>
      <c r="L560" s="28" t="s">
        <v>91</v>
      </c>
      <c r="M560" s="28" t="s">
        <v>94</v>
      </c>
      <c r="N560" s="28" t="s">
        <v>95</v>
      </c>
      <c r="O560" s="29" t="n">
        <v>26</v>
      </c>
      <c r="P560" s="30" t="n">
        <v>34.3</v>
      </c>
      <c r="Q560" s="30" t="n">
        <v>17.85</v>
      </c>
      <c r="R560" s="30" t="n">
        <f aca="false">ROUND(O560*P560,2)</f>
        <v>891.8</v>
      </c>
      <c r="S560" s="30" t="n">
        <f aca="false">ROUND(O560*Q560,2)</f>
        <v>464.1</v>
      </c>
      <c r="T560" s="30" t="n">
        <f aca="false">ROUND(R560*SUMIFS(Parametros!$E$23:$E$38,Parametros!$B$23:$B$38,J560,Parametros!$C$23:$C$38,C560,Parametros!$D$23:$D$38,D560),2)</f>
        <v>10.7</v>
      </c>
      <c r="U560" s="30" t="n">
        <f aca="false">R560-S560-T560</f>
        <v>417</v>
      </c>
    </row>
    <row r="561" customFormat="false" ht="15" hidden="false" customHeight="false" outlineLevel="0" collapsed="false">
      <c r="A561" s="0" t="n">
        <v>560</v>
      </c>
      <c r="B561" s="27" t="n">
        <v>45449</v>
      </c>
      <c r="C561" s="0" t="n">
        <v>2024</v>
      </c>
      <c r="D561" s="28" t="s">
        <v>108</v>
      </c>
      <c r="E561" s="0" t="n">
        <v>6</v>
      </c>
      <c r="F561" s="28" t="s">
        <v>113</v>
      </c>
      <c r="G561" s="28" t="s">
        <v>114</v>
      </c>
      <c r="H561" s="28" t="s">
        <v>98</v>
      </c>
      <c r="I561" s="28" t="s">
        <v>99</v>
      </c>
      <c r="J561" s="28" t="s">
        <v>71</v>
      </c>
      <c r="K561" s="28" t="s">
        <v>90</v>
      </c>
      <c r="L561" s="28" t="s">
        <v>91</v>
      </c>
      <c r="M561" s="28" t="s">
        <v>94</v>
      </c>
      <c r="N561" s="28" t="s">
        <v>95</v>
      </c>
      <c r="O561" s="29" t="n">
        <v>10</v>
      </c>
      <c r="P561" s="30" t="n">
        <v>34.3</v>
      </c>
      <c r="Q561" s="30" t="n">
        <v>17.85</v>
      </c>
      <c r="R561" s="30" t="n">
        <f aca="false">ROUND(O561*P561,2)</f>
        <v>343</v>
      </c>
      <c r="S561" s="30" t="n">
        <f aca="false">ROUND(O561*Q561,2)</f>
        <v>178.5</v>
      </c>
      <c r="T561" s="30" t="n">
        <f aca="false">ROUND(R561*SUMIFS(Parametros!$E$23:$E$38,Parametros!$B$23:$B$38,J561,Parametros!$C$23:$C$38,C561,Parametros!$D$23:$D$38,D561),2)</f>
        <v>15.09</v>
      </c>
      <c r="U561" s="30" t="n">
        <f aca="false">R561-S561-T561</f>
        <v>149.41</v>
      </c>
    </row>
    <row r="562" customFormat="false" ht="15" hidden="false" customHeight="false" outlineLevel="0" collapsed="false">
      <c r="A562" s="0" t="n">
        <v>561</v>
      </c>
      <c r="B562" s="27" t="n">
        <v>45456</v>
      </c>
      <c r="C562" s="0" t="n">
        <v>2024</v>
      </c>
      <c r="D562" s="28" t="s">
        <v>108</v>
      </c>
      <c r="E562" s="0" t="n">
        <v>6</v>
      </c>
      <c r="F562" s="28" t="s">
        <v>113</v>
      </c>
      <c r="G562" s="28" t="s">
        <v>114</v>
      </c>
      <c r="H562" s="28" t="s">
        <v>100</v>
      </c>
      <c r="I562" s="28" t="s">
        <v>101</v>
      </c>
      <c r="J562" s="28" t="s">
        <v>66</v>
      </c>
      <c r="K562" s="28" t="s">
        <v>67</v>
      </c>
      <c r="L562" s="28" t="s">
        <v>68</v>
      </c>
      <c r="M562" s="28" t="s">
        <v>69</v>
      </c>
      <c r="N562" s="28" t="s">
        <v>70</v>
      </c>
      <c r="O562" s="29" t="n">
        <v>6</v>
      </c>
      <c r="P562" s="30" t="n">
        <v>1176</v>
      </c>
      <c r="Q562" s="30" t="n">
        <v>744</v>
      </c>
      <c r="R562" s="30" t="n">
        <f aca="false">ROUND(O562*P562,2)</f>
        <v>7056</v>
      </c>
      <c r="S562" s="30" t="n">
        <f aca="false">ROUND(O562*Q562,2)</f>
        <v>4464</v>
      </c>
      <c r="T562" s="30" t="n">
        <f aca="false">ROUND(R562*SUMIFS(Parametros!$E$23:$E$38,Parametros!$B$23:$B$38,J562,Parametros!$C$23:$C$38,C562,Parametros!$D$23:$D$38,D562),2)</f>
        <v>84.67</v>
      </c>
      <c r="U562" s="30" t="n">
        <f aca="false">R562-S562-T562</f>
        <v>2507.33</v>
      </c>
    </row>
    <row r="563" customFormat="false" ht="15" hidden="false" customHeight="false" outlineLevel="0" collapsed="false">
      <c r="A563" s="0" t="n">
        <v>562</v>
      </c>
      <c r="B563" s="27" t="n">
        <v>45463</v>
      </c>
      <c r="C563" s="0" t="n">
        <v>2024</v>
      </c>
      <c r="D563" s="28" t="s">
        <v>108</v>
      </c>
      <c r="E563" s="0" t="n">
        <v>6</v>
      </c>
      <c r="F563" s="28" t="s">
        <v>113</v>
      </c>
      <c r="G563" s="28" t="s">
        <v>114</v>
      </c>
      <c r="H563" s="28" t="s">
        <v>100</v>
      </c>
      <c r="I563" s="28" t="s">
        <v>101</v>
      </c>
      <c r="J563" s="28" t="s">
        <v>71</v>
      </c>
      <c r="K563" s="28" t="s">
        <v>67</v>
      </c>
      <c r="L563" s="28" t="s">
        <v>68</v>
      </c>
      <c r="M563" s="28" t="s">
        <v>69</v>
      </c>
      <c r="N563" s="28" t="s">
        <v>70</v>
      </c>
      <c r="O563" s="29" t="n">
        <v>3</v>
      </c>
      <c r="P563" s="30" t="n">
        <v>1176</v>
      </c>
      <c r="Q563" s="30" t="n">
        <v>744</v>
      </c>
      <c r="R563" s="30" t="n">
        <f aca="false">ROUND(O563*P563,2)</f>
        <v>3528</v>
      </c>
      <c r="S563" s="30" t="n">
        <f aca="false">ROUND(O563*Q563,2)</f>
        <v>2232</v>
      </c>
      <c r="T563" s="30" t="n">
        <f aca="false">ROUND(R563*SUMIFS(Parametros!$E$23:$E$38,Parametros!$B$23:$B$38,J563,Parametros!$C$23:$C$38,C563,Parametros!$D$23:$D$38,D563),2)</f>
        <v>155.23</v>
      </c>
      <c r="U563" s="30" t="n">
        <f aca="false">R563-S563-T563</f>
        <v>1140.77</v>
      </c>
    </row>
    <row r="564" customFormat="false" ht="15" hidden="false" customHeight="false" outlineLevel="0" collapsed="false">
      <c r="A564" s="0" t="n">
        <v>563</v>
      </c>
      <c r="B564" s="27" t="n">
        <v>45470</v>
      </c>
      <c r="C564" s="0" t="n">
        <v>2024</v>
      </c>
      <c r="D564" s="28" t="s">
        <v>108</v>
      </c>
      <c r="E564" s="0" t="n">
        <v>6</v>
      </c>
      <c r="F564" s="28" t="s">
        <v>113</v>
      </c>
      <c r="G564" s="28" t="s">
        <v>114</v>
      </c>
      <c r="H564" s="28" t="s">
        <v>100</v>
      </c>
      <c r="I564" s="28" t="s">
        <v>101</v>
      </c>
      <c r="J564" s="28" t="s">
        <v>66</v>
      </c>
      <c r="K564" s="28" t="s">
        <v>67</v>
      </c>
      <c r="L564" s="28" t="s">
        <v>68</v>
      </c>
      <c r="M564" s="28" t="s">
        <v>72</v>
      </c>
      <c r="N564" s="28" t="s">
        <v>73</v>
      </c>
      <c r="O564" s="29" t="n">
        <v>7</v>
      </c>
      <c r="P564" s="30" t="n">
        <v>441</v>
      </c>
      <c r="Q564" s="30" t="n">
        <v>272.25</v>
      </c>
      <c r="R564" s="30" t="n">
        <f aca="false">ROUND(O564*P564,2)</f>
        <v>3087</v>
      </c>
      <c r="S564" s="30" t="n">
        <f aca="false">ROUND(O564*Q564,2)</f>
        <v>1905.75</v>
      </c>
      <c r="T564" s="30" t="n">
        <f aca="false">ROUND(R564*SUMIFS(Parametros!$E$23:$E$38,Parametros!$B$23:$B$38,J564,Parametros!$C$23:$C$38,C564,Parametros!$D$23:$D$38,D564),2)</f>
        <v>37.04</v>
      </c>
      <c r="U564" s="30" t="n">
        <f aca="false">R564-S564-T564</f>
        <v>1144.21</v>
      </c>
    </row>
    <row r="565" customFormat="false" ht="15" hidden="false" customHeight="false" outlineLevel="0" collapsed="false">
      <c r="A565" s="0" t="n">
        <v>564</v>
      </c>
      <c r="B565" s="27" t="n">
        <v>45450</v>
      </c>
      <c r="C565" s="0" t="n">
        <v>2024</v>
      </c>
      <c r="D565" s="28" t="s">
        <v>108</v>
      </c>
      <c r="E565" s="0" t="n">
        <v>6</v>
      </c>
      <c r="F565" s="28" t="s">
        <v>113</v>
      </c>
      <c r="G565" s="28" t="s">
        <v>114</v>
      </c>
      <c r="H565" s="28" t="s">
        <v>100</v>
      </c>
      <c r="I565" s="28" t="s">
        <v>101</v>
      </c>
      <c r="J565" s="28" t="s">
        <v>71</v>
      </c>
      <c r="K565" s="28" t="s">
        <v>67</v>
      </c>
      <c r="L565" s="28" t="s">
        <v>68</v>
      </c>
      <c r="M565" s="28" t="s">
        <v>72</v>
      </c>
      <c r="N565" s="28" t="s">
        <v>73</v>
      </c>
      <c r="O565" s="29" t="n">
        <v>3</v>
      </c>
      <c r="P565" s="30" t="n">
        <v>441</v>
      </c>
      <c r="Q565" s="30" t="n">
        <v>272.25</v>
      </c>
      <c r="R565" s="30" t="n">
        <f aca="false">ROUND(O565*P565,2)</f>
        <v>1323</v>
      </c>
      <c r="S565" s="30" t="n">
        <f aca="false">ROUND(O565*Q565,2)</f>
        <v>816.75</v>
      </c>
      <c r="T565" s="30" t="n">
        <f aca="false">ROUND(R565*SUMIFS(Parametros!$E$23:$E$38,Parametros!$B$23:$B$38,J565,Parametros!$C$23:$C$38,C565,Parametros!$D$23:$D$38,D565),2)</f>
        <v>58.21</v>
      </c>
      <c r="U565" s="30" t="n">
        <f aca="false">R565-S565-T565</f>
        <v>448.04</v>
      </c>
    </row>
    <row r="566" customFormat="false" ht="15" hidden="false" customHeight="false" outlineLevel="0" collapsed="false">
      <c r="A566" s="0" t="n">
        <v>565</v>
      </c>
      <c r="B566" s="27" t="n">
        <v>45457</v>
      </c>
      <c r="C566" s="0" t="n">
        <v>2024</v>
      </c>
      <c r="D566" s="28" t="s">
        <v>108</v>
      </c>
      <c r="E566" s="0" t="n">
        <v>6</v>
      </c>
      <c r="F566" s="28" t="s">
        <v>113</v>
      </c>
      <c r="G566" s="28" t="s">
        <v>114</v>
      </c>
      <c r="H566" s="28" t="s">
        <v>100</v>
      </c>
      <c r="I566" s="28" t="s">
        <v>101</v>
      </c>
      <c r="J566" s="28" t="s">
        <v>66</v>
      </c>
      <c r="K566" s="28" t="s">
        <v>67</v>
      </c>
      <c r="L566" s="28" t="s">
        <v>68</v>
      </c>
      <c r="M566" s="28" t="s">
        <v>74</v>
      </c>
      <c r="N566" s="28" t="s">
        <v>75</v>
      </c>
      <c r="O566" s="29" t="n">
        <v>8</v>
      </c>
      <c r="P566" s="30" t="n">
        <v>1617</v>
      </c>
      <c r="Q566" s="30" t="n">
        <v>1122</v>
      </c>
      <c r="R566" s="30" t="n">
        <f aca="false">ROUND(O566*P566,2)</f>
        <v>12936</v>
      </c>
      <c r="S566" s="30" t="n">
        <f aca="false">ROUND(O566*Q566,2)</f>
        <v>8976</v>
      </c>
      <c r="T566" s="30" t="n">
        <f aca="false">ROUND(R566*SUMIFS(Parametros!$E$23:$E$38,Parametros!$B$23:$B$38,J566,Parametros!$C$23:$C$38,C566,Parametros!$D$23:$D$38,D566),2)</f>
        <v>155.23</v>
      </c>
      <c r="U566" s="30" t="n">
        <f aca="false">R566-S566-T566</f>
        <v>3804.77</v>
      </c>
    </row>
    <row r="567" customFormat="false" ht="15" hidden="false" customHeight="false" outlineLevel="0" collapsed="false">
      <c r="A567" s="0" t="n">
        <v>566</v>
      </c>
      <c r="B567" s="27" t="n">
        <v>45464</v>
      </c>
      <c r="C567" s="0" t="n">
        <v>2024</v>
      </c>
      <c r="D567" s="28" t="s">
        <v>108</v>
      </c>
      <c r="E567" s="0" t="n">
        <v>6</v>
      </c>
      <c r="F567" s="28" t="s">
        <v>113</v>
      </c>
      <c r="G567" s="28" t="s">
        <v>114</v>
      </c>
      <c r="H567" s="28" t="s">
        <v>100</v>
      </c>
      <c r="I567" s="28" t="s">
        <v>101</v>
      </c>
      <c r="J567" s="28" t="s">
        <v>71</v>
      </c>
      <c r="K567" s="28" t="s">
        <v>67</v>
      </c>
      <c r="L567" s="28" t="s">
        <v>68</v>
      </c>
      <c r="M567" s="28" t="s">
        <v>74</v>
      </c>
      <c r="N567" s="28" t="s">
        <v>75</v>
      </c>
      <c r="O567" s="29" t="n">
        <v>3</v>
      </c>
      <c r="P567" s="30" t="n">
        <v>1617</v>
      </c>
      <c r="Q567" s="30" t="n">
        <v>1122</v>
      </c>
      <c r="R567" s="30" t="n">
        <f aca="false">ROUND(O567*P567,2)</f>
        <v>4851</v>
      </c>
      <c r="S567" s="30" t="n">
        <f aca="false">ROUND(O567*Q567,2)</f>
        <v>3366</v>
      </c>
      <c r="T567" s="30" t="n">
        <f aca="false">ROUND(R567*SUMIFS(Parametros!$E$23:$E$38,Parametros!$B$23:$B$38,J567,Parametros!$C$23:$C$38,C567,Parametros!$D$23:$D$38,D567),2)</f>
        <v>213.44</v>
      </c>
      <c r="U567" s="30" t="n">
        <f aca="false">R567-S567-T567</f>
        <v>1271.56</v>
      </c>
    </row>
    <row r="568" customFormat="false" ht="15" hidden="false" customHeight="false" outlineLevel="0" collapsed="false">
      <c r="A568" s="0" t="n">
        <v>567</v>
      </c>
      <c r="B568" s="27" t="n">
        <v>45444</v>
      </c>
      <c r="C568" s="0" t="n">
        <v>2024</v>
      </c>
      <c r="D568" s="28" t="s">
        <v>108</v>
      </c>
      <c r="E568" s="0" t="n">
        <v>6</v>
      </c>
      <c r="F568" s="28" t="s">
        <v>113</v>
      </c>
      <c r="G568" s="28" t="s">
        <v>114</v>
      </c>
      <c r="H568" s="28" t="s">
        <v>100</v>
      </c>
      <c r="I568" s="28" t="s">
        <v>101</v>
      </c>
      <c r="J568" s="28" t="s">
        <v>66</v>
      </c>
      <c r="K568" s="28" t="s">
        <v>76</v>
      </c>
      <c r="L568" s="28" t="s">
        <v>77</v>
      </c>
      <c r="M568" s="28" t="s">
        <v>78</v>
      </c>
      <c r="N568" s="28" t="s">
        <v>79</v>
      </c>
      <c r="O568" s="29" t="n">
        <v>32</v>
      </c>
      <c r="P568" s="30" t="n">
        <v>27.44</v>
      </c>
      <c r="Q568" s="30" t="n">
        <v>13.44</v>
      </c>
      <c r="R568" s="30" t="n">
        <f aca="false">ROUND(O568*P568,2)</f>
        <v>878.08</v>
      </c>
      <c r="S568" s="30" t="n">
        <f aca="false">ROUND(O568*Q568,2)</f>
        <v>430.08</v>
      </c>
      <c r="T568" s="30" t="n">
        <f aca="false">ROUND(R568*SUMIFS(Parametros!$E$23:$E$38,Parametros!$B$23:$B$38,J568,Parametros!$C$23:$C$38,C568,Parametros!$D$23:$D$38,D568),2)</f>
        <v>10.54</v>
      </c>
      <c r="U568" s="30" t="n">
        <f aca="false">R568-S568-T568</f>
        <v>437.46</v>
      </c>
    </row>
    <row r="569" customFormat="false" ht="15" hidden="false" customHeight="false" outlineLevel="0" collapsed="false">
      <c r="A569" s="0" t="n">
        <v>568</v>
      </c>
      <c r="B569" s="27" t="n">
        <v>45451</v>
      </c>
      <c r="C569" s="0" t="n">
        <v>2024</v>
      </c>
      <c r="D569" s="28" t="s">
        <v>108</v>
      </c>
      <c r="E569" s="0" t="n">
        <v>6</v>
      </c>
      <c r="F569" s="28" t="s">
        <v>113</v>
      </c>
      <c r="G569" s="28" t="s">
        <v>114</v>
      </c>
      <c r="H569" s="28" t="s">
        <v>100</v>
      </c>
      <c r="I569" s="28" t="s">
        <v>101</v>
      </c>
      <c r="J569" s="28" t="s">
        <v>71</v>
      </c>
      <c r="K569" s="28" t="s">
        <v>76</v>
      </c>
      <c r="L569" s="28" t="s">
        <v>77</v>
      </c>
      <c r="M569" s="28" t="s">
        <v>78</v>
      </c>
      <c r="N569" s="28" t="s">
        <v>79</v>
      </c>
      <c r="O569" s="29" t="n">
        <v>11</v>
      </c>
      <c r="P569" s="30" t="n">
        <v>27.44</v>
      </c>
      <c r="Q569" s="30" t="n">
        <v>13.44</v>
      </c>
      <c r="R569" s="30" t="n">
        <f aca="false">ROUND(O569*P569,2)</f>
        <v>301.84</v>
      </c>
      <c r="S569" s="30" t="n">
        <f aca="false">ROUND(O569*Q569,2)</f>
        <v>147.84</v>
      </c>
      <c r="T569" s="30" t="n">
        <f aca="false">ROUND(R569*SUMIFS(Parametros!$E$23:$E$38,Parametros!$B$23:$B$38,J569,Parametros!$C$23:$C$38,C569,Parametros!$D$23:$D$38,D569),2)</f>
        <v>13.28</v>
      </c>
      <c r="U569" s="30" t="n">
        <f aca="false">R569-S569-T569</f>
        <v>140.72</v>
      </c>
    </row>
    <row r="570" customFormat="false" ht="15" hidden="false" customHeight="false" outlineLevel="0" collapsed="false">
      <c r="A570" s="0" t="n">
        <v>569</v>
      </c>
      <c r="B570" s="27" t="n">
        <v>45458</v>
      </c>
      <c r="C570" s="0" t="n">
        <v>2024</v>
      </c>
      <c r="D570" s="28" t="s">
        <v>108</v>
      </c>
      <c r="E570" s="0" t="n">
        <v>6</v>
      </c>
      <c r="F570" s="28" t="s">
        <v>113</v>
      </c>
      <c r="G570" s="28" t="s">
        <v>114</v>
      </c>
      <c r="H570" s="28" t="s">
        <v>100</v>
      </c>
      <c r="I570" s="28" t="s">
        <v>101</v>
      </c>
      <c r="J570" s="28" t="s">
        <v>66</v>
      </c>
      <c r="K570" s="28" t="s">
        <v>76</v>
      </c>
      <c r="L570" s="28" t="s">
        <v>77</v>
      </c>
      <c r="M570" s="28" t="s">
        <v>80</v>
      </c>
      <c r="N570" s="28" t="s">
        <v>81</v>
      </c>
      <c r="O570" s="29" t="n">
        <v>34</v>
      </c>
      <c r="P570" s="30" t="n">
        <v>93.1</v>
      </c>
      <c r="Q570" s="30" t="n">
        <v>47.98</v>
      </c>
      <c r="R570" s="30" t="n">
        <f aca="false">ROUND(O570*P570,2)</f>
        <v>3165.4</v>
      </c>
      <c r="S570" s="30" t="n">
        <f aca="false">ROUND(O570*Q570,2)</f>
        <v>1631.32</v>
      </c>
      <c r="T570" s="30" t="n">
        <f aca="false">ROUND(R570*SUMIFS(Parametros!$E$23:$E$38,Parametros!$B$23:$B$38,J570,Parametros!$C$23:$C$38,C570,Parametros!$D$23:$D$38,D570),2)</f>
        <v>37.98</v>
      </c>
      <c r="U570" s="30" t="n">
        <f aca="false">R570-S570-T570</f>
        <v>1496.1</v>
      </c>
    </row>
    <row r="571" customFormat="false" ht="15" hidden="false" customHeight="false" outlineLevel="0" collapsed="false">
      <c r="A571" s="0" t="n">
        <v>570</v>
      </c>
      <c r="B571" s="27" t="n">
        <v>45465</v>
      </c>
      <c r="C571" s="0" t="n">
        <v>2024</v>
      </c>
      <c r="D571" s="28" t="s">
        <v>108</v>
      </c>
      <c r="E571" s="0" t="n">
        <v>6</v>
      </c>
      <c r="F571" s="28" t="s">
        <v>113</v>
      </c>
      <c r="G571" s="28" t="s">
        <v>114</v>
      </c>
      <c r="H571" s="28" t="s">
        <v>100</v>
      </c>
      <c r="I571" s="28" t="s">
        <v>101</v>
      </c>
      <c r="J571" s="28" t="s">
        <v>71</v>
      </c>
      <c r="K571" s="28" t="s">
        <v>76</v>
      </c>
      <c r="L571" s="28" t="s">
        <v>77</v>
      </c>
      <c r="M571" s="28" t="s">
        <v>80</v>
      </c>
      <c r="N571" s="28" t="s">
        <v>81</v>
      </c>
      <c r="O571" s="29" t="n">
        <v>11</v>
      </c>
      <c r="P571" s="30" t="n">
        <v>93.1</v>
      </c>
      <c r="Q571" s="30" t="n">
        <v>47.98</v>
      </c>
      <c r="R571" s="30" t="n">
        <f aca="false">ROUND(O571*P571,2)</f>
        <v>1024.1</v>
      </c>
      <c r="S571" s="30" t="n">
        <f aca="false">ROUND(O571*Q571,2)</f>
        <v>527.78</v>
      </c>
      <c r="T571" s="30" t="n">
        <f aca="false">ROUND(R571*SUMIFS(Parametros!$E$23:$E$38,Parametros!$B$23:$B$38,J571,Parametros!$C$23:$C$38,C571,Parametros!$D$23:$D$38,D571),2)</f>
        <v>45.06</v>
      </c>
      <c r="U571" s="30" t="n">
        <f aca="false">R571-S571-T571</f>
        <v>451.26</v>
      </c>
    </row>
    <row r="572" customFormat="false" ht="15" hidden="false" customHeight="false" outlineLevel="0" collapsed="false">
      <c r="A572" s="0" t="n">
        <v>571</v>
      </c>
      <c r="B572" s="27" t="n">
        <v>45445</v>
      </c>
      <c r="C572" s="0" t="n">
        <v>2024</v>
      </c>
      <c r="D572" s="28" t="s">
        <v>108</v>
      </c>
      <c r="E572" s="0" t="n">
        <v>6</v>
      </c>
      <c r="F572" s="28" t="s">
        <v>113</v>
      </c>
      <c r="G572" s="28" t="s">
        <v>114</v>
      </c>
      <c r="H572" s="28" t="s">
        <v>100</v>
      </c>
      <c r="I572" s="28" t="s">
        <v>101</v>
      </c>
      <c r="J572" s="28" t="s">
        <v>66</v>
      </c>
      <c r="K572" s="28" t="s">
        <v>76</v>
      </c>
      <c r="L572" s="28" t="s">
        <v>77</v>
      </c>
      <c r="M572" s="28" t="s">
        <v>82</v>
      </c>
      <c r="N572" s="28" t="s">
        <v>83</v>
      </c>
      <c r="O572" s="29" t="n">
        <v>31</v>
      </c>
      <c r="P572" s="30" t="n">
        <v>63.7</v>
      </c>
      <c r="Q572" s="30" t="n">
        <v>35.43</v>
      </c>
      <c r="R572" s="30" t="n">
        <f aca="false">ROUND(O572*P572,2)</f>
        <v>1974.7</v>
      </c>
      <c r="S572" s="30" t="n">
        <f aca="false">ROUND(O572*Q572,2)</f>
        <v>1098.33</v>
      </c>
      <c r="T572" s="30" t="n">
        <f aca="false">ROUND(R572*SUMIFS(Parametros!$E$23:$E$38,Parametros!$B$23:$B$38,J572,Parametros!$C$23:$C$38,C572,Parametros!$D$23:$D$38,D572),2)</f>
        <v>23.7</v>
      </c>
      <c r="U572" s="30" t="n">
        <f aca="false">R572-S572-T572</f>
        <v>852.67</v>
      </c>
    </row>
    <row r="573" customFormat="false" ht="15" hidden="false" customHeight="false" outlineLevel="0" collapsed="false">
      <c r="A573" s="0" t="n">
        <v>572</v>
      </c>
      <c r="B573" s="27" t="n">
        <v>45452</v>
      </c>
      <c r="C573" s="0" t="n">
        <v>2024</v>
      </c>
      <c r="D573" s="28" t="s">
        <v>108</v>
      </c>
      <c r="E573" s="0" t="n">
        <v>6</v>
      </c>
      <c r="F573" s="28" t="s">
        <v>113</v>
      </c>
      <c r="G573" s="28" t="s">
        <v>114</v>
      </c>
      <c r="H573" s="28" t="s">
        <v>100</v>
      </c>
      <c r="I573" s="28" t="s">
        <v>101</v>
      </c>
      <c r="J573" s="28" t="s">
        <v>71</v>
      </c>
      <c r="K573" s="28" t="s">
        <v>76</v>
      </c>
      <c r="L573" s="28" t="s">
        <v>77</v>
      </c>
      <c r="M573" s="28" t="s">
        <v>82</v>
      </c>
      <c r="N573" s="28" t="s">
        <v>83</v>
      </c>
      <c r="O573" s="29" t="n">
        <v>11</v>
      </c>
      <c r="P573" s="30" t="n">
        <v>63.7</v>
      </c>
      <c r="Q573" s="30" t="n">
        <v>35.43</v>
      </c>
      <c r="R573" s="30" t="n">
        <f aca="false">ROUND(O573*P573,2)</f>
        <v>700.7</v>
      </c>
      <c r="S573" s="30" t="n">
        <f aca="false">ROUND(O573*Q573,2)</f>
        <v>389.73</v>
      </c>
      <c r="T573" s="30" t="n">
        <f aca="false">ROUND(R573*SUMIFS(Parametros!$E$23:$E$38,Parametros!$B$23:$B$38,J573,Parametros!$C$23:$C$38,C573,Parametros!$D$23:$D$38,D573),2)</f>
        <v>30.83</v>
      </c>
      <c r="U573" s="30" t="n">
        <f aca="false">R573-S573-T573</f>
        <v>280.14</v>
      </c>
    </row>
    <row r="574" customFormat="false" ht="15" hidden="false" customHeight="false" outlineLevel="0" collapsed="false">
      <c r="A574" s="0" t="n">
        <v>573</v>
      </c>
      <c r="B574" s="27" t="n">
        <v>45459</v>
      </c>
      <c r="C574" s="0" t="n">
        <v>2024</v>
      </c>
      <c r="D574" s="28" t="s">
        <v>108</v>
      </c>
      <c r="E574" s="0" t="n">
        <v>6</v>
      </c>
      <c r="F574" s="28" t="s">
        <v>113</v>
      </c>
      <c r="G574" s="28" t="s">
        <v>114</v>
      </c>
      <c r="H574" s="28" t="s">
        <v>100</v>
      </c>
      <c r="I574" s="28" t="s">
        <v>101</v>
      </c>
      <c r="J574" s="28" t="s">
        <v>66</v>
      </c>
      <c r="K574" s="28" t="s">
        <v>84</v>
      </c>
      <c r="L574" s="28" t="s">
        <v>85</v>
      </c>
      <c r="M574" s="28" t="s">
        <v>86</v>
      </c>
      <c r="N574" s="28" t="s">
        <v>87</v>
      </c>
      <c r="O574" s="29" t="n">
        <v>16</v>
      </c>
      <c r="P574" s="30" t="n">
        <v>117.6</v>
      </c>
      <c r="Q574" s="30" t="n">
        <v>63.6</v>
      </c>
      <c r="R574" s="30" t="n">
        <f aca="false">ROUND(O574*P574,2)</f>
        <v>1881.6</v>
      </c>
      <c r="S574" s="30" t="n">
        <f aca="false">ROUND(O574*Q574,2)</f>
        <v>1017.6</v>
      </c>
      <c r="T574" s="30" t="n">
        <f aca="false">ROUND(R574*SUMIFS(Parametros!$E$23:$E$38,Parametros!$B$23:$B$38,J574,Parametros!$C$23:$C$38,C574,Parametros!$D$23:$D$38,D574),2)</f>
        <v>22.58</v>
      </c>
      <c r="U574" s="30" t="n">
        <f aca="false">R574-S574-T574</f>
        <v>841.42</v>
      </c>
    </row>
    <row r="575" customFormat="false" ht="15" hidden="false" customHeight="false" outlineLevel="0" collapsed="false">
      <c r="A575" s="0" t="n">
        <v>574</v>
      </c>
      <c r="B575" s="27" t="n">
        <v>45466</v>
      </c>
      <c r="C575" s="0" t="n">
        <v>2024</v>
      </c>
      <c r="D575" s="28" t="s">
        <v>108</v>
      </c>
      <c r="E575" s="0" t="n">
        <v>6</v>
      </c>
      <c r="F575" s="28" t="s">
        <v>113</v>
      </c>
      <c r="G575" s="28" t="s">
        <v>114</v>
      </c>
      <c r="H575" s="28" t="s">
        <v>100</v>
      </c>
      <c r="I575" s="28" t="s">
        <v>101</v>
      </c>
      <c r="J575" s="28" t="s">
        <v>71</v>
      </c>
      <c r="K575" s="28" t="s">
        <v>84</v>
      </c>
      <c r="L575" s="28" t="s">
        <v>85</v>
      </c>
      <c r="M575" s="28" t="s">
        <v>86</v>
      </c>
      <c r="N575" s="28" t="s">
        <v>87</v>
      </c>
      <c r="O575" s="29" t="n">
        <v>6</v>
      </c>
      <c r="P575" s="30" t="n">
        <v>117.6</v>
      </c>
      <c r="Q575" s="30" t="n">
        <v>63.6</v>
      </c>
      <c r="R575" s="30" t="n">
        <f aca="false">ROUND(O575*P575,2)</f>
        <v>705.6</v>
      </c>
      <c r="S575" s="30" t="n">
        <f aca="false">ROUND(O575*Q575,2)</f>
        <v>381.6</v>
      </c>
      <c r="T575" s="30" t="n">
        <f aca="false">ROUND(R575*SUMIFS(Parametros!$E$23:$E$38,Parametros!$B$23:$B$38,J575,Parametros!$C$23:$C$38,C575,Parametros!$D$23:$D$38,D575),2)</f>
        <v>31.05</v>
      </c>
      <c r="U575" s="30" t="n">
        <f aca="false">R575-S575-T575</f>
        <v>292.95</v>
      </c>
    </row>
    <row r="576" customFormat="false" ht="15" hidden="false" customHeight="false" outlineLevel="0" collapsed="false">
      <c r="A576" s="0" t="n">
        <v>575</v>
      </c>
      <c r="B576" s="27" t="n">
        <v>45446</v>
      </c>
      <c r="C576" s="0" t="n">
        <v>2024</v>
      </c>
      <c r="D576" s="28" t="s">
        <v>108</v>
      </c>
      <c r="E576" s="0" t="n">
        <v>6</v>
      </c>
      <c r="F576" s="28" t="s">
        <v>113</v>
      </c>
      <c r="G576" s="28" t="s">
        <v>114</v>
      </c>
      <c r="H576" s="28" t="s">
        <v>100</v>
      </c>
      <c r="I576" s="28" t="s">
        <v>101</v>
      </c>
      <c r="J576" s="28" t="s">
        <v>66</v>
      </c>
      <c r="K576" s="28" t="s">
        <v>84</v>
      </c>
      <c r="L576" s="28" t="s">
        <v>85</v>
      </c>
      <c r="M576" s="28" t="s">
        <v>88</v>
      </c>
      <c r="N576" s="28" t="s">
        <v>89</v>
      </c>
      <c r="O576" s="29" t="n">
        <v>17</v>
      </c>
      <c r="P576" s="30" t="n">
        <v>83.3</v>
      </c>
      <c r="Q576" s="30" t="n">
        <v>48.02</v>
      </c>
      <c r="R576" s="30" t="n">
        <f aca="false">ROUND(O576*P576,2)</f>
        <v>1416.1</v>
      </c>
      <c r="S576" s="30" t="n">
        <f aca="false">ROUND(O576*Q576,2)</f>
        <v>816.34</v>
      </c>
      <c r="T576" s="30" t="n">
        <f aca="false">ROUND(R576*SUMIFS(Parametros!$E$23:$E$38,Parametros!$B$23:$B$38,J576,Parametros!$C$23:$C$38,C576,Parametros!$D$23:$D$38,D576),2)</f>
        <v>16.99</v>
      </c>
      <c r="U576" s="30" t="n">
        <f aca="false">R576-S576-T576</f>
        <v>582.77</v>
      </c>
    </row>
    <row r="577" customFormat="false" ht="15" hidden="false" customHeight="false" outlineLevel="0" collapsed="false">
      <c r="A577" s="0" t="n">
        <v>576</v>
      </c>
      <c r="B577" s="27" t="n">
        <v>45453</v>
      </c>
      <c r="C577" s="0" t="n">
        <v>2024</v>
      </c>
      <c r="D577" s="28" t="s">
        <v>108</v>
      </c>
      <c r="E577" s="0" t="n">
        <v>6</v>
      </c>
      <c r="F577" s="28" t="s">
        <v>113</v>
      </c>
      <c r="G577" s="28" t="s">
        <v>114</v>
      </c>
      <c r="H577" s="28" t="s">
        <v>100</v>
      </c>
      <c r="I577" s="28" t="s">
        <v>101</v>
      </c>
      <c r="J577" s="28" t="s">
        <v>71</v>
      </c>
      <c r="K577" s="28" t="s">
        <v>84</v>
      </c>
      <c r="L577" s="28" t="s">
        <v>85</v>
      </c>
      <c r="M577" s="28" t="s">
        <v>88</v>
      </c>
      <c r="N577" s="28" t="s">
        <v>89</v>
      </c>
      <c r="O577" s="29" t="n">
        <v>6</v>
      </c>
      <c r="P577" s="30" t="n">
        <v>83.3</v>
      </c>
      <c r="Q577" s="30" t="n">
        <v>48.02</v>
      </c>
      <c r="R577" s="30" t="n">
        <f aca="false">ROUND(O577*P577,2)</f>
        <v>499.8</v>
      </c>
      <c r="S577" s="30" t="n">
        <f aca="false">ROUND(O577*Q577,2)</f>
        <v>288.12</v>
      </c>
      <c r="T577" s="30" t="n">
        <f aca="false">ROUND(R577*SUMIFS(Parametros!$E$23:$E$38,Parametros!$B$23:$B$38,J577,Parametros!$C$23:$C$38,C577,Parametros!$D$23:$D$38,D577),2)</f>
        <v>21.99</v>
      </c>
      <c r="U577" s="30" t="n">
        <f aca="false">R577-S577-T577</f>
        <v>189.69</v>
      </c>
    </row>
    <row r="578" customFormat="false" ht="15" hidden="false" customHeight="false" outlineLevel="0" collapsed="false">
      <c r="A578" s="0" t="n">
        <v>577</v>
      </c>
      <c r="B578" s="27" t="n">
        <v>45460</v>
      </c>
      <c r="C578" s="0" t="n">
        <v>2024</v>
      </c>
      <c r="D578" s="28" t="s">
        <v>108</v>
      </c>
      <c r="E578" s="0" t="n">
        <v>6</v>
      </c>
      <c r="F578" s="28" t="s">
        <v>113</v>
      </c>
      <c r="G578" s="28" t="s">
        <v>114</v>
      </c>
      <c r="H578" s="28" t="s">
        <v>100</v>
      </c>
      <c r="I578" s="28" t="s">
        <v>101</v>
      </c>
      <c r="J578" s="28" t="s">
        <v>66</v>
      </c>
      <c r="K578" s="28" t="s">
        <v>90</v>
      </c>
      <c r="L578" s="28" t="s">
        <v>91</v>
      </c>
      <c r="M578" s="28" t="s">
        <v>92</v>
      </c>
      <c r="N578" s="28" t="s">
        <v>93</v>
      </c>
      <c r="O578" s="29" t="n">
        <v>22</v>
      </c>
      <c r="P578" s="30" t="n">
        <v>127.4</v>
      </c>
      <c r="Q578" s="30" t="n">
        <v>76.05</v>
      </c>
      <c r="R578" s="30" t="n">
        <f aca="false">ROUND(O578*P578,2)</f>
        <v>2802.8</v>
      </c>
      <c r="S578" s="30" t="n">
        <f aca="false">ROUND(O578*Q578,2)</f>
        <v>1673.1</v>
      </c>
      <c r="T578" s="30" t="n">
        <f aca="false">ROUND(R578*SUMIFS(Parametros!$E$23:$E$38,Parametros!$B$23:$B$38,J578,Parametros!$C$23:$C$38,C578,Parametros!$D$23:$D$38,D578),2)</f>
        <v>33.63</v>
      </c>
      <c r="U578" s="30" t="n">
        <f aca="false">R578-S578-T578</f>
        <v>1096.07</v>
      </c>
    </row>
    <row r="579" customFormat="false" ht="15" hidden="false" customHeight="false" outlineLevel="0" collapsed="false">
      <c r="A579" s="0" t="n">
        <v>578</v>
      </c>
      <c r="B579" s="27" t="n">
        <v>45467</v>
      </c>
      <c r="C579" s="0" t="n">
        <v>2024</v>
      </c>
      <c r="D579" s="28" t="s">
        <v>108</v>
      </c>
      <c r="E579" s="0" t="n">
        <v>6</v>
      </c>
      <c r="F579" s="28" t="s">
        <v>113</v>
      </c>
      <c r="G579" s="28" t="s">
        <v>114</v>
      </c>
      <c r="H579" s="28" t="s">
        <v>100</v>
      </c>
      <c r="I579" s="28" t="s">
        <v>101</v>
      </c>
      <c r="J579" s="28" t="s">
        <v>71</v>
      </c>
      <c r="K579" s="28" t="s">
        <v>90</v>
      </c>
      <c r="L579" s="28" t="s">
        <v>91</v>
      </c>
      <c r="M579" s="28" t="s">
        <v>92</v>
      </c>
      <c r="N579" s="28" t="s">
        <v>93</v>
      </c>
      <c r="O579" s="29" t="n">
        <v>8</v>
      </c>
      <c r="P579" s="30" t="n">
        <v>127.4</v>
      </c>
      <c r="Q579" s="30" t="n">
        <v>76.05</v>
      </c>
      <c r="R579" s="30" t="n">
        <f aca="false">ROUND(O579*P579,2)</f>
        <v>1019.2</v>
      </c>
      <c r="S579" s="30" t="n">
        <f aca="false">ROUND(O579*Q579,2)</f>
        <v>608.4</v>
      </c>
      <c r="T579" s="30" t="n">
        <f aca="false">ROUND(R579*SUMIFS(Parametros!$E$23:$E$38,Parametros!$B$23:$B$38,J579,Parametros!$C$23:$C$38,C579,Parametros!$D$23:$D$38,D579),2)</f>
        <v>44.84</v>
      </c>
      <c r="U579" s="30" t="n">
        <f aca="false">R579-S579-T579</f>
        <v>365.96</v>
      </c>
    </row>
    <row r="580" customFormat="false" ht="15" hidden="false" customHeight="false" outlineLevel="0" collapsed="false">
      <c r="A580" s="0" t="n">
        <v>579</v>
      </c>
      <c r="B580" s="27" t="n">
        <v>45447</v>
      </c>
      <c r="C580" s="0" t="n">
        <v>2024</v>
      </c>
      <c r="D580" s="28" t="s">
        <v>108</v>
      </c>
      <c r="E580" s="0" t="n">
        <v>6</v>
      </c>
      <c r="F580" s="28" t="s">
        <v>113</v>
      </c>
      <c r="G580" s="28" t="s">
        <v>114</v>
      </c>
      <c r="H580" s="28" t="s">
        <v>100</v>
      </c>
      <c r="I580" s="28" t="s">
        <v>101</v>
      </c>
      <c r="J580" s="28" t="s">
        <v>66</v>
      </c>
      <c r="K580" s="28" t="s">
        <v>90</v>
      </c>
      <c r="L580" s="28" t="s">
        <v>91</v>
      </c>
      <c r="M580" s="28" t="s">
        <v>94</v>
      </c>
      <c r="N580" s="28" t="s">
        <v>95</v>
      </c>
      <c r="O580" s="29" t="n">
        <v>18</v>
      </c>
      <c r="P580" s="30" t="n">
        <v>34.3</v>
      </c>
      <c r="Q580" s="30" t="n">
        <v>17.85</v>
      </c>
      <c r="R580" s="30" t="n">
        <f aca="false">ROUND(O580*P580,2)</f>
        <v>617.4</v>
      </c>
      <c r="S580" s="30" t="n">
        <f aca="false">ROUND(O580*Q580,2)</f>
        <v>321.3</v>
      </c>
      <c r="T580" s="30" t="n">
        <f aca="false">ROUND(R580*SUMIFS(Parametros!$E$23:$E$38,Parametros!$B$23:$B$38,J580,Parametros!$C$23:$C$38,C580,Parametros!$D$23:$D$38,D580),2)</f>
        <v>7.41</v>
      </c>
      <c r="U580" s="30" t="n">
        <f aca="false">R580-S580-T580</f>
        <v>288.69</v>
      </c>
    </row>
    <row r="581" customFormat="false" ht="15" hidden="false" customHeight="false" outlineLevel="0" collapsed="false">
      <c r="A581" s="0" t="n">
        <v>580</v>
      </c>
      <c r="B581" s="27" t="n">
        <v>45454</v>
      </c>
      <c r="C581" s="0" t="n">
        <v>2024</v>
      </c>
      <c r="D581" s="28" t="s">
        <v>108</v>
      </c>
      <c r="E581" s="0" t="n">
        <v>6</v>
      </c>
      <c r="F581" s="28" t="s">
        <v>113</v>
      </c>
      <c r="G581" s="28" t="s">
        <v>114</v>
      </c>
      <c r="H581" s="28" t="s">
        <v>100</v>
      </c>
      <c r="I581" s="28" t="s">
        <v>101</v>
      </c>
      <c r="J581" s="28" t="s">
        <v>71</v>
      </c>
      <c r="K581" s="28" t="s">
        <v>90</v>
      </c>
      <c r="L581" s="28" t="s">
        <v>91</v>
      </c>
      <c r="M581" s="28" t="s">
        <v>94</v>
      </c>
      <c r="N581" s="28" t="s">
        <v>95</v>
      </c>
      <c r="O581" s="29" t="n">
        <v>7</v>
      </c>
      <c r="P581" s="30" t="n">
        <v>34.3</v>
      </c>
      <c r="Q581" s="30" t="n">
        <v>17.85</v>
      </c>
      <c r="R581" s="30" t="n">
        <f aca="false">ROUND(O581*P581,2)</f>
        <v>240.1</v>
      </c>
      <c r="S581" s="30" t="n">
        <f aca="false">ROUND(O581*Q581,2)</f>
        <v>124.95</v>
      </c>
      <c r="T581" s="30" t="n">
        <f aca="false">ROUND(R581*SUMIFS(Parametros!$E$23:$E$38,Parametros!$B$23:$B$38,J581,Parametros!$C$23:$C$38,C581,Parametros!$D$23:$D$38,D581),2)</f>
        <v>10.56</v>
      </c>
      <c r="U581" s="30" t="n">
        <f aca="false">R581-S581-T581</f>
        <v>104.59</v>
      </c>
    </row>
    <row r="582" customFormat="false" ht="15" hidden="false" customHeight="false" outlineLevel="0" collapsed="false">
      <c r="A582" s="0" t="n">
        <v>581</v>
      </c>
      <c r="B582" s="27" t="n">
        <v>45461</v>
      </c>
      <c r="C582" s="0" t="n">
        <v>2024</v>
      </c>
      <c r="D582" s="28" t="s">
        <v>108</v>
      </c>
      <c r="E582" s="0" t="n">
        <v>6</v>
      </c>
      <c r="F582" s="28" t="s">
        <v>113</v>
      </c>
      <c r="G582" s="28" t="s">
        <v>114</v>
      </c>
      <c r="H582" s="28" t="s">
        <v>102</v>
      </c>
      <c r="I582" s="28" t="s">
        <v>103</v>
      </c>
      <c r="J582" s="28" t="s">
        <v>66</v>
      </c>
      <c r="K582" s="28" t="s">
        <v>67</v>
      </c>
      <c r="L582" s="28" t="s">
        <v>68</v>
      </c>
      <c r="M582" s="28" t="s">
        <v>69</v>
      </c>
      <c r="N582" s="28" t="s">
        <v>70</v>
      </c>
      <c r="O582" s="29" t="n">
        <v>7</v>
      </c>
      <c r="P582" s="30" t="n">
        <v>1176</v>
      </c>
      <c r="Q582" s="30" t="n">
        <v>744</v>
      </c>
      <c r="R582" s="30" t="n">
        <f aca="false">ROUND(O582*P582,2)</f>
        <v>8232</v>
      </c>
      <c r="S582" s="30" t="n">
        <f aca="false">ROUND(O582*Q582,2)</f>
        <v>5208</v>
      </c>
      <c r="T582" s="30" t="n">
        <f aca="false">ROUND(R582*SUMIFS(Parametros!$E$23:$E$38,Parametros!$B$23:$B$38,J582,Parametros!$C$23:$C$38,C582,Parametros!$D$23:$D$38,D582),2)</f>
        <v>98.78</v>
      </c>
      <c r="U582" s="30" t="n">
        <f aca="false">R582-S582-T582</f>
        <v>2925.22</v>
      </c>
    </row>
    <row r="583" customFormat="false" ht="15" hidden="false" customHeight="false" outlineLevel="0" collapsed="false">
      <c r="A583" s="0" t="n">
        <v>582</v>
      </c>
      <c r="B583" s="27" t="n">
        <v>45468</v>
      </c>
      <c r="C583" s="0" t="n">
        <v>2024</v>
      </c>
      <c r="D583" s="28" t="s">
        <v>108</v>
      </c>
      <c r="E583" s="0" t="n">
        <v>6</v>
      </c>
      <c r="F583" s="28" t="s">
        <v>113</v>
      </c>
      <c r="G583" s="28" t="s">
        <v>114</v>
      </c>
      <c r="H583" s="28" t="s">
        <v>102</v>
      </c>
      <c r="I583" s="28" t="s">
        <v>103</v>
      </c>
      <c r="J583" s="28" t="s">
        <v>71</v>
      </c>
      <c r="K583" s="28" t="s">
        <v>67</v>
      </c>
      <c r="L583" s="28" t="s">
        <v>68</v>
      </c>
      <c r="M583" s="28" t="s">
        <v>69</v>
      </c>
      <c r="N583" s="28" t="s">
        <v>70</v>
      </c>
      <c r="O583" s="29" t="n">
        <v>3</v>
      </c>
      <c r="P583" s="30" t="n">
        <v>1176</v>
      </c>
      <c r="Q583" s="30" t="n">
        <v>744</v>
      </c>
      <c r="R583" s="30" t="n">
        <f aca="false">ROUND(O583*P583,2)</f>
        <v>3528</v>
      </c>
      <c r="S583" s="30" t="n">
        <f aca="false">ROUND(O583*Q583,2)</f>
        <v>2232</v>
      </c>
      <c r="T583" s="30" t="n">
        <f aca="false">ROUND(R583*SUMIFS(Parametros!$E$23:$E$38,Parametros!$B$23:$B$38,J583,Parametros!$C$23:$C$38,C583,Parametros!$D$23:$D$38,D583),2)</f>
        <v>155.23</v>
      </c>
      <c r="U583" s="30" t="n">
        <f aca="false">R583-S583-T583</f>
        <v>1140.77</v>
      </c>
    </row>
    <row r="584" customFormat="false" ht="15" hidden="false" customHeight="false" outlineLevel="0" collapsed="false">
      <c r="A584" s="0" t="n">
        <v>583</v>
      </c>
      <c r="B584" s="27" t="n">
        <v>45448</v>
      </c>
      <c r="C584" s="0" t="n">
        <v>2024</v>
      </c>
      <c r="D584" s="28" t="s">
        <v>108</v>
      </c>
      <c r="E584" s="0" t="n">
        <v>6</v>
      </c>
      <c r="F584" s="28" t="s">
        <v>113</v>
      </c>
      <c r="G584" s="28" t="s">
        <v>114</v>
      </c>
      <c r="H584" s="28" t="s">
        <v>102</v>
      </c>
      <c r="I584" s="28" t="s">
        <v>103</v>
      </c>
      <c r="J584" s="28" t="s">
        <v>66</v>
      </c>
      <c r="K584" s="28" t="s">
        <v>67</v>
      </c>
      <c r="L584" s="28" t="s">
        <v>68</v>
      </c>
      <c r="M584" s="28" t="s">
        <v>72</v>
      </c>
      <c r="N584" s="28" t="s">
        <v>73</v>
      </c>
      <c r="O584" s="29" t="n">
        <v>6</v>
      </c>
      <c r="P584" s="30" t="n">
        <v>441</v>
      </c>
      <c r="Q584" s="30" t="n">
        <v>272.25</v>
      </c>
      <c r="R584" s="30" t="n">
        <f aca="false">ROUND(O584*P584,2)</f>
        <v>2646</v>
      </c>
      <c r="S584" s="30" t="n">
        <f aca="false">ROUND(O584*Q584,2)</f>
        <v>1633.5</v>
      </c>
      <c r="T584" s="30" t="n">
        <f aca="false">ROUND(R584*SUMIFS(Parametros!$E$23:$E$38,Parametros!$B$23:$B$38,J584,Parametros!$C$23:$C$38,C584,Parametros!$D$23:$D$38,D584),2)</f>
        <v>31.75</v>
      </c>
      <c r="U584" s="30" t="n">
        <f aca="false">R584-S584-T584</f>
        <v>980.75</v>
      </c>
    </row>
    <row r="585" customFormat="false" ht="15" hidden="false" customHeight="false" outlineLevel="0" collapsed="false">
      <c r="A585" s="0" t="n">
        <v>584</v>
      </c>
      <c r="B585" s="27" t="n">
        <v>45455</v>
      </c>
      <c r="C585" s="0" t="n">
        <v>2024</v>
      </c>
      <c r="D585" s="28" t="s">
        <v>108</v>
      </c>
      <c r="E585" s="0" t="n">
        <v>6</v>
      </c>
      <c r="F585" s="28" t="s">
        <v>113</v>
      </c>
      <c r="G585" s="28" t="s">
        <v>114</v>
      </c>
      <c r="H585" s="28" t="s">
        <v>102</v>
      </c>
      <c r="I585" s="28" t="s">
        <v>103</v>
      </c>
      <c r="J585" s="28" t="s">
        <v>71</v>
      </c>
      <c r="K585" s="28" t="s">
        <v>67</v>
      </c>
      <c r="L585" s="28" t="s">
        <v>68</v>
      </c>
      <c r="M585" s="28" t="s">
        <v>72</v>
      </c>
      <c r="N585" s="28" t="s">
        <v>73</v>
      </c>
      <c r="O585" s="29" t="n">
        <v>3</v>
      </c>
      <c r="P585" s="30" t="n">
        <v>441</v>
      </c>
      <c r="Q585" s="30" t="n">
        <v>272.25</v>
      </c>
      <c r="R585" s="30" t="n">
        <f aca="false">ROUND(O585*P585,2)</f>
        <v>1323</v>
      </c>
      <c r="S585" s="30" t="n">
        <f aca="false">ROUND(O585*Q585,2)</f>
        <v>816.75</v>
      </c>
      <c r="T585" s="30" t="n">
        <f aca="false">ROUND(R585*SUMIFS(Parametros!$E$23:$E$38,Parametros!$B$23:$B$38,J585,Parametros!$C$23:$C$38,C585,Parametros!$D$23:$D$38,D585),2)</f>
        <v>58.21</v>
      </c>
      <c r="U585" s="30" t="n">
        <f aca="false">R585-S585-T585</f>
        <v>448.04</v>
      </c>
    </row>
    <row r="586" customFormat="false" ht="15" hidden="false" customHeight="false" outlineLevel="0" collapsed="false">
      <c r="A586" s="0" t="n">
        <v>585</v>
      </c>
      <c r="B586" s="27" t="n">
        <v>45462</v>
      </c>
      <c r="C586" s="0" t="n">
        <v>2024</v>
      </c>
      <c r="D586" s="28" t="s">
        <v>108</v>
      </c>
      <c r="E586" s="0" t="n">
        <v>6</v>
      </c>
      <c r="F586" s="28" t="s">
        <v>113</v>
      </c>
      <c r="G586" s="28" t="s">
        <v>114</v>
      </c>
      <c r="H586" s="28" t="s">
        <v>102</v>
      </c>
      <c r="I586" s="28" t="s">
        <v>103</v>
      </c>
      <c r="J586" s="28" t="s">
        <v>66</v>
      </c>
      <c r="K586" s="28" t="s">
        <v>67</v>
      </c>
      <c r="L586" s="28" t="s">
        <v>68</v>
      </c>
      <c r="M586" s="28" t="s">
        <v>74</v>
      </c>
      <c r="N586" s="28" t="s">
        <v>75</v>
      </c>
      <c r="O586" s="29" t="n">
        <v>8</v>
      </c>
      <c r="P586" s="30" t="n">
        <v>1617</v>
      </c>
      <c r="Q586" s="30" t="n">
        <v>1122</v>
      </c>
      <c r="R586" s="30" t="n">
        <f aca="false">ROUND(O586*P586,2)</f>
        <v>12936</v>
      </c>
      <c r="S586" s="30" t="n">
        <f aca="false">ROUND(O586*Q586,2)</f>
        <v>8976</v>
      </c>
      <c r="T586" s="30" t="n">
        <f aca="false">ROUND(R586*SUMIFS(Parametros!$E$23:$E$38,Parametros!$B$23:$B$38,J586,Parametros!$C$23:$C$38,C586,Parametros!$D$23:$D$38,D586),2)</f>
        <v>155.23</v>
      </c>
      <c r="U586" s="30" t="n">
        <f aca="false">R586-S586-T586</f>
        <v>3804.77</v>
      </c>
    </row>
    <row r="587" customFormat="false" ht="15" hidden="false" customHeight="false" outlineLevel="0" collapsed="false">
      <c r="A587" s="0" t="n">
        <v>586</v>
      </c>
      <c r="B587" s="27" t="n">
        <v>45469</v>
      </c>
      <c r="C587" s="0" t="n">
        <v>2024</v>
      </c>
      <c r="D587" s="28" t="s">
        <v>108</v>
      </c>
      <c r="E587" s="0" t="n">
        <v>6</v>
      </c>
      <c r="F587" s="28" t="s">
        <v>113</v>
      </c>
      <c r="G587" s="28" t="s">
        <v>114</v>
      </c>
      <c r="H587" s="28" t="s">
        <v>102</v>
      </c>
      <c r="I587" s="28" t="s">
        <v>103</v>
      </c>
      <c r="J587" s="28" t="s">
        <v>71</v>
      </c>
      <c r="K587" s="28" t="s">
        <v>67</v>
      </c>
      <c r="L587" s="28" t="s">
        <v>68</v>
      </c>
      <c r="M587" s="28" t="s">
        <v>74</v>
      </c>
      <c r="N587" s="28" t="s">
        <v>75</v>
      </c>
      <c r="O587" s="29" t="n">
        <v>2</v>
      </c>
      <c r="P587" s="30" t="n">
        <v>1617</v>
      </c>
      <c r="Q587" s="30" t="n">
        <v>1122</v>
      </c>
      <c r="R587" s="30" t="n">
        <f aca="false">ROUND(O587*P587,2)</f>
        <v>3234</v>
      </c>
      <c r="S587" s="30" t="n">
        <f aca="false">ROUND(O587*Q587,2)</f>
        <v>2244</v>
      </c>
      <c r="T587" s="30" t="n">
        <f aca="false">ROUND(R587*SUMIFS(Parametros!$E$23:$E$38,Parametros!$B$23:$B$38,J587,Parametros!$C$23:$C$38,C587,Parametros!$D$23:$D$38,D587),2)</f>
        <v>142.3</v>
      </c>
      <c r="U587" s="30" t="n">
        <f aca="false">R587-S587-T587</f>
        <v>847.7</v>
      </c>
    </row>
    <row r="588" customFormat="false" ht="15" hidden="false" customHeight="false" outlineLevel="0" collapsed="false">
      <c r="A588" s="0" t="n">
        <v>587</v>
      </c>
      <c r="B588" s="27" t="n">
        <v>45449</v>
      </c>
      <c r="C588" s="0" t="n">
        <v>2024</v>
      </c>
      <c r="D588" s="28" t="s">
        <v>108</v>
      </c>
      <c r="E588" s="0" t="n">
        <v>6</v>
      </c>
      <c r="F588" s="28" t="s">
        <v>113</v>
      </c>
      <c r="G588" s="28" t="s">
        <v>114</v>
      </c>
      <c r="H588" s="28" t="s">
        <v>102</v>
      </c>
      <c r="I588" s="28" t="s">
        <v>103</v>
      </c>
      <c r="J588" s="28" t="s">
        <v>66</v>
      </c>
      <c r="K588" s="28" t="s">
        <v>76</v>
      </c>
      <c r="L588" s="28" t="s">
        <v>77</v>
      </c>
      <c r="M588" s="28" t="s">
        <v>78</v>
      </c>
      <c r="N588" s="28" t="s">
        <v>79</v>
      </c>
      <c r="O588" s="29" t="n">
        <v>35</v>
      </c>
      <c r="P588" s="30" t="n">
        <v>27.44</v>
      </c>
      <c r="Q588" s="30" t="n">
        <v>13.44</v>
      </c>
      <c r="R588" s="30" t="n">
        <f aca="false">ROUND(O588*P588,2)</f>
        <v>960.4</v>
      </c>
      <c r="S588" s="30" t="n">
        <f aca="false">ROUND(O588*Q588,2)</f>
        <v>470.4</v>
      </c>
      <c r="T588" s="30" t="n">
        <f aca="false">ROUND(R588*SUMIFS(Parametros!$E$23:$E$38,Parametros!$B$23:$B$38,J588,Parametros!$C$23:$C$38,C588,Parametros!$D$23:$D$38,D588),2)</f>
        <v>11.52</v>
      </c>
      <c r="U588" s="30" t="n">
        <f aca="false">R588-S588-T588</f>
        <v>478.48</v>
      </c>
    </row>
    <row r="589" customFormat="false" ht="15" hidden="false" customHeight="false" outlineLevel="0" collapsed="false">
      <c r="A589" s="0" t="n">
        <v>588</v>
      </c>
      <c r="B589" s="27" t="n">
        <v>45456</v>
      </c>
      <c r="C589" s="0" t="n">
        <v>2024</v>
      </c>
      <c r="D589" s="28" t="s">
        <v>108</v>
      </c>
      <c r="E589" s="0" t="n">
        <v>6</v>
      </c>
      <c r="F589" s="28" t="s">
        <v>113</v>
      </c>
      <c r="G589" s="28" t="s">
        <v>114</v>
      </c>
      <c r="H589" s="28" t="s">
        <v>102</v>
      </c>
      <c r="I589" s="28" t="s">
        <v>103</v>
      </c>
      <c r="J589" s="28" t="s">
        <v>71</v>
      </c>
      <c r="K589" s="28" t="s">
        <v>76</v>
      </c>
      <c r="L589" s="28" t="s">
        <v>77</v>
      </c>
      <c r="M589" s="28" t="s">
        <v>78</v>
      </c>
      <c r="N589" s="28" t="s">
        <v>79</v>
      </c>
      <c r="O589" s="29" t="n">
        <v>11</v>
      </c>
      <c r="P589" s="30" t="n">
        <v>27.44</v>
      </c>
      <c r="Q589" s="30" t="n">
        <v>13.44</v>
      </c>
      <c r="R589" s="30" t="n">
        <f aca="false">ROUND(O589*P589,2)</f>
        <v>301.84</v>
      </c>
      <c r="S589" s="30" t="n">
        <f aca="false">ROUND(O589*Q589,2)</f>
        <v>147.84</v>
      </c>
      <c r="T589" s="30" t="n">
        <f aca="false">ROUND(R589*SUMIFS(Parametros!$E$23:$E$38,Parametros!$B$23:$B$38,J589,Parametros!$C$23:$C$38,C589,Parametros!$D$23:$D$38,D589),2)</f>
        <v>13.28</v>
      </c>
      <c r="U589" s="30" t="n">
        <f aca="false">R589-S589-T589</f>
        <v>140.72</v>
      </c>
    </row>
    <row r="590" customFormat="false" ht="15" hidden="false" customHeight="false" outlineLevel="0" collapsed="false">
      <c r="A590" s="0" t="n">
        <v>589</v>
      </c>
      <c r="B590" s="27" t="n">
        <v>45463</v>
      </c>
      <c r="C590" s="0" t="n">
        <v>2024</v>
      </c>
      <c r="D590" s="28" t="s">
        <v>108</v>
      </c>
      <c r="E590" s="0" t="n">
        <v>6</v>
      </c>
      <c r="F590" s="28" t="s">
        <v>113</v>
      </c>
      <c r="G590" s="28" t="s">
        <v>114</v>
      </c>
      <c r="H590" s="28" t="s">
        <v>102</v>
      </c>
      <c r="I590" s="28" t="s">
        <v>103</v>
      </c>
      <c r="J590" s="28" t="s">
        <v>66</v>
      </c>
      <c r="K590" s="28" t="s">
        <v>76</v>
      </c>
      <c r="L590" s="28" t="s">
        <v>77</v>
      </c>
      <c r="M590" s="28" t="s">
        <v>80</v>
      </c>
      <c r="N590" s="28" t="s">
        <v>81</v>
      </c>
      <c r="O590" s="29" t="n">
        <v>31</v>
      </c>
      <c r="P590" s="30" t="n">
        <v>93.1</v>
      </c>
      <c r="Q590" s="30" t="n">
        <v>47.98</v>
      </c>
      <c r="R590" s="30" t="n">
        <f aca="false">ROUND(O590*P590,2)</f>
        <v>2886.1</v>
      </c>
      <c r="S590" s="30" t="n">
        <f aca="false">ROUND(O590*Q590,2)</f>
        <v>1487.38</v>
      </c>
      <c r="T590" s="30" t="n">
        <f aca="false">ROUND(R590*SUMIFS(Parametros!$E$23:$E$38,Parametros!$B$23:$B$38,J590,Parametros!$C$23:$C$38,C590,Parametros!$D$23:$D$38,D590),2)</f>
        <v>34.63</v>
      </c>
      <c r="U590" s="30" t="n">
        <f aca="false">R590-S590-T590</f>
        <v>1364.09</v>
      </c>
    </row>
    <row r="591" customFormat="false" ht="15" hidden="false" customHeight="false" outlineLevel="0" collapsed="false">
      <c r="A591" s="0" t="n">
        <v>590</v>
      </c>
      <c r="B591" s="27" t="n">
        <v>45470</v>
      </c>
      <c r="C591" s="0" t="n">
        <v>2024</v>
      </c>
      <c r="D591" s="28" t="s">
        <v>108</v>
      </c>
      <c r="E591" s="0" t="n">
        <v>6</v>
      </c>
      <c r="F591" s="28" t="s">
        <v>113</v>
      </c>
      <c r="G591" s="28" t="s">
        <v>114</v>
      </c>
      <c r="H591" s="28" t="s">
        <v>102</v>
      </c>
      <c r="I591" s="28" t="s">
        <v>103</v>
      </c>
      <c r="J591" s="28" t="s">
        <v>71</v>
      </c>
      <c r="K591" s="28" t="s">
        <v>76</v>
      </c>
      <c r="L591" s="28" t="s">
        <v>77</v>
      </c>
      <c r="M591" s="28" t="s">
        <v>80</v>
      </c>
      <c r="N591" s="28" t="s">
        <v>81</v>
      </c>
      <c r="O591" s="29" t="n">
        <v>14</v>
      </c>
      <c r="P591" s="30" t="n">
        <v>93.1</v>
      </c>
      <c r="Q591" s="30" t="n">
        <v>47.98</v>
      </c>
      <c r="R591" s="30" t="n">
        <f aca="false">ROUND(O591*P591,2)</f>
        <v>1303.4</v>
      </c>
      <c r="S591" s="30" t="n">
        <f aca="false">ROUND(O591*Q591,2)</f>
        <v>671.72</v>
      </c>
      <c r="T591" s="30" t="n">
        <f aca="false">ROUND(R591*SUMIFS(Parametros!$E$23:$E$38,Parametros!$B$23:$B$38,J591,Parametros!$C$23:$C$38,C591,Parametros!$D$23:$D$38,D591),2)</f>
        <v>57.35</v>
      </c>
      <c r="U591" s="30" t="n">
        <f aca="false">R591-S591-T591</f>
        <v>574.33</v>
      </c>
    </row>
    <row r="592" customFormat="false" ht="15" hidden="false" customHeight="false" outlineLevel="0" collapsed="false">
      <c r="A592" s="0" t="n">
        <v>591</v>
      </c>
      <c r="B592" s="27" t="n">
        <v>45450</v>
      </c>
      <c r="C592" s="0" t="n">
        <v>2024</v>
      </c>
      <c r="D592" s="28" t="s">
        <v>108</v>
      </c>
      <c r="E592" s="0" t="n">
        <v>6</v>
      </c>
      <c r="F592" s="28" t="s">
        <v>113</v>
      </c>
      <c r="G592" s="28" t="s">
        <v>114</v>
      </c>
      <c r="H592" s="28" t="s">
        <v>102</v>
      </c>
      <c r="I592" s="28" t="s">
        <v>103</v>
      </c>
      <c r="J592" s="28" t="s">
        <v>66</v>
      </c>
      <c r="K592" s="28" t="s">
        <v>76</v>
      </c>
      <c r="L592" s="28" t="s">
        <v>77</v>
      </c>
      <c r="M592" s="28" t="s">
        <v>82</v>
      </c>
      <c r="N592" s="28" t="s">
        <v>83</v>
      </c>
      <c r="O592" s="29" t="n">
        <v>32</v>
      </c>
      <c r="P592" s="30" t="n">
        <v>63.7</v>
      </c>
      <c r="Q592" s="30" t="n">
        <v>35.43</v>
      </c>
      <c r="R592" s="30" t="n">
        <f aca="false">ROUND(O592*P592,2)</f>
        <v>2038.4</v>
      </c>
      <c r="S592" s="30" t="n">
        <f aca="false">ROUND(O592*Q592,2)</f>
        <v>1133.76</v>
      </c>
      <c r="T592" s="30" t="n">
        <f aca="false">ROUND(R592*SUMIFS(Parametros!$E$23:$E$38,Parametros!$B$23:$B$38,J592,Parametros!$C$23:$C$38,C592,Parametros!$D$23:$D$38,D592),2)</f>
        <v>24.46</v>
      </c>
      <c r="U592" s="30" t="n">
        <f aca="false">R592-S592-T592</f>
        <v>880.18</v>
      </c>
    </row>
    <row r="593" customFormat="false" ht="15" hidden="false" customHeight="false" outlineLevel="0" collapsed="false">
      <c r="A593" s="0" t="n">
        <v>592</v>
      </c>
      <c r="B593" s="27" t="n">
        <v>45457</v>
      </c>
      <c r="C593" s="0" t="n">
        <v>2024</v>
      </c>
      <c r="D593" s="28" t="s">
        <v>108</v>
      </c>
      <c r="E593" s="0" t="n">
        <v>6</v>
      </c>
      <c r="F593" s="28" t="s">
        <v>113</v>
      </c>
      <c r="G593" s="28" t="s">
        <v>114</v>
      </c>
      <c r="H593" s="28" t="s">
        <v>102</v>
      </c>
      <c r="I593" s="28" t="s">
        <v>103</v>
      </c>
      <c r="J593" s="28" t="s">
        <v>71</v>
      </c>
      <c r="K593" s="28" t="s">
        <v>76</v>
      </c>
      <c r="L593" s="28" t="s">
        <v>77</v>
      </c>
      <c r="M593" s="28" t="s">
        <v>82</v>
      </c>
      <c r="N593" s="28" t="s">
        <v>83</v>
      </c>
      <c r="O593" s="29" t="n">
        <v>11</v>
      </c>
      <c r="P593" s="30" t="n">
        <v>63.7</v>
      </c>
      <c r="Q593" s="30" t="n">
        <v>35.43</v>
      </c>
      <c r="R593" s="30" t="n">
        <f aca="false">ROUND(O593*P593,2)</f>
        <v>700.7</v>
      </c>
      <c r="S593" s="30" t="n">
        <f aca="false">ROUND(O593*Q593,2)</f>
        <v>389.73</v>
      </c>
      <c r="T593" s="30" t="n">
        <f aca="false">ROUND(R593*SUMIFS(Parametros!$E$23:$E$38,Parametros!$B$23:$B$38,J593,Parametros!$C$23:$C$38,C593,Parametros!$D$23:$D$38,D593),2)</f>
        <v>30.83</v>
      </c>
      <c r="U593" s="30" t="n">
        <f aca="false">R593-S593-T593</f>
        <v>280.14</v>
      </c>
    </row>
    <row r="594" customFormat="false" ht="15" hidden="false" customHeight="false" outlineLevel="0" collapsed="false">
      <c r="A594" s="0" t="n">
        <v>593</v>
      </c>
      <c r="B594" s="27" t="n">
        <v>45464</v>
      </c>
      <c r="C594" s="0" t="n">
        <v>2024</v>
      </c>
      <c r="D594" s="28" t="s">
        <v>108</v>
      </c>
      <c r="E594" s="0" t="n">
        <v>6</v>
      </c>
      <c r="F594" s="28" t="s">
        <v>113</v>
      </c>
      <c r="G594" s="28" t="s">
        <v>114</v>
      </c>
      <c r="H594" s="28" t="s">
        <v>102</v>
      </c>
      <c r="I594" s="28" t="s">
        <v>103</v>
      </c>
      <c r="J594" s="28" t="s">
        <v>66</v>
      </c>
      <c r="K594" s="28" t="s">
        <v>84</v>
      </c>
      <c r="L594" s="28" t="s">
        <v>85</v>
      </c>
      <c r="M594" s="28" t="s">
        <v>86</v>
      </c>
      <c r="N594" s="28" t="s">
        <v>87</v>
      </c>
      <c r="O594" s="29" t="n">
        <v>15</v>
      </c>
      <c r="P594" s="30" t="n">
        <v>117.6</v>
      </c>
      <c r="Q594" s="30" t="n">
        <v>63.6</v>
      </c>
      <c r="R594" s="30" t="n">
        <f aca="false">ROUND(O594*P594,2)</f>
        <v>1764</v>
      </c>
      <c r="S594" s="30" t="n">
        <f aca="false">ROUND(O594*Q594,2)</f>
        <v>954</v>
      </c>
      <c r="T594" s="30" t="n">
        <f aca="false">ROUND(R594*SUMIFS(Parametros!$E$23:$E$38,Parametros!$B$23:$B$38,J594,Parametros!$C$23:$C$38,C594,Parametros!$D$23:$D$38,D594),2)</f>
        <v>21.17</v>
      </c>
      <c r="U594" s="30" t="n">
        <f aca="false">R594-S594-T594</f>
        <v>788.83</v>
      </c>
    </row>
    <row r="595" customFormat="false" ht="15" hidden="false" customHeight="false" outlineLevel="0" collapsed="false">
      <c r="A595" s="0" t="n">
        <v>594</v>
      </c>
      <c r="B595" s="27" t="n">
        <v>45444</v>
      </c>
      <c r="C595" s="0" t="n">
        <v>2024</v>
      </c>
      <c r="D595" s="28" t="s">
        <v>108</v>
      </c>
      <c r="E595" s="0" t="n">
        <v>6</v>
      </c>
      <c r="F595" s="28" t="s">
        <v>113</v>
      </c>
      <c r="G595" s="28" t="s">
        <v>114</v>
      </c>
      <c r="H595" s="28" t="s">
        <v>102</v>
      </c>
      <c r="I595" s="28" t="s">
        <v>103</v>
      </c>
      <c r="J595" s="28" t="s">
        <v>71</v>
      </c>
      <c r="K595" s="28" t="s">
        <v>84</v>
      </c>
      <c r="L595" s="28" t="s">
        <v>85</v>
      </c>
      <c r="M595" s="28" t="s">
        <v>86</v>
      </c>
      <c r="N595" s="28" t="s">
        <v>87</v>
      </c>
      <c r="O595" s="29" t="n">
        <v>6</v>
      </c>
      <c r="P595" s="30" t="n">
        <v>117.6</v>
      </c>
      <c r="Q595" s="30" t="n">
        <v>63.6</v>
      </c>
      <c r="R595" s="30" t="n">
        <f aca="false">ROUND(O595*P595,2)</f>
        <v>705.6</v>
      </c>
      <c r="S595" s="30" t="n">
        <f aca="false">ROUND(O595*Q595,2)</f>
        <v>381.6</v>
      </c>
      <c r="T595" s="30" t="n">
        <f aca="false">ROUND(R595*SUMIFS(Parametros!$E$23:$E$38,Parametros!$B$23:$B$38,J595,Parametros!$C$23:$C$38,C595,Parametros!$D$23:$D$38,D595),2)</f>
        <v>31.05</v>
      </c>
      <c r="U595" s="30" t="n">
        <f aca="false">R595-S595-T595</f>
        <v>292.95</v>
      </c>
    </row>
    <row r="596" customFormat="false" ht="15" hidden="false" customHeight="false" outlineLevel="0" collapsed="false">
      <c r="A596" s="0" t="n">
        <v>595</v>
      </c>
      <c r="B596" s="27" t="n">
        <v>45451</v>
      </c>
      <c r="C596" s="0" t="n">
        <v>2024</v>
      </c>
      <c r="D596" s="28" t="s">
        <v>108</v>
      </c>
      <c r="E596" s="0" t="n">
        <v>6</v>
      </c>
      <c r="F596" s="28" t="s">
        <v>113</v>
      </c>
      <c r="G596" s="28" t="s">
        <v>114</v>
      </c>
      <c r="H596" s="28" t="s">
        <v>102</v>
      </c>
      <c r="I596" s="28" t="s">
        <v>103</v>
      </c>
      <c r="J596" s="28" t="s">
        <v>66</v>
      </c>
      <c r="K596" s="28" t="s">
        <v>84</v>
      </c>
      <c r="L596" s="28" t="s">
        <v>85</v>
      </c>
      <c r="M596" s="28" t="s">
        <v>88</v>
      </c>
      <c r="N596" s="28" t="s">
        <v>89</v>
      </c>
      <c r="O596" s="29" t="n">
        <v>14</v>
      </c>
      <c r="P596" s="30" t="n">
        <v>83.3</v>
      </c>
      <c r="Q596" s="30" t="n">
        <v>48.02</v>
      </c>
      <c r="R596" s="30" t="n">
        <f aca="false">ROUND(O596*P596,2)</f>
        <v>1166.2</v>
      </c>
      <c r="S596" s="30" t="n">
        <f aca="false">ROUND(O596*Q596,2)</f>
        <v>672.28</v>
      </c>
      <c r="T596" s="30" t="n">
        <f aca="false">ROUND(R596*SUMIFS(Parametros!$E$23:$E$38,Parametros!$B$23:$B$38,J596,Parametros!$C$23:$C$38,C596,Parametros!$D$23:$D$38,D596),2)</f>
        <v>13.99</v>
      </c>
      <c r="U596" s="30" t="n">
        <f aca="false">R596-S596-T596</f>
        <v>479.93</v>
      </c>
    </row>
    <row r="597" customFormat="false" ht="15" hidden="false" customHeight="false" outlineLevel="0" collapsed="false">
      <c r="A597" s="0" t="n">
        <v>596</v>
      </c>
      <c r="B597" s="27" t="n">
        <v>45458</v>
      </c>
      <c r="C597" s="0" t="n">
        <v>2024</v>
      </c>
      <c r="D597" s="28" t="s">
        <v>108</v>
      </c>
      <c r="E597" s="0" t="n">
        <v>6</v>
      </c>
      <c r="F597" s="28" t="s">
        <v>113</v>
      </c>
      <c r="G597" s="28" t="s">
        <v>114</v>
      </c>
      <c r="H597" s="28" t="s">
        <v>102</v>
      </c>
      <c r="I597" s="28" t="s">
        <v>103</v>
      </c>
      <c r="J597" s="28" t="s">
        <v>71</v>
      </c>
      <c r="K597" s="28" t="s">
        <v>84</v>
      </c>
      <c r="L597" s="28" t="s">
        <v>85</v>
      </c>
      <c r="M597" s="28" t="s">
        <v>88</v>
      </c>
      <c r="N597" s="28" t="s">
        <v>89</v>
      </c>
      <c r="O597" s="29" t="n">
        <v>6</v>
      </c>
      <c r="P597" s="30" t="n">
        <v>83.3</v>
      </c>
      <c r="Q597" s="30" t="n">
        <v>48.02</v>
      </c>
      <c r="R597" s="30" t="n">
        <f aca="false">ROUND(O597*P597,2)</f>
        <v>499.8</v>
      </c>
      <c r="S597" s="30" t="n">
        <f aca="false">ROUND(O597*Q597,2)</f>
        <v>288.12</v>
      </c>
      <c r="T597" s="30" t="n">
        <f aca="false">ROUND(R597*SUMIFS(Parametros!$E$23:$E$38,Parametros!$B$23:$B$38,J597,Parametros!$C$23:$C$38,C597,Parametros!$D$23:$D$38,D597),2)</f>
        <v>21.99</v>
      </c>
      <c r="U597" s="30" t="n">
        <f aca="false">R597-S597-T597</f>
        <v>189.69</v>
      </c>
    </row>
    <row r="598" customFormat="false" ht="15" hidden="false" customHeight="false" outlineLevel="0" collapsed="false">
      <c r="A598" s="0" t="n">
        <v>597</v>
      </c>
      <c r="B598" s="27" t="n">
        <v>45465</v>
      </c>
      <c r="C598" s="0" t="n">
        <v>2024</v>
      </c>
      <c r="D598" s="28" t="s">
        <v>108</v>
      </c>
      <c r="E598" s="0" t="n">
        <v>6</v>
      </c>
      <c r="F598" s="28" t="s">
        <v>113</v>
      </c>
      <c r="G598" s="28" t="s">
        <v>114</v>
      </c>
      <c r="H598" s="28" t="s">
        <v>102</v>
      </c>
      <c r="I598" s="28" t="s">
        <v>103</v>
      </c>
      <c r="J598" s="28" t="s">
        <v>66</v>
      </c>
      <c r="K598" s="28" t="s">
        <v>90</v>
      </c>
      <c r="L598" s="28" t="s">
        <v>91</v>
      </c>
      <c r="M598" s="28" t="s">
        <v>92</v>
      </c>
      <c r="N598" s="28" t="s">
        <v>93</v>
      </c>
      <c r="O598" s="29" t="n">
        <v>16</v>
      </c>
      <c r="P598" s="30" t="n">
        <v>127.4</v>
      </c>
      <c r="Q598" s="30" t="n">
        <v>76.05</v>
      </c>
      <c r="R598" s="30" t="n">
        <f aca="false">ROUND(O598*P598,2)</f>
        <v>2038.4</v>
      </c>
      <c r="S598" s="30" t="n">
        <f aca="false">ROUND(O598*Q598,2)</f>
        <v>1216.8</v>
      </c>
      <c r="T598" s="30" t="n">
        <f aca="false">ROUND(R598*SUMIFS(Parametros!$E$23:$E$38,Parametros!$B$23:$B$38,J598,Parametros!$C$23:$C$38,C598,Parametros!$D$23:$D$38,D598),2)</f>
        <v>24.46</v>
      </c>
      <c r="U598" s="30" t="n">
        <f aca="false">R598-S598-T598</f>
        <v>797.14</v>
      </c>
    </row>
    <row r="599" customFormat="false" ht="15" hidden="false" customHeight="false" outlineLevel="0" collapsed="false">
      <c r="A599" s="0" t="n">
        <v>598</v>
      </c>
      <c r="B599" s="27" t="n">
        <v>45445</v>
      </c>
      <c r="C599" s="0" t="n">
        <v>2024</v>
      </c>
      <c r="D599" s="28" t="s">
        <v>108</v>
      </c>
      <c r="E599" s="0" t="n">
        <v>6</v>
      </c>
      <c r="F599" s="28" t="s">
        <v>113</v>
      </c>
      <c r="G599" s="28" t="s">
        <v>114</v>
      </c>
      <c r="H599" s="28" t="s">
        <v>102</v>
      </c>
      <c r="I599" s="28" t="s">
        <v>103</v>
      </c>
      <c r="J599" s="28" t="s">
        <v>71</v>
      </c>
      <c r="K599" s="28" t="s">
        <v>90</v>
      </c>
      <c r="L599" s="28" t="s">
        <v>91</v>
      </c>
      <c r="M599" s="28" t="s">
        <v>92</v>
      </c>
      <c r="N599" s="28" t="s">
        <v>93</v>
      </c>
      <c r="O599" s="29" t="n">
        <v>9</v>
      </c>
      <c r="P599" s="30" t="n">
        <v>127.4</v>
      </c>
      <c r="Q599" s="30" t="n">
        <v>76.05</v>
      </c>
      <c r="R599" s="30" t="n">
        <f aca="false">ROUND(O599*P599,2)</f>
        <v>1146.6</v>
      </c>
      <c r="S599" s="30" t="n">
        <f aca="false">ROUND(O599*Q599,2)</f>
        <v>684.45</v>
      </c>
      <c r="T599" s="30" t="n">
        <f aca="false">ROUND(R599*SUMIFS(Parametros!$E$23:$E$38,Parametros!$B$23:$B$38,J599,Parametros!$C$23:$C$38,C599,Parametros!$D$23:$D$38,D599),2)</f>
        <v>50.45</v>
      </c>
      <c r="U599" s="30" t="n">
        <f aca="false">R599-S599-T599</f>
        <v>411.7</v>
      </c>
    </row>
    <row r="600" customFormat="false" ht="15" hidden="false" customHeight="false" outlineLevel="0" collapsed="false">
      <c r="A600" s="0" t="n">
        <v>599</v>
      </c>
      <c r="B600" s="27" t="n">
        <v>45452</v>
      </c>
      <c r="C600" s="0" t="n">
        <v>2024</v>
      </c>
      <c r="D600" s="28" t="s">
        <v>108</v>
      </c>
      <c r="E600" s="0" t="n">
        <v>6</v>
      </c>
      <c r="F600" s="28" t="s">
        <v>113</v>
      </c>
      <c r="G600" s="28" t="s">
        <v>114</v>
      </c>
      <c r="H600" s="28" t="s">
        <v>102</v>
      </c>
      <c r="I600" s="28" t="s">
        <v>103</v>
      </c>
      <c r="J600" s="28" t="s">
        <v>66</v>
      </c>
      <c r="K600" s="28" t="s">
        <v>90</v>
      </c>
      <c r="L600" s="28" t="s">
        <v>91</v>
      </c>
      <c r="M600" s="28" t="s">
        <v>94</v>
      </c>
      <c r="N600" s="28" t="s">
        <v>95</v>
      </c>
      <c r="O600" s="29" t="n">
        <v>22</v>
      </c>
      <c r="P600" s="30" t="n">
        <v>34.3</v>
      </c>
      <c r="Q600" s="30" t="n">
        <v>17.85</v>
      </c>
      <c r="R600" s="30" t="n">
        <f aca="false">ROUND(O600*P600,2)</f>
        <v>754.6</v>
      </c>
      <c r="S600" s="30" t="n">
        <f aca="false">ROUND(O600*Q600,2)</f>
        <v>392.7</v>
      </c>
      <c r="T600" s="30" t="n">
        <f aca="false">ROUND(R600*SUMIFS(Parametros!$E$23:$E$38,Parametros!$B$23:$B$38,J600,Parametros!$C$23:$C$38,C600,Parametros!$D$23:$D$38,D600),2)</f>
        <v>9.06</v>
      </c>
      <c r="U600" s="30" t="n">
        <f aca="false">R600-S600-T600</f>
        <v>352.84</v>
      </c>
    </row>
    <row r="601" customFormat="false" ht="15" hidden="false" customHeight="false" outlineLevel="0" collapsed="false">
      <c r="A601" s="0" t="n">
        <v>600</v>
      </c>
      <c r="B601" s="27" t="n">
        <v>45459</v>
      </c>
      <c r="C601" s="0" t="n">
        <v>2024</v>
      </c>
      <c r="D601" s="28" t="s">
        <v>108</v>
      </c>
      <c r="E601" s="0" t="n">
        <v>6</v>
      </c>
      <c r="F601" s="28" t="s">
        <v>113</v>
      </c>
      <c r="G601" s="28" t="s">
        <v>114</v>
      </c>
      <c r="H601" s="28" t="s">
        <v>102</v>
      </c>
      <c r="I601" s="28" t="s">
        <v>103</v>
      </c>
      <c r="J601" s="28" t="s">
        <v>71</v>
      </c>
      <c r="K601" s="28" t="s">
        <v>90</v>
      </c>
      <c r="L601" s="28" t="s">
        <v>91</v>
      </c>
      <c r="M601" s="28" t="s">
        <v>94</v>
      </c>
      <c r="N601" s="28" t="s">
        <v>95</v>
      </c>
      <c r="O601" s="29" t="n">
        <v>7</v>
      </c>
      <c r="P601" s="30" t="n">
        <v>34.3</v>
      </c>
      <c r="Q601" s="30" t="n">
        <v>17.85</v>
      </c>
      <c r="R601" s="30" t="n">
        <f aca="false">ROUND(O601*P601,2)</f>
        <v>240.1</v>
      </c>
      <c r="S601" s="30" t="n">
        <f aca="false">ROUND(O601*Q601,2)</f>
        <v>124.95</v>
      </c>
      <c r="T601" s="30" t="n">
        <f aca="false">ROUND(R601*SUMIFS(Parametros!$E$23:$E$38,Parametros!$B$23:$B$38,J601,Parametros!$C$23:$C$38,C601,Parametros!$D$23:$D$38,D601),2)</f>
        <v>10.56</v>
      </c>
      <c r="U601" s="30" t="n">
        <f aca="false">R601-S601-T601</f>
        <v>104.59</v>
      </c>
    </row>
    <row r="602" customFormat="false" ht="15" hidden="false" customHeight="false" outlineLevel="0" collapsed="false">
      <c r="A602" s="0" t="n">
        <v>601</v>
      </c>
      <c r="B602" s="27" t="n">
        <v>45496</v>
      </c>
      <c r="C602" s="0" t="n">
        <v>2024</v>
      </c>
      <c r="D602" s="28" t="s">
        <v>115</v>
      </c>
      <c r="E602" s="0" t="n">
        <v>7</v>
      </c>
      <c r="F602" s="28" t="s">
        <v>116</v>
      </c>
      <c r="G602" s="28" t="s">
        <v>117</v>
      </c>
      <c r="H602" s="28" t="s">
        <v>64</v>
      </c>
      <c r="I602" s="28" t="s">
        <v>65</v>
      </c>
      <c r="J602" s="28" t="s">
        <v>66</v>
      </c>
      <c r="K602" s="28" t="s">
        <v>67</v>
      </c>
      <c r="L602" s="28" t="s">
        <v>68</v>
      </c>
      <c r="M602" s="28" t="s">
        <v>69</v>
      </c>
      <c r="N602" s="28" t="s">
        <v>70</v>
      </c>
      <c r="O602" s="29" t="n">
        <v>23</v>
      </c>
      <c r="P602" s="30" t="n">
        <v>1176</v>
      </c>
      <c r="Q602" s="30" t="n">
        <v>744</v>
      </c>
      <c r="R602" s="30" t="n">
        <f aca="false">ROUND(O602*P602,2)</f>
        <v>27048</v>
      </c>
      <c r="S602" s="30" t="n">
        <f aca="false">ROUND(O602*Q602,2)</f>
        <v>17112</v>
      </c>
      <c r="T602" s="30" t="n">
        <f aca="false">ROUND(R602*SUMIFS(Parametros!$E$23:$E$38,Parametros!$B$23:$B$38,J602,Parametros!$C$23:$C$38,C602,Parametros!$D$23:$D$38,D602),2)</f>
        <v>351.62</v>
      </c>
      <c r="U602" s="30" t="n">
        <f aca="false">R602-S602-T602</f>
        <v>9584.38</v>
      </c>
    </row>
    <row r="603" customFormat="false" ht="15" hidden="false" customHeight="false" outlineLevel="0" collapsed="false">
      <c r="A603" s="0" t="n">
        <v>602</v>
      </c>
      <c r="B603" s="27" t="n">
        <v>45476</v>
      </c>
      <c r="C603" s="0" t="n">
        <v>2024</v>
      </c>
      <c r="D603" s="28" t="s">
        <v>115</v>
      </c>
      <c r="E603" s="0" t="n">
        <v>7</v>
      </c>
      <c r="F603" s="28" t="s">
        <v>116</v>
      </c>
      <c r="G603" s="28" t="s">
        <v>117</v>
      </c>
      <c r="H603" s="28" t="s">
        <v>64</v>
      </c>
      <c r="I603" s="28" t="s">
        <v>65</v>
      </c>
      <c r="J603" s="28" t="s">
        <v>71</v>
      </c>
      <c r="K603" s="28" t="s">
        <v>67</v>
      </c>
      <c r="L603" s="28" t="s">
        <v>68</v>
      </c>
      <c r="M603" s="28" t="s">
        <v>69</v>
      </c>
      <c r="N603" s="28" t="s">
        <v>70</v>
      </c>
      <c r="O603" s="29" t="n">
        <v>10</v>
      </c>
      <c r="P603" s="30" t="n">
        <v>1176</v>
      </c>
      <c r="Q603" s="30" t="n">
        <v>744</v>
      </c>
      <c r="R603" s="30" t="n">
        <f aca="false">ROUND(O603*P603,2)</f>
        <v>11760</v>
      </c>
      <c r="S603" s="30" t="n">
        <f aca="false">ROUND(O603*Q603,2)</f>
        <v>7440</v>
      </c>
      <c r="T603" s="30" t="n">
        <f aca="false">ROUND(R603*SUMIFS(Parametros!$E$23:$E$38,Parametros!$B$23:$B$38,J603,Parametros!$C$23:$C$38,C603,Parametros!$D$23:$D$38,D603),2)</f>
        <v>540.96</v>
      </c>
      <c r="U603" s="30" t="n">
        <f aca="false">R603-S603-T603</f>
        <v>3779.04</v>
      </c>
    </row>
    <row r="604" customFormat="false" ht="15" hidden="false" customHeight="false" outlineLevel="0" collapsed="false">
      <c r="A604" s="0" t="n">
        <v>603</v>
      </c>
      <c r="B604" s="27" t="n">
        <v>45483</v>
      </c>
      <c r="C604" s="0" t="n">
        <v>2024</v>
      </c>
      <c r="D604" s="28" t="s">
        <v>115</v>
      </c>
      <c r="E604" s="0" t="n">
        <v>7</v>
      </c>
      <c r="F604" s="28" t="s">
        <v>116</v>
      </c>
      <c r="G604" s="28" t="s">
        <v>117</v>
      </c>
      <c r="H604" s="28" t="s">
        <v>64</v>
      </c>
      <c r="I604" s="28" t="s">
        <v>65</v>
      </c>
      <c r="J604" s="28" t="s">
        <v>66</v>
      </c>
      <c r="K604" s="28" t="s">
        <v>67</v>
      </c>
      <c r="L604" s="28" t="s">
        <v>68</v>
      </c>
      <c r="M604" s="28" t="s">
        <v>72</v>
      </c>
      <c r="N604" s="28" t="s">
        <v>73</v>
      </c>
      <c r="O604" s="29" t="n">
        <v>22</v>
      </c>
      <c r="P604" s="30" t="n">
        <v>441</v>
      </c>
      <c r="Q604" s="30" t="n">
        <v>272.25</v>
      </c>
      <c r="R604" s="30" t="n">
        <f aca="false">ROUND(O604*P604,2)</f>
        <v>9702</v>
      </c>
      <c r="S604" s="30" t="n">
        <f aca="false">ROUND(O604*Q604,2)</f>
        <v>5989.5</v>
      </c>
      <c r="T604" s="30" t="n">
        <f aca="false">ROUND(R604*SUMIFS(Parametros!$E$23:$E$38,Parametros!$B$23:$B$38,J604,Parametros!$C$23:$C$38,C604,Parametros!$D$23:$D$38,D604),2)</f>
        <v>126.13</v>
      </c>
      <c r="U604" s="30" t="n">
        <f aca="false">R604-S604-T604</f>
        <v>3586.37</v>
      </c>
    </row>
    <row r="605" customFormat="false" ht="15" hidden="false" customHeight="false" outlineLevel="0" collapsed="false">
      <c r="A605" s="0" t="n">
        <v>604</v>
      </c>
      <c r="B605" s="27" t="n">
        <v>45490</v>
      </c>
      <c r="C605" s="0" t="n">
        <v>2024</v>
      </c>
      <c r="D605" s="28" t="s">
        <v>115</v>
      </c>
      <c r="E605" s="0" t="n">
        <v>7</v>
      </c>
      <c r="F605" s="28" t="s">
        <v>116</v>
      </c>
      <c r="G605" s="28" t="s">
        <v>117</v>
      </c>
      <c r="H605" s="28" t="s">
        <v>64</v>
      </c>
      <c r="I605" s="28" t="s">
        <v>65</v>
      </c>
      <c r="J605" s="28" t="s">
        <v>71</v>
      </c>
      <c r="K605" s="28" t="s">
        <v>67</v>
      </c>
      <c r="L605" s="28" t="s">
        <v>68</v>
      </c>
      <c r="M605" s="28" t="s">
        <v>72</v>
      </c>
      <c r="N605" s="28" t="s">
        <v>73</v>
      </c>
      <c r="O605" s="29" t="n">
        <v>9</v>
      </c>
      <c r="P605" s="30" t="n">
        <v>441</v>
      </c>
      <c r="Q605" s="30" t="n">
        <v>272.25</v>
      </c>
      <c r="R605" s="30" t="n">
        <f aca="false">ROUND(O605*P605,2)</f>
        <v>3969</v>
      </c>
      <c r="S605" s="30" t="n">
        <f aca="false">ROUND(O605*Q605,2)</f>
        <v>2450.25</v>
      </c>
      <c r="T605" s="30" t="n">
        <f aca="false">ROUND(R605*SUMIFS(Parametros!$E$23:$E$38,Parametros!$B$23:$B$38,J605,Parametros!$C$23:$C$38,C605,Parametros!$D$23:$D$38,D605),2)</f>
        <v>182.57</v>
      </c>
      <c r="U605" s="30" t="n">
        <f aca="false">R605-S605-T605</f>
        <v>1336.18</v>
      </c>
    </row>
    <row r="606" customFormat="false" ht="15" hidden="false" customHeight="false" outlineLevel="0" collapsed="false">
      <c r="A606" s="0" t="n">
        <v>605</v>
      </c>
      <c r="B606" s="27" t="n">
        <v>45497</v>
      </c>
      <c r="C606" s="0" t="n">
        <v>2024</v>
      </c>
      <c r="D606" s="28" t="s">
        <v>115</v>
      </c>
      <c r="E606" s="0" t="n">
        <v>7</v>
      </c>
      <c r="F606" s="28" t="s">
        <v>116</v>
      </c>
      <c r="G606" s="28" t="s">
        <v>117</v>
      </c>
      <c r="H606" s="28" t="s">
        <v>64</v>
      </c>
      <c r="I606" s="28" t="s">
        <v>65</v>
      </c>
      <c r="J606" s="28" t="s">
        <v>66</v>
      </c>
      <c r="K606" s="28" t="s">
        <v>67</v>
      </c>
      <c r="L606" s="28" t="s">
        <v>68</v>
      </c>
      <c r="M606" s="28" t="s">
        <v>74</v>
      </c>
      <c r="N606" s="28" t="s">
        <v>75</v>
      </c>
      <c r="O606" s="29" t="n">
        <v>19</v>
      </c>
      <c r="P606" s="30" t="n">
        <v>1617</v>
      </c>
      <c r="Q606" s="30" t="n">
        <v>1122</v>
      </c>
      <c r="R606" s="30" t="n">
        <f aca="false">ROUND(O606*P606,2)</f>
        <v>30723</v>
      </c>
      <c r="S606" s="30" t="n">
        <f aca="false">ROUND(O606*Q606,2)</f>
        <v>21318</v>
      </c>
      <c r="T606" s="30" t="n">
        <f aca="false">ROUND(R606*SUMIFS(Parametros!$E$23:$E$38,Parametros!$B$23:$B$38,J606,Parametros!$C$23:$C$38,C606,Parametros!$D$23:$D$38,D606),2)</f>
        <v>399.4</v>
      </c>
      <c r="U606" s="30" t="n">
        <f aca="false">R606-S606-T606</f>
        <v>9005.6</v>
      </c>
    </row>
    <row r="607" customFormat="false" ht="15" hidden="false" customHeight="false" outlineLevel="0" collapsed="false">
      <c r="A607" s="0" t="n">
        <v>606</v>
      </c>
      <c r="B607" s="27" t="n">
        <v>45477</v>
      </c>
      <c r="C607" s="0" t="n">
        <v>2024</v>
      </c>
      <c r="D607" s="28" t="s">
        <v>115</v>
      </c>
      <c r="E607" s="0" t="n">
        <v>7</v>
      </c>
      <c r="F607" s="28" t="s">
        <v>116</v>
      </c>
      <c r="G607" s="28" t="s">
        <v>117</v>
      </c>
      <c r="H607" s="28" t="s">
        <v>64</v>
      </c>
      <c r="I607" s="28" t="s">
        <v>65</v>
      </c>
      <c r="J607" s="28" t="s">
        <v>71</v>
      </c>
      <c r="K607" s="28" t="s">
        <v>67</v>
      </c>
      <c r="L607" s="28" t="s">
        <v>68</v>
      </c>
      <c r="M607" s="28" t="s">
        <v>74</v>
      </c>
      <c r="N607" s="28" t="s">
        <v>75</v>
      </c>
      <c r="O607" s="29" t="n">
        <v>10</v>
      </c>
      <c r="P607" s="30" t="n">
        <v>1617</v>
      </c>
      <c r="Q607" s="30" t="n">
        <v>1122</v>
      </c>
      <c r="R607" s="30" t="n">
        <f aca="false">ROUND(O607*P607,2)</f>
        <v>16170</v>
      </c>
      <c r="S607" s="30" t="n">
        <f aca="false">ROUND(O607*Q607,2)</f>
        <v>11220</v>
      </c>
      <c r="T607" s="30" t="n">
        <f aca="false">ROUND(R607*SUMIFS(Parametros!$E$23:$E$38,Parametros!$B$23:$B$38,J607,Parametros!$C$23:$C$38,C607,Parametros!$D$23:$D$38,D607),2)</f>
        <v>743.82</v>
      </c>
      <c r="U607" s="30" t="n">
        <f aca="false">R607-S607-T607</f>
        <v>4206.18</v>
      </c>
    </row>
    <row r="608" customFormat="false" ht="15" hidden="false" customHeight="false" outlineLevel="0" collapsed="false">
      <c r="A608" s="0" t="n">
        <v>607</v>
      </c>
      <c r="B608" s="27" t="n">
        <v>45484</v>
      </c>
      <c r="C608" s="0" t="n">
        <v>2024</v>
      </c>
      <c r="D608" s="28" t="s">
        <v>115</v>
      </c>
      <c r="E608" s="0" t="n">
        <v>7</v>
      </c>
      <c r="F608" s="28" t="s">
        <v>116</v>
      </c>
      <c r="G608" s="28" t="s">
        <v>117</v>
      </c>
      <c r="H608" s="28" t="s">
        <v>64</v>
      </c>
      <c r="I608" s="28" t="s">
        <v>65</v>
      </c>
      <c r="J608" s="28" t="s">
        <v>66</v>
      </c>
      <c r="K608" s="28" t="s">
        <v>76</v>
      </c>
      <c r="L608" s="28" t="s">
        <v>77</v>
      </c>
      <c r="M608" s="28" t="s">
        <v>78</v>
      </c>
      <c r="N608" s="28" t="s">
        <v>79</v>
      </c>
      <c r="O608" s="29" t="n">
        <v>124</v>
      </c>
      <c r="P608" s="30" t="n">
        <v>27.44</v>
      </c>
      <c r="Q608" s="30" t="n">
        <v>13.44</v>
      </c>
      <c r="R608" s="30" t="n">
        <f aca="false">ROUND(O608*P608,2)</f>
        <v>3402.56</v>
      </c>
      <c r="S608" s="30" t="n">
        <f aca="false">ROUND(O608*Q608,2)</f>
        <v>1666.56</v>
      </c>
      <c r="T608" s="30" t="n">
        <f aca="false">ROUND(R608*SUMIFS(Parametros!$E$23:$E$38,Parametros!$B$23:$B$38,J608,Parametros!$C$23:$C$38,C608,Parametros!$D$23:$D$38,D608),2)</f>
        <v>44.23</v>
      </c>
      <c r="U608" s="30" t="n">
        <f aca="false">R608-S608-T608</f>
        <v>1691.77</v>
      </c>
    </row>
    <row r="609" customFormat="false" ht="15" hidden="false" customHeight="false" outlineLevel="0" collapsed="false">
      <c r="A609" s="0" t="n">
        <v>608</v>
      </c>
      <c r="B609" s="27" t="n">
        <v>45491</v>
      </c>
      <c r="C609" s="0" t="n">
        <v>2024</v>
      </c>
      <c r="D609" s="28" t="s">
        <v>115</v>
      </c>
      <c r="E609" s="0" t="n">
        <v>7</v>
      </c>
      <c r="F609" s="28" t="s">
        <v>116</v>
      </c>
      <c r="G609" s="28" t="s">
        <v>117</v>
      </c>
      <c r="H609" s="28" t="s">
        <v>64</v>
      </c>
      <c r="I609" s="28" t="s">
        <v>65</v>
      </c>
      <c r="J609" s="28" t="s">
        <v>71</v>
      </c>
      <c r="K609" s="28" t="s">
        <v>76</v>
      </c>
      <c r="L609" s="28" t="s">
        <v>77</v>
      </c>
      <c r="M609" s="28" t="s">
        <v>78</v>
      </c>
      <c r="N609" s="28" t="s">
        <v>79</v>
      </c>
      <c r="O609" s="29" t="n">
        <v>40</v>
      </c>
      <c r="P609" s="30" t="n">
        <v>27.44</v>
      </c>
      <c r="Q609" s="30" t="n">
        <v>13.44</v>
      </c>
      <c r="R609" s="30" t="n">
        <f aca="false">ROUND(O609*P609,2)</f>
        <v>1097.6</v>
      </c>
      <c r="S609" s="30" t="n">
        <f aca="false">ROUND(O609*Q609,2)</f>
        <v>537.6</v>
      </c>
      <c r="T609" s="30" t="n">
        <f aca="false">ROUND(R609*SUMIFS(Parametros!$E$23:$E$38,Parametros!$B$23:$B$38,J609,Parametros!$C$23:$C$38,C609,Parametros!$D$23:$D$38,D609),2)</f>
        <v>50.49</v>
      </c>
      <c r="U609" s="30" t="n">
        <f aca="false">R609-S609-T609</f>
        <v>509.51</v>
      </c>
    </row>
    <row r="610" customFormat="false" ht="15" hidden="false" customHeight="false" outlineLevel="0" collapsed="false">
      <c r="A610" s="0" t="n">
        <v>609</v>
      </c>
      <c r="B610" s="27" t="n">
        <v>45498</v>
      </c>
      <c r="C610" s="0" t="n">
        <v>2024</v>
      </c>
      <c r="D610" s="28" t="s">
        <v>115</v>
      </c>
      <c r="E610" s="0" t="n">
        <v>7</v>
      </c>
      <c r="F610" s="28" t="s">
        <v>116</v>
      </c>
      <c r="G610" s="28" t="s">
        <v>117</v>
      </c>
      <c r="H610" s="28" t="s">
        <v>64</v>
      </c>
      <c r="I610" s="28" t="s">
        <v>65</v>
      </c>
      <c r="J610" s="28" t="s">
        <v>66</v>
      </c>
      <c r="K610" s="28" t="s">
        <v>76</v>
      </c>
      <c r="L610" s="28" t="s">
        <v>77</v>
      </c>
      <c r="M610" s="28" t="s">
        <v>80</v>
      </c>
      <c r="N610" s="28" t="s">
        <v>81</v>
      </c>
      <c r="O610" s="29" t="n">
        <v>125</v>
      </c>
      <c r="P610" s="30" t="n">
        <v>93.1</v>
      </c>
      <c r="Q610" s="30" t="n">
        <v>47.98</v>
      </c>
      <c r="R610" s="30" t="n">
        <f aca="false">ROUND(O610*P610,2)</f>
        <v>11637.5</v>
      </c>
      <c r="S610" s="30" t="n">
        <f aca="false">ROUND(O610*Q610,2)</f>
        <v>5997.5</v>
      </c>
      <c r="T610" s="30" t="n">
        <f aca="false">ROUND(R610*SUMIFS(Parametros!$E$23:$E$38,Parametros!$B$23:$B$38,J610,Parametros!$C$23:$C$38,C610,Parametros!$D$23:$D$38,D610),2)</f>
        <v>151.29</v>
      </c>
      <c r="U610" s="30" t="n">
        <f aca="false">R610-S610-T610</f>
        <v>5488.71</v>
      </c>
    </row>
    <row r="611" customFormat="false" ht="15" hidden="false" customHeight="false" outlineLevel="0" collapsed="false">
      <c r="A611" s="0" t="n">
        <v>610</v>
      </c>
      <c r="B611" s="27" t="n">
        <v>45478</v>
      </c>
      <c r="C611" s="0" t="n">
        <v>2024</v>
      </c>
      <c r="D611" s="28" t="s">
        <v>115</v>
      </c>
      <c r="E611" s="0" t="n">
        <v>7</v>
      </c>
      <c r="F611" s="28" t="s">
        <v>116</v>
      </c>
      <c r="G611" s="28" t="s">
        <v>117</v>
      </c>
      <c r="H611" s="28" t="s">
        <v>64</v>
      </c>
      <c r="I611" s="28" t="s">
        <v>65</v>
      </c>
      <c r="J611" s="28" t="s">
        <v>71</v>
      </c>
      <c r="K611" s="28" t="s">
        <v>76</v>
      </c>
      <c r="L611" s="28" t="s">
        <v>77</v>
      </c>
      <c r="M611" s="28" t="s">
        <v>80</v>
      </c>
      <c r="N611" s="28" t="s">
        <v>81</v>
      </c>
      <c r="O611" s="29" t="n">
        <v>49</v>
      </c>
      <c r="P611" s="30" t="n">
        <v>93.1</v>
      </c>
      <c r="Q611" s="30" t="n">
        <v>47.98</v>
      </c>
      <c r="R611" s="30" t="n">
        <f aca="false">ROUND(O611*P611,2)</f>
        <v>4561.9</v>
      </c>
      <c r="S611" s="30" t="n">
        <f aca="false">ROUND(O611*Q611,2)</f>
        <v>2351.02</v>
      </c>
      <c r="T611" s="30" t="n">
        <f aca="false">ROUND(R611*SUMIFS(Parametros!$E$23:$E$38,Parametros!$B$23:$B$38,J611,Parametros!$C$23:$C$38,C611,Parametros!$D$23:$D$38,D611),2)</f>
        <v>209.85</v>
      </c>
      <c r="U611" s="30" t="n">
        <f aca="false">R611-S611-T611</f>
        <v>2001.03</v>
      </c>
    </row>
    <row r="612" customFormat="false" ht="15" hidden="false" customHeight="false" outlineLevel="0" collapsed="false">
      <c r="A612" s="0" t="n">
        <v>611</v>
      </c>
      <c r="B612" s="27" t="n">
        <v>45485</v>
      </c>
      <c r="C612" s="0" t="n">
        <v>2024</v>
      </c>
      <c r="D612" s="28" t="s">
        <v>115</v>
      </c>
      <c r="E612" s="0" t="n">
        <v>7</v>
      </c>
      <c r="F612" s="28" t="s">
        <v>116</v>
      </c>
      <c r="G612" s="28" t="s">
        <v>117</v>
      </c>
      <c r="H612" s="28" t="s">
        <v>64</v>
      </c>
      <c r="I612" s="28" t="s">
        <v>65</v>
      </c>
      <c r="J612" s="28" t="s">
        <v>66</v>
      </c>
      <c r="K612" s="28" t="s">
        <v>76</v>
      </c>
      <c r="L612" s="28" t="s">
        <v>77</v>
      </c>
      <c r="M612" s="28" t="s">
        <v>82</v>
      </c>
      <c r="N612" s="28" t="s">
        <v>83</v>
      </c>
      <c r="O612" s="29" t="n">
        <v>101</v>
      </c>
      <c r="P612" s="30" t="n">
        <v>63.7</v>
      </c>
      <c r="Q612" s="30" t="n">
        <v>35.43</v>
      </c>
      <c r="R612" s="30" t="n">
        <f aca="false">ROUND(O612*P612,2)</f>
        <v>6433.7</v>
      </c>
      <c r="S612" s="30" t="n">
        <f aca="false">ROUND(O612*Q612,2)</f>
        <v>3578.43</v>
      </c>
      <c r="T612" s="30" t="n">
        <f aca="false">ROUND(R612*SUMIFS(Parametros!$E$23:$E$38,Parametros!$B$23:$B$38,J612,Parametros!$C$23:$C$38,C612,Parametros!$D$23:$D$38,D612),2)</f>
        <v>83.64</v>
      </c>
      <c r="U612" s="30" t="n">
        <f aca="false">R612-S612-T612</f>
        <v>2771.63</v>
      </c>
    </row>
    <row r="613" customFormat="false" ht="15" hidden="false" customHeight="false" outlineLevel="0" collapsed="false">
      <c r="A613" s="0" t="n">
        <v>612</v>
      </c>
      <c r="B613" s="27" t="n">
        <v>45492</v>
      </c>
      <c r="C613" s="0" t="n">
        <v>2024</v>
      </c>
      <c r="D613" s="28" t="s">
        <v>115</v>
      </c>
      <c r="E613" s="0" t="n">
        <v>7</v>
      </c>
      <c r="F613" s="28" t="s">
        <v>116</v>
      </c>
      <c r="G613" s="28" t="s">
        <v>117</v>
      </c>
      <c r="H613" s="28" t="s">
        <v>64</v>
      </c>
      <c r="I613" s="28" t="s">
        <v>65</v>
      </c>
      <c r="J613" s="28" t="s">
        <v>71</v>
      </c>
      <c r="K613" s="28" t="s">
        <v>76</v>
      </c>
      <c r="L613" s="28" t="s">
        <v>77</v>
      </c>
      <c r="M613" s="28" t="s">
        <v>82</v>
      </c>
      <c r="N613" s="28" t="s">
        <v>83</v>
      </c>
      <c r="O613" s="29" t="n">
        <v>38</v>
      </c>
      <c r="P613" s="30" t="n">
        <v>63.7</v>
      </c>
      <c r="Q613" s="30" t="n">
        <v>35.43</v>
      </c>
      <c r="R613" s="30" t="n">
        <f aca="false">ROUND(O613*P613,2)</f>
        <v>2420.6</v>
      </c>
      <c r="S613" s="30" t="n">
        <f aca="false">ROUND(O613*Q613,2)</f>
        <v>1346.34</v>
      </c>
      <c r="T613" s="30" t="n">
        <f aca="false">ROUND(R613*SUMIFS(Parametros!$E$23:$E$38,Parametros!$B$23:$B$38,J613,Parametros!$C$23:$C$38,C613,Parametros!$D$23:$D$38,D613),2)</f>
        <v>111.35</v>
      </c>
      <c r="U613" s="30" t="n">
        <f aca="false">R613-S613-T613</f>
        <v>962.91</v>
      </c>
    </row>
    <row r="614" customFormat="false" ht="15" hidden="false" customHeight="false" outlineLevel="0" collapsed="false">
      <c r="A614" s="0" t="n">
        <v>613</v>
      </c>
      <c r="B614" s="27" t="n">
        <v>45499</v>
      </c>
      <c r="C614" s="0" t="n">
        <v>2024</v>
      </c>
      <c r="D614" s="28" t="s">
        <v>115</v>
      </c>
      <c r="E614" s="0" t="n">
        <v>7</v>
      </c>
      <c r="F614" s="28" t="s">
        <v>116</v>
      </c>
      <c r="G614" s="28" t="s">
        <v>117</v>
      </c>
      <c r="H614" s="28" t="s">
        <v>64</v>
      </c>
      <c r="I614" s="28" t="s">
        <v>65</v>
      </c>
      <c r="J614" s="28" t="s">
        <v>66</v>
      </c>
      <c r="K614" s="28" t="s">
        <v>84</v>
      </c>
      <c r="L614" s="28" t="s">
        <v>85</v>
      </c>
      <c r="M614" s="28" t="s">
        <v>86</v>
      </c>
      <c r="N614" s="28" t="s">
        <v>87</v>
      </c>
      <c r="O614" s="29" t="n">
        <v>48</v>
      </c>
      <c r="P614" s="30" t="n">
        <v>117.6</v>
      </c>
      <c r="Q614" s="30" t="n">
        <v>63.6</v>
      </c>
      <c r="R614" s="30" t="n">
        <f aca="false">ROUND(O614*P614,2)</f>
        <v>5644.8</v>
      </c>
      <c r="S614" s="30" t="n">
        <f aca="false">ROUND(O614*Q614,2)</f>
        <v>3052.8</v>
      </c>
      <c r="T614" s="30" t="n">
        <f aca="false">ROUND(R614*SUMIFS(Parametros!$E$23:$E$38,Parametros!$B$23:$B$38,J614,Parametros!$C$23:$C$38,C614,Parametros!$D$23:$D$38,D614),2)</f>
        <v>73.38</v>
      </c>
      <c r="U614" s="30" t="n">
        <f aca="false">R614-S614-T614</f>
        <v>2518.62</v>
      </c>
    </row>
    <row r="615" customFormat="false" ht="15" hidden="false" customHeight="false" outlineLevel="0" collapsed="false">
      <c r="A615" s="0" t="n">
        <v>614</v>
      </c>
      <c r="B615" s="27" t="n">
        <v>45479</v>
      </c>
      <c r="C615" s="0" t="n">
        <v>2024</v>
      </c>
      <c r="D615" s="28" t="s">
        <v>115</v>
      </c>
      <c r="E615" s="0" t="n">
        <v>7</v>
      </c>
      <c r="F615" s="28" t="s">
        <v>116</v>
      </c>
      <c r="G615" s="28" t="s">
        <v>117</v>
      </c>
      <c r="H615" s="28" t="s">
        <v>64</v>
      </c>
      <c r="I615" s="28" t="s">
        <v>65</v>
      </c>
      <c r="J615" s="28" t="s">
        <v>71</v>
      </c>
      <c r="K615" s="28" t="s">
        <v>84</v>
      </c>
      <c r="L615" s="28" t="s">
        <v>85</v>
      </c>
      <c r="M615" s="28" t="s">
        <v>86</v>
      </c>
      <c r="N615" s="28" t="s">
        <v>87</v>
      </c>
      <c r="O615" s="29" t="n">
        <v>18</v>
      </c>
      <c r="P615" s="30" t="n">
        <v>117.6</v>
      </c>
      <c r="Q615" s="30" t="n">
        <v>63.6</v>
      </c>
      <c r="R615" s="30" t="n">
        <f aca="false">ROUND(O615*P615,2)</f>
        <v>2116.8</v>
      </c>
      <c r="S615" s="30" t="n">
        <f aca="false">ROUND(O615*Q615,2)</f>
        <v>1144.8</v>
      </c>
      <c r="T615" s="30" t="n">
        <f aca="false">ROUND(R615*SUMIFS(Parametros!$E$23:$E$38,Parametros!$B$23:$B$38,J615,Parametros!$C$23:$C$38,C615,Parametros!$D$23:$D$38,D615),2)</f>
        <v>97.37</v>
      </c>
      <c r="U615" s="30" t="n">
        <f aca="false">R615-S615-T615</f>
        <v>874.63</v>
      </c>
    </row>
    <row r="616" customFormat="false" ht="15" hidden="false" customHeight="false" outlineLevel="0" collapsed="false">
      <c r="A616" s="0" t="n">
        <v>615</v>
      </c>
      <c r="B616" s="27" t="n">
        <v>45486</v>
      </c>
      <c r="C616" s="0" t="n">
        <v>2024</v>
      </c>
      <c r="D616" s="28" t="s">
        <v>115</v>
      </c>
      <c r="E616" s="0" t="n">
        <v>7</v>
      </c>
      <c r="F616" s="28" t="s">
        <v>116</v>
      </c>
      <c r="G616" s="28" t="s">
        <v>117</v>
      </c>
      <c r="H616" s="28" t="s">
        <v>64</v>
      </c>
      <c r="I616" s="28" t="s">
        <v>65</v>
      </c>
      <c r="J616" s="28" t="s">
        <v>66</v>
      </c>
      <c r="K616" s="28" t="s">
        <v>84</v>
      </c>
      <c r="L616" s="28" t="s">
        <v>85</v>
      </c>
      <c r="M616" s="28" t="s">
        <v>88</v>
      </c>
      <c r="N616" s="28" t="s">
        <v>89</v>
      </c>
      <c r="O616" s="29" t="n">
        <v>43</v>
      </c>
      <c r="P616" s="30" t="n">
        <v>83.3</v>
      </c>
      <c r="Q616" s="30" t="n">
        <v>48.02</v>
      </c>
      <c r="R616" s="30" t="n">
        <f aca="false">ROUND(O616*P616,2)</f>
        <v>3581.9</v>
      </c>
      <c r="S616" s="30" t="n">
        <f aca="false">ROUND(O616*Q616,2)</f>
        <v>2064.86</v>
      </c>
      <c r="T616" s="30" t="n">
        <f aca="false">ROUND(R616*SUMIFS(Parametros!$E$23:$E$38,Parametros!$B$23:$B$38,J616,Parametros!$C$23:$C$38,C616,Parametros!$D$23:$D$38,D616),2)</f>
        <v>46.56</v>
      </c>
      <c r="U616" s="30" t="n">
        <f aca="false">R616-S616-T616</f>
        <v>1470.48</v>
      </c>
    </row>
    <row r="617" customFormat="false" ht="15" hidden="false" customHeight="false" outlineLevel="0" collapsed="false">
      <c r="A617" s="0" t="n">
        <v>616</v>
      </c>
      <c r="B617" s="27" t="n">
        <v>45493</v>
      </c>
      <c r="C617" s="0" t="n">
        <v>2024</v>
      </c>
      <c r="D617" s="28" t="s">
        <v>115</v>
      </c>
      <c r="E617" s="0" t="n">
        <v>7</v>
      </c>
      <c r="F617" s="28" t="s">
        <v>116</v>
      </c>
      <c r="G617" s="28" t="s">
        <v>117</v>
      </c>
      <c r="H617" s="28" t="s">
        <v>64</v>
      </c>
      <c r="I617" s="28" t="s">
        <v>65</v>
      </c>
      <c r="J617" s="28" t="s">
        <v>71</v>
      </c>
      <c r="K617" s="28" t="s">
        <v>84</v>
      </c>
      <c r="L617" s="28" t="s">
        <v>85</v>
      </c>
      <c r="M617" s="28" t="s">
        <v>88</v>
      </c>
      <c r="N617" s="28" t="s">
        <v>89</v>
      </c>
      <c r="O617" s="29" t="n">
        <v>22</v>
      </c>
      <c r="P617" s="30" t="n">
        <v>83.3</v>
      </c>
      <c r="Q617" s="30" t="n">
        <v>48.02</v>
      </c>
      <c r="R617" s="30" t="n">
        <f aca="false">ROUND(O617*P617,2)</f>
        <v>1832.6</v>
      </c>
      <c r="S617" s="30" t="n">
        <f aca="false">ROUND(O617*Q617,2)</f>
        <v>1056.44</v>
      </c>
      <c r="T617" s="30" t="n">
        <f aca="false">ROUND(R617*SUMIFS(Parametros!$E$23:$E$38,Parametros!$B$23:$B$38,J617,Parametros!$C$23:$C$38,C617,Parametros!$D$23:$D$38,D617),2)</f>
        <v>84.3</v>
      </c>
      <c r="U617" s="30" t="n">
        <f aca="false">R617-S617-T617</f>
        <v>691.86</v>
      </c>
    </row>
    <row r="618" customFormat="false" ht="15" hidden="false" customHeight="false" outlineLevel="0" collapsed="false">
      <c r="A618" s="0" t="n">
        <v>617</v>
      </c>
      <c r="B618" s="27" t="n">
        <v>45500</v>
      </c>
      <c r="C618" s="0" t="n">
        <v>2024</v>
      </c>
      <c r="D618" s="28" t="s">
        <v>115</v>
      </c>
      <c r="E618" s="0" t="n">
        <v>7</v>
      </c>
      <c r="F618" s="28" t="s">
        <v>116</v>
      </c>
      <c r="G618" s="28" t="s">
        <v>117</v>
      </c>
      <c r="H618" s="28" t="s">
        <v>64</v>
      </c>
      <c r="I618" s="28" t="s">
        <v>65</v>
      </c>
      <c r="J618" s="28" t="s">
        <v>66</v>
      </c>
      <c r="K618" s="28" t="s">
        <v>90</v>
      </c>
      <c r="L618" s="28" t="s">
        <v>91</v>
      </c>
      <c r="M618" s="28" t="s">
        <v>92</v>
      </c>
      <c r="N618" s="28" t="s">
        <v>93</v>
      </c>
      <c r="O618" s="29" t="n">
        <v>64</v>
      </c>
      <c r="P618" s="30" t="n">
        <v>127.4</v>
      </c>
      <c r="Q618" s="30" t="n">
        <v>76.05</v>
      </c>
      <c r="R618" s="30" t="n">
        <f aca="false">ROUND(O618*P618,2)</f>
        <v>8153.6</v>
      </c>
      <c r="S618" s="30" t="n">
        <f aca="false">ROUND(O618*Q618,2)</f>
        <v>4867.2</v>
      </c>
      <c r="T618" s="30" t="n">
        <f aca="false">ROUND(R618*SUMIFS(Parametros!$E$23:$E$38,Parametros!$B$23:$B$38,J618,Parametros!$C$23:$C$38,C618,Parametros!$D$23:$D$38,D618),2)</f>
        <v>106</v>
      </c>
      <c r="U618" s="30" t="n">
        <f aca="false">R618-S618-T618</f>
        <v>3180.4</v>
      </c>
    </row>
    <row r="619" customFormat="false" ht="15" hidden="false" customHeight="false" outlineLevel="0" collapsed="false">
      <c r="A619" s="0" t="n">
        <v>618</v>
      </c>
      <c r="B619" s="27" t="n">
        <v>45480</v>
      </c>
      <c r="C619" s="0" t="n">
        <v>2024</v>
      </c>
      <c r="D619" s="28" t="s">
        <v>115</v>
      </c>
      <c r="E619" s="0" t="n">
        <v>7</v>
      </c>
      <c r="F619" s="28" t="s">
        <v>116</v>
      </c>
      <c r="G619" s="28" t="s">
        <v>117</v>
      </c>
      <c r="H619" s="28" t="s">
        <v>64</v>
      </c>
      <c r="I619" s="28" t="s">
        <v>65</v>
      </c>
      <c r="J619" s="28" t="s">
        <v>71</v>
      </c>
      <c r="K619" s="28" t="s">
        <v>90</v>
      </c>
      <c r="L619" s="28" t="s">
        <v>91</v>
      </c>
      <c r="M619" s="28" t="s">
        <v>92</v>
      </c>
      <c r="N619" s="28" t="s">
        <v>93</v>
      </c>
      <c r="O619" s="29" t="n">
        <v>27</v>
      </c>
      <c r="P619" s="30" t="n">
        <v>127.4</v>
      </c>
      <c r="Q619" s="30" t="n">
        <v>76.05</v>
      </c>
      <c r="R619" s="30" t="n">
        <f aca="false">ROUND(O619*P619,2)</f>
        <v>3439.8</v>
      </c>
      <c r="S619" s="30" t="n">
        <f aca="false">ROUND(O619*Q619,2)</f>
        <v>2053.35</v>
      </c>
      <c r="T619" s="30" t="n">
        <f aca="false">ROUND(R619*SUMIFS(Parametros!$E$23:$E$38,Parametros!$B$23:$B$38,J619,Parametros!$C$23:$C$38,C619,Parametros!$D$23:$D$38,D619),2)</f>
        <v>158.23</v>
      </c>
      <c r="U619" s="30" t="n">
        <f aca="false">R619-S619-T619</f>
        <v>1228.22</v>
      </c>
    </row>
    <row r="620" customFormat="false" ht="15" hidden="false" customHeight="false" outlineLevel="0" collapsed="false">
      <c r="A620" s="0" t="n">
        <v>619</v>
      </c>
      <c r="B620" s="27" t="n">
        <v>45487</v>
      </c>
      <c r="C620" s="0" t="n">
        <v>2024</v>
      </c>
      <c r="D620" s="28" t="s">
        <v>115</v>
      </c>
      <c r="E620" s="0" t="n">
        <v>7</v>
      </c>
      <c r="F620" s="28" t="s">
        <v>116</v>
      </c>
      <c r="G620" s="28" t="s">
        <v>117</v>
      </c>
      <c r="H620" s="28" t="s">
        <v>64</v>
      </c>
      <c r="I620" s="28" t="s">
        <v>65</v>
      </c>
      <c r="J620" s="28" t="s">
        <v>66</v>
      </c>
      <c r="K620" s="28" t="s">
        <v>90</v>
      </c>
      <c r="L620" s="28" t="s">
        <v>91</v>
      </c>
      <c r="M620" s="28" t="s">
        <v>94</v>
      </c>
      <c r="N620" s="28" t="s">
        <v>95</v>
      </c>
      <c r="O620" s="29" t="n">
        <v>56</v>
      </c>
      <c r="P620" s="30" t="n">
        <v>34.3</v>
      </c>
      <c r="Q620" s="30" t="n">
        <v>17.85</v>
      </c>
      <c r="R620" s="30" t="n">
        <f aca="false">ROUND(O620*P620,2)</f>
        <v>1920.8</v>
      </c>
      <c r="S620" s="30" t="n">
        <f aca="false">ROUND(O620*Q620,2)</f>
        <v>999.6</v>
      </c>
      <c r="T620" s="30" t="n">
        <f aca="false">ROUND(R620*SUMIFS(Parametros!$E$23:$E$38,Parametros!$B$23:$B$38,J620,Parametros!$C$23:$C$38,C620,Parametros!$D$23:$D$38,D620),2)</f>
        <v>24.97</v>
      </c>
      <c r="U620" s="30" t="n">
        <f aca="false">R620-S620-T620</f>
        <v>896.23</v>
      </c>
    </row>
    <row r="621" customFormat="false" ht="15" hidden="false" customHeight="false" outlineLevel="0" collapsed="false">
      <c r="A621" s="0" t="n">
        <v>620</v>
      </c>
      <c r="B621" s="27" t="n">
        <v>45494</v>
      </c>
      <c r="C621" s="0" t="n">
        <v>2024</v>
      </c>
      <c r="D621" s="28" t="s">
        <v>115</v>
      </c>
      <c r="E621" s="0" t="n">
        <v>7</v>
      </c>
      <c r="F621" s="28" t="s">
        <v>116</v>
      </c>
      <c r="G621" s="28" t="s">
        <v>117</v>
      </c>
      <c r="H621" s="28" t="s">
        <v>64</v>
      </c>
      <c r="I621" s="28" t="s">
        <v>65</v>
      </c>
      <c r="J621" s="28" t="s">
        <v>71</v>
      </c>
      <c r="K621" s="28" t="s">
        <v>90</v>
      </c>
      <c r="L621" s="28" t="s">
        <v>91</v>
      </c>
      <c r="M621" s="28" t="s">
        <v>94</v>
      </c>
      <c r="N621" s="28" t="s">
        <v>95</v>
      </c>
      <c r="O621" s="29" t="n">
        <v>27</v>
      </c>
      <c r="P621" s="30" t="n">
        <v>34.3</v>
      </c>
      <c r="Q621" s="30" t="n">
        <v>17.85</v>
      </c>
      <c r="R621" s="30" t="n">
        <f aca="false">ROUND(O621*P621,2)</f>
        <v>926.1</v>
      </c>
      <c r="S621" s="30" t="n">
        <f aca="false">ROUND(O621*Q621,2)</f>
        <v>481.95</v>
      </c>
      <c r="T621" s="30" t="n">
        <f aca="false">ROUND(R621*SUMIFS(Parametros!$E$23:$E$38,Parametros!$B$23:$B$38,J621,Parametros!$C$23:$C$38,C621,Parametros!$D$23:$D$38,D621),2)</f>
        <v>42.6</v>
      </c>
      <c r="U621" s="30" t="n">
        <f aca="false">R621-S621-T621</f>
        <v>401.55</v>
      </c>
    </row>
    <row r="622" customFormat="false" ht="15" hidden="false" customHeight="false" outlineLevel="0" collapsed="false">
      <c r="A622" s="0" t="n">
        <v>621</v>
      </c>
      <c r="B622" s="27" t="n">
        <v>45474</v>
      </c>
      <c r="C622" s="0" t="n">
        <v>2024</v>
      </c>
      <c r="D622" s="28" t="s">
        <v>115</v>
      </c>
      <c r="E622" s="0" t="n">
        <v>7</v>
      </c>
      <c r="F622" s="28" t="s">
        <v>116</v>
      </c>
      <c r="G622" s="28" t="s">
        <v>117</v>
      </c>
      <c r="H622" s="28" t="s">
        <v>96</v>
      </c>
      <c r="I622" s="28" t="s">
        <v>97</v>
      </c>
      <c r="J622" s="28" t="s">
        <v>66</v>
      </c>
      <c r="K622" s="28" t="s">
        <v>67</v>
      </c>
      <c r="L622" s="28" t="s">
        <v>68</v>
      </c>
      <c r="M622" s="28" t="s">
        <v>69</v>
      </c>
      <c r="N622" s="28" t="s">
        <v>70</v>
      </c>
      <c r="O622" s="29" t="n">
        <v>13</v>
      </c>
      <c r="P622" s="30" t="n">
        <v>1176</v>
      </c>
      <c r="Q622" s="30" t="n">
        <v>744</v>
      </c>
      <c r="R622" s="30" t="n">
        <f aca="false">ROUND(O622*P622,2)</f>
        <v>15288</v>
      </c>
      <c r="S622" s="30" t="n">
        <f aca="false">ROUND(O622*Q622,2)</f>
        <v>9672</v>
      </c>
      <c r="T622" s="30" t="n">
        <f aca="false">ROUND(R622*SUMIFS(Parametros!$E$23:$E$38,Parametros!$B$23:$B$38,J622,Parametros!$C$23:$C$38,C622,Parametros!$D$23:$D$38,D622),2)</f>
        <v>198.74</v>
      </c>
      <c r="U622" s="30" t="n">
        <f aca="false">R622-S622-T622</f>
        <v>5417.26</v>
      </c>
    </row>
    <row r="623" customFormat="false" ht="15" hidden="false" customHeight="false" outlineLevel="0" collapsed="false">
      <c r="A623" s="0" t="n">
        <v>622</v>
      </c>
      <c r="B623" s="27" t="n">
        <v>45481</v>
      </c>
      <c r="C623" s="0" t="n">
        <v>2024</v>
      </c>
      <c r="D623" s="28" t="s">
        <v>115</v>
      </c>
      <c r="E623" s="0" t="n">
        <v>7</v>
      </c>
      <c r="F623" s="28" t="s">
        <v>116</v>
      </c>
      <c r="G623" s="28" t="s">
        <v>117</v>
      </c>
      <c r="H623" s="28" t="s">
        <v>96</v>
      </c>
      <c r="I623" s="28" t="s">
        <v>97</v>
      </c>
      <c r="J623" s="28" t="s">
        <v>71</v>
      </c>
      <c r="K623" s="28" t="s">
        <v>67</v>
      </c>
      <c r="L623" s="28" t="s">
        <v>68</v>
      </c>
      <c r="M623" s="28" t="s">
        <v>69</v>
      </c>
      <c r="N623" s="28" t="s">
        <v>70</v>
      </c>
      <c r="O623" s="29" t="n">
        <v>5</v>
      </c>
      <c r="P623" s="30" t="n">
        <v>1176</v>
      </c>
      <c r="Q623" s="30" t="n">
        <v>744</v>
      </c>
      <c r="R623" s="30" t="n">
        <f aca="false">ROUND(O623*P623,2)</f>
        <v>5880</v>
      </c>
      <c r="S623" s="30" t="n">
        <f aca="false">ROUND(O623*Q623,2)</f>
        <v>3720</v>
      </c>
      <c r="T623" s="30" t="n">
        <f aca="false">ROUND(R623*SUMIFS(Parametros!$E$23:$E$38,Parametros!$B$23:$B$38,J623,Parametros!$C$23:$C$38,C623,Parametros!$D$23:$D$38,D623),2)</f>
        <v>270.48</v>
      </c>
      <c r="U623" s="30" t="n">
        <f aca="false">R623-S623-T623</f>
        <v>1889.52</v>
      </c>
    </row>
    <row r="624" customFormat="false" ht="15" hidden="false" customHeight="false" outlineLevel="0" collapsed="false">
      <c r="A624" s="0" t="n">
        <v>623</v>
      </c>
      <c r="B624" s="27" t="n">
        <v>45488</v>
      </c>
      <c r="C624" s="0" t="n">
        <v>2024</v>
      </c>
      <c r="D624" s="28" t="s">
        <v>115</v>
      </c>
      <c r="E624" s="0" t="n">
        <v>7</v>
      </c>
      <c r="F624" s="28" t="s">
        <v>116</v>
      </c>
      <c r="G624" s="28" t="s">
        <v>117</v>
      </c>
      <c r="H624" s="28" t="s">
        <v>96</v>
      </c>
      <c r="I624" s="28" t="s">
        <v>97</v>
      </c>
      <c r="J624" s="28" t="s">
        <v>66</v>
      </c>
      <c r="K624" s="28" t="s">
        <v>67</v>
      </c>
      <c r="L624" s="28" t="s">
        <v>68</v>
      </c>
      <c r="M624" s="28" t="s">
        <v>72</v>
      </c>
      <c r="N624" s="28" t="s">
        <v>73</v>
      </c>
      <c r="O624" s="29" t="n">
        <v>16</v>
      </c>
      <c r="P624" s="30" t="n">
        <v>441</v>
      </c>
      <c r="Q624" s="30" t="n">
        <v>272.25</v>
      </c>
      <c r="R624" s="30" t="n">
        <f aca="false">ROUND(O624*P624,2)</f>
        <v>7056</v>
      </c>
      <c r="S624" s="30" t="n">
        <f aca="false">ROUND(O624*Q624,2)</f>
        <v>4356</v>
      </c>
      <c r="T624" s="30" t="n">
        <f aca="false">ROUND(R624*SUMIFS(Parametros!$E$23:$E$38,Parametros!$B$23:$B$38,J624,Parametros!$C$23:$C$38,C624,Parametros!$D$23:$D$38,D624),2)</f>
        <v>91.73</v>
      </c>
      <c r="U624" s="30" t="n">
        <f aca="false">R624-S624-T624</f>
        <v>2608.27</v>
      </c>
    </row>
    <row r="625" customFormat="false" ht="15" hidden="false" customHeight="false" outlineLevel="0" collapsed="false">
      <c r="A625" s="0" t="n">
        <v>624</v>
      </c>
      <c r="B625" s="27" t="n">
        <v>45495</v>
      </c>
      <c r="C625" s="0" t="n">
        <v>2024</v>
      </c>
      <c r="D625" s="28" t="s">
        <v>115</v>
      </c>
      <c r="E625" s="0" t="n">
        <v>7</v>
      </c>
      <c r="F625" s="28" t="s">
        <v>116</v>
      </c>
      <c r="G625" s="28" t="s">
        <v>117</v>
      </c>
      <c r="H625" s="28" t="s">
        <v>96</v>
      </c>
      <c r="I625" s="28" t="s">
        <v>97</v>
      </c>
      <c r="J625" s="28" t="s">
        <v>71</v>
      </c>
      <c r="K625" s="28" t="s">
        <v>67</v>
      </c>
      <c r="L625" s="28" t="s">
        <v>68</v>
      </c>
      <c r="M625" s="28" t="s">
        <v>72</v>
      </c>
      <c r="N625" s="28" t="s">
        <v>73</v>
      </c>
      <c r="O625" s="29" t="n">
        <v>5</v>
      </c>
      <c r="P625" s="30" t="n">
        <v>441</v>
      </c>
      <c r="Q625" s="30" t="n">
        <v>272.25</v>
      </c>
      <c r="R625" s="30" t="n">
        <f aca="false">ROUND(O625*P625,2)</f>
        <v>2205</v>
      </c>
      <c r="S625" s="30" t="n">
        <f aca="false">ROUND(O625*Q625,2)</f>
        <v>1361.25</v>
      </c>
      <c r="T625" s="30" t="n">
        <f aca="false">ROUND(R625*SUMIFS(Parametros!$E$23:$E$38,Parametros!$B$23:$B$38,J625,Parametros!$C$23:$C$38,C625,Parametros!$D$23:$D$38,D625),2)</f>
        <v>101.43</v>
      </c>
      <c r="U625" s="30" t="n">
        <f aca="false">R625-S625-T625</f>
        <v>742.32</v>
      </c>
    </row>
    <row r="626" customFormat="false" ht="15" hidden="false" customHeight="false" outlineLevel="0" collapsed="false">
      <c r="A626" s="0" t="n">
        <v>625</v>
      </c>
      <c r="B626" s="27" t="n">
        <v>45475</v>
      </c>
      <c r="C626" s="0" t="n">
        <v>2024</v>
      </c>
      <c r="D626" s="28" t="s">
        <v>115</v>
      </c>
      <c r="E626" s="0" t="n">
        <v>7</v>
      </c>
      <c r="F626" s="28" t="s">
        <v>116</v>
      </c>
      <c r="G626" s="28" t="s">
        <v>117</v>
      </c>
      <c r="H626" s="28" t="s">
        <v>96</v>
      </c>
      <c r="I626" s="28" t="s">
        <v>97</v>
      </c>
      <c r="J626" s="28" t="s">
        <v>66</v>
      </c>
      <c r="K626" s="28" t="s">
        <v>67</v>
      </c>
      <c r="L626" s="28" t="s">
        <v>68</v>
      </c>
      <c r="M626" s="28" t="s">
        <v>74</v>
      </c>
      <c r="N626" s="28" t="s">
        <v>75</v>
      </c>
      <c r="O626" s="29" t="n">
        <v>15</v>
      </c>
      <c r="P626" s="30" t="n">
        <v>1617</v>
      </c>
      <c r="Q626" s="30" t="n">
        <v>1122</v>
      </c>
      <c r="R626" s="30" t="n">
        <f aca="false">ROUND(O626*P626,2)</f>
        <v>24255</v>
      </c>
      <c r="S626" s="30" t="n">
        <f aca="false">ROUND(O626*Q626,2)</f>
        <v>16830</v>
      </c>
      <c r="T626" s="30" t="n">
        <f aca="false">ROUND(R626*SUMIFS(Parametros!$E$23:$E$38,Parametros!$B$23:$B$38,J626,Parametros!$C$23:$C$38,C626,Parametros!$D$23:$D$38,D626),2)</f>
        <v>315.32</v>
      </c>
      <c r="U626" s="30" t="n">
        <f aca="false">R626-S626-T626</f>
        <v>7109.68</v>
      </c>
    </row>
    <row r="627" customFormat="false" ht="15" hidden="false" customHeight="false" outlineLevel="0" collapsed="false">
      <c r="A627" s="0" t="n">
        <v>626</v>
      </c>
      <c r="B627" s="27" t="n">
        <v>45482</v>
      </c>
      <c r="C627" s="0" t="n">
        <v>2024</v>
      </c>
      <c r="D627" s="28" t="s">
        <v>115</v>
      </c>
      <c r="E627" s="0" t="n">
        <v>7</v>
      </c>
      <c r="F627" s="28" t="s">
        <v>116</v>
      </c>
      <c r="G627" s="28" t="s">
        <v>117</v>
      </c>
      <c r="H627" s="28" t="s">
        <v>96</v>
      </c>
      <c r="I627" s="28" t="s">
        <v>97</v>
      </c>
      <c r="J627" s="28" t="s">
        <v>71</v>
      </c>
      <c r="K627" s="28" t="s">
        <v>67</v>
      </c>
      <c r="L627" s="28" t="s">
        <v>68</v>
      </c>
      <c r="M627" s="28" t="s">
        <v>74</v>
      </c>
      <c r="N627" s="28" t="s">
        <v>75</v>
      </c>
      <c r="O627" s="29" t="n">
        <v>6</v>
      </c>
      <c r="P627" s="30" t="n">
        <v>1617</v>
      </c>
      <c r="Q627" s="30" t="n">
        <v>1122</v>
      </c>
      <c r="R627" s="30" t="n">
        <f aca="false">ROUND(O627*P627,2)</f>
        <v>9702</v>
      </c>
      <c r="S627" s="30" t="n">
        <f aca="false">ROUND(O627*Q627,2)</f>
        <v>6732</v>
      </c>
      <c r="T627" s="30" t="n">
        <f aca="false">ROUND(R627*SUMIFS(Parametros!$E$23:$E$38,Parametros!$B$23:$B$38,J627,Parametros!$C$23:$C$38,C627,Parametros!$D$23:$D$38,D627),2)</f>
        <v>446.29</v>
      </c>
      <c r="U627" s="30" t="n">
        <f aca="false">R627-S627-T627</f>
        <v>2523.71</v>
      </c>
    </row>
    <row r="628" customFormat="false" ht="15" hidden="false" customHeight="false" outlineLevel="0" collapsed="false">
      <c r="A628" s="0" t="n">
        <v>627</v>
      </c>
      <c r="B628" s="27" t="n">
        <v>45489</v>
      </c>
      <c r="C628" s="0" t="n">
        <v>2024</v>
      </c>
      <c r="D628" s="28" t="s">
        <v>115</v>
      </c>
      <c r="E628" s="0" t="n">
        <v>7</v>
      </c>
      <c r="F628" s="28" t="s">
        <v>116</v>
      </c>
      <c r="G628" s="28" t="s">
        <v>117</v>
      </c>
      <c r="H628" s="28" t="s">
        <v>96</v>
      </c>
      <c r="I628" s="28" t="s">
        <v>97</v>
      </c>
      <c r="J628" s="28" t="s">
        <v>66</v>
      </c>
      <c r="K628" s="28" t="s">
        <v>76</v>
      </c>
      <c r="L628" s="28" t="s">
        <v>77</v>
      </c>
      <c r="M628" s="28" t="s">
        <v>78</v>
      </c>
      <c r="N628" s="28" t="s">
        <v>79</v>
      </c>
      <c r="O628" s="29" t="n">
        <v>59</v>
      </c>
      <c r="P628" s="30" t="n">
        <v>27.44</v>
      </c>
      <c r="Q628" s="30" t="n">
        <v>13.44</v>
      </c>
      <c r="R628" s="30" t="n">
        <f aca="false">ROUND(O628*P628,2)</f>
        <v>1618.96</v>
      </c>
      <c r="S628" s="30" t="n">
        <f aca="false">ROUND(O628*Q628,2)</f>
        <v>792.96</v>
      </c>
      <c r="T628" s="30" t="n">
        <f aca="false">ROUND(R628*SUMIFS(Parametros!$E$23:$E$38,Parametros!$B$23:$B$38,J628,Parametros!$C$23:$C$38,C628,Parametros!$D$23:$D$38,D628),2)</f>
        <v>21.05</v>
      </c>
      <c r="U628" s="30" t="n">
        <f aca="false">R628-S628-T628</f>
        <v>804.95</v>
      </c>
    </row>
    <row r="629" customFormat="false" ht="15" hidden="false" customHeight="false" outlineLevel="0" collapsed="false">
      <c r="A629" s="0" t="n">
        <v>628</v>
      </c>
      <c r="B629" s="27" t="n">
        <v>45496</v>
      </c>
      <c r="C629" s="0" t="n">
        <v>2024</v>
      </c>
      <c r="D629" s="28" t="s">
        <v>115</v>
      </c>
      <c r="E629" s="0" t="n">
        <v>7</v>
      </c>
      <c r="F629" s="28" t="s">
        <v>116</v>
      </c>
      <c r="G629" s="28" t="s">
        <v>117</v>
      </c>
      <c r="H629" s="28" t="s">
        <v>96</v>
      </c>
      <c r="I629" s="28" t="s">
        <v>97</v>
      </c>
      <c r="J629" s="28" t="s">
        <v>71</v>
      </c>
      <c r="K629" s="28" t="s">
        <v>76</v>
      </c>
      <c r="L629" s="28" t="s">
        <v>77</v>
      </c>
      <c r="M629" s="28" t="s">
        <v>78</v>
      </c>
      <c r="N629" s="28" t="s">
        <v>79</v>
      </c>
      <c r="O629" s="29" t="n">
        <v>23</v>
      </c>
      <c r="P629" s="30" t="n">
        <v>27.44</v>
      </c>
      <c r="Q629" s="30" t="n">
        <v>13.44</v>
      </c>
      <c r="R629" s="30" t="n">
        <f aca="false">ROUND(O629*P629,2)</f>
        <v>631.12</v>
      </c>
      <c r="S629" s="30" t="n">
        <f aca="false">ROUND(O629*Q629,2)</f>
        <v>309.12</v>
      </c>
      <c r="T629" s="30" t="n">
        <f aca="false">ROUND(R629*SUMIFS(Parametros!$E$23:$E$38,Parametros!$B$23:$B$38,J629,Parametros!$C$23:$C$38,C629,Parametros!$D$23:$D$38,D629),2)</f>
        <v>29.03</v>
      </c>
      <c r="U629" s="30" t="n">
        <f aca="false">R629-S629-T629</f>
        <v>292.97</v>
      </c>
    </row>
    <row r="630" customFormat="false" ht="15" hidden="false" customHeight="false" outlineLevel="0" collapsed="false">
      <c r="A630" s="0" t="n">
        <v>629</v>
      </c>
      <c r="B630" s="27" t="n">
        <v>45476</v>
      </c>
      <c r="C630" s="0" t="n">
        <v>2024</v>
      </c>
      <c r="D630" s="28" t="s">
        <v>115</v>
      </c>
      <c r="E630" s="0" t="n">
        <v>7</v>
      </c>
      <c r="F630" s="28" t="s">
        <v>116</v>
      </c>
      <c r="G630" s="28" t="s">
        <v>117</v>
      </c>
      <c r="H630" s="28" t="s">
        <v>96</v>
      </c>
      <c r="I630" s="28" t="s">
        <v>97</v>
      </c>
      <c r="J630" s="28" t="s">
        <v>66</v>
      </c>
      <c r="K630" s="28" t="s">
        <v>76</v>
      </c>
      <c r="L630" s="28" t="s">
        <v>77</v>
      </c>
      <c r="M630" s="28" t="s">
        <v>80</v>
      </c>
      <c r="N630" s="28" t="s">
        <v>81</v>
      </c>
      <c r="O630" s="29" t="n">
        <v>66</v>
      </c>
      <c r="P630" s="30" t="n">
        <v>93.1</v>
      </c>
      <c r="Q630" s="30" t="n">
        <v>47.98</v>
      </c>
      <c r="R630" s="30" t="n">
        <f aca="false">ROUND(O630*P630,2)</f>
        <v>6144.6</v>
      </c>
      <c r="S630" s="30" t="n">
        <f aca="false">ROUND(O630*Q630,2)</f>
        <v>3166.68</v>
      </c>
      <c r="T630" s="30" t="n">
        <f aca="false">ROUND(R630*SUMIFS(Parametros!$E$23:$E$38,Parametros!$B$23:$B$38,J630,Parametros!$C$23:$C$38,C630,Parametros!$D$23:$D$38,D630),2)</f>
        <v>79.88</v>
      </c>
      <c r="U630" s="30" t="n">
        <f aca="false">R630-S630-T630</f>
        <v>2898.04</v>
      </c>
    </row>
    <row r="631" customFormat="false" ht="15" hidden="false" customHeight="false" outlineLevel="0" collapsed="false">
      <c r="A631" s="0" t="n">
        <v>630</v>
      </c>
      <c r="B631" s="27" t="n">
        <v>45483</v>
      </c>
      <c r="C631" s="0" t="n">
        <v>2024</v>
      </c>
      <c r="D631" s="28" t="s">
        <v>115</v>
      </c>
      <c r="E631" s="0" t="n">
        <v>7</v>
      </c>
      <c r="F631" s="28" t="s">
        <v>116</v>
      </c>
      <c r="G631" s="28" t="s">
        <v>117</v>
      </c>
      <c r="H631" s="28" t="s">
        <v>96</v>
      </c>
      <c r="I631" s="28" t="s">
        <v>97</v>
      </c>
      <c r="J631" s="28" t="s">
        <v>71</v>
      </c>
      <c r="K631" s="28" t="s">
        <v>76</v>
      </c>
      <c r="L631" s="28" t="s">
        <v>77</v>
      </c>
      <c r="M631" s="28" t="s">
        <v>80</v>
      </c>
      <c r="N631" s="28" t="s">
        <v>81</v>
      </c>
      <c r="O631" s="29" t="n">
        <v>28</v>
      </c>
      <c r="P631" s="30" t="n">
        <v>93.1</v>
      </c>
      <c r="Q631" s="30" t="n">
        <v>47.98</v>
      </c>
      <c r="R631" s="30" t="n">
        <f aca="false">ROUND(O631*P631,2)</f>
        <v>2606.8</v>
      </c>
      <c r="S631" s="30" t="n">
        <f aca="false">ROUND(O631*Q631,2)</f>
        <v>1343.44</v>
      </c>
      <c r="T631" s="30" t="n">
        <f aca="false">ROUND(R631*SUMIFS(Parametros!$E$23:$E$38,Parametros!$B$23:$B$38,J631,Parametros!$C$23:$C$38,C631,Parametros!$D$23:$D$38,D631),2)</f>
        <v>119.91</v>
      </c>
      <c r="U631" s="30" t="n">
        <f aca="false">R631-S631-T631</f>
        <v>1143.45</v>
      </c>
    </row>
    <row r="632" customFormat="false" ht="15" hidden="false" customHeight="false" outlineLevel="0" collapsed="false">
      <c r="A632" s="0" t="n">
        <v>631</v>
      </c>
      <c r="B632" s="27" t="n">
        <v>45490</v>
      </c>
      <c r="C632" s="0" t="n">
        <v>2024</v>
      </c>
      <c r="D632" s="28" t="s">
        <v>115</v>
      </c>
      <c r="E632" s="0" t="n">
        <v>7</v>
      </c>
      <c r="F632" s="28" t="s">
        <v>116</v>
      </c>
      <c r="G632" s="28" t="s">
        <v>117</v>
      </c>
      <c r="H632" s="28" t="s">
        <v>96</v>
      </c>
      <c r="I632" s="28" t="s">
        <v>97</v>
      </c>
      <c r="J632" s="28" t="s">
        <v>66</v>
      </c>
      <c r="K632" s="28" t="s">
        <v>76</v>
      </c>
      <c r="L632" s="28" t="s">
        <v>77</v>
      </c>
      <c r="M632" s="28" t="s">
        <v>82</v>
      </c>
      <c r="N632" s="28" t="s">
        <v>83</v>
      </c>
      <c r="O632" s="29" t="n">
        <v>54</v>
      </c>
      <c r="P632" s="30" t="n">
        <v>63.7</v>
      </c>
      <c r="Q632" s="30" t="n">
        <v>35.43</v>
      </c>
      <c r="R632" s="30" t="n">
        <f aca="false">ROUND(O632*P632,2)</f>
        <v>3439.8</v>
      </c>
      <c r="S632" s="30" t="n">
        <f aca="false">ROUND(O632*Q632,2)</f>
        <v>1913.22</v>
      </c>
      <c r="T632" s="30" t="n">
        <f aca="false">ROUND(R632*SUMIFS(Parametros!$E$23:$E$38,Parametros!$B$23:$B$38,J632,Parametros!$C$23:$C$38,C632,Parametros!$D$23:$D$38,D632),2)</f>
        <v>44.72</v>
      </c>
      <c r="U632" s="30" t="n">
        <f aca="false">R632-S632-T632</f>
        <v>1481.86</v>
      </c>
    </row>
    <row r="633" customFormat="false" ht="15" hidden="false" customHeight="false" outlineLevel="0" collapsed="false">
      <c r="A633" s="0" t="n">
        <v>632</v>
      </c>
      <c r="B633" s="27" t="n">
        <v>45497</v>
      </c>
      <c r="C633" s="0" t="n">
        <v>2024</v>
      </c>
      <c r="D633" s="28" t="s">
        <v>115</v>
      </c>
      <c r="E633" s="0" t="n">
        <v>7</v>
      </c>
      <c r="F633" s="28" t="s">
        <v>116</v>
      </c>
      <c r="G633" s="28" t="s">
        <v>117</v>
      </c>
      <c r="H633" s="28" t="s">
        <v>96</v>
      </c>
      <c r="I633" s="28" t="s">
        <v>97</v>
      </c>
      <c r="J633" s="28" t="s">
        <v>71</v>
      </c>
      <c r="K633" s="28" t="s">
        <v>76</v>
      </c>
      <c r="L633" s="28" t="s">
        <v>77</v>
      </c>
      <c r="M633" s="28" t="s">
        <v>82</v>
      </c>
      <c r="N633" s="28" t="s">
        <v>83</v>
      </c>
      <c r="O633" s="29" t="n">
        <v>25</v>
      </c>
      <c r="P633" s="30" t="n">
        <v>63.7</v>
      </c>
      <c r="Q633" s="30" t="n">
        <v>35.43</v>
      </c>
      <c r="R633" s="30" t="n">
        <f aca="false">ROUND(O633*P633,2)</f>
        <v>1592.5</v>
      </c>
      <c r="S633" s="30" t="n">
        <f aca="false">ROUND(O633*Q633,2)</f>
        <v>885.75</v>
      </c>
      <c r="T633" s="30" t="n">
        <f aca="false">ROUND(R633*SUMIFS(Parametros!$E$23:$E$38,Parametros!$B$23:$B$38,J633,Parametros!$C$23:$C$38,C633,Parametros!$D$23:$D$38,D633),2)</f>
        <v>73.26</v>
      </c>
      <c r="U633" s="30" t="n">
        <f aca="false">R633-S633-T633</f>
        <v>633.49</v>
      </c>
    </row>
    <row r="634" customFormat="false" ht="15" hidden="false" customHeight="false" outlineLevel="0" collapsed="false">
      <c r="A634" s="0" t="n">
        <v>633</v>
      </c>
      <c r="B634" s="27" t="n">
        <v>45477</v>
      </c>
      <c r="C634" s="0" t="n">
        <v>2024</v>
      </c>
      <c r="D634" s="28" t="s">
        <v>115</v>
      </c>
      <c r="E634" s="0" t="n">
        <v>7</v>
      </c>
      <c r="F634" s="28" t="s">
        <v>116</v>
      </c>
      <c r="G634" s="28" t="s">
        <v>117</v>
      </c>
      <c r="H634" s="28" t="s">
        <v>96</v>
      </c>
      <c r="I634" s="28" t="s">
        <v>97</v>
      </c>
      <c r="J634" s="28" t="s">
        <v>66</v>
      </c>
      <c r="K634" s="28" t="s">
        <v>84</v>
      </c>
      <c r="L634" s="28" t="s">
        <v>85</v>
      </c>
      <c r="M634" s="28" t="s">
        <v>86</v>
      </c>
      <c r="N634" s="28" t="s">
        <v>87</v>
      </c>
      <c r="O634" s="29" t="n">
        <v>24</v>
      </c>
      <c r="P634" s="30" t="n">
        <v>117.6</v>
      </c>
      <c r="Q634" s="30" t="n">
        <v>63.6</v>
      </c>
      <c r="R634" s="30" t="n">
        <f aca="false">ROUND(O634*P634,2)</f>
        <v>2822.4</v>
      </c>
      <c r="S634" s="30" t="n">
        <f aca="false">ROUND(O634*Q634,2)</f>
        <v>1526.4</v>
      </c>
      <c r="T634" s="30" t="n">
        <f aca="false">ROUND(R634*SUMIFS(Parametros!$E$23:$E$38,Parametros!$B$23:$B$38,J634,Parametros!$C$23:$C$38,C634,Parametros!$D$23:$D$38,D634),2)</f>
        <v>36.69</v>
      </c>
      <c r="U634" s="30" t="n">
        <f aca="false">R634-S634-T634</f>
        <v>1259.31</v>
      </c>
    </row>
    <row r="635" customFormat="false" ht="15" hidden="false" customHeight="false" outlineLevel="0" collapsed="false">
      <c r="A635" s="0" t="n">
        <v>634</v>
      </c>
      <c r="B635" s="27" t="n">
        <v>45484</v>
      </c>
      <c r="C635" s="0" t="n">
        <v>2024</v>
      </c>
      <c r="D635" s="28" t="s">
        <v>115</v>
      </c>
      <c r="E635" s="0" t="n">
        <v>7</v>
      </c>
      <c r="F635" s="28" t="s">
        <v>116</v>
      </c>
      <c r="G635" s="28" t="s">
        <v>117</v>
      </c>
      <c r="H635" s="28" t="s">
        <v>96</v>
      </c>
      <c r="I635" s="28" t="s">
        <v>97</v>
      </c>
      <c r="J635" s="28" t="s">
        <v>71</v>
      </c>
      <c r="K635" s="28" t="s">
        <v>84</v>
      </c>
      <c r="L635" s="28" t="s">
        <v>85</v>
      </c>
      <c r="M635" s="28" t="s">
        <v>86</v>
      </c>
      <c r="N635" s="28" t="s">
        <v>87</v>
      </c>
      <c r="O635" s="29" t="n">
        <v>12</v>
      </c>
      <c r="P635" s="30" t="n">
        <v>117.6</v>
      </c>
      <c r="Q635" s="30" t="n">
        <v>63.6</v>
      </c>
      <c r="R635" s="30" t="n">
        <f aca="false">ROUND(O635*P635,2)</f>
        <v>1411.2</v>
      </c>
      <c r="S635" s="30" t="n">
        <f aca="false">ROUND(O635*Q635,2)</f>
        <v>763.2</v>
      </c>
      <c r="T635" s="30" t="n">
        <f aca="false">ROUND(R635*SUMIFS(Parametros!$E$23:$E$38,Parametros!$B$23:$B$38,J635,Parametros!$C$23:$C$38,C635,Parametros!$D$23:$D$38,D635),2)</f>
        <v>64.92</v>
      </c>
      <c r="U635" s="30" t="n">
        <f aca="false">R635-S635-T635</f>
        <v>583.08</v>
      </c>
    </row>
    <row r="636" customFormat="false" ht="15" hidden="false" customHeight="false" outlineLevel="0" collapsed="false">
      <c r="A636" s="0" t="n">
        <v>635</v>
      </c>
      <c r="B636" s="27" t="n">
        <v>45491</v>
      </c>
      <c r="C636" s="0" t="n">
        <v>2024</v>
      </c>
      <c r="D636" s="28" t="s">
        <v>115</v>
      </c>
      <c r="E636" s="0" t="n">
        <v>7</v>
      </c>
      <c r="F636" s="28" t="s">
        <v>116</v>
      </c>
      <c r="G636" s="28" t="s">
        <v>117</v>
      </c>
      <c r="H636" s="28" t="s">
        <v>96</v>
      </c>
      <c r="I636" s="28" t="s">
        <v>97</v>
      </c>
      <c r="J636" s="28" t="s">
        <v>66</v>
      </c>
      <c r="K636" s="28" t="s">
        <v>84</v>
      </c>
      <c r="L636" s="28" t="s">
        <v>85</v>
      </c>
      <c r="M636" s="28" t="s">
        <v>88</v>
      </c>
      <c r="N636" s="28" t="s">
        <v>89</v>
      </c>
      <c r="O636" s="29" t="n">
        <v>25</v>
      </c>
      <c r="P636" s="30" t="n">
        <v>83.3</v>
      </c>
      <c r="Q636" s="30" t="n">
        <v>48.02</v>
      </c>
      <c r="R636" s="30" t="n">
        <f aca="false">ROUND(O636*P636,2)</f>
        <v>2082.5</v>
      </c>
      <c r="S636" s="30" t="n">
        <f aca="false">ROUND(O636*Q636,2)</f>
        <v>1200.5</v>
      </c>
      <c r="T636" s="30" t="n">
        <f aca="false">ROUND(R636*SUMIFS(Parametros!$E$23:$E$38,Parametros!$B$23:$B$38,J636,Parametros!$C$23:$C$38,C636,Parametros!$D$23:$D$38,D636),2)</f>
        <v>27.07</v>
      </c>
      <c r="U636" s="30" t="n">
        <f aca="false">R636-S636-T636</f>
        <v>854.93</v>
      </c>
    </row>
    <row r="637" customFormat="false" ht="15" hidden="false" customHeight="false" outlineLevel="0" collapsed="false">
      <c r="A637" s="0" t="n">
        <v>636</v>
      </c>
      <c r="B637" s="27" t="n">
        <v>45498</v>
      </c>
      <c r="C637" s="0" t="n">
        <v>2024</v>
      </c>
      <c r="D637" s="28" t="s">
        <v>115</v>
      </c>
      <c r="E637" s="0" t="n">
        <v>7</v>
      </c>
      <c r="F637" s="28" t="s">
        <v>116</v>
      </c>
      <c r="G637" s="28" t="s">
        <v>117</v>
      </c>
      <c r="H637" s="28" t="s">
        <v>96</v>
      </c>
      <c r="I637" s="28" t="s">
        <v>97</v>
      </c>
      <c r="J637" s="28" t="s">
        <v>71</v>
      </c>
      <c r="K637" s="28" t="s">
        <v>84</v>
      </c>
      <c r="L637" s="28" t="s">
        <v>85</v>
      </c>
      <c r="M637" s="28" t="s">
        <v>88</v>
      </c>
      <c r="N637" s="28" t="s">
        <v>89</v>
      </c>
      <c r="O637" s="29" t="n">
        <v>11</v>
      </c>
      <c r="P637" s="30" t="n">
        <v>83.3</v>
      </c>
      <c r="Q637" s="30" t="n">
        <v>48.02</v>
      </c>
      <c r="R637" s="30" t="n">
        <f aca="false">ROUND(O637*P637,2)</f>
        <v>916.3</v>
      </c>
      <c r="S637" s="30" t="n">
        <f aca="false">ROUND(O637*Q637,2)</f>
        <v>528.22</v>
      </c>
      <c r="T637" s="30" t="n">
        <f aca="false">ROUND(R637*SUMIFS(Parametros!$E$23:$E$38,Parametros!$B$23:$B$38,J637,Parametros!$C$23:$C$38,C637,Parametros!$D$23:$D$38,D637),2)</f>
        <v>42.15</v>
      </c>
      <c r="U637" s="30" t="n">
        <f aca="false">R637-S637-T637</f>
        <v>345.93</v>
      </c>
    </row>
    <row r="638" customFormat="false" ht="15" hidden="false" customHeight="false" outlineLevel="0" collapsed="false">
      <c r="A638" s="0" t="n">
        <v>637</v>
      </c>
      <c r="B638" s="27" t="n">
        <v>45478</v>
      </c>
      <c r="C638" s="0" t="n">
        <v>2024</v>
      </c>
      <c r="D638" s="28" t="s">
        <v>115</v>
      </c>
      <c r="E638" s="0" t="n">
        <v>7</v>
      </c>
      <c r="F638" s="28" t="s">
        <v>116</v>
      </c>
      <c r="G638" s="28" t="s">
        <v>117</v>
      </c>
      <c r="H638" s="28" t="s">
        <v>96</v>
      </c>
      <c r="I638" s="28" t="s">
        <v>97</v>
      </c>
      <c r="J638" s="28" t="s">
        <v>66</v>
      </c>
      <c r="K638" s="28" t="s">
        <v>90</v>
      </c>
      <c r="L638" s="28" t="s">
        <v>91</v>
      </c>
      <c r="M638" s="28" t="s">
        <v>92</v>
      </c>
      <c r="N638" s="28" t="s">
        <v>93</v>
      </c>
      <c r="O638" s="29" t="n">
        <v>35</v>
      </c>
      <c r="P638" s="30" t="n">
        <v>127.4</v>
      </c>
      <c r="Q638" s="30" t="n">
        <v>76.05</v>
      </c>
      <c r="R638" s="30" t="n">
        <f aca="false">ROUND(O638*P638,2)</f>
        <v>4459</v>
      </c>
      <c r="S638" s="30" t="n">
        <f aca="false">ROUND(O638*Q638,2)</f>
        <v>2661.75</v>
      </c>
      <c r="T638" s="30" t="n">
        <f aca="false">ROUND(R638*SUMIFS(Parametros!$E$23:$E$38,Parametros!$B$23:$B$38,J638,Parametros!$C$23:$C$38,C638,Parametros!$D$23:$D$38,D638),2)</f>
        <v>57.97</v>
      </c>
      <c r="U638" s="30" t="n">
        <f aca="false">R638-S638-T638</f>
        <v>1739.28</v>
      </c>
    </row>
    <row r="639" customFormat="false" ht="15" hidden="false" customHeight="false" outlineLevel="0" collapsed="false">
      <c r="A639" s="0" t="n">
        <v>638</v>
      </c>
      <c r="B639" s="27" t="n">
        <v>45485</v>
      </c>
      <c r="C639" s="0" t="n">
        <v>2024</v>
      </c>
      <c r="D639" s="28" t="s">
        <v>115</v>
      </c>
      <c r="E639" s="0" t="n">
        <v>7</v>
      </c>
      <c r="F639" s="28" t="s">
        <v>116</v>
      </c>
      <c r="G639" s="28" t="s">
        <v>117</v>
      </c>
      <c r="H639" s="28" t="s">
        <v>96</v>
      </c>
      <c r="I639" s="28" t="s">
        <v>97</v>
      </c>
      <c r="J639" s="28" t="s">
        <v>71</v>
      </c>
      <c r="K639" s="28" t="s">
        <v>90</v>
      </c>
      <c r="L639" s="28" t="s">
        <v>91</v>
      </c>
      <c r="M639" s="28" t="s">
        <v>92</v>
      </c>
      <c r="N639" s="28" t="s">
        <v>93</v>
      </c>
      <c r="O639" s="29" t="n">
        <v>12</v>
      </c>
      <c r="P639" s="30" t="n">
        <v>127.4</v>
      </c>
      <c r="Q639" s="30" t="n">
        <v>76.05</v>
      </c>
      <c r="R639" s="30" t="n">
        <f aca="false">ROUND(O639*P639,2)</f>
        <v>1528.8</v>
      </c>
      <c r="S639" s="30" t="n">
        <f aca="false">ROUND(O639*Q639,2)</f>
        <v>912.6</v>
      </c>
      <c r="T639" s="30" t="n">
        <f aca="false">ROUND(R639*SUMIFS(Parametros!$E$23:$E$38,Parametros!$B$23:$B$38,J639,Parametros!$C$23:$C$38,C639,Parametros!$D$23:$D$38,D639),2)</f>
        <v>70.32</v>
      </c>
      <c r="U639" s="30" t="n">
        <f aca="false">R639-S639-T639</f>
        <v>545.88</v>
      </c>
    </row>
    <row r="640" customFormat="false" ht="15" hidden="false" customHeight="false" outlineLevel="0" collapsed="false">
      <c r="A640" s="0" t="n">
        <v>639</v>
      </c>
      <c r="B640" s="27" t="n">
        <v>45492</v>
      </c>
      <c r="C640" s="0" t="n">
        <v>2024</v>
      </c>
      <c r="D640" s="28" t="s">
        <v>115</v>
      </c>
      <c r="E640" s="0" t="n">
        <v>7</v>
      </c>
      <c r="F640" s="28" t="s">
        <v>116</v>
      </c>
      <c r="G640" s="28" t="s">
        <v>117</v>
      </c>
      <c r="H640" s="28" t="s">
        <v>96</v>
      </c>
      <c r="I640" s="28" t="s">
        <v>97</v>
      </c>
      <c r="J640" s="28" t="s">
        <v>66</v>
      </c>
      <c r="K640" s="28" t="s">
        <v>90</v>
      </c>
      <c r="L640" s="28" t="s">
        <v>91</v>
      </c>
      <c r="M640" s="28" t="s">
        <v>94</v>
      </c>
      <c r="N640" s="28" t="s">
        <v>95</v>
      </c>
      <c r="O640" s="29" t="n">
        <v>30</v>
      </c>
      <c r="P640" s="30" t="n">
        <v>34.3</v>
      </c>
      <c r="Q640" s="30" t="n">
        <v>17.85</v>
      </c>
      <c r="R640" s="30" t="n">
        <f aca="false">ROUND(O640*P640,2)</f>
        <v>1029</v>
      </c>
      <c r="S640" s="30" t="n">
        <f aca="false">ROUND(O640*Q640,2)</f>
        <v>535.5</v>
      </c>
      <c r="T640" s="30" t="n">
        <f aca="false">ROUND(R640*SUMIFS(Parametros!$E$23:$E$38,Parametros!$B$23:$B$38,J640,Parametros!$C$23:$C$38,C640,Parametros!$D$23:$D$38,D640),2)</f>
        <v>13.38</v>
      </c>
      <c r="U640" s="30" t="n">
        <f aca="false">R640-S640-T640</f>
        <v>480.12</v>
      </c>
    </row>
    <row r="641" customFormat="false" ht="15" hidden="false" customHeight="false" outlineLevel="0" collapsed="false">
      <c r="A641" s="0" t="n">
        <v>640</v>
      </c>
      <c r="B641" s="27" t="n">
        <v>45499</v>
      </c>
      <c r="C641" s="0" t="n">
        <v>2024</v>
      </c>
      <c r="D641" s="28" t="s">
        <v>115</v>
      </c>
      <c r="E641" s="0" t="n">
        <v>7</v>
      </c>
      <c r="F641" s="28" t="s">
        <v>116</v>
      </c>
      <c r="G641" s="28" t="s">
        <v>117</v>
      </c>
      <c r="H641" s="28" t="s">
        <v>96</v>
      </c>
      <c r="I641" s="28" t="s">
        <v>97</v>
      </c>
      <c r="J641" s="28" t="s">
        <v>71</v>
      </c>
      <c r="K641" s="28" t="s">
        <v>90</v>
      </c>
      <c r="L641" s="28" t="s">
        <v>91</v>
      </c>
      <c r="M641" s="28" t="s">
        <v>94</v>
      </c>
      <c r="N641" s="28" t="s">
        <v>95</v>
      </c>
      <c r="O641" s="29" t="n">
        <v>16</v>
      </c>
      <c r="P641" s="30" t="n">
        <v>34.3</v>
      </c>
      <c r="Q641" s="30" t="n">
        <v>17.85</v>
      </c>
      <c r="R641" s="30" t="n">
        <f aca="false">ROUND(O641*P641,2)</f>
        <v>548.8</v>
      </c>
      <c r="S641" s="30" t="n">
        <f aca="false">ROUND(O641*Q641,2)</f>
        <v>285.6</v>
      </c>
      <c r="T641" s="30" t="n">
        <f aca="false">ROUND(R641*SUMIFS(Parametros!$E$23:$E$38,Parametros!$B$23:$B$38,J641,Parametros!$C$23:$C$38,C641,Parametros!$D$23:$D$38,D641),2)</f>
        <v>25.24</v>
      </c>
      <c r="U641" s="30" t="n">
        <f aca="false">R641-S641-T641</f>
        <v>237.96</v>
      </c>
    </row>
    <row r="642" customFormat="false" ht="15" hidden="false" customHeight="false" outlineLevel="0" collapsed="false">
      <c r="A642" s="0" t="n">
        <v>641</v>
      </c>
      <c r="B642" s="27" t="n">
        <v>45479</v>
      </c>
      <c r="C642" s="0" t="n">
        <v>2024</v>
      </c>
      <c r="D642" s="28" t="s">
        <v>115</v>
      </c>
      <c r="E642" s="0" t="n">
        <v>7</v>
      </c>
      <c r="F642" s="28" t="s">
        <v>116</v>
      </c>
      <c r="G642" s="28" t="s">
        <v>117</v>
      </c>
      <c r="H642" s="28" t="s">
        <v>98</v>
      </c>
      <c r="I642" s="28" t="s">
        <v>99</v>
      </c>
      <c r="J642" s="28" t="s">
        <v>66</v>
      </c>
      <c r="K642" s="28" t="s">
        <v>67</v>
      </c>
      <c r="L642" s="28" t="s">
        <v>68</v>
      </c>
      <c r="M642" s="28" t="s">
        <v>69</v>
      </c>
      <c r="N642" s="28" t="s">
        <v>70</v>
      </c>
      <c r="O642" s="29" t="n">
        <v>10</v>
      </c>
      <c r="P642" s="30" t="n">
        <v>1176</v>
      </c>
      <c r="Q642" s="30" t="n">
        <v>744</v>
      </c>
      <c r="R642" s="30" t="n">
        <f aca="false">ROUND(O642*P642,2)</f>
        <v>11760</v>
      </c>
      <c r="S642" s="30" t="n">
        <f aca="false">ROUND(O642*Q642,2)</f>
        <v>7440</v>
      </c>
      <c r="T642" s="30" t="n">
        <f aca="false">ROUND(R642*SUMIFS(Parametros!$E$23:$E$38,Parametros!$B$23:$B$38,J642,Parametros!$C$23:$C$38,C642,Parametros!$D$23:$D$38,D642),2)</f>
        <v>152.88</v>
      </c>
      <c r="U642" s="30" t="n">
        <f aca="false">R642-S642-T642</f>
        <v>4167.12</v>
      </c>
    </row>
    <row r="643" customFormat="false" ht="15" hidden="false" customHeight="false" outlineLevel="0" collapsed="false">
      <c r="A643" s="0" t="n">
        <v>642</v>
      </c>
      <c r="B643" s="27" t="n">
        <v>45486</v>
      </c>
      <c r="C643" s="0" t="n">
        <v>2024</v>
      </c>
      <c r="D643" s="28" t="s">
        <v>115</v>
      </c>
      <c r="E643" s="0" t="n">
        <v>7</v>
      </c>
      <c r="F643" s="28" t="s">
        <v>116</v>
      </c>
      <c r="G643" s="28" t="s">
        <v>117</v>
      </c>
      <c r="H643" s="28" t="s">
        <v>98</v>
      </c>
      <c r="I643" s="28" t="s">
        <v>99</v>
      </c>
      <c r="J643" s="28" t="s">
        <v>71</v>
      </c>
      <c r="K643" s="28" t="s">
        <v>67</v>
      </c>
      <c r="L643" s="28" t="s">
        <v>68</v>
      </c>
      <c r="M643" s="28" t="s">
        <v>69</v>
      </c>
      <c r="N643" s="28" t="s">
        <v>70</v>
      </c>
      <c r="O643" s="29" t="n">
        <v>4</v>
      </c>
      <c r="P643" s="30" t="n">
        <v>1176</v>
      </c>
      <c r="Q643" s="30" t="n">
        <v>744</v>
      </c>
      <c r="R643" s="30" t="n">
        <f aca="false">ROUND(O643*P643,2)</f>
        <v>4704</v>
      </c>
      <c r="S643" s="30" t="n">
        <f aca="false">ROUND(O643*Q643,2)</f>
        <v>2976</v>
      </c>
      <c r="T643" s="30" t="n">
        <f aca="false">ROUND(R643*SUMIFS(Parametros!$E$23:$E$38,Parametros!$B$23:$B$38,J643,Parametros!$C$23:$C$38,C643,Parametros!$D$23:$D$38,D643),2)</f>
        <v>216.38</v>
      </c>
      <c r="U643" s="30" t="n">
        <f aca="false">R643-S643-T643</f>
        <v>1511.62</v>
      </c>
    </row>
    <row r="644" customFormat="false" ht="15" hidden="false" customHeight="false" outlineLevel="0" collapsed="false">
      <c r="A644" s="0" t="n">
        <v>643</v>
      </c>
      <c r="B644" s="27" t="n">
        <v>45493</v>
      </c>
      <c r="C644" s="0" t="n">
        <v>2024</v>
      </c>
      <c r="D644" s="28" t="s">
        <v>115</v>
      </c>
      <c r="E644" s="0" t="n">
        <v>7</v>
      </c>
      <c r="F644" s="28" t="s">
        <v>116</v>
      </c>
      <c r="G644" s="28" t="s">
        <v>117</v>
      </c>
      <c r="H644" s="28" t="s">
        <v>98</v>
      </c>
      <c r="I644" s="28" t="s">
        <v>99</v>
      </c>
      <c r="J644" s="28" t="s">
        <v>66</v>
      </c>
      <c r="K644" s="28" t="s">
        <v>67</v>
      </c>
      <c r="L644" s="28" t="s">
        <v>68</v>
      </c>
      <c r="M644" s="28" t="s">
        <v>72</v>
      </c>
      <c r="N644" s="28" t="s">
        <v>73</v>
      </c>
      <c r="O644" s="29" t="n">
        <v>9</v>
      </c>
      <c r="P644" s="30" t="n">
        <v>441</v>
      </c>
      <c r="Q644" s="30" t="n">
        <v>272.25</v>
      </c>
      <c r="R644" s="30" t="n">
        <f aca="false">ROUND(O644*P644,2)</f>
        <v>3969</v>
      </c>
      <c r="S644" s="30" t="n">
        <f aca="false">ROUND(O644*Q644,2)</f>
        <v>2450.25</v>
      </c>
      <c r="T644" s="30" t="n">
        <f aca="false">ROUND(R644*SUMIFS(Parametros!$E$23:$E$38,Parametros!$B$23:$B$38,J644,Parametros!$C$23:$C$38,C644,Parametros!$D$23:$D$38,D644),2)</f>
        <v>51.6</v>
      </c>
      <c r="U644" s="30" t="n">
        <f aca="false">R644-S644-T644</f>
        <v>1467.15</v>
      </c>
    </row>
    <row r="645" customFormat="false" ht="15" hidden="false" customHeight="false" outlineLevel="0" collapsed="false">
      <c r="A645" s="0" t="n">
        <v>644</v>
      </c>
      <c r="B645" s="27" t="n">
        <v>45500</v>
      </c>
      <c r="C645" s="0" t="n">
        <v>2024</v>
      </c>
      <c r="D645" s="28" t="s">
        <v>115</v>
      </c>
      <c r="E645" s="0" t="n">
        <v>7</v>
      </c>
      <c r="F645" s="28" t="s">
        <v>116</v>
      </c>
      <c r="G645" s="28" t="s">
        <v>117</v>
      </c>
      <c r="H645" s="28" t="s">
        <v>98</v>
      </c>
      <c r="I645" s="28" t="s">
        <v>99</v>
      </c>
      <c r="J645" s="28" t="s">
        <v>71</v>
      </c>
      <c r="K645" s="28" t="s">
        <v>67</v>
      </c>
      <c r="L645" s="28" t="s">
        <v>68</v>
      </c>
      <c r="M645" s="28" t="s">
        <v>72</v>
      </c>
      <c r="N645" s="28" t="s">
        <v>73</v>
      </c>
      <c r="O645" s="29" t="n">
        <v>3</v>
      </c>
      <c r="P645" s="30" t="n">
        <v>441</v>
      </c>
      <c r="Q645" s="30" t="n">
        <v>272.25</v>
      </c>
      <c r="R645" s="30" t="n">
        <f aca="false">ROUND(O645*P645,2)</f>
        <v>1323</v>
      </c>
      <c r="S645" s="30" t="n">
        <f aca="false">ROUND(O645*Q645,2)</f>
        <v>816.75</v>
      </c>
      <c r="T645" s="30" t="n">
        <f aca="false">ROUND(R645*SUMIFS(Parametros!$E$23:$E$38,Parametros!$B$23:$B$38,J645,Parametros!$C$23:$C$38,C645,Parametros!$D$23:$D$38,D645),2)</f>
        <v>60.86</v>
      </c>
      <c r="U645" s="30" t="n">
        <f aca="false">R645-S645-T645</f>
        <v>445.39</v>
      </c>
    </row>
    <row r="646" customFormat="false" ht="15" hidden="false" customHeight="false" outlineLevel="0" collapsed="false">
      <c r="A646" s="0" t="n">
        <v>645</v>
      </c>
      <c r="B646" s="27" t="n">
        <v>45480</v>
      </c>
      <c r="C646" s="0" t="n">
        <v>2024</v>
      </c>
      <c r="D646" s="28" t="s">
        <v>115</v>
      </c>
      <c r="E646" s="0" t="n">
        <v>7</v>
      </c>
      <c r="F646" s="28" t="s">
        <v>116</v>
      </c>
      <c r="G646" s="28" t="s">
        <v>117</v>
      </c>
      <c r="H646" s="28" t="s">
        <v>98</v>
      </c>
      <c r="I646" s="28" t="s">
        <v>99</v>
      </c>
      <c r="J646" s="28" t="s">
        <v>66</v>
      </c>
      <c r="K646" s="28" t="s">
        <v>67</v>
      </c>
      <c r="L646" s="28" t="s">
        <v>68</v>
      </c>
      <c r="M646" s="28" t="s">
        <v>74</v>
      </c>
      <c r="N646" s="28" t="s">
        <v>75</v>
      </c>
      <c r="O646" s="29" t="n">
        <v>9</v>
      </c>
      <c r="P646" s="30" t="n">
        <v>1617</v>
      </c>
      <c r="Q646" s="30" t="n">
        <v>1122</v>
      </c>
      <c r="R646" s="30" t="n">
        <f aca="false">ROUND(O646*P646,2)</f>
        <v>14553</v>
      </c>
      <c r="S646" s="30" t="n">
        <f aca="false">ROUND(O646*Q646,2)</f>
        <v>10098</v>
      </c>
      <c r="T646" s="30" t="n">
        <f aca="false">ROUND(R646*SUMIFS(Parametros!$E$23:$E$38,Parametros!$B$23:$B$38,J646,Parametros!$C$23:$C$38,C646,Parametros!$D$23:$D$38,D646),2)</f>
        <v>189.19</v>
      </c>
      <c r="U646" s="30" t="n">
        <f aca="false">R646-S646-T646</f>
        <v>4265.81</v>
      </c>
    </row>
    <row r="647" customFormat="false" ht="15" hidden="false" customHeight="false" outlineLevel="0" collapsed="false">
      <c r="A647" s="0" t="n">
        <v>646</v>
      </c>
      <c r="B647" s="27" t="n">
        <v>45487</v>
      </c>
      <c r="C647" s="0" t="n">
        <v>2024</v>
      </c>
      <c r="D647" s="28" t="s">
        <v>115</v>
      </c>
      <c r="E647" s="0" t="n">
        <v>7</v>
      </c>
      <c r="F647" s="28" t="s">
        <v>116</v>
      </c>
      <c r="G647" s="28" t="s">
        <v>117</v>
      </c>
      <c r="H647" s="28" t="s">
        <v>98</v>
      </c>
      <c r="I647" s="28" t="s">
        <v>99</v>
      </c>
      <c r="J647" s="28" t="s">
        <v>71</v>
      </c>
      <c r="K647" s="28" t="s">
        <v>67</v>
      </c>
      <c r="L647" s="28" t="s">
        <v>68</v>
      </c>
      <c r="M647" s="28" t="s">
        <v>74</v>
      </c>
      <c r="N647" s="28" t="s">
        <v>75</v>
      </c>
      <c r="O647" s="29" t="n">
        <v>4</v>
      </c>
      <c r="P647" s="30" t="n">
        <v>1617</v>
      </c>
      <c r="Q647" s="30" t="n">
        <v>1122</v>
      </c>
      <c r="R647" s="30" t="n">
        <f aca="false">ROUND(O647*P647,2)</f>
        <v>6468</v>
      </c>
      <c r="S647" s="30" t="n">
        <f aca="false">ROUND(O647*Q647,2)</f>
        <v>4488</v>
      </c>
      <c r="T647" s="30" t="n">
        <f aca="false">ROUND(R647*SUMIFS(Parametros!$E$23:$E$38,Parametros!$B$23:$B$38,J647,Parametros!$C$23:$C$38,C647,Parametros!$D$23:$D$38,D647),2)</f>
        <v>297.53</v>
      </c>
      <c r="U647" s="30" t="n">
        <f aca="false">R647-S647-T647</f>
        <v>1682.47</v>
      </c>
    </row>
    <row r="648" customFormat="false" ht="15" hidden="false" customHeight="false" outlineLevel="0" collapsed="false">
      <c r="A648" s="0" t="n">
        <v>647</v>
      </c>
      <c r="B648" s="27" t="n">
        <v>45494</v>
      </c>
      <c r="C648" s="0" t="n">
        <v>2024</v>
      </c>
      <c r="D648" s="28" t="s">
        <v>115</v>
      </c>
      <c r="E648" s="0" t="n">
        <v>7</v>
      </c>
      <c r="F648" s="28" t="s">
        <v>116</v>
      </c>
      <c r="G648" s="28" t="s">
        <v>117</v>
      </c>
      <c r="H648" s="28" t="s">
        <v>98</v>
      </c>
      <c r="I648" s="28" t="s">
        <v>99</v>
      </c>
      <c r="J648" s="28" t="s">
        <v>66</v>
      </c>
      <c r="K648" s="28" t="s">
        <v>76</v>
      </c>
      <c r="L648" s="28" t="s">
        <v>77</v>
      </c>
      <c r="M648" s="28" t="s">
        <v>78</v>
      </c>
      <c r="N648" s="28" t="s">
        <v>79</v>
      </c>
      <c r="O648" s="29" t="n">
        <v>53</v>
      </c>
      <c r="P648" s="30" t="n">
        <v>27.44</v>
      </c>
      <c r="Q648" s="30" t="n">
        <v>13.44</v>
      </c>
      <c r="R648" s="30" t="n">
        <f aca="false">ROUND(O648*P648,2)</f>
        <v>1454.32</v>
      </c>
      <c r="S648" s="30" t="n">
        <f aca="false">ROUND(O648*Q648,2)</f>
        <v>712.32</v>
      </c>
      <c r="T648" s="30" t="n">
        <f aca="false">ROUND(R648*SUMIFS(Parametros!$E$23:$E$38,Parametros!$B$23:$B$38,J648,Parametros!$C$23:$C$38,C648,Parametros!$D$23:$D$38,D648),2)</f>
        <v>18.91</v>
      </c>
      <c r="U648" s="30" t="n">
        <f aca="false">R648-S648-T648</f>
        <v>723.09</v>
      </c>
    </row>
    <row r="649" customFormat="false" ht="15" hidden="false" customHeight="false" outlineLevel="0" collapsed="false">
      <c r="A649" s="0" t="n">
        <v>648</v>
      </c>
      <c r="B649" s="27" t="n">
        <v>45474</v>
      </c>
      <c r="C649" s="0" t="n">
        <v>2024</v>
      </c>
      <c r="D649" s="28" t="s">
        <v>115</v>
      </c>
      <c r="E649" s="0" t="n">
        <v>7</v>
      </c>
      <c r="F649" s="28" t="s">
        <v>116</v>
      </c>
      <c r="G649" s="28" t="s">
        <v>117</v>
      </c>
      <c r="H649" s="28" t="s">
        <v>98</v>
      </c>
      <c r="I649" s="28" t="s">
        <v>99</v>
      </c>
      <c r="J649" s="28" t="s">
        <v>71</v>
      </c>
      <c r="K649" s="28" t="s">
        <v>76</v>
      </c>
      <c r="L649" s="28" t="s">
        <v>77</v>
      </c>
      <c r="M649" s="28" t="s">
        <v>78</v>
      </c>
      <c r="N649" s="28" t="s">
        <v>79</v>
      </c>
      <c r="O649" s="29" t="n">
        <v>19</v>
      </c>
      <c r="P649" s="30" t="n">
        <v>27.44</v>
      </c>
      <c r="Q649" s="30" t="n">
        <v>13.44</v>
      </c>
      <c r="R649" s="30" t="n">
        <f aca="false">ROUND(O649*P649,2)</f>
        <v>521.36</v>
      </c>
      <c r="S649" s="30" t="n">
        <f aca="false">ROUND(O649*Q649,2)</f>
        <v>255.36</v>
      </c>
      <c r="T649" s="30" t="n">
        <f aca="false">ROUND(R649*SUMIFS(Parametros!$E$23:$E$38,Parametros!$B$23:$B$38,J649,Parametros!$C$23:$C$38,C649,Parametros!$D$23:$D$38,D649),2)</f>
        <v>23.98</v>
      </c>
      <c r="U649" s="30" t="n">
        <f aca="false">R649-S649-T649</f>
        <v>242.02</v>
      </c>
    </row>
    <row r="650" customFormat="false" ht="15" hidden="false" customHeight="false" outlineLevel="0" collapsed="false">
      <c r="A650" s="0" t="n">
        <v>649</v>
      </c>
      <c r="B650" s="27" t="n">
        <v>45481</v>
      </c>
      <c r="C650" s="0" t="n">
        <v>2024</v>
      </c>
      <c r="D650" s="28" t="s">
        <v>115</v>
      </c>
      <c r="E650" s="0" t="n">
        <v>7</v>
      </c>
      <c r="F650" s="28" t="s">
        <v>116</v>
      </c>
      <c r="G650" s="28" t="s">
        <v>117</v>
      </c>
      <c r="H650" s="28" t="s">
        <v>98</v>
      </c>
      <c r="I650" s="28" t="s">
        <v>99</v>
      </c>
      <c r="J650" s="28" t="s">
        <v>66</v>
      </c>
      <c r="K650" s="28" t="s">
        <v>76</v>
      </c>
      <c r="L650" s="28" t="s">
        <v>77</v>
      </c>
      <c r="M650" s="28" t="s">
        <v>80</v>
      </c>
      <c r="N650" s="28" t="s">
        <v>81</v>
      </c>
      <c r="O650" s="29" t="n">
        <v>44</v>
      </c>
      <c r="P650" s="30" t="n">
        <v>93.1</v>
      </c>
      <c r="Q650" s="30" t="n">
        <v>47.98</v>
      </c>
      <c r="R650" s="30" t="n">
        <f aca="false">ROUND(O650*P650,2)</f>
        <v>4096.4</v>
      </c>
      <c r="S650" s="30" t="n">
        <f aca="false">ROUND(O650*Q650,2)</f>
        <v>2111.12</v>
      </c>
      <c r="T650" s="30" t="n">
        <f aca="false">ROUND(R650*SUMIFS(Parametros!$E$23:$E$38,Parametros!$B$23:$B$38,J650,Parametros!$C$23:$C$38,C650,Parametros!$D$23:$D$38,D650),2)</f>
        <v>53.25</v>
      </c>
      <c r="U650" s="30" t="n">
        <f aca="false">R650-S650-T650</f>
        <v>1932.03</v>
      </c>
    </row>
    <row r="651" customFormat="false" ht="15" hidden="false" customHeight="false" outlineLevel="0" collapsed="false">
      <c r="A651" s="0" t="n">
        <v>650</v>
      </c>
      <c r="B651" s="27" t="n">
        <v>45488</v>
      </c>
      <c r="C651" s="0" t="n">
        <v>2024</v>
      </c>
      <c r="D651" s="28" t="s">
        <v>115</v>
      </c>
      <c r="E651" s="0" t="n">
        <v>7</v>
      </c>
      <c r="F651" s="28" t="s">
        <v>116</v>
      </c>
      <c r="G651" s="28" t="s">
        <v>117</v>
      </c>
      <c r="H651" s="28" t="s">
        <v>98</v>
      </c>
      <c r="I651" s="28" t="s">
        <v>99</v>
      </c>
      <c r="J651" s="28" t="s">
        <v>71</v>
      </c>
      <c r="K651" s="28" t="s">
        <v>76</v>
      </c>
      <c r="L651" s="28" t="s">
        <v>77</v>
      </c>
      <c r="M651" s="28" t="s">
        <v>80</v>
      </c>
      <c r="N651" s="28" t="s">
        <v>81</v>
      </c>
      <c r="O651" s="29" t="n">
        <v>18</v>
      </c>
      <c r="P651" s="30" t="n">
        <v>93.1</v>
      </c>
      <c r="Q651" s="30" t="n">
        <v>47.98</v>
      </c>
      <c r="R651" s="30" t="n">
        <f aca="false">ROUND(O651*P651,2)</f>
        <v>1675.8</v>
      </c>
      <c r="S651" s="30" t="n">
        <f aca="false">ROUND(O651*Q651,2)</f>
        <v>863.64</v>
      </c>
      <c r="T651" s="30" t="n">
        <f aca="false">ROUND(R651*SUMIFS(Parametros!$E$23:$E$38,Parametros!$B$23:$B$38,J651,Parametros!$C$23:$C$38,C651,Parametros!$D$23:$D$38,D651),2)</f>
        <v>77.09</v>
      </c>
      <c r="U651" s="30" t="n">
        <f aca="false">R651-S651-T651</f>
        <v>735.07</v>
      </c>
    </row>
    <row r="652" customFormat="false" ht="15" hidden="false" customHeight="false" outlineLevel="0" collapsed="false">
      <c r="A652" s="0" t="n">
        <v>651</v>
      </c>
      <c r="B652" s="27" t="n">
        <v>45495</v>
      </c>
      <c r="C652" s="0" t="n">
        <v>2024</v>
      </c>
      <c r="D652" s="28" t="s">
        <v>115</v>
      </c>
      <c r="E652" s="0" t="n">
        <v>7</v>
      </c>
      <c r="F652" s="28" t="s">
        <v>116</v>
      </c>
      <c r="G652" s="28" t="s">
        <v>117</v>
      </c>
      <c r="H652" s="28" t="s">
        <v>98</v>
      </c>
      <c r="I652" s="28" t="s">
        <v>99</v>
      </c>
      <c r="J652" s="28" t="s">
        <v>66</v>
      </c>
      <c r="K652" s="28" t="s">
        <v>76</v>
      </c>
      <c r="L652" s="28" t="s">
        <v>77</v>
      </c>
      <c r="M652" s="28" t="s">
        <v>82</v>
      </c>
      <c r="N652" s="28" t="s">
        <v>83</v>
      </c>
      <c r="O652" s="29" t="n">
        <v>54</v>
      </c>
      <c r="P652" s="30" t="n">
        <v>63.7</v>
      </c>
      <c r="Q652" s="30" t="n">
        <v>35.43</v>
      </c>
      <c r="R652" s="30" t="n">
        <f aca="false">ROUND(O652*P652,2)</f>
        <v>3439.8</v>
      </c>
      <c r="S652" s="30" t="n">
        <f aca="false">ROUND(O652*Q652,2)</f>
        <v>1913.22</v>
      </c>
      <c r="T652" s="30" t="n">
        <f aca="false">ROUND(R652*SUMIFS(Parametros!$E$23:$E$38,Parametros!$B$23:$B$38,J652,Parametros!$C$23:$C$38,C652,Parametros!$D$23:$D$38,D652),2)</f>
        <v>44.72</v>
      </c>
      <c r="U652" s="30" t="n">
        <f aca="false">R652-S652-T652</f>
        <v>1481.86</v>
      </c>
    </row>
    <row r="653" customFormat="false" ht="15" hidden="false" customHeight="false" outlineLevel="0" collapsed="false">
      <c r="A653" s="0" t="n">
        <v>652</v>
      </c>
      <c r="B653" s="27" t="n">
        <v>45475</v>
      </c>
      <c r="C653" s="0" t="n">
        <v>2024</v>
      </c>
      <c r="D653" s="28" t="s">
        <v>115</v>
      </c>
      <c r="E653" s="0" t="n">
        <v>7</v>
      </c>
      <c r="F653" s="28" t="s">
        <v>116</v>
      </c>
      <c r="G653" s="28" t="s">
        <v>117</v>
      </c>
      <c r="H653" s="28" t="s">
        <v>98</v>
      </c>
      <c r="I653" s="28" t="s">
        <v>99</v>
      </c>
      <c r="J653" s="28" t="s">
        <v>71</v>
      </c>
      <c r="K653" s="28" t="s">
        <v>76</v>
      </c>
      <c r="L653" s="28" t="s">
        <v>77</v>
      </c>
      <c r="M653" s="28" t="s">
        <v>82</v>
      </c>
      <c r="N653" s="28" t="s">
        <v>83</v>
      </c>
      <c r="O653" s="29" t="n">
        <v>20</v>
      </c>
      <c r="P653" s="30" t="n">
        <v>63.7</v>
      </c>
      <c r="Q653" s="30" t="n">
        <v>35.43</v>
      </c>
      <c r="R653" s="30" t="n">
        <f aca="false">ROUND(O653*P653,2)</f>
        <v>1274</v>
      </c>
      <c r="S653" s="30" t="n">
        <f aca="false">ROUND(O653*Q653,2)</f>
        <v>708.6</v>
      </c>
      <c r="T653" s="30" t="n">
        <f aca="false">ROUND(R653*SUMIFS(Parametros!$E$23:$E$38,Parametros!$B$23:$B$38,J653,Parametros!$C$23:$C$38,C653,Parametros!$D$23:$D$38,D653),2)</f>
        <v>58.6</v>
      </c>
      <c r="U653" s="30" t="n">
        <f aca="false">R653-S653-T653</f>
        <v>506.8</v>
      </c>
    </row>
    <row r="654" customFormat="false" ht="15" hidden="false" customHeight="false" outlineLevel="0" collapsed="false">
      <c r="A654" s="0" t="n">
        <v>653</v>
      </c>
      <c r="B654" s="27" t="n">
        <v>45482</v>
      </c>
      <c r="C654" s="0" t="n">
        <v>2024</v>
      </c>
      <c r="D654" s="28" t="s">
        <v>115</v>
      </c>
      <c r="E654" s="0" t="n">
        <v>7</v>
      </c>
      <c r="F654" s="28" t="s">
        <v>116</v>
      </c>
      <c r="G654" s="28" t="s">
        <v>117</v>
      </c>
      <c r="H654" s="28" t="s">
        <v>98</v>
      </c>
      <c r="I654" s="28" t="s">
        <v>99</v>
      </c>
      <c r="J654" s="28" t="s">
        <v>66</v>
      </c>
      <c r="K654" s="28" t="s">
        <v>84</v>
      </c>
      <c r="L654" s="28" t="s">
        <v>85</v>
      </c>
      <c r="M654" s="28" t="s">
        <v>86</v>
      </c>
      <c r="N654" s="28" t="s">
        <v>87</v>
      </c>
      <c r="O654" s="29" t="n">
        <v>17</v>
      </c>
      <c r="P654" s="30" t="n">
        <v>117.6</v>
      </c>
      <c r="Q654" s="30" t="n">
        <v>63.6</v>
      </c>
      <c r="R654" s="30" t="n">
        <f aca="false">ROUND(O654*P654,2)</f>
        <v>1999.2</v>
      </c>
      <c r="S654" s="30" t="n">
        <f aca="false">ROUND(O654*Q654,2)</f>
        <v>1081.2</v>
      </c>
      <c r="T654" s="30" t="n">
        <f aca="false">ROUND(R654*SUMIFS(Parametros!$E$23:$E$38,Parametros!$B$23:$B$38,J654,Parametros!$C$23:$C$38,C654,Parametros!$D$23:$D$38,D654),2)</f>
        <v>25.99</v>
      </c>
      <c r="U654" s="30" t="n">
        <f aca="false">R654-S654-T654</f>
        <v>892.01</v>
      </c>
    </row>
    <row r="655" customFormat="false" ht="15" hidden="false" customHeight="false" outlineLevel="0" collapsed="false">
      <c r="A655" s="0" t="n">
        <v>654</v>
      </c>
      <c r="B655" s="27" t="n">
        <v>45489</v>
      </c>
      <c r="C655" s="0" t="n">
        <v>2024</v>
      </c>
      <c r="D655" s="28" t="s">
        <v>115</v>
      </c>
      <c r="E655" s="0" t="n">
        <v>7</v>
      </c>
      <c r="F655" s="28" t="s">
        <v>116</v>
      </c>
      <c r="G655" s="28" t="s">
        <v>117</v>
      </c>
      <c r="H655" s="28" t="s">
        <v>98</v>
      </c>
      <c r="I655" s="28" t="s">
        <v>99</v>
      </c>
      <c r="J655" s="28" t="s">
        <v>71</v>
      </c>
      <c r="K655" s="28" t="s">
        <v>84</v>
      </c>
      <c r="L655" s="28" t="s">
        <v>85</v>
      </c>
      <c r="M655" s="28" t="s">
        <v>86</v>
      </c>
      <c r="N655" s="28" t="s">
        <v>87</v>
      </c>
      <c r="O655" s="29" t="n">
        <v>8</v>
      </c>
      <c r="P655" s="30" t="n">
        <v>117.6</v>
      </c>
      <c r="Q655" s="30" t="n">
        <v>63.6</v>
      </c>
      <c r="R655" s="30" t="n">
        <f aca="false">ROUND(O655*P655,2)</f>
        <v>940.8</v>
      </c>
      <c r="S655" s="30" t="n">
        <f aca="false">ROUND(O655*Q655,2)</f>
        <v>508.8</v>
      </c>
      <c r="T655" s="30" t="n">
        <f aca="false">ROUND(R655*SUMIFS(Parametros!$E$23:$E$38,Parametros!$B$23:$B$38,J655,Parametros!$C$23:$C$38,C655,Parametros!$D$23:$D$38,D655),2)</f>
        <v>43.28</v>
      </c>
      <c r="U655" s="30" t="n">
        <f aca="false">R655-S655-T655</f>
        <v>388.72</v>
      </c>
    </row>
    <row r="656" customFormat="false" ht="15" hidden="false" customHeight="false" outlineLevel="0" collapsed="false">
      <c r="A656" s="0" t="n">
        <v>655</v>
      </c>
      <c r="B656" s="27" t="n">
        <v>45496</v>
      </c>
      <c r="C656" s="0" t="n">
        <v>2024</v>
      </c>
      <c r="D656" s="28" t="s">
        <v>115</v>
      </c>
      <c r="E656" s="0" t="n">
        <v>7</v>
      </c>
      <c r="F656" s="28" t="s">
        <v>116</v>
      </c>
      <c r="G656" s="28" t="s">
        <v>117</v>
      </c>
      <c r="H656" s="28" t="s">
        <v>98</v>
      </c>
      <c r="I656" s="28" t="s">
        <v>99</v>
      </c>
      <c r="J656" s="28" t="s">
        <v>66</v>
      </c>
      <c r="K656" s="28" t="s">
        <v>84</v>
      </c>
      <c r="L656" s="28" t="s">
        <v>85</v>
      </c>
      <c r="M656" s="28" t="s">
        <v>88</v>
      </c>
      <c r="N656" s="28" t="s">
        <v>89</v>
      </c>
      <c r="O656" s="29" t="n">
        <v>22</v>
      </c>
      <c r="P656" s="30" t="n">
        <v>83.3</v>
      </c>
      <c r="Q656" s="30" t="n">
        <v>48.02</v>
      </c>
      <c r="R656" s="30" t="n">
        <f aca="false">ROUND(O656*P656,2)</f>
        <v>1832.6</v>
      </c>
      <c r="S656" s="30" t="n">
        <f aca="false">ROUND(O656*Q656,2)</f>
        <v>1056.44</v>
      </c>
      <c r="T656" s="30" t="n">
        <f aca="false">ROUND(R656*SUMIFS(Parametros!$E$23:$E$38,Parametros!$B$23:$B$38,J656,Parametros!$C$23:$C$38,C656,Parametros!$D$23:$D$38,D656),2)</f>
        <v>23.82</v>
      </c>
      <c r="U656" s="30" t="n">
        <f aca="false">R656-S656-T656</f>
        <v>752.34</v>
      </c>
    </row>
    <row r="657" customFormat="false" ht="15" hidden="false" customHeight="false" outlineLevel="0" collapsed="false">
      <c r="A657" s="0" t="n">
        <v>656</v>
      </c>
      <c r="B657" s="27" t="n">
        <v>45476</v>
      </c>
      <c r="C657" s="0" t="n">
        <v>2024</v>
      </c>
      <c r="D657" s="28" t="s">
        <v>115</v>
      </c>
      <c r="E657" s="0" t="n">
        <v>7</v>
      </c>
      <c r="F657" s="28" t="s">
        <v>116</v>
      </c>
      <c r="G657" s="28" t="s">
        <v>117</v>
      </c>
      <c r="H657" s="28" t="s">
        <v>98</v>
      </c>
      <c r="I657" s="28" t="s">
        <v>99</v>
      </c>
      <c r="J657" s="28" t="s">
        <v>71</v>
      </c>
      <c r="K657" s="28" t="s">
        <v>84</v>
      </c>
      <c r="L657" s="28" t="s">
        <v>85</v>
      </c>
      <c r="M657" s="28" t="s">
        <v>88</v>
      </c>
      <c r="N657" s="28" t="s">
        <v>89</v>
      </c>
      <c r="O657" s="29" t="n">
        <v>8</v>
      </c>
      <c r="P657" s="30" t="n">
        <v>83.3</v>
      </c>
      <c r="Q657" s="30" t="n">
        <v>48.02</v>
      </c>
      <c r="R657" s="30" t="n">
        <f aca="false">ROUND(O657*P657,2)</f>
        <v>666.4</v>
      </c>
      <c r="S657" s="30" t="n">
        <f aca="false">ROUND(O657*Q657,2)</f>
        <v>384.16</v>
      </c>
      <c r="T657" s="30" t="n">
        <f aca="false">ROUND(R657*SUMIFS(Parametros!$E$23:$E$38,Parametros!$B$23:$B$38,J657,Parametros!$C$23:$C$38,C657,Parametros!$D$23:$D$38,D657),2)</f>
        <v>30.65</v>
      </c>
      <c r="U657" s="30" t="n">
        <f aca="false">R657-S657-T657</f>
        <v>251.59</v>
      </c>
    </row>
    <row r="658" customFormat="false" ht="15" hidden="false" customHeight="false" outlineLevel="0" collapsed="false">
      <c r="A658" s="0" t="n">
        <v>657</v>
      </c>
      <c r="B658" s="27" t="n">
        <v>45483</v>
      </c>
      <c r="C658" s="0" t="n">
        <v>2024</v>
      </c>
      <c r="D658" s="28" t="s">
        <v>115</v>
      </c>
      <c r="E658" s="0" t="n">
        <v>7</v>
      </c>
      <c r="F658" s="28" t="s">
        <v>116</v>
      </c>
      <c r="G658" s="28" t="s">
        <v>117</v>
      </c>
      <c r="H658" s="28" t="s">
        <v>98</v>
      </c>
      <c r="I658" s="28" t="s">
        <v>99</v>
      </c>
      <c r="J658" s="28" t="s">
        <v>66</v>
      </c>
      <c r="K658" s="28" t="s">
        <v>90</v>
      </c>
      <c r="L658" s="28" t="s">
        <v>91</v>
      </c>
      <c r="M658" s="28" t="s">
        <v>92</v>
      </c>
      <c r="N658" s="28" t="s">
        <v>93</v>
      </c>
      <c r="O658" s="29" t="n">
        <v>31</v>
      </c>
      <c r="P658" s="30" t="n">
        <v>127.4</v>
      </c>
      <c r="Q658" s="30" t="n">
        <v>76.05</v>
      </c>
      <c r="R658" s="30" t="n">
        <f aca="false">ROUND(O658*P658,2)</f>
        <v>3949.4</v>
      </c>
      <c r="S658" s="30" t="n">
        <f aca="false">ROUND(O658*Q658,2)</f>
        <v>2357.55</v>
      </c>
      <c r="T658" s="30" t="n">
        <f aca="false">ROUND(R658*SUMIFS(Parametros!$E$23:$E$38,Parametros!$B$23:$B$38,J658,Parametros!$C$23:$C$38,C658,Parametros!$D$23:$D$38,D658),2)</f>
        <v>51.34</v>
      </c>
      <c r="U658" s="30" t="n">
        <f aca="false">R658-S658-T658</f>
        <v>1540.51</v>
      </c>
    </row>
    <row r="659" customFormat="false" ht="15" hidden="false" customHeight="false" outlineLevel="0" collapsed="false">
      <c r="A659" s="0" t="n">
        <v>658</v>
      </c>
      <c r="B659" s="27" t="n">
        <v>45490</v>
      </c>
      <c r="C659" s="0" t="n">
        <v>2024</v>
      </c>
      <c r="D659" s="28" t="s">
        <v>115</v>
      </c>
      <c r="E659" s="0" t="n">
        <v>7</v>
      </c>
      <c r="F659" s="28" t="s">
        <v>116</v>
      </c>
      <c r="G659" s="28" t="s">
        <v>117</v>
      </c>
      <c r="H659" s="28" t="s">
        <v>98</v>
      </c>
      <c r="I659" s="28" t="s">
        <v>99</v>
      </c>
      <c r="J659" s="28" t="s">
        <v>71</v>
      </c>
      <c r="K659" s="28" t="s">
        <v>90</v>
      </c>
      <c r="L659" s="28" t="s">
        <v>91</v>
      </c>
      <c r="M659" s="28" t="s">
        <v>92</v>
      </c>
      <c r="N659" s="28" t="s">
        <v>93</v>
      </c>
      <c r="O659" s="29" t="n">
        <v>11</v>
      </c>
      <c r="P659" s="30" t="n">
        <v>127.4</v>
      </c>
      <c r="Q659" s="30" t="n">
        <v>76.05</v>
      </c>
      <c r="R659" s="30" t="n">
        <f aca="false">ROUND(O659*P659,2)</f>
        <v>1401.4</v>
      </c>
      <c r="S659" s="30" t="n">
        <f aca="false">ROUND(O659*Q659,2)</f>
        <v>836.55</v>
      </c>
      <c r="T659" s="30" t="n">
        <f aca="false">ROUND(R659*SUMIFS(Parametros!$E$23:$E$38,Parametros!$B$23:$B$38,J659,Parametros!$C$23:$C$38,C659,Parametros!$D$23:$D$38,D659),2)</f>
        <v>64.46</v>
      </c>
      <c r="U659" s="30" t="n">
        <f aca="false">R659-S659-T659</f>
        <v>500.39</v>
      </c>
    </row>
    <row r="660" customFormat="false" ht="15" hidden="false" customHeight="false" outlineLevel="0" collapsed="false">
      <c r="A660" s="0" t="n">
        <v>659</v>
      </c>
      <c r="B660" s="27" t="n">
        <v>45497</v>
      </c>
      <c r="C660" s="0" t="n">
        <v>2024</v>
      </c>
      <c r="D660" s="28" t="s">
        <v>115</v>
      </c>
      <c r="E660" s="0" t="n">
        <v>7</v>
      </c>
      <c r="F660" s="28" t="s">
        <v>116</v>
      </c>
      <c r="G660" s="28" t="s">
        <v>117</v>
      </c>
      <c r="H660" s="28" t="s">
        <v>98</v>
      </c>
      <c r="I660" s="28" t="s">
        <v>99</v>
      </c>
      <c r="J660" s="28" t="s">
        <v>66</v>
      </c>
      <c r="K660" s="28" t="s">
        <v>90</v>
      </c>
      <c r="L660" s="28" t="s">
        <v>91</v>
      </c>
      <c r="M660" s="28" t="s">
        <v>94</v>
      </c>
      <c r="N660" s="28" t="s">
        <v>95</v>
      </c>
      <c r="O660" s="29" t="n">
        <v>27</v>
      </c>
      <c r="P660" s="30" t="n">
        <v>34.3</v>
      </c>
      <c r="Q660" s="30" t="n">
        <v>17.85</v>
      </c>
      <c r="R660" s="30" t="n">
        <f aca="false">ROUND(O660*P660,2)</f>
        <v>926.1</v>
      </c>
      <c r="S660" s="30" t="n">
        <f aca="false">ROUND(O660*Q660,2)</f>
        <v>481.95</v>
      </c>
      <c r="T660" s="30" t="n">
        <f aca="false">ROUND(R660*SUMIFS(Parametros!$E$23:$E$38,Parametros!$B$23:$B$38,J660,Parametros!$C$23:$C$38,C660,Parametros!$D$23:$D$38,D660),2)</f>
        <v>12.04</v>
      </c>
      <c r="U660" s="30" t="n">
        <f aca="false">R660-S660-T660</f>
        <v>432.11</v>
      </c>
    </row>
    <row r="661" customFormat="false" ht="15" hidden="false" customHeight="false" outlineLevel="0" collapsed="false">
      <c r="A661" s="0" t="n">
        <v>660</v>
      </c>
      <c r="B661" s="27" t="n">
        <v>45477</v>
      </c>
      <c r="C661" s="0" t="n">
        <v>2024</v>
      </c>
      <c r="D661" s="28" t="s">
        <v>115</v>
      </c>
      <c r="E661" s="0" t="n">
        <v>7</v>
      </c>
      <c r="F661" s="28" t="s">
        <v>116</v>
      </c>
      <c r="G661" s="28" t="s">
        <v>117</v>
      </c>
      <c r="H661" s="28" t="s">
        <v>98</v>
      </c>
      <c r="I661" s="28" t="s">
        <v>99</v>
      </c>
      <c r="J661" s="28" t="s">
        <v>71</v>
      </c>
      <c r="K661" s="28" t="s">
        <v>90</v>
      </c>
      <c r="L661" s="28" t="s">
        <v>91</v>
      </c>
      <c r="M661" s="28" t="s">
        <v>94</v>
      </c>
      <c r="N661" s="28" t="s">
        <v>95</v>
      </c>
      <c r="O661" s="29" t="n">
        <v>12</v>
      </c>
      <c r="P661" s="30" t="n">
        <v>34.3</v>
      </c>
      <c r="Q661" s="30" t="n">
        <v>17.85</v>
      </c>
      <c r="R661" s="30" t="n">
        <f aca="false">ROUND(O661*P661,2)</f>
        <v>411.6</v>
      </c>
      <c r="S661" s="30" t="n">
        <f aca="false">ROUND(O661*Q661,2)</f>
        <v>214.2</v>
      </c>
      <c r="T661" s="30" t="n">
        <f aca="false">ROUND(R661*SUMIFS(Parametros!$E$23:$E$38,Parametros!$B$23:$B$38,J661,Parametros!$C$23:$C$38,C661,Parametros!$D$23:$D$38,D661),2)</f>
        <v>18.93</v>
      </c>
      <c r="U661" s="30" t="n">
        <f aca="false">R661-S661-T661</f>
        <v>178.47</v>
      </c>
    </row>
    <row r="662" customFormat="false" ht="15" hidden="false" customHeight="false" outlineLevel="0" collapsed="false">
      <c r="A662" s="0" t="n">
        <v>661</v>
      </c>
      <c r="B662" s="27" t="n">
        <v>45484</v>
      </c>
      <c r="C662" s="0" t="n">
        <v>2024</v>
      </c>
      <c r="D662" s="28" t="s">
        <v>115</v>
      </c>
      <c r="E662" s="0" t="n">
        <v>7</v>
      </c>
      <c r="F662" s="28" t="s">
        <v>116</v>
      </c>
      <c r="G662" s="28" t="s">
        <v>117</v>
      </c>
      <c r="H662" s="28" t="s">
        <v>100</v>
      </c>
      <c r="I662" s="28" t="s">
        <v>101</v>
      </c>
      <c r="J662" s="28" t="s">
        <v>66</v>
      </c>
      <c r="K662" s="28" t="s">
        <v>67</v>
      </c>
      <c r="L662" s="28" t="s">
        <v>68</v>
      </c>
      <c r="M662" s="28" t="s">
        <v>69</v>
      </c>
      <c r="N662" s="28" t="s">
        <v>70</v>
      </c>
      <c r="O662" s="29" t="n">
        <v>7</v>
      </c>
      <c r="P662" s="30" t="n">
        <v>1176</v>
      </c>
      <c r="Q662" s="30" t="n">
        <v>744</v>
      </c>
      <c r="R662" s="30" t="n">
        <f aca="false">ROUND(O662*P662,2)</f>
        <v>8232</v>
      </c>
      <c r="S662" s="30" t="n">
        <f aca="false">ROUND(O662*Q662,2)</f>
        <v>5208</v>
      </c>
      <c r="T662" s="30" t="n">
        <f aca="false">ROUND(R662*SUMIFS(Parametros!$E$23:$E$38,Parametros!$B$23:$B$38,J662,Parametros!$C$23:$C$38,C662,Parametros!$D$23:$D$38,D662),2)</f>
        <v>107.02</v>
      </c>
      <c r="U662" s="30" t="n">
        <f aca="false">R662-S662-T662</f>
        <v>2916.98</v>
      </c>
    </row>
    <row r="663" customFormat="false" ht="15" hidden="false" customHeight="false" outlineLevel="0" collapsed="false">
      <c r="A663" s="0" t="n">
        <v>662</v>
      </c>
      <c r="B663" s="27" t="n">
        <v>45491</v>
      </c>
      <c r="C663" s="0" t="n">
        <v>2024</v>
      </c>
      <c r="D663" s="28" t="s">
        <v>115</v>
      </c>
      <c r="E663" s="0" t="n">
        <v>7</v>
      </c>
      <c r="F663" s="28" t="s">
        <v>116</v>
      </c>
      <c r="G663" s="28" t="s">
        <v>117</v>
      </c>
      <c r="H663" s="28" t="s">
        <v>100</v>
      </c>
      <c r="I663" s="28" t="s">
        <v>101</v>
      </c>
      <c r="J663" s="28" t="s">
        <v>71</v>
      </c>
      <c r="K663" s="28" t="s">
        <v>67</v>
      </c>
      <c r="L663" s="28" t="s">
        <v>68</v>
      </c>
      <c r="M663" s="28" t="s">
        <v>69</v>
      </c>
      <c r="N663" s="28" t="s">
        <v>70</v>
      </c>
      <c r="O663" s="29" t="n">
        <v>3</v>
      </c>
      <c r="P663" s="30" t="n">
        <v>1176</v>
      </c>
      <c r="Q663" s="30" t="n">
        <v>744</v>
      </c>
      <c r="R663" s="30" t="n">
        <f aca="false">ROUND(O663*P663,2)</f>
        <v>3528</v>
      </c>
      <c r="S663" s="30" t="n">
        <f aca="false">ROUND(O663*Q663,2)</f>
        <v>2232</v>
      </c>
      <c r="T663" s="30" t="n">
        <f aca="false">ROUND(R663*SUMIFS(Parametros!$E$23:$E$38,Parametros!$B$23:$B$38,J663,Parametros!$C$23:$C$38,C663,Parametros!$D$23:$D$38,D663),2)</f>
        <v>162.29</v>
      </c>
      <c r="U663" s="30" t="n">
        <f aca="false">R663-S663-T663</f>
        <v>1133.71</v>
      </c>
    </row>
    <row r="664" customFormat="false" ht="15" hidden="false" customHeight="false" outlineLevel="0" collapsed="false">
      <c r="A664" s="0" t="n">
        <v>663</v>
      </c>
      <c r="B664" s="27" t="n">
        <v>45498</v>
      </c>
      <c r="C664" s="0" t="n">
        <v>2024</v>
      </c>
      <c r="D664" s="28" t="s">
        <v>115</v>
      </c>
      <c r="E664" s="0" t="n">
        <v>7</v>
      </c>
      <c r="F664" s="28" t="s">
        <v>116</v>
      </c>
      <c r="G664" s="28" t="s">
        <v>117</v>
      </c>
      <c r="H664" s="28" t="s">
        <v>100</v>
      </c>
      <c r="I664" s="28" t="s">
        <v>101</v>
      </c>
      <c r="J664" s="28" t="s">
        <v>66</v>
      </c>
      <c r="K664" s="28" t="s">
        <v>67</v>
      </c>
      <c r="L664" s="28" t="s">
        <v>68</v>
      </c>
      <c r="M664" s="28" t="s">
        <v>72</v>
      </c>
      <c r="N664" s="28" t="s">
        <v>73</v>
      </c>
      <c r="O664" s="29" t="n">
        <v>6</v>
      </c>
      <c r="P664" s="30" t="n">
        <v>441</v>
      </c>
      <c r="Q664" s="30" t="n">
        <v>272.25</v>
      </c>
      <c r="R664" s="30" t="n">
        <f aca="false">ROUND(O664*P664,2)</f>
        <v>2646</v>
      </c>
      <c r="S664" s="30" t="n">
        <f aca="false">ROUND(O664*Q664,2)</f>
        <v>1633.5</v>
      </c>
      <c r="T664" s="30" t="n">
        <f aca="false">ROUND(R664*SUMIFS(Parametros!$E$23:$E$38,Parametros!$B$23:$B$38,J664,Parametros!$C$23:$C$38,C664,Parametros!$D$23:$D$38,D664),2)</f>
        <v>34.4</v>
      </c>
      <c r="U664" s="30" t="n">
        <f aca="false">R664-S664-T664</f>
        <v>978.1</v>
      </c>
    </row>
    <row r="665" customFormat="false" ht="15" hidden="false" customHeight="false" outlineLevel="0" collapsed="false">
      <c r="A665" s="0" t="n">
        <v>664</v>
      </c>
      <c r="B665" s="27" t="n">
        <v>45478</v>
      </c>
      <c r="C665" s="0" t="n">
        <v>2024</v>
      </c>
      <c r="D665" s="28" t="s">
        <v>115</v>
      </c>
      <c r="E665" s="0" t="n">
        <v>7</v>
      </c>
      <c r="F665" s="28" t="s">
        <v>116</v>
      </c>
      <c r="G665" s="28" t="s">
        <v>117</v>
      </c>
      <c r="H665" s="28" t="s">
        <v>100</v>
      </c>
      <c r="I665" s="28" t="s">
        <v>101</v>
      </c>
      <c r="J665" s="28" t="s">
        <v>71</v>
      </c>
      <c r="K665" s="28" t="s">
        <v>67</v>
      </c>
      <c r="L665" s="28" t="s">
        <v>68</v>
      </c>
      <c r="M665" s="28" t="s">
        <v>72</v>
      </c>
      <c r="N665" s="28" t="s">
        <v>73</v>
      </c>
      <c r="O665" s="29" t="n">
        <v>3</v>
      </c>
      <c r="P665" s="30" t="n">
        <v>441</v>
      </c>
      <c r="Q665" s="30" t="n">
        <v>272.25</v>
      </c>
      <c r="R665" s="30" t="n">
        <f aca="false">ROUND(O665*P665,2)</f>
        <v>1323</v>
      </c>
      <c r="S665" s="30" t="n">
        <f aca="false">ROUND(O665*Q665,2)</f>
        <v>816.75</v>
      </c>
      <c r="T665" s="30" t="n">
        <f aca="false">ROUND(R665*SUMIFS(Parametros!$E$23:$E$38,Parametros!$B$23:$B$38,J665,Parametros!$C$23:$C$38,C665,Parametros!$D$23:$D$38,D665),2)</f>
        <v>60.86</v>
      </c>
      <c r="U665" s="30" t="n">
        <f aca="false">R665-S665-T665</f>
        <v>445.39</v>
      </c>
    </row>
    <row r="666" customFormat="false" ht="15" hidden="false" customHeight="false" outlineLevel="0" collapsed="false">
      <c r="A666" s="0" t="n">
        <v>665</v>
      </c>
      <c r="B666" s="27" t="n">
        <v>45485</v>
      </c>
      <c r="C666" s="0" t="n">
        <v>2024</v>
      </c>
      <c r="D666" s="28" t="s">
        <v>115</v>
      </c>
      <c r="E666" s="0" t="n">
        <v>7</v>
      </c>
      <c r="F666" s="28" t="s">
        <v>116</v>
      </c>
      <c r="G666" s="28" t="s">
        <v>117</v>
      </c>
      <c r="H666" s="28" t="s">
        <v>100</v>
      </c>
      <c r="I666" s="28" t="s">
        <v>101</v>
      </c>
      <c r="J666" s="28" t="s">
        <v>66</v>
      </c>
      <c r="K666" s="28" t="s">
        <v>67</v>
      </c>
      <c r="L666" s="28" t="s">
        <v>68</v>
      </c>
      <c r="M666" s="28" t="s">
        <v>74</v>
      </c>
      <c r="N666" s="28" t="s">
        <v>75</v>
      </c>
      <c r="O666" s="29" t="n">
        <v>7</v>
      </c>
      <c r="P666" s="30" t="n">
        <v>1617</v>
      </c>
      <c r="Q666" s="30" t="n">
        <v>1122</v>
      </c>
      <c r="R666" s="30" t="n">
        <f aca="false">ROUND(O666*P666,2)</f>
        <v>11319</v>
      </c>
      <c r="S666" s="30" t="n">
        <f aca="false">ROUND(O666*Q666,2)</f>
        <v>7854</v>
      </c>
      <c r="T666" s="30" t="n">
        <f aca="false">ROUND(R666*SUMIFS(Parametros!$E$23:$E$38,Parametros!$B$23:$B$38,J666,Parametros!$C$23:$C$38,C666,Parametros!$D$23:$D$38,D666),2)</f>
        <v>147.15</v>
      </c>
      <c r="U666" s="30" t="n">
        <f aca="false">R666-S666-T666</f>
        <v>3317.85</v>
      </c>
    </row>
    <row r="667" customFormat="false" ht="15" hidden="false" customHeight="false" outlineLevel="0" collapsed="false">
      <c r="A667" s="0" t="n">
        <v>666</v>
      </c>
      <c r="B667" s="27" t="n">
        <v>45492</v>
      </c>
      <c r="C667" s="0" t="n">
        <v>2024</v>
      </c>
      <c r="D667" s="28" t="s">
        <v>115</v>
      </c>
      <c r="E667" s="0" t="n">
        <v>7</v>
      </c>
      <c r="F667" s="28" t="s">
        <v>116</v>
      </c>
      <c r="G667" s="28" t="s">
        <v>117</v>
      </c>
      <c r="H667" s="28" t="s">
        <v>100</v>
      </c>
      <c r="I667" s="28" t="s">
        <v>101</v>
      </c>
      <c r="J667" s="28" t="s">
        <v>71</v>
      </c>
      <c r="K667" s="28" t="s">
        <v>67</v>
      </c>
      <c r="L667" s="28" t="s">
        <v>68</v>
      </c>
      <c r="M667" s="28" t="s">
        <v>74</v>
      </c>
      <c r="N667" s="28" t="s">
        <v>75</v>
      </c>
      <c r="O667" s="29" t="n">
        <v>3</v>
      </c>
      <c r="P667" s="30" t="n">
        <v>1617</v>
      </c>
      <c r="Q667" s="30" t="n">
        <v>1122</v>
      </c>
      <c r="R667" s="30" t="n">
        <f aca="false">ROUND(O667*P667,2)</f>
        <v>4851</v>
      </c>
      <c r="S667" s="30" t="n">
        <f aca="false">ROUND(O667*Q667,2)</f>
        <v>3366</v>
      </c>
      <c r="T667" s="30" t="n">
        <f aca="false">ROUND(R667*SUMIFS(Parametros!$E$23:$E$38,Parametros!$B$23:$B$38,J667,Parametros!$C$23:$C$38,C667,Parametros!$D$23:$D$38,D667),2)</f>
        <v>223.15</v>
      </c>
      <c r="U667" s="30" t="n">
        <f aca="false">R667-S667-T667</f>
        <v>1261.85</v>
      </c>
    </row>
    <row r="668" customFormat="false" ht="15" hidden="false" customHeight="false" outlineLevel="0" collapsed="false">
      <c r="A668" s="0" t="n">
        <v>667</v>
      </c>
      <c r="B668" s="27" t="n">
        <v>45499</v>
      </c>
      <c r="C668" s="0" t="n">
        <v>2024</v>
      </c>
      <c r="D668" s="28" t="s">
        <v>115</v>
      </c>
      <c r="E668" s="0" t="n">
        <v>7</v>
      </c>
      <c r="F668" s="28" t="s">
        <v>116</v>
      </c>
      <c r="G668" s="28" t="s">
        <v>117</v>
      </c>
      <c r="H668" s="28" t="s">
        <v>100</v>
      </c>
      <c r="I668" s="28" t="s">
        <v>101</v>
      </c>
      <c r="J668" s="28" t="s">
        <v>66</v>
      </c>
      <c r="K668" s="28" t="s">
        <v>76</v>
      </c>
      <c r="L668" s="28" t="s">
        <v>77</v>
      </c>
      <c r="M668" s="28" t="s">
        <v>78</v>
      </c>
      <c r="N668" s="28" t="s">
        <v>79</v>
      </c>
      <c r="O668" s="29" t="n">
        <v>33</v>
      </c>
      <c r="P668" s="30" t="n">
        <v>27.44</v>
      </c>
      <c r="Q668" s="30" t="n">
        <v>13.44</v>
      </c>
      <c r="R668" s="30" t="n">
        <f aca="false">ROUND(O668*P668,2)</f>
        <v>905.52</v>
      </c>
      <c r="S668" s="30" t="n">
        <f aca="false">ROUND(O668*Q668,2)</f>
        <v>443.52</v>
      </c>
      <c r="T668" s="30" t="n">
        <f aca="false">ROUND(R668*SUMIFS(Parametros!$E$23:$E$38,Parametros!$B$23:$B$38,J668,Parametros!$C$23:$C$38,C668,Parametros!$D$23:$D$38,D668),2)</f>
        <v>11.77</v>
      </c>
      <c r="U668" s="30" t="n">
        <f aca="false">R668-S668-T668</f>
        <v>450.23</v>
      </c>
    </row>
    <row r="669" customFormat="false" ht="15" hidden="false" customHeight="false" outlineLevel="0" collapsed="false">
      <c r="A669" s="0" t="n">
        <v>668</v>
      </c>
      <c r="B669" s="27" t="n">
        <v>45479</v>
      </c>
      <c r="C669" s="0" t="n">
        <v>2024</v>
      </c>
      <c r="D669" s="28" t="s">
        <v>115</v>
      </c>
      <c r="E669" s="0" t="n">
        <v>7</v>
      </c>
      <c r="F669" s="28" t="s">
        <v>116</v>
      </c>
      <c r="G669" s="28" t="s">
        <v>117</v>
      </c>
      <c r="H669" s="28" t="s">
        <v>100</v>
      </c>
      <c r="I669" s="28" t="s">
        <v>101</v>
      </c>
      <c r="J669" s="28" t="s">
        <v>71</v>
      </c>
      <c r="K669" s="28" t="s">
        <v>76</v>
      </c>
      <c r="L669" s="28" t="s">
        <v>77</v>
      </c>
      <c r="M669" s="28" t="s">
        <v>78</v>
      </c>
      <c r="N669" s="28" t="s">
        <v>79</v>
      </c>
      <c r="O669" s="29" t="n">
        <v>13</v>
      </c>
      <c r="P669" s="30" t="n">
        <v>27.44</v>
      </c>
      <c r="Q669" s="30" t="n">
        <v>13.44</v>
      </c>
      <c r="R669" s="30" t="n">
        <f aca="false">ROUND(O669*P669,2)</f>
        <v>356.72</v>
      </c>
      <c r="S669" s="30" t="n">
        <f aca="false">ROUND(O669*Q669,2)</f>
        <v>174.72</v>
      </c>
      <c r="T669" s="30" t="n">
        <f aca="false">ROUND(R669*SUMIFS(Parametros!$E$23:$E$38,Parametros!$B$23:$B$38,J669,Parametros!$C$23:$C$38,C669,Parametros!$D$23:$D$38,D669),2)</f>
        <v>16.41</v>
      </c>
      <c r="U669" s="30" t="n">
        <f aca="false">R669-S669-T669</f>
        <v>165.59</v>
      </c>
    </row>
    <row r="670" customFormat="false" ht="15" hidden="false" customHeight="false" outlineLevel="0" collapsed="false">
      <c r="A670" s="0" t="n">
        <v>669</v>
      </c>
      <c r="B670" s="27" t="n">
        <v>45486</v>
      </c>
      <c r="C670" s="0" t="n">
        <v>2024</v>
      </c>
      <c r="D670" s="28" t="s">
        <v>115</v>
      </c>
      <c r="E670" s="0" t="n">
        <v>7</v>
      </c>
      <c r="F670" s="28" t="s">
        <v>116</v>
      </c>
      <c r="G670" s="28" t="s">
        <v>117</v>
      </c>
      <c r="H670" s="28" t="s">
        <v>100</v>
      </c>
      <c r="I670" s="28" t="s">
        <v>101</v>
      </c>
      <c r="J670" s="28" t="s">
        <v>66</v>
      </c>
      <c r="K670" s="28" t="s">
        <v>76</v>
      </c>
      <c r="L670" s="28" t="s">
        <v>77</v>
      </c>
      <c r="M670" s="28" t="s">
        <v>80</v>
      </c>
      <c r="N670" s="28" t="s">
        <v>81</v>
      </c>
      <c r="O670" s="29" t="n">
        <v>39</v>
      </c>
      <c r="P670" s="30" t="n">
        <v>93.1</v>
      </c>
      <c r="Q670" s="30" t="n">
        <v>47.98</v>
      </c>
      <c r="R670" s="30" t="n">
        <f aca="false">ROUND(O670*P670,2)</f>
        <v>3630.9</v>
      </c>
      <c r="S670" s="30" t="n">
        <f aca="false">ROUND(O670*Q670,2)</f>
        <v>1871.22</v>
      </c>
      <c r="T670" s="30" t="n">
        <f aca="false">ROUND(R670*SUMIFS(Parametros!$E$23:$E$38,Parametros!$B$23:$B$38,J670,Parametros!$C$23:$C$38,C670,Parametros!$D$23:$D$38,D670),2)</f>
        <v>47.2</v>
      </c>
      <c r="U670" s="30" t="n">
        <f aca="false">R670-S670-T670</f>
        <v>1712.48</v>
      </c>
    </row>
    <row r="671" customFormat="false" ht="15" hidden="false" customHeight="false" outlineLevel="0" collapsed="false">
      <c r="A671" s="0" t="n">
        <v>670</v>
      </c>
      <c r="B671" s="27" t="n">
        <v>45493</v>
      </c>
      <c r="C671" s="0" t="n">
        <v>2024</v>
      </c>
      <c r="D671" s="28" t="s">
        <v>115</v>
      </c>
      <c r="E671" s="0" t="n">
        <v>7</v>
      </c>
      <c r="F671" s="28" t="s">
        <v>116</v>
      </c>
      <c r="G671" s="28" t="s">
        <v>117</v>
      </c>
      <c r="H671" s="28" t="s">
        <v>100</v>
      </c>
      <c r="I671" s="28" t="s">
        <v>101</v>
      </c>
      <c r="J671" s="28" t="s">
        <v>71</v>
      </c>
      <c r="K671" s="28" t="s">
        <v>76</v>
      </c>
      <c r="L671" s="28" t="s">
        <v>77</v>
      </c>
      <c r="M671" s="28" t="s">
        <v>80</v>
      </c>
      <c r="N671" s="28" t="s">
        <v>81</v>
      </c>
      <c r="O671" s="29" t="n">
        <v>11</v>
      </c>
      <c r="P671" s="30" t="n">
        <v>93.1</v>
      </c>
      <c r="Q671" s="30" t="n">
        <v>47.98</v>
      </c>
      <c r="R671" s="30" t="n">
        <f aca="false">ROUND(O671*P671,2)</f>
        <v>1024.1</v>
      </c>
      <c r="S671" s="30" t="n">
        <f aca="false">ROUND(O671*Q671,2)</f>
        <v>527.78</v>
      </c>
      <c r="T671" s="30" t="n">
        <f aca="false">ROUND(R671*SUMIFS(Parametros!$E$23:$E$38,Parametros!$B$23:$B$38,J671,Parametros!$C$23:$C$38,C671,Parametros!$D$23:$D$38,D671),2)</f>
        <v>47.11</v>
      </c>
      <c r="U671" s="30" t="n">
        <f aca="false">R671-S671-T671</f>
        <v>449.21</v>
      </c>
    </row>
    <row r="672" customFormat="false" ht="15" hidden="false" customHeight="false" outlineLevel="0" collapsed="false">
      <c r="A672" s="0" t="n">
        <v>671</v>
      </c>
      <c r="B672" s="27" t="n">
        <v>45500</v>
      </c>
      <c r="C672" s="0" t="n">
        <v>2024</v>
      </c>
      <c r="D672" s="28" t="s">
        <v>115</v>
      </c>
      <c r="E672" s="0" t="n">
        <v>7</v>
      </c>
      <c r="F672" s="28" t="s">
        <v>116</v>
      </c>
      <c r="G672" s="28" t="s">
        <v>117</v>
      </c>
      <c r="H672" s="28" t="s">
        <v>100</v>
      </c>
      <c r="I672" s="28" t="s">
        <v>101</v>
      </c>
      <c r="J672" s="28" t="s">
        <v>66</v>
      </c>
      <c r="K672" s="28" t="s">
        <v>76</v>
      </c>
      <c r="L672" s="28" t="s">
        <v>77</v>
      </c>
      <c r="M672" s="28" t="s">
        <v>82</v>
      </c>
      <c r="N672" s="28" t="s">
        <v>83</v>
      </c>
      <c r="O672" s="29" t="n">
        <v>36</v>
      </c>
      <c r="P672" s="30" t="n">
        <v>63.7</v>
      </c>
      <c r="Q672" s="30" t="n">
        <v>35.43</v>
      </c>
      <c r="R672" s="30" t="n">
        <f aca="false">ROUND(O672*P672,2)</f>
        <v>2293.2</v>
      </c>
      <c r="S672" s="30" t="n">
        <f aca="false">ROUND(O672*Q672,2)</f>
        <v>1275.48</v>
      </c>
      <c r="T672" s="30" t="n">
        <f aca="false">ROUND(R672*SUMIFS(Parametros!$E$23:$E$38,Parametros!$B$23:$B$38,J672,Parametros!$C$23:$C$38,C672,Parametros!$D$23:$D$38,D672),2)</f>
        <v>29.81</v>
      </c>
      <c r="U672" s="30" t="n">
        <f aca="false">R672-S672-T672</f>
        <v>987.91</v>
      </c>
    </row>
    <row r="673" customFormat="false" ht="15" hidden="false" customHeight="false" outlineLevel="0" collapsed="false">
      <c r="A673" s="0" t="n">
        <v>672</v>
      </c>
      <c r="B673" s="27" t="n">
        <v>45480</v>
      </c>
      <c r="C673" s="0" t="n">
        <v>2024</v>
      </c>
      <c r="D673" s="28" t="s">
        <v>115</v>
      </c>
      <c r="E673" s="0" t="n">
        <v>7</v>
      </c>
      <c r="F673" s="28" t="s">
        <v>116</v>
      </c>
      <c r="G673" s="28" t="s">
        <v>117</v>
      </c>
      <c r="H673" s="28" t="s">
        <v>100</v>
      </c>
      <c r="I673" s="28" t="s">
        <v>101</v>
      </c>
      <c r="J673" s="28" t="s">
        <v>71</v>
      </c>
      <c r="K673" s="28" t="s">
        <v>76</v>
      </c>
      <c r="L673" s="28" t="s">
        <v>77</v>
      </c>
      <c r="M673" s="28" t="s">
        <v>82</v>
      </c>
      <c r="N673" s="28" t="s">
        <v>83</v>
      </c>
      <c r="O673" s="29" t="n">
        <v>12</v>
      </c>
      <c r="P673" s="30" t="n">
        <v>63.7</v>
      </c>
      <c r="Q673" s="30" t="n">
        <v>35.43</v>
      </c>
      <c r="R673" s="30" t="n">
        <f aca="false">ROUND(O673*P673,2)</f>
        <v>764.4</v>
      </c>
      <c r="S673" s="30" t="n">
        <f aca="false">ROUND(O673*Q673,2)</f>
        <v>425.16</v>
      </c>
      <c r="T673" s="30" t="n">
        <f aca="false">ROUND(R673*SUMIFS(Parametros!$E$23:$E$38,Parametros!$B$23:$B$38,J673,Parametros!$C$23:$C$38,C673,Parametros!$D$23:$D$38,D673),2)</f>
        <v>35.16</v>
      </c>
      <c r="U673" s="30" t="n">
        <f aca="false">R673-S673-T673</f>
        <v>304.08</v>
      </c>
    </row>
    <row r="674" customFormat="false" ht="15" hidden="false" customHeight="false" outlineLevel="0" collapsed="false">
      <c r="A674" s="0" t="n">
        <v>673</v>
      </c>
      <c r="B674" s="27" t="n">
        <v>45487</v>
      </c>
      <c r="C674" s="0" t="n">
        <v>2024</v>
      </c>
      <c r="D674" s="28" t="s">
        <v>115</v>
      </c>
      <c r="E674" s="0" t="n">
        <v>7</v>
      </c>
      <c r="F674" s="28" t="s">
        <v>116</v>
      </c>
      <c r="G674" s="28" t="s">
        <v>117</v>
      </c>
      <c r="H674" s="28" t="s">
        <v>100</v>
      </c>
      <c r="I674" s="28" t="s">
        <v>101</v>
      </c>
      <c r="J674" s="28" t="s">
        <v>66</v>
      </c>
      <c r="K674" s="28" t="s">
        <v>84</v>
      </c>
      <c r="L674" s="28" t="s">
        <v>85</v>
      </c>
      <c r="M674" s="28" t="s">
        <v>86</v>
      </c>
      <c r="N674" s="28" t="s">
        <v>87</v>
      </c>
      <c r="O674" s="29" t="n">
        <v>14</v>
      </c>
      <c r="P674" s="30" t="n">
        <v>117.6</v>
      </c>
      <c r="Q674" s="30" t="n">
        <v>63.6</v>
      </c>
      <c r="R674" s="30" t="n">
        <f aca="false">ROUND(O674*P674,2)</f>
        <v>1646.4</v>
      </c>
      <c r="S674" s="30" t="n">
        <f aca="false">ROUND(O674*Q674,2)</f>
        <v>890.4</v>
      </c>
      <c r="T674" s="30" t="n">
        <f aca="false">ROUND(R674*SUMIFS(Parametros!$E$23:$E$38,Parametros!$B$23:$B$38,J674,Parametros!$C$23:$C$38,C674,Parametros!$D$23:$D$38,D674),2)</f>
        <v>21.4</v>
      </c>
      <c r="U674" s="30" t="n">
        <f aca="false">R674-S674-T674</f>
        <v>734.6</v>
      </c>
    </row>
    <row r="675" customFormat="false" ht="15" hidden="false" customHeight="false" outlineLevel="0" collapsed="false">
      <c r="A675" s="0" t="n">
        <v>674</v>
      </c>
      <c r="B675" s="27" t="n">
        <v>45494</v>
      </c>
      <c r="C675" s="0" t="n">
        <v>2024</v>
      </c>
      <c r="D675" s="28" t="s">
        <v>115</v>
      </c>
      <c r="E675" s="0" t="n">
        <v>7</v>
      </c>
      <c r="F675" s="28" t="s">
        <v>116</v>
      </c>
      <c r="G675" s="28" t="s">
        <v>117</v>
      </c>
      <c r="H675" s="28" t="s">
        <v>100</v>
      </c>
      <c r="I675" s="28" t="s">
        <v>101</v>
      </c>
      <c r="J675" s="28" t="s">
        <v>71</v>
      </c>
      <c r="K675" s="28" t="s">
        <v>84</v>
      </c>
      <c r="L675" s="28" t="s">
        <v>85</v>
      </c>
      <c r="M675" s="28" t="s">
        <v>86</v>
      </c>
      <c r="N675" s="28" t="s">
        <v>87</v>
      </c>
      <c r="O675" s="29" t="n">
        <v>6</v>
      </c>
      <c r="P675" s="30" t="n">
        <v>117.6</v>
      </c>
      <c r="Q675" s="30" t="n">
        <v>63.6</v>
      </c>
      <c r="R675" s="30" t="n">
        <f aca="false">ROUND(O675*P675,2)</f>
        <v>705.6</v>
      </c>
      <c r="S675" s="30" t="n">
        <f aca="false">ROUND(O675*Q675,2)</f>
        <v>381.6</v>
      </c>
      <c r="T675" s="30" t="n">
        <f aca="false">ROUND(R675*SUMIFS(Parametros!$E$23:$E$38,Parametros!$B$23:$B$38,J675,Parametros!$C$23:$C$38,C675,Parametros!$D$23:$D$38,D675),2)</f>
        <v>32.46</v>
      </c>
      <c r="U675" s="30" t="n">
        <f aca="false">R675-S675-T675</f>
        <v>291.54</v>
      </c>
    </row>
    <row r="676" customFormat="false" ht="15" hidden="false" customHeight="false" outlineLevel="0" collapsed="false">
      <c r="A676" s="0" t="n">
        <v>675</v>
      </c>
      <c r="B676" s="27" t="n">
        <v>45474</v>
      </c>
      <c r="C676" s="0" t="n">
        <v>2024</v>
      </c>
      <c r="D676" s="28" t="s">
        <v>115</v>
      </c>
      <c r="E676" s="0" t="n">
        <v>7</v>
      </c>
      <c r="F676" s="28" t="s">
        <v>116</v>
      </c>
      <c r="G676" s="28" t="s">
        <v>117</v>
      </c>
      <c r="H676" s="28" t="s">
        <v>100</v>
      </c>
      <c r="I676" s="28" t="s">
        <v>101</v>
      </c>
      <c r="J676" s="28" t="s">
        <v>66</v>
      </c>
      <c r="K676" s="28" t="s">
        <v>84</v>
      </c>
      <c r="L676" s="28" t="s">
        <v>85</v>
      </c>
      <c r="M676" s="28" t="s">
        <v>88</v>
      </c>
      <c r="N676" s="28" t="s">
        <v>89</v>
      </c>
      <c r="O676" s="29" t="n">
        <v>15</v>
      </c>
      <c r="P676" s="30" t="n">
        <v>83.3</v>
      </c>
      <c r="Q676" s="30" t="n">
        <v>48.02</v>
      </c>
      <c r="R676" s="30" t="n">
        <f aca="false">ROUND(O676*P676,2)</f>
        <v>1249.5</v>
      </c>
      <c r="S676" s="30" t="n">
        <f aca="false">ROUND(O676*Q676,2)</f>
        <v>720.3</v>
      </c>
      <c r="T676" s="30" t="n">
        <f aca="false">ROUND(R676*SUMIFS(Parametros!$E$23:$E$38,Parametros!$B$23:$B$38,J676,Parametros!$C$23:$C$38,C676,Parametros!$D$23:$D$38,D676),2)</f>
        <v>16.24</v>
      </c>
      <c r="U676" s="30" t="n">
        <f aca="false">R676-S676-T676</f>
        <v>512.96</v>
      </c>
    </row>
    <row r="677" customFormat="false" ht="15" hidden="false" customHeight="false" outlineLevel="0" collapsed="false">
      <c r="A677" s="0" t="n">
        <v>676</v>
      </c>
      <c r="B677" s="27" t="n">
        <v>45481</v>
      </c>
      <c r="C677" s="0" t="n">
        <v>2024</v>
      </c>
      <c r="D677" s="28" t="s">
        <v>115</v>
      </c>
      <c r="E677" s="0" t="n">
        <v>7</v>
      </c>
      <c r="F677" s="28" t="s">
        <v>116</v>
      </c>
      <c r="G677" s="28" t="s">
        <v>117</v>
      </c>
      <c r="H677" s="28" t="s">
        <v>100</v>
      </c>
      <c r="I677" s="28" t="s">
        <v>101</v>
      </c>
      <c r="J677" s="28" t="s">
        <v>71</v>
      </c>
      <c r="K677" s="28" t="s">
        <v>84</v>
      </c>
      <c r="L677" s="28" t="s">
        <v>85</v>
      </c>
      <c r="M677" s="28" t="s">
        <v>88</v>
      </c>
      <c r="N677" s="28" t="s">
        <v>89</v>
      </c>
      <c r="O677" s="29" t="n">
        <v>5</v>
      </c>
      <c r="P677" s="30" t="n">
        <v>83.3</v>
      </c>
      <c r="Q677" s="30" t="n">
        <v>48.02</v>
      </c>
      <c r="R677" s="30" t="n">
        <f aca="false">ROUND(O677*P677,2)</f>
        <v>416.5</v>
      </c>
      <c r="S677" s="30" t="n">
        <f aca="false">ROUND(O677*Q677,2)</f>
        <v>240.1</v>
      </c>
      <c r="T677" s="30" t="n">
        <f aca="false">ROUND(R677*SUMIFS(Parametros!$E$23:$E$38,Parametros!$B$23:$B$38,J677,Parametros!$C$23:$C$38,C677,Parametros!$D$23:$D$38,D677),2)</f>
        <v>19.16</v>
      </c>
      <c r="U677" s="30" t="n">
        <f aca="false">R677-S677-T677</f>
        <v>157.24</v>
      </c>
    </row>
    <row r="678" customFormat="false" ht="15" hidden="false" customHeight="false" outlineLevel="0" collapsed="false">
      <c r="A678" s="0" t="n">
        <v>677</v>
      </c>
      <c r="B678" s="27" t="n">
        <v>45488</v>
      </c>
      <c r="C678" s="0" t="n">
        <v>2024</v>
      </c>
      <c r="D678" s="28" t="s">
        <v>115</v>
      </c>
      <c r="E678" s="0" t="n">
        <v>7</v>
      </c>
      <c r="F678" s="28" t="s">
        <v>116</v>
      </c>
      <c r="G678" s="28" t="s">
        <v>117</v>
      </c>
      <c r="H678" s="28" t="s">
        <v>100</v>
      </c>
      <c r="I678" s="28" t="s">
        <v>101</v>
      </c>
      <c r="J678" s="28" t="s">
        <v>66</v>
      </c>
      <c r="K678" s="28" t="s">
        <v>90</v>
      </c>
      <c r="L678" s="28" t="s">
        <v>91</v>
      </c>
      <c r="M678" s="28" t="s">
        <v>92</v>
      </c>
      <c r="N678" s="28" t="s">
        <v>93</v>
      </c>
      <c r="O678" s="29" t="n">
        <v>18</v>
      </c>
      <c r="P678" s="30" t="n">
        <v>127.4</v>
      </c>
      <c r="Q678" s="30" t="n">
        <v>76.05</v>
      </c>
      <c r="R678" s="30" t="n">
        <f aca="false">ROUND(O678*P678,2)</f>
        <v>2293.2</v>
      </c>
      <c r="S678" s="30" t="n">
        <f aca="false">ROUND(O678*Q678,2)</f>
        <v>1368.9</v>
      </c>
      <c r="T678" s="30" t="n">
        <f aca="false">ROUND(R678*SUMIFS(Parametros!$E$23:$E$38,Parametros!$B$23:$B$38,J678,Parametros!$C$23:$C$38,C678,Parametros!$D$23:$D$38,D678),2)</f>
        <v>29.81</v>
      </c>
      <c r="U678" s="30" t="n">
        <f aca="false">R678-S678-T678</f>
        <v>894.49</v>
      </c>
    </row>
    <row r="679" customFormat="false" ht="15" hidden="false" customHeight="false" outlineLevel="0" collapsed="false">
      <c r="A679" s="0" t="n">
        <v>678</v>
      </c>
      <c r="B679" s="27" t="n">
        <v>45495</v>
      </c>
      <c r="C679" s="0" t="n">
        <v>2024</v>
      </c>
      <c r="D679" s="28" t="s">
        <v>115</v>
      </c>
      <c r="E679" s="0" t="n">
        <v>7</v>
      </c>
      <c r="F679" s="28" t="s">
        <v>116</v>
      </c>
      <c r="G679" s="28" t="s">
        <v>117</v>
      </c>
      <c r="H679" s="28" t="s">
        <v>100</v>
      </c>
      <c r="I679" s="28" t="s">
        <v>101</v>
      </c>
      <c r="J679" s="28" t="s">
        <v>71</v>
      </c>
      <c r="K679" s="28" t="s">
        <v>90</v>
      </c>
      <c r="L679" s="28" t="s">
        <v>91</v>
      </c>
      <c r="M679" s="28" t="s">
        <v>92</v>
      </c>
      <c r="N679" s="28" t="s">
        <v>93</v>
      </c>
      <c r="O679" s="29" t="n">
        <v>9</v>
      </c>
      <c r="P679" s="30" t="n">
        <v>127.4</v>
      </c>
      <c r="Q679" s="30" t="n">
        <v>76.05</v>
      </c>
      <c r="R679" s="30" t="n">
        <f aca="false">ROUND(O679*P679,2)</f>
        <v>1146.6</v>
      </c>
      <c r="S679" s="30" t="n">
        <f aca="false">ROUND(O679*Q679,2)</f>
        <v>684.45</v>
      </c>
      <c r="T679" s="30" t="n">
        <f aca="false">ROUND(R679*SUMIFS(Parametros!$E$23:$E$38,Parametros!$B$23:$B$38,J679,Parametros!$C$23:$C$38,C679,Parametros!$D$23:$D$38,D679),2)</f>
        <v>52.74</v>
      </c>
      <c r="U679" s="30" t="n">
        <f aca="false">R679-S679-T679</f>
        <v>409.41</v>
      </c>
    </row>
    <row r="680" customFormat="false" ht="15" hidden="false" customHeight="false" outlineLevel="0" collapsed="false">
      <c r="A680" s="0" t="n">
        <v>679</v>
      </c>
      <c r="B680" s="27" t="n">
        <v>45475</v>
      </c>
      <c r="C680" s="0" t="n">
        <v>2024</v>
      </c>
      <c r="D680" s="28" t="s">
        <v>115</v>
      </c>
      <c r="E680" s="0" t="n">
        <v>7</v>
      </c>
      <c r="F680" s="28" t="s">
        <v>116</v>
      </c>
      <c r="G680" s="28" t="s">
        <v>117</v>
      </c>
      <c r="H680" s="28" t="s">
        <v>100</v>
      </c>
      <c r="I680" s="28" t="s">
        <v>101</v>
      </c>
      <c r="J680" s="28" t="s">
        <v>66</v>
      </c>
      <c r="K680" s="28" t="s">
        <v>90</v>
      </c>
      <c r="L680" s="28" t="s">
        <v>91</v>
      </c>
      <c r="M680" s="28" t="s">
        <v>94</v>
      </c>
      <c r="N680" s="28" t="s">
        <v>95</v>
      </c>
      <c r="O680" s="29" t="n">
        <v>20</v>
      </c>
      <c r="P680" s="30" t="n">
        <v>34.3</v>
      </c>
      <c r="Q680" s="30" t="n">
        <v>17.85</v>
      </c>
      <c r="R680" s="30" t="n">
        <f aca="false">ROUND(O680*P680,2)</f>
        <v>686</v>
      </c>
      <c r="S680" s="30" t="n">
        <f aca="false">ROUND(O680*Q680,2)</f>
        <v>357</v>
      </c>
      <c r="T680" s="30" t="n">
        <f aca="false">ROUND(R680*SUMIFS(Parametros!$E$23:$E$38,Parametros!$B$23:$B$38,J680,Parametros!$C$23:$C$38,C680,Parametros!$D$23:$D$38,D680),2)</f>
        <v>8.92</v>
      </c>
      <c r="U680" s="30" t="n">
        <f aca="false">R680-S680-T680</f>
        <v>320.08</v>
      </c>
    </row>
    <row r="681" customFormat="false" ht="15" hidden="false" customHeight="false" outlineLevel="0" collapsed="false">
      <c r="A681" s="0" t="n">
        <v>680</v>
      </c>
      <c r="B681" s="27" t="n">
        <v>45482</v>
      </c>
      <c r="C681" s="0" t="n">
        <v>2024</v>
      </c>
      <c r="D681" s="28" t="s">
        <v>115</v>
      </c>
      <c r="E681" s="0" t="n">
        <v>7</v>
      </c>
      <c r="F681" s="28" t="s">
        <v>116</v>
      </c>
      <c r="G681" s="28" t="s">
        <v>117</v>
      </c>
      <c r="H681" s="28" t="s">
        <v>100</v>
      </c>
      <c r="I681" s="28" t="s">
        <v>101</v>
      </c>
      <c r="J681" s="28" t="s">
        <v>71</v>
      </c>
      <c r="K681" s="28" t="s">
        <v>90</v>
      </c>
      <c r="L681" s="28" t="s">
        <v>91</v>
      </c>
      <c r="M681" s="28" t="s">
        <v>94</v>
      </c>
      <c r="N681" s="28" t="s">
        <v>95</v>
      </c>
      <c r="O681" s="29" t="n">
        <v>8</v>
      </c>
      <c r="P681" s="30" t="n">
        <v>34.3</v>
      </c>
      <c r="Q681" s="30" t="n">
        <v>17.85</v>
      </c>
      <c r="R681" s="30" t="n">
        <f aca="false">ROUND(O681*P681,2)</f>
        <v>274.4</v>
      </c>
      <c r="S681" s="30" t="n">
        <f aca="false">ROUND(O681*Q681,2)</f>
        <v>142.8</v>
      </c>
      <c r="T681" s="30" t="n">
        <f aca="false">ROUND(R681*SUMIFS(Parametros!$E$23:$E$38,Parametros!$B$23:$B$38,J681,Parametros!$C$23:$C$38,C681,Parametros!$D$23:$D$38,D681),2)</f>
        <v>12.62</v>
      </c>
      <c r="U681" s="30" t="n">
        <f aca="false">R681-S681-T681</f>
        <v>118.98</v>
      </c>
    </row>
    <row r="682" customFormat="false" ht="15" hidden="false" customHeight="false" outlineLevel="0" collapsed="false">
      <c r="A682" s="0" t="n">
        <v>681</v>
      </c>
      <c r="B682" s="27" t="n">
        <v>45489</v>
      </c>
      <c r="C682" s="0" t="n">
        <v>2024</v>
      </c>
      <c r="D682" s="28" t="s">
        <v>115</v>
      </c>
      <c r="E682" s="0" t="n">
        <v>7</v>
      </c>
      <c r="F682" s="28" t="s">
        <v>116</v>
      </c>
      <c r="G682" s="28" t="s">
        <v>117</v>
      </c>
      <c r="H682" s="28" t="s">
        <v>102</v>
      </c>
      <c r="I682" s="28" t="s">
        <v>103</v>
      </c>
      <c r="J682" s="28" t="s">
        <v>66</v>
      </c>
      <c r="K682" s="28" t="s">
        <v>67</v>
      </c>
      <c r="L682" s="28" t="s">
        <v>68</v>
      </c>
      <c r="M682" s="28" t="s">
        <v>69</v>
      </c>
      <c r="N682" s="28" t="s">
        <v>70</v>
      </c>
      <c r="O682" s="29" t="n">
        <v>8</v>
      </c>
      <c r="P682" s="30" t="n">
        <v>1176</v>
      </c>
      <c r="Q682" s="30" t="n">
        <v>744</v>
      </c>
      <c r="R682" s="30" t="n">
        <f aca="false">ROUND(O682*P682,2)</f>
        <v>9408</v>
      </c>
      <c r="S682" s="30" t="n">
        <f aca="false">ROUND(O682*Q682,2)</f>
        <v>5952</v>
      </c>
      <c r="T682" s="30" t="n">
        <f aca="false">ROUND(R682*SUMIFS(Parametros!$E$23:$E$38,Parametros!$B$23:$B$38,J682,Parametros!$C$23:$C$38,C682,Parametros!$D$23:$D$38,D682),2)</f>
        <v>122.3</v>
      </c>
      <c r="U682" s="30" t="n">
        <f aca="false">R682-S682-T682</f>
        <v>3333.7</v>
      </c>
    </row>
    <row r="683" customFormat="false" ht="15" hidden="false" customHeight="false" outlineLevel="0" collapsed="false">
      <c r="A683" s="0" t="n">
        <v>682</v>
      </c>
      <c r="B683" s="27" t="n">
        <v>45496</v>
      </c>
      <c r="C683" s="0" t="n">
        <v>2024</v>
      </c>
      <c r="D683" s="28" t="s">
        <v>115</v>
      </c>
      <c r="E683" s="0" t="n">
        <v>7</v>
      </c>
      <c r="F683" s="28" t="s">
        <v>116</v>
      </c>
      <c r="G683" s="28" t="s">
        <v>117</v>
      </c>
      <c r="H683" s="28" t="s">
        <v>102</v>
      </c>
      <c r="I683" s="28" t="s">
        <v>103</v>
      </c>
      <c r="J683" s="28" t="s">
        <v>71</v>
      </c>
      <c r="K683" s="28" t="s">
        <v>67</v>
      </c>
      <c r="L683" s="28" t="s">
        <v>68</v>
      </c>
      <c r="M683" s="28" t="s">
        <v>69</v>
      </c>
      <c r="N683" s="28" t="s">
        <v>70</v>
      </c>
      <c r="O683" s="29" t="n">
        <v>3</v>
      </c>
      <c r="P683" s="30" t="n">
        <v>1176</v>
      </c>
      <c r="Q683" s="30" t="n">
        <v>744</v>
      </c>
      <c r="R683" s="30" t="n">
        <f aca="false">ROUND(O683*P683,2)</f>
        <v>3528</v>
      </c>
      <c r="S683" s="30" t="n">
        <f aca="false">ROUND(O683*Q683,2)</f>
        <v>2232</v>
      </c>
      <c r="T683" s="30" t="n">
        <f aca="false">ROUND(R683*SUMIFS(Parametros!$E$23:$E$38,Parametros!$B$23:$B$38,J683,Parametros!$C$23:$C$38,C683,Parametros!$D$23:$D$38,D683),2)</f>
        <v>162.29</v>
      </c>
      <c r="U683" s="30" t="n">
        <f aca="false">R683-S683-T683</f>
        <v>1133.71</v>
      </c>
    </row>
    <row r="684" customFormat="false" ht="15" hidden="false" customHeight="false" outlineLevel="0" collapsed="false">
      <c r="A684" s="0" t="n">
        <v>683</v>
      </c>
      <c r="B684" s="27" t="n">
        <v>45476</v>
      </c>
      <c r="C684" s="0" t="n">
        <v>2024</v>
      </c>
      <c r="D684" s="28" t="s">
        <v>115</v>
      </c>
      <c r="E684" s="0" t="n">
        <v>7</v>
      </c>
      <c r="F684" s="28" t="s">
        <v>116</v>
      </c>
      <c r="G684" s="28" t="s">
        <v>117</v>
      </c>
      <c r="H684" s="28" t="s">
        <v>102</v>
      </c>
      <c r="I684" s="28" t="s">
        <v>103</v>
      </c>
      <c r="J684" s="28" t="s">
        <v>66</v>
      </c>
      <c r="K684" s="28" t="s">
        <v>67</v>
      </c>
      <c r="L684" s="28" t="s">
        <v>68</v>
      </c>
      <c r="M684" s="28" t="s">
        <v>72</v>
      </c>
      <c r="N684" s="28" t="s">
        <v>73</v>
      </c>
      <c r="O684" s="29" t="n">
        <v>8</v>
      </c>
      <c r="P684" s="30" t="n">
        <v>441</v>
      </c>
      <c r="Q684" s="30" t="n">
        <v>272.25</v>
      </c>
      <c r="R684" s="30" t="n">
        <f aca="false">ROUND(O684*P684,2)</f>
        <v>3528</v>
      </c>
      <c r="S684" s="30" t="n">
        <f aca="false">ROUND(O684*Q684,2)</f>
        <v>2178</v>
      </c>
      <c r="T684" s="30" t="n">
        <f aca="false">ROUND(R684*SUMIFS(Parametros!$E$23:$E$38,Parametros!$B$23:$B$38,J684,Parametros!$C$23:$C$38,C684,Parametros!$D$23:$D$38,D684),2)</f>
        <v>45.86</v>
      </c>
      <c r="U684" s="30" t="n">
        <f aca="false">R684-S684-T684</f>
        <v>1304.14</v>
      </c>
    </row>
    <row r="685" customFormat="false" ht="15" hidden="false" customHeight="false" outlineLevel="0" collapsed="false">
      <c r="A685" s="0" t="n">
        <v>684</v>
      </c>
      <c r="B685" s="27" t="n">
        <v>45483</v>
      </c>
      <c r="C685" s="0" t="n">
        <v>2024</v>
      </c>
      <c r="D685" s="28" t="s">
        <v>115</v>
      </c>
      <c r="E685" s="0" t="n">
        <v>7</v>
      </c>
      <c r="F685" s="28" t="s">
        <v>116</v>
      </c>
      <c r="G685" s="28" t="s">
        <v>117</v>
      </c>
      <c r="H685" s="28" t="s">
        <v>102</v>
      </c>
      <c r="I685" s="28" t="s">
        <v>103</v>
      </c>
      <c r="J685" s="28" t="s">
        <v>71</v>
      </c>
      <c r="K685" s="28" t="s">
        <v>67</v>
      </c>
      <c r="L685" s="28" t="s">
        <v>68</v>
      </c>
      <c r="M685" s="28" t="s">
        <v>72</v>
      </c>
      <c r="N685" s="28" t="s">
        <v>73</v>
      </c>
      <c r="O685" s="29" t="n">
        <v>3</v>
      </c>
      <c r="P685" s="30" t="n">
        <v>441</v>
      </c>
      <c r="Q685" s="30" t="n">
        <v>272.25</v>
      </c>
      <c r="R685" s="30" t="n">
        <f aca="false">ROUND(O685*P685,2)</f>
        <v>1323</v>
      </c>
      <c r="S685" s="30" t="n">
        <f aca="false">ROUND(O685*Q685,2)</f>
        <v>816.75</v>
      </c>
      <c r="T685" s="30" t="n">
        <f aca="false">ROUND(R685*SUMIFS(Parametros!$E$23:$E$38,Parametros!$B$23:$B$38,J685,Parametros!$C$23:$C$38,C685,Parametros!$D$23:$D$38,D685),2)</f>
        <v>60.86</v>
      </c>
      <c r="U685" s="30" t="n">
        <f aca="false">R685-S685-T685</f>
        <v>445.39</v>
      </c>
    </row>
    <row r="686" customFormat="false" ht="15" hidden="false" customHeight="false" outlineLevel="0" collapsed="false">
      <c r="A686" s="0" t="n">
        <v>685</v>
      </c>
      <c r="B686" s="27" t="n">
        <v>45490</v>
      </c>
      <c r="C686" s="0" t="n">
        <v>2024</v>
      </c>
      <c r="D686" s="28" t="s">
        <v>115</v>
      </c>
      <c r="E686" s="0" t="n">
        <v>7</v>
      </c>
      <c r="F686" s="28" t="s">
        <v>116</v>
      </c>
      <c r="G686" s="28" t="s">
        <v>117</v>
      </c>
      <c r="H686" s="28" t="s">
        <v>102</v>
      </c>
      <c r="I686" s="28" t="s">
        <v>103</v>
      </c>
      <c r="J686" s="28" t="s">
        <v>66</v>
      </c>
      <c r="K686" s="28" t="s">
        <v>67</v>
      </c>
      <c r="L686" s="28" t="s">
        <v>68</v>
      </c>
      <c r="M686" s="28" t="s">
        <v>74</v>
      </c>
      <c r="N686" s="28" t="s">
        <v>75</v>
      </c>
      <c r="O686" s="29" t="n">
        <v>7</v>
      </c>
      <c r="P686" s="30" t="n">
        <v>1617</v>
      </c>
      <c r="Q686" s="30" t="n">
        <v>1122</v>
      </c>
      <c r="R686" s="30" t="n">
        <f aca="false">ROUND(O686*P686,2)</f>
        <v>11319</v>
      </c>
      <c r="S686" s="30" t="n">
        <f aca="false">ROUND(O686*Q686,2)</f>
        <v>7854</v>
      </c>
      <c r="T686" s="30" t="n">
        <f aca="false">ROUND(R686*SUMIFS(Parametros!$E$23:$E$38,Parametros!$B$23:$B$38,J686,Parametros!$C$23:$C$38,C686,Parametros!$D$23:$D$38,D686),2)</f>
        <v>147.15</v>
      </c>
      <c r="U686" s="30" t="n">
        <f aca="false">R686-S686-T686</f>
        <v>3317.85</v>
      </c>
    </row>
    <row r="687" customFormat="false" ht="15" hidden="false" customHeight="false" outlineLevel="0" collapsed="false">
      <c r="A687" s="0" t="n">
        <v>686</v>
      </c>
      <c r="B687" s="27" t="n">
        <v>45497</v>
      </c>
      <c r="C687" s="0" t="n">
        <v>2024</v>
      </c>
      <c r="D687" s="28" t="s">
        <v>115</v>
      </c>
      <c r="E687" s="0" t="n">
        <v>7</v>
      </c>
      <c r="F687" s="28" t="s">
        <v>116</v>
      </c>
      <c r="G687" s="28" t="s">
        <v>117</v>
      </c>
      <c r="H687" s="28" t="s">
        <v>102</v>
      </c>
      <c r="I687" s="28" t="s">
        <v>103</v>
      </c>
      <c r="J687" s="28" t="s">
        <v>71</v>
      </c>
      <c r="K687" s="28" t="s">
        <v>67</v>
      </c>
      <c r="L687" s="28" t="s">
        <v>68</v>
      </c>
      <c r="M687" s="28" t="s">
        <v>74</v>
      </c>
      <c r="N687" s="28" t="s">
        <v>75</v>
      </c>
      <c r="O687" s="29" t="n">
        <v>3</v>
      </c>
      <c r="P687" s="30" t="n">
        <v>1617</v>
      </c>
      <c r="Q687" s="30" t="n">
        <v>1122</v>
      </c>
      <c r="R687" s="30" t="n">
        <f aca="false">ROUND(O687*P687,2)</f>
        <v>4851</v>
      </c>
      <c r="S687" s="30" t="n">
        <f aca="false">ROUND(O687*Q687,2)</f>
        <v>3366</v>
      </c>
      <c r="T687" s="30" t="n">
        <f aca="false">ROUND(R687*SUMIFS(Parametros!$E$23:$E$38,Parametros!$B$23:$B$38,J687,Parametros!$C$23:$C$38,C687,Parametros!$D$23:$D$38,D687),2)</f>
        <v>223.15</v>
      </c>
      <c r="U687" s="30" t="n">
        <f aca="false">R687-S687-T687</f>
        <v>1261.85</v>
      </c>
    </row>
    <row r="688" customFormat="false" ht="15" hidden="false" customHeight="false" outlineLevel="0" collapsed="false">
      <c r="A688" s="0" t="n">
        <v>687</v>
      </c>
      <c r="B688" s="27" t="n">
        <v>45477</v>
      </c>
      <c r="C688" s="0" t="n">
        <v>2024</v>
      </c>
      <c r="D688" s="28" t="s">
        <v>115</v>
      </c>
      <c r="E688" s="0" t="n">
        <v>7</v>
      </c>
      <c r="F688" s="28" t="s">
        <v>116</v>
      </c>
      <c r="G688" s="28" t="s">
        <v>117</v>
      </c>
      <c r="H688" s="28" t="s">
        <v>102</v>
      </c>
      <c r="I688" s="28" t="s">
        <v>103</v>
      </c>
      <c r="J688" s="28" t="s">
        <v>66</v>
      </c>
      <c r="K688" s="28" t="s">
        <v>76</v>
      </c>
      <c r="L688" s="28" t="s">
        <v>77</v>
      </c>
      <c r="M688" s="28" t="s">
        <v>78</v>
      </c>
      <c r="N688" s="28" t="s">
        <v>79</v>
      </c>
      <c r="O688" s="29" t="n">
        <v>33</v>
      </c>
      <c r="P688" s="30" t="n">
        <v>27.44</v>
      </c>
      <c r="Q688" s="30" t="n">
        <v>13.44</v>
      </c>
      <c r="R688" s="30" t="n">
        <f aca="false">ROUND(O688*P688,2)</f>
        <v>905.52</v>
      </c>
      <c r="S688" s="30" t="n">
        <f aca="false">ROUND(O688*Q688,2)</f>
        <v>443.52</v>
      </c>
      <c r="T688" s="30" t="n">
        <f aca="false">ROUND(R688*SUMIFS(Parametros!$E$23:$E$38,Parametros!$B$23:$B$38,J688,Parametros!$C$23:$C$38,C688,Parametros!$D$23:$D$38,D688),2)</f>
        <v>11.77</v>
      </c>
      <c r="U688" s="30" t="n">
        <f aca="false">R688-S688-T688</f>
        <v>450.23</v>
      </c>
    </row>
    <row r="689" customFormat="false" ht="15" hidden="false" customHeight="false" outlineLevel="0" collapsed="false">
      <c r="A689" s="0" t="n">
        <v>688</v>
      </c>
      <c r="B689" s="27" t="n">
        <v>45484</v>
      </c>
      <c r="C689" s="0" t="n">
        <v>2024</v>
      </c>
      <c r="D689" s="28" t="s">
        <v>115</v>
      </c>
      <c r="E689" s="0" t="n">
        <v>7</v>
      </c>
      <c r="F689" s="28" t="s">
        <v>116</v>
      </c>
      <c r="G689" s="28" t="s">
        <v>117</v>
      </c>
      <c r="H689" s="28" t="s">
        <v>102</v>
      </c>
      <c r="I689" s="28" t="s">
        <v>103</v>
      </c>
      <c r="J689" s="28" t="s">
        <v>71</v>
      </c>
      <c r="K689" s="28" t="s">
        <v>76</v>
      </c>
      <c r="L689" s="28" t="s">
        <v>77</v>
      </c>
      <c r="M689" s="28" t="s">
        <v>78</v>
      </c>
      <c r="N689" s="28" t="s">
        <v>79</v>
      </c>
      <c r="O689" s="29" t="n">
        <v>13</v>
      </c>
      <c r="P689" s="30" t="n">
        <v>27.44</v>
      </c>
      <c r="Q689" s="30" t="n">
        <v>13.44</v>
      </c>
      <c r="R689" s="30" t="n">
        <f aca="false">ROUND(O689*P689,2)</f>
        <v>356.72</v>
      </c>
      <c r="S689" s="30" t="n">
        <f aca="false">ROUND(O689*Q689,2)</f>
        <v>174.72</v>
      </c>
      <c r="T689" s="30" t="n">
        <f aca="false">ROUND(R689*SUMIFS(Parametros!$E$23:$E$38,Parametros!$B$23:$B$38,J689,Parametros!$C$23:$C$38,C689,Parametros!$D$23:$D$38,D689),2)</f>
        <v>16.41</v>
      </c>
      <c r="U689" s="30" t="n">
        <f aca="false">R689-S689-T689</f>
        <v>165.59</v>
      </c>
    </row>
    <row r="690" customFormat="false" ht="15" hidden="false" customHeight="false" outlineLevel="0" collapsed="false">
      <c r="A690" s="0" t="n">
        <v>689</v>
      </c>
      <c r="B690" s="27" t="n">
        <v>45491</v>
      </c>
      <c r="C690" s="0" t="n">
        <v>2024</v>
      </c>
      <c r="D690" s="28" t="s">
        <v>115</v>
      </c>
      <c r="E690" s="0" t="n">
        <v>7</v>
      </c>
      <c r="F690" s="28" t="s">
        <v>116</v>
      </c>
      <c r="G690" s="28" t="s">
        <v>117</v>
      </c>
      <c r="H690" s="28" t="s">
        <v>102</v>
      </c>
      <c r="I690" s="28" t="s">
        <v>103</v>
      </c>
      <c r="J690" s="28" t="s">
        <v>66</v>
      </c>
      <c r="K690" s="28" t="s">
        <v>76</v>
      </c>
      <c r="L690" s="28" t="s">
        <v>77</v>
      </c>
      <c r="M690" s="28" t="s">
        <v>80</v>
      </c>
      <c r="N690" s="28" t="s">
        <v>81</v>
      </c>
      <c r="O690" s="29" t="n">
        <v>40</v>
      </c>
      <c r="P690" s="30" t="n">
        <v>93.1</v>
      </c>
      <c r="Q690" s="30" t="n">
        <v>47.98</v>
      </c>
      <c r="R690" s="30" t="n">
        <f aca="false">ROUND(O690*P690,2)</f>
        <v>3724</v>
      </c>
      <c r="S690" s="30" t="n">
        <f aca="false">ROUND(O690*Q690,2)</f>
        <v>1919.2</v>
      </c>
      <c r="T690" s="30" t="n">
        <f aca="false">ROUND(R690*SUMIFS(Parametros!$E$23:$E$38,Parametros!$B$23:$B$38,J690,Parametros!$C$23:$C$38,C690,Parametros!$D$23:$D$38,D690),2)</f>
        <v>48.41</v>
      </c>
      <c r="U690" s="30" t="n">
        <f aca="false">R690-S690-T690</f>
        <v>1756.39</v>
      </c>
    </row>
    <row r="691" customFormat="false" ht="15" hidden="false" customHeight="false" outlineLevel="0" collapsed="false">
      <c r="A691" s="0" t="n">
        <v>690</v>
      </c>
      <c r="B691" s="27" t="n">
        <v>45498</v>
      </c>
      <c r="C691" s="0" t="n">
        <v>2024</v>
      </c>
      <c r="D691" s="28" t="s">
        <v>115</v>
      </c>
      <c r="E691" s="0" t="n">
        <v>7</v>
      </c>
      <c r="F691" s="28" t="s">
        <v>116</v>
      </c>
      <c r="G691" s="28" t="s">
        <v>117</v>
      </c>
      <c r="H691" s="28" t="s">
        <v>102</v>
      </c>
      <c r="I691" s="28" t="s">
        <v>103</v>
      </c>
      <c r="J691" s="28" t="s">
        <v>71</v>
      </c>
      <c r="K691" s="28" t="s">
        <v>76</v>
      </c>
      <c r="L691" s="28" t="s">
        <v>77</v>
      </c>
      <c r="M691" s="28" t="s">
        <v>80</v>
      </c>
      <c r="N691" s="28" t="s">
        <v>81</v>
      </c>
      <c r="O691" s="29" t="n">
        <v>13</v>
      </c>
      <c r="P691" s="30" t="n">
        <v>93.1</v>
      </c>
      <c r="Q691" s="30" t="n">
        <v>47.98</v>
      </c>
      <c r="R691" s="30" t="n">
        <f aca="false">ROUND(O691*P691,2)</f>
        <v>1210.3</v>
      </c>
      <c r="S691" s="30" t="n">
        <f aca="false">ROUND(O691*Q691,2)</f>
        <v>623.74</v>
      </c>
      <c r="T691" s="30" t="n">
        <f aca="false">ROUND(R691*SUMIFS(Parametros!$E$23:$E$38,Parametros!$B$23:$B$38,J691,Parametros!$C$23:$C$38,C691,Parametros!$D$23:$D$38,D691),2)</f>
        <v>55.67</v>
      </c>
      <c r="U691" s="30" t="n">
        <f aca="false">R691-S691-T691</f>
        <v>530.89</v>
      </c>
    </row>
    <row r="692" customFormat="false" ht="15" hidden="false" customHeight="false" outlineLevel="0" collapsed="false">
      <c r="A692" s="0" t="n">
        <v>691</v>
      </c>
      <c r="B692" s="27" t="n">
        <v>45478</v>
      </c>
      <c r="C692" s="0" t="n">
        <v>2024</v>
      </c>
      <c r="D692" s="28" t="s">
        <v>115</v>
      </c>
      <c r="E692" s="0" t="n">
        <v>7</v>
      </c>
      <c r="F692" s="28" t="s">
        <v>116</v>
      </c>
      <c r="G692" s="28" t="s">
        <v>117</v>
      </c>
      <c r="H692" s="28" t="s">
        <v>102</v>
      </c>
      <c r="I692" s="28" t="s">
        <v>103</v>
      </c>
      <c r="J692" s="28" t="s">
        <v>66</v>
      </c>
      <c r="K692" s="28" t="s">
        <v>76</v>
      </c>
      <c r="L692" s="28" t="s">
        <v>77</v>
      </c>
      <c r="M692" s="28" t="s">
        <v>82</v>
      </c>
      <c r="N692" s="28" t="s">
        <v>83</v>
      </c>
      <c r="O692" s="29" t="n">
        <v>34</v>
      </c>
      <c r="P692" s="30" t="n">
        <v>63.7</v>
      </c>
      <c r="Q692" s="30" t="n">
        <v>35.43</v>
      </c>
      <c r="R692" s="30" t="n">
        <f aca="false">ROUND(O692*P692,2)</f>
        <v>2165.8</v>
      </c>
      <c r="S692" s="30" t="n">
        <f aca="false">ROUND(O692*Q692,2)</f>
        <v>1204.62</v>
      </c>
      <c r="T692" s="30" t="n">
        <f aca="false">ROUND(R692*SUMIFS(Parametros!$E$23:$E$38,Parametros!$B$23:$B$38,J692,Parametros!$C$23:$C$38,C692,Parametros!$D$23:$D$38,D692),2)</f>
        <v>28.16</v>
      </c>
      <c r="U692" s="30" t="n">
        <f aca="false">R692-S692-T692</f>
        <v>933.02</v>
      </c>
    </row>
    <row r="693" customFormat="false" ht="15" hidden="false" customHeight="false" outlineLevel="0" collapsed="false">
      <c r="A693" s="0" t="n">
        <v>692</v>
      </c>
      <c r="B693" s="27" t="n">
        <v>45485</v>
      </c>
      <c r="C693" s="0" t="n">
        <v>2024</v>
      </c>
      <c r="D693" s="28" t="s">
        <v>115</v>
      </c>
      <c r="E693" s="0" t="n">
        <v>7</v>
      </c>
      <c r="F693" s="28" t="s">
        <v>116</v>
      </c>
      <c r="G693" s="28" t="s">
        <v>117</v>
      </c>
      <c r="H693" s="28" t="s">
        <v>102</v>
      </c>
      <c r="I693" s="28" t="s">
        <v>103</v>
      </c>
      <c r="J693" s="28" t="s">
        <v>71</v>
      </c>
      <c r="K693" s="28" t="s">
        <v>76</v>
      </c>
      <c r="L693" s="28" t="s">
        <v>77</v>
      </c>
      <c r="M693" s="28" t="s">
        <v>82</v>
      </c>
      <c r="N693" s="28" t="s">
        <v>83</v>
      </c>
      <c r="O693" s="29" t="n">
        <v>13</v>
      </c>
      <c r="P693" s="30" t="n">
        <v>63.7</v>
      </c>
      <c r="Q693" s="30" t="n">
        <v>35.43</v>
      </c>
      <c r="R693" s="30" t="n">
        <f aca="false">ROUND(O693*P693,2)</f>
        <v>828.1</v>
      </c>
      <c r="S693" s="30" t="n">
        <f aca="false">ROUND(O693*Q693,2)</f>
        <v>460.59</v>
      </c>
      <c r="T693" s="30" t="n">
        <f aca="false">ROUND(R693*SUMIFS(Parametros!$E$23:$E$38,Parametros!$B$23:$B$38,J693,Parametros!$C$23:$C$38,C693,Parametros!$D$23:$D$38,D693),2)</f>
        <v>38.09</v>
      </c>
      <c r="U693" s="30" t="n">
        <f aca="false">R693-S693-T693</f>
        <v>329.42</v>
      </c>
    </row>
    <row r="694" customFormat="false" ht="15" hidden="false" customHeight="false" outlineLevel="0" collapsed="false">
      <c r="A694" s="0" t="n">
        <v>693</v>
      </c>
      <c r="B694" s="27" t="n">
        <v>45492</v>
      </c>
      <c r="C694" s="0" t="n">
        <v>2024</v>
      </c>
      <c r="D694" s="28" t="s">
        <v>115</v>
      </c>
      <c r="E694" s="0" t="n">
        <v>7</v>
      </c>
      <c r="F694" s="28" t="s">
        <v>116</v>
      </c>
      <c r="G694" s="28" t="s">
        <v>117</v>
      </c>
      <c r="H694" s="28" t="s">
        <v>102</v>
      </c>
      <c r="I694" s="28" t="s">
        <v>103</v>
      </c>
      <c r="J694" s="28" t="s">
        <v>66</v>
      </c>
      <c r="K694" s="28" t="s">
        <v>84</v>
      </c>
      <c r="L694" s="28" t="s">
        <v>85</v>
      </c>
      <c r="M694" s="28" t="s">
        <v>86</v>
      </c>
      <c r="N694" s="28" t="s">
        <v>87</v>
      </c>
      <c r="O694" s="29" t="n">
        <v>18</v>
      </c>
      <c r="P694" s="30" t="n">
        <v>117.6</v>
      </c>
      <c r="Q694" s="30" t="n">
        <v>63.6</v>
      </c>
      <c r="R694" s="30" t="n">
        <f aca="false">ROUND(O694*P694,2)</f>
        <v>2116.8</v>
      </c>
      <c r="S694" s="30" t="n">
        <f aca="false">ROUND(O694*Q694,2)</f>
        <v>1144.8</v>
      </c>
      <c r="T694" s="30" t="n">
        <f aca="false">ROUND(R694*SUMIFS(Parametros!$E$23:$E$38,Parametros!$B$23:$B$38,J694,Parametros!$C$23:$C$38,C694,Parametros!$D$23:$D$38,D694),2)</f>
        <v>27.52</v>
      </c>
      <c r="U694" s="30" t="n">
        <f aca="false">R694-S694-T694</f>
        <v>944.48</v>
      </c>
    </row>
    <row r="695" customFormat="false" ht="15" hidden="false" customHeight="false" outlineLevel="0" collapsed="false">
      <c r="A695" s="0" t="n">
        <v>694</v>
      </c>
      <c r="B695" s="27" t="n">
        <v>45499</v>
      </c>
      <c r="C695" s="0" t="n">
        <v>2024</v>
      </c>
      <c r="D695" s="28" t="s">
        <v>115</v>
      </c>
      <c r="E695" s="0" t="n">
        <v>7</v>
      </c>
      <c r="F695" s="28" t="s">
        <v>116</v>
      </c>
      <c r="G695" s="28" t="s">
        <v>117</v>
      </c>
      <c r="H695" s="28" t="s">
        <v>102</v>
      </c>
      <c r="I695" s="28" t="s">
        <v>103</v>
      </c>
      <c r="J695" s="28" t="s">
        <v>71</v>
      </c>
      <c r="K695" s="28" t="s">
        <v>84</v>
      </c>
      <c r="L695" s="28" t="s">
        <v>85</v>
      </c>
      <c r="M695" s="28" t="s">
        <v>86</v>
      </c>
      <c r="N695" s="28" t="s">
        <v>87</v>
      </c>
      <c r="O695" s="29" t="n">
        <v>5</v>
      </c>
      <c r="P695" s="30" t="n">
        <v>117.6</v>
      </c>
      <c r="Q695" s="30" t="n">
        <v>63.6</v>
      </c>
      <c r="R695" s="30" t="n">
        <f aca="false">ROUND(O695*P695,2)</f>
        <v>588</v>
      </c>
      <c r="S695" s="30" t="n">
        <f aca="false">ROUND(O695*Q695,2)</f>
        <v>318</v>
      </c>
      <c r="T695" s="30" t="n">
        <f aca="false">ROUND(R695*SUMIFS(Parametros!$E$23:$E$38,Parametros!$B$23:$B$38,J695,Parametros!$C$23:$C$38,C695,Parametros!$D$23:$D$38,D695),2)</f>
        <v>27.05</v>
      </c>
      <c r="U695" s="30" t="n">
        <f aca="false">R695-S695-T695</f>
        <v>242.95</v>
      </c>
    </row>
    <row r="696" customFormat="false" ht="15" hidden="false" customHeight="false" outlineLevel="0" collapsed="false">
      <c r="A696" s="0" t="n">
        <v>695</v>
      </c>
      <c r="B696" s="27" t="n">
        <v>45479</v>
      </c>
      <c r="C696" s="0" t="n">
        <v>2024</v>
      </c>
      <c r="D696" s="28" t="s">
        <v>115</v>
      </c>
      <c r="E696" s="0" t="n">
        <v>7</v>
      </c>
      <c r="F696" s="28" t="s">
        <v>116</v>
      </c>
      <c r="G696" s="28" t="s">
        <v>117</v>
      </c>
      <c r="H696" s="28" t="s">
        <v>102</v>
      </c>
      <c r="I696" s="28" t="s">
        <v>103</v>
      </c>
      <c r="J696" s="28" t="s">
        <v>66</v>
      </c>
      <c r="K696" s="28" t="s">
        <v>84</v>
      </c>
      <c r="L696" s="28" t="s">
        <v>85</v>
      </c>
      <c r="M696" s="28" t="s">
        <v>88</v>
      </c>
      <c r="N696" s="28" t="s">
        <v>89</v>
      </c>
      <c r="O696" s="29" t="n">
        <v>15</v>
      </c>
      <c r="P696" s="30" t="n">
        <v>83.3</v>
      </c>
      <c r="Q696" s="30" t="n">
        <v>48.02</v>
      </c>
      <c r="R696" s="30" t="n">
        <f aca="false">ROUND(O696*P696,2)</f>
        <v>1249.5</v>
      </c>
      <c r="S696" s="30" t="n">
        <f aca="false">ROUND(O696*Q696,2)</f>
        <v>720.3</v>
      </c>
      <c r="T696" s="30" t="n">
        <f aca="false">ROUND(R696*SUMIFS(Parametros!$E$23:$E$38,Parametros!$B$23:$B$38,J696,Parametros!$C$23:$C$38,C696,Parametros!$D$23:$D$38,D696),2)</f>
        <v>16.24</v>
      </c>
      <c r="U696" s="30" t="n">
        <f aca="false">R696-S696-T696</f>
        <v>512.96</v>
      </c>
    </row>
    <row r="697" customFormat="false" ht="15" hidden="false" customHeight="false" outlineLevel="0" collapsed="false">
      <c r="A697" s="0" t="n">
        <v>696</v>
      </c>
      <c r="B697" s="27" t="n">
        <v>45486</v>
      </c>
      <c r="C697" s="0" t="n">
        <v>2024</v>
      </c>
      <c r="D697" s="28" t="s">
        <v>115</v>
      </c>
      <c r="E697" s="0" t="n">
        <v>7</v>
      </c>
      <c r="F697" s="28" t="s">
        <v>116</v>
      </c>
      <c r="G697" s="28" t="s">
        <v>117</v>
      </c>
      <c r="H697" s="28" t="s">
        <v>102</v>
      </c>
      <c r="I697" s="28" t="s">
        <v>103</v>
      </c>
      <c r="J697" s="28" t="s">
        <v>71</v>
      </c>
      <c r="K697" s="28" t="s">
        <v>84</v>
      </c>
      <c r="L697" s="28" t="s">
        <v>85</v>
      </c>
      <c r="M697" s="28" t="s">
        <v>88</v>
      </c>
      <c r="N697" s="28" t="s">
        <v>89</v>
      </c>
      <c r="O697" s="29" t="n">
        <v>6</v>
      </c>
      <c r="P697" s="30" t="n">
        <v>83.3</v>
      </c>
      <c r="Q697" s="30" t="n">
        <v>48.02</v>
      </c>
      <c r="R697" s="30" t="n">
        <f aca="false">ROUND(O697*P697,2)</f>
        <v>499.8</v>
      </c>
      <c r="S697" s="30" t="n">
        <f aca="false">ROUND(O697*Q697,2)</f>
        <v>288.12</v>
      </c>
      <c r="T697" s="30" t="n">
        <f aca="false">ROUND(R697*SUMIFS(Parametros!$E$23:$E$38,Parametros!$B$23:$B$38,J697,Parametros!$C$23:$C$38,C697,Parametros!$D$23:$D$38,D697),2)</f>
        <v>22.99</v>
      </c>
      <c r="U697" s="30" t="n">
        <f aca="false">R697-S697-T697</f>
        <v>188.69</v>
      </c>
    </row>
    <row r="698" customFormat="false" ht="15" hidden="false" customHeight="false" outlineLevel="0" collapsed="false">
      <c r="A698" s="0" t="n">
        <v>697</v>
      </c>
      <c r="B698" s="27" t="n">
        <v>45493</v>
      </c>
      <c r="C698" s="0" t="n">
        <v>2024</v>
      </c>
      <c r="D698" s="28" t="s">
        <v>115</v>
      </c>
      <c r="E698" s="0" t="n">
        <v>7</v>
      </c>
      <c r="F698" s="28" t="s">
        <v>116</v>
      </c>
      <c r="G698" s="28" t="s">
        <v>117</v>
      </c>
      <c r="H698" s="28" t="s">
        <v>102</v>
      </c>
      <c r="I698" s="28" t="s">
        <v>103</v>
      </c>
      <c r="J698" s="28" t="s">
        <v>66</v>
      </c>
      <c r="K698" s="28" t="s">
        <v>90</v>
      </c>
      <c r="L698" s="28" t="s">
        <v>91</v>
      </c>
      <c r="M698" s="28" t="s">
        <v>92</v>
      </c>
      <c r="N698" s="28" t="s">
        <v>93</v>
      </c>
      <c r="O698" s="29" t="n">
        <v>23</v>
      </c>
      <c r="P698" s="30" t="n">
        <v>127.4</v>
      </c>
      <c r="Q698" s="30" t="n">
        <v>76.05</v>
      </c>
      <c r="R698" s="30" t="n">
        <f aca="false">ROUND(O698*P698,2)</f>
        <v>2930.2</v>
      </c>
      <c r="S698" s="30" t="n">
        <f aca="false">ROUND(O698*Q698,2)</f>
        <v>1749.15</v>
      </c>
      <c r="T698" s="30" t="n">
        <f aca="false">ROUND(R698*SUMIFS(Parametros!$E$23:$E$38,Parametros!$B$23:$B$38,J698,Parametros!$C$23:$C$38,C698,Parametros!$D$23:$D$38,D698),2)</f>
        <v>38.09</v>
      </c>
      <c r="U698" s="30" t="n">
        <f aca="false">R698-S698-T698</f>
        <v>1142.96</v>
      </c>
    </row>
    <row r="699" customFormat="false" ht="15" hidden="false" customHeight="false" outlineLevel="0" collapsed="false">
      <c r="A699" s="0" t="n">
        <v>698</v>
      </c>
      <c r="B699" s="27" t="n">
        <v>45500</v>
      </c>
      <c r="C699" s="0" t="n">
        <v>2024</v>
      </c>
      <c r="D699" s="28" t="s">
        <v>115</v>
      </c>
      <c r="E699" s="0" t="n">
        <v>7</v>
      </c>
      <c r="F699" s="28" t="s">
        <v>116</v>
      </c>
      <c r="G699" s="28" t="s">
        <v>117</v>
      </c>
      <c r="H699" s="28" t="s">
        <v>102</v>
      </c>
      <c r="I699" s="28" t="s">
        <v>103</v>
      </c>
      <c r="J699" s="28" t="s">
        <v>71</v>
      </c>
      <c r="K699" s="28" t="s">
        <v>90</v>
      </c>
      <c r="L699" s="28" t="s">
        <v>91</v>
      </c>
      <c r="M699" s="28" t="s">
        <v>92</v>
      </c>
      <c r="N699" s="28" t="s">
        <v>93</v>
      </c>
      <c r="O699" s="29" t="n">
        <v>9</v>
      </c>
      <c r="P699" s="30" t="n">
        <v>127.4</v>
      </c>
      <c r="Q699" s="30" t="n">
        <v>76.05</v>
      </c>
      <c r="R699" s="30" t="n">
        <f aca="false">ROUND(O699*P699,2)</f>
        <v>1146.6</v>
      </c>
      <c r="S699" s="30" t="n">
        <f aca="false">ROUND(O699*Q699,2)</f>
        <v>684.45</v>
      </c>
      <c r="T699" s="30" t="n">
        <f aca="false">ROUND(R699*SUMIFS(Parametros!$E$23:$E$38,Parametros!$B$23:$B$38,J699,Parametros!$C$23:$C$38,C699,Parametros!$D$23:$D$38,D699),2)</f>
        <v>52.74</v>
      </c>
      <c r="U699" s="30" t="n">
        <f aca="false">R699-S699-T699</f>
        <v>409.41</v>
      </c>
    </row>
    <row r="700" customFormat="false" ht="15" hidden="false" customHeight="false" outlineLevel="0" collapsed="false">
      <c r="A700" s="0" t="n">
        <v>699</v>
      </c>
      <c r="B700" s="27" t="n">
        <v>45480</v>
      </c>
      <c r="C700" s="0" t="n">
        <v>2024</v>
      </c>
      <c r="D700" s="28" t="s">
        <v>115</v>
      </c>
      <c r="E700" s="0" t="n">
        <v>7</v>
      </c>
      <c r="F700" s="28" t="s">
        <v>116</v>
      </c>
      <c r="G700" s="28" t="s">
        <v>117</v>
      </c>
      <c r="H700" s="28" t="s">
        <v>102</v>
      </c>
      <c r="I700" s="28" t="s">
        <v>103</v>
      </c>
      <c r="J700" s="28" t="s">
        <v>66</v>
      </c>
      <c r="K700" s="28" t="s">
        <v>90</v>
      </c>
      <c r="L700" s="28" t="s">
        <v>91</v>
      </c>
      <c r="M700" s="28" t="s">
        <v>94</v>
      </c>
      <c r="N700" s="28" t="s">
        <v>95</v>
      </c>
      <c r="O700" s="29" t="n">
        <v>20</v>
      </c>
      <c r="P700" s="30" t="n">
        <v>34.3</v>
      </c>
      <c r="Q700" s="30" t="n">
        <v>17.85</v>
      </c>
      <c r="R700" s="30" t="n">
        <f aca="false">ROUND(O700*P700,2)</f>
        <v>686</v>
      </c>
      <c r="S700" s="30" t="n">
        <f aca="false">ROUND(O700*Q700,2)</f>
        <v>357</v>
      </c>
      <c r="T700" s="30" t="n">
        <f aca="false">ROUND(R700*SUMIFS(Parametros!$E$23:$E$38,Parametros!$B$23:$B$38,J700,Parametros!$C$23:$C$38,C700,Parametros!$D$23:$D$38,D700),2)</f>
        <v>8.92</v>
      </c>
      <c r="U700" s="30" t="n">
        <f aca="false">R700-S700-T700</f>
        <v>320.08</v>
      </c>
    </row>
    <row r="701" customFormat="false" ht="15" hidden="false" customHeight="false" outlineLevel="0" collapsed="false">
      <c r="A701" s="0" t="n">
        <v>700</v>
      </c>
      <c r="B701" s="27" t="n">
        <v>45487</v>
      </c>
      <c r="C701" s="0" t="n">
        <v>2024</v>
      </c>
      <c r="D701" s="28" t="s">
        <v>115</v>
      </c>
      <c r="E701" s="0" t="n">
        <v>7</v>
      </c>
      <c r="F701" s="28" t="s">
        <v>116</v>
      </c>
      <c r="G701" s="28" t="s">
        <v>117</v>
      </c>
      <c r="H701" s="28" t="s">
        <v>102</v>
      </c>
      <c r="I701" s="28" t="s">
        <v>103</v>
      </c>
      <c r="J701" s="28" t="s">
        <v>71</v>
      </c>
      <c r="K701" s="28" t="s">
        <v>90</v>
      </c>
      <c r="L701" s="28" t="s">
        <v>91</v>
      </c>
      <c r="M701" s="28" t="s">
        <v>94</v>
      </c>
      <c r="N701" s="28" t="s">
        <v>95</v>
      </c>
      <c r="O701" s="29" t="n">
        <v>9</v>
      </c>
      <c r="P701" s="30" t="n">
        <v>34.3</v>
      </c>
      <c r="Q701" s="30" t="n">
        <v>17.85</v>
      </c>
      <c r="R701" s="30" t="n">
        <f aca="false">ROUND(O701*P701,2)</f>
        <v>308.7</v>
      </c>
      <c r="S701" s="30" t="n">
        <f aca="false">ROUND(O701*Q701,2)</f>
        <v>160.65</v>
      </c>
      <c r="T701" s="30" t="n">
        <f aca="false">ROUND(R701*SUMIFS(Parametros!$E$23:$E$38,Parametros!$B$23:$B$38,J701,Parametros!$C$23:$C$38,C701,Parametros!$D$23:$D$38,D701),2)</f>
        <v>14.2</v>
      </c>
      <c r="U701" s="30" t="n">
        <f aca="false">R701-S701-T701</f>
        <v>133.85</v>
      </c>
    </row>
    <row r="702" customFormat="false" ht="15" hidden="false" customHeight="false" outlineLevel="0" collapsed="false">
      <c r="A702" s="0" t="n">
        <v>701</v>
      </c>
      <c r="B702" s="27" t="n">
        <v>45525</v>
      </c>
      <c r="C702" s="0" t="n">
        <v>2024</v>
      </c>
      <c r="D702" s="28" t="s">
        <v>115</v>
      </c>
      <c r="E702" s="0" t="n">
        <v>8</v>
      </c>
      <c r="F702" s="28" t="s">
        <v>118</v>
      </c>
      <c r="G702" s="28" t="s">
        <v>119</v>
      </c>
      <c r="H702" s="28" t="s">
        <v>64</v>
      </c>
      <c r="I702" s="28" t="s">
        <v>65</v>
      </c>
      <c r="J702" s="28" t="s">
        <v>66</v>
      </c>
      <c r="K702" s="28" t="s">
        <v>67</v>
      </c>
      <c r="L702" s="28" t="s">
        <v>68</v>
      </c>
      <c r="M702" s="28" t="s">
        <v>69</v>
      </c>
      <c r="N702" s="28" t="s">
        <v>70</v>
      </c>
      <c r="O702" s="29" t="n">
        <v>18</v>
      </c>
      <c r="P702" s="30" t="n">
        <v>1176</v>
      </c>
      <c r="Q702" s="30" t="n">
        <v>744</v>
      </c>
      <c r="R702" s="30" t="n">
        <f aca="false">ROUND(O702*P702,2)</f>
        <v>21168</v>
      </c>
      <c r="S702" s="30" t="n">
        <f aca="false">ROUND(O702*Q702,2)</f>
        <v>13392</v>
      </c>
      <c r="T702" s="30" t="n">
        <f aca="false">ROUND(R702*SUMIFS(Parametros!$E$23:$E$38,Parametros!$B$23:$B$38,J702,Parametros!$C$23:$C$38,C702,Parametros!$D$23:$D$38,D702),2)</f>
        <v>275.18</v>
      </c>
      <c r="U702" s="30" t="n">
        <f aca="false">R702-S702-T702</f>
        <v>7500.82</v>
      </c>
    </row>
    <row r="703" customFormat="false" ht="15" hidden="false" customHeight="false" outlineLevel="0" collapsed="false">
      <c r="A703" s="0" t="n">
        <v>702</v>
      </c>
      <c r="B703" s="27" t="n">
        <v>45505</v>
      </c>
      <c r="C703" s="0" t="n">
        <v>2024</v>
      </c>
      <c r="D703" s="28" t="s">
        <v>115</v>
      </c>
      <c r="E703" s="0" t="n">
        <v>8</v>
      </c>
      <c r="F703" s="28" t="s">
        <v>118</v>
      </c>
      <c r="G703" s="28" t="s">
        <v>119</v>
      </c>
      <c r="H703" s="28" t="s">
        <v>64</v>
      </c>
      <c r="I703" s="28" t="s">
        <v>65</v>
      </c>
      <c r="J703" s="28" t="s">
        <v>71</v>
      </c>
      <c r="K703" s="28" t="s">
        <v>67</v>
      </c>
      <c r="L703" s="28" t="s">
        <v>68</v>
      </c>
      <c r="M703" s="28" t="s">
        <v>69</v>
      </c>
      <c r="N703" s="28" t="s">
        <v>70</v>
      </c>
      <c r="O703" s="29" t="n">
        <v>10</v>
      </c>
      <c r="P703" s="30" t="n">
        <v>1176</v>
      </c>
      <c r="Q703" s="30" t="n">
        <v>744</v>
      </c>
      <c r="R703" s="30" t="n">
        <f aca="false">ROUND(O703*P703,2)</f>
        <v>11760</v>
      </c>
      <c r="S703" s="30" t="n">
        <f aca="false">ROUND(O703*Q703,2)</f>
        <v>7440</v>
      </c>
      <c r="T703" s="30" t="n">
        <f aca="false">ROUND(R703*SUMIFS(Parametros!$E$23:$E$38,Parametros!$B$23:$B$38,J703,Parametros!$C$23:$C$38,C703,Parametros!$D$23:$D$38,D703),2)</f>
        <v>540.96</v>
      </c>
      <c r="U703" s="30" t="n">
        <f aca="false">R703-S703-T703</f>
        <v>3779.04</v>
      </c>
    </row>
    <row r="704" customFormat="false" ht="15" hidden="false" customHeight="false" outlineLevel="0" collapsed="false">
      <c r="A704" s="0" t="n">
        <v>703</v>
      </c>
      <c r="B704" s="27" t="n">
        <v>45512</v>
      </c>
      <c r="C704" s="0" t="n">
        <v>2024</v>
      </c>
      <c r="D704" s="28" t="s">
        <v>115</v>
      </c>
      <c r="E704" s="0" t="n">
        <v>8</v>
      </c>
      <c r="F704" s="28" t="s">
        <v>118</v>
      </c>
      <c r="G704" s="28" t="s">
        <v>119</v>
      </c>
      <c r="H704" s="28" t="s">
        <v>64</v>
      </c>
      <c r="I704" s="28" t="s">
        <v>65</v>
      </c>
      <c r="J704" s="28" t="s">
        <v>66</v>
      </c>
      <c r="K704" s="28" t="s">
        <v>67</v>
      </c>
      <c r="L704" s="28" t="s">
        <v>68</v>
      </c>
      <c r="M704" s="28" t="s">
        <v>72</v>
      </c>
      <c r="N704" s="28" t="s">
        <v>73</v>
      </c>
      <c r="O704" s="29" t="n">
        <v>18</v>
      </c>
      <c r="P704" s="30" t="n">
        <v>441</v>
      </c>
      <c r="Q704" s="30" t="n">
        <v>272.25</v>
      </c>
      <c r="R704" s="30" t="n">
        <f aca="false">ROUND(O704*P704,2)</f>
        <v>7938</v>
      </c>
      <c r="S704" s="30" t="n">
        <f aca="false">ROUND(O704*Q704,2)</f>
        <v>4900.5</v>
      </c>
      <c r="T704" s="30" t="n">
        <f aca="false">ROUND(R704*SUMIFS(Parametros!$E$23:$E$38,Parametros!$B$23:$B$38,J704,Parametros!$C$23:$C$38,C704,Parametros!$D$23:$D$38,D704),2)</f>
        <v>103.19</v>
      </c>
      <c r="U704" s="30" t="n">
        <f aca="false">R704-S704-T704</f>
        <v>2934.31</v>
      </c>
    </row>
    <row r="705" customFormat="false" ht="15" hidden="false" customHeight="false" outlineLevel="0" collapsed="false">
      <c r="A705" s="0" t="n">
        <v>704</v>
      </c>
      <c r="B705" s="27" t="n">
        <v>45519</v>
      </c>
      <c r="C705" s="0" t="n">
        <v>2024</v>
      </c>
      <c r="D705" s="28" t="s">
        <v>115</v>
      </c>
      <c r="E705" s="0" t="n">
        <v>8</v>
      </c>
      <c r="F705" s="28" t="s">
        <v>118</v>
      </c>
      <c r="G705" s="28" t="s">
        <v>119</v>
      </c>
      <c r="H705" s="28" t="s">
        <v>64</v>
      </c>
      <c r="I705" s="28" t="s">
        <v>65</v>
      </c>
      <c r="J705" s="28" t="s">
        <v>71</v>
      </c>
      <c r="K705" s="28" t="s">
        <v>67</v>
      </c>
      <c r="L705" s="28" t="s">
        <v>68</v>
      </c>
      <c r="M705" s="28" t="s">
        <v>72</v>
      </c>
      <c r="N705" s="28" t="s">
        <v>73</v>
      </c>
      <c r="O705" s="29" t="n">
        <v>8</v>
      </c>
      <c r="P705" s="30" t="n">
        <v>441</v>
      </c>
      <c r="Q705" s="30" t="n">
        <v>272.25</v>
      </c>
      <c r="R705" s="30" t="n">
        <f aca="false">ROUND(O705*P705,2)</f>
        <v>3528</v>
      </c>
      <c r="S705" s="30" t="n">
        <f aca="false">ROUND(O705*Q705,2)</f>
        <v>2178</v>
      </c>
      <c r="T705" s="30" t="n">
        <f aca="false">ROUND(R705*SUMIFS(Parametros!$E$23:$E$38,Parametros!$B$23:$B$38,J705,Parametros!$C$23:$C$38,C705,Parametros!$D$23:$D$38,D705),2)</f>
        <v>162.29</v>
      </c>
      <c r="U705" s="30" t="n">
        <f aca="false">R705-S705-T705</f>
        <v>1187.71</v>
      </c>
    </row>
    <row r="706" customFormat="false" ht="15" hidden="false" customHeight="false" outlineLevel="0" collapsed="false">
      <c r="A706" s="0" t="n">
        <v>705</v>
      </c>
      <c r="B706" s="27" t="n">
        <v>45526</v>
      </c>
      <c r="C706" s="0" t="n">
        <v>2024</v>
      </c>
      <c r="D706" s="28" t="s">
        <v>115</v>
      </c>
      <c r="E706" s="0" t="n">
        <v>8</v>
      </c>
      <c r="F706" s="28" t="s">
        <v>118</v>
      </c>
      <c r="G706" s="28" t="s">
        <v>119</v>
      </c>
      <c r="H706" s="28" t="s">
        <v>64</v>
      </c>
      <c r="I706" s="28" t="s">
        <v>65</v>
      </c>
      <c r="J706" s="28" t="s">
        <v>66</v>
      </c>
      <c r="K706" s="28" t="s">
        <v>67</v>
      </c>
      <c r="L706" s="28" t="s">
        <v>68</v>
      </c>
      <c r="M706" s="28" t="s">
        <v>74</v>
      </c>
      <c r="N706" s="28" t="s">
        <v>75</v>
      </c>
      <c r="O706" s="29" t="n">
        <v>17</v>
      </c>
      <c r="P706" s="30" t="n">
        <v>1617</v>
      </c>
      <c r="Q706" s="30" t="n">
        <v>1122</v>
      </c>
      <c r="R706" s="30" t="n">
        <f aca="false">ROUND(O706*P706,2)</f>
        <v>27489</v>
      </c>
      <c r="S706" s="30" t="n">
        <f aca="false">ROUND(O706*Q706,2)</f>
        <v>19074</v>
      </c>
      <c r="T706" s="30" t="n">
        <f aca="false">ROUND(R706*SUMIFS(Parametros!$E$23:$E$38,Parametros!$B$23:$B$38,J706,Parametros!$C$23:$C$38,C706,Parametros!$D$23:$D$38,D706),2)</f>
        <v>357.36</v>
      </c>
      <c r="U706" s="30" t="n">
        <f aca="false">R706-S706-T706</f>
        <v>8057.64</v>
      </c>
    </row>
    <row r="707" customFormat="false" ht="15" hidden="false" customHeight="false" outlineLevel="0" collapsed="false">
      <c r="A707" s="0" t="n">
        <v>706</v>
      </c>
      <c r="B707" s="27" t="n">
        <v>45506</v>
      </c>
      <c r="C707" s="0" t="n">
        <v>2024</v>
      </c>
      <c r="D707" s="28" t="s">
        <v>115</v>
      </c>
      <c r="E707" s="0" t="n">
        <v>8</v>
      </c>
      <c r="F707" s="28" t="s">
        <v>118</v>
      </c>
      <c r="G707" s="28" t="s">
        <v>119</v>
      </c>
      <c r="H707" s="28" t="s">
        <v>64</v>
      </c>
      <c r="I707" s="28" t="s">
        <v>65</v>
      </c>
      <c r="J707" s="28" t="s">
        <v>71</v>
      </c>
      <c r="K707" s="28" t="s">
        <v>67</v>
      </c>
      <c r="L707" s="28" t="s">
        <v>68</v>
      </c>
      <c r="M707" s="28" t="s">
        <v>74</v>
      </c>
      <c r="N707" s="28" t="s">
        <v>75</v>
      </c>
      <c r="O707" s="29" t="n">
        <v>7</v>
      </c>
      <c r="P707" s="30" t="n">
        <v>1617</v>
      </c>
      <c r="Q707" s="30" t="n">
        <v>1122</v>
      </c>
      <c r="R707" s="30" t="n">
        <f aca="false">ROUND(O707*P707,2)</f>
        <v>11319</v>
      </c>
      <c r="S707" s="30" t="n">
        <f aca="false">ROUND(O707*Q707,2)</f>
        <v>7854</v>
      </c>
      <c r="T707" s="30" t="n">
        <f aca="false">ROUND(R707*SUMIFS(Parametros!$E$23:$E$38,Parametros!$B$23:$B$38,J707,Parametros!$C$23:$C$38,C707,Parametros!$D$23:$D$38,D707),2)</f>
        <v>520.67</v>
      </c>
      <c r="U707" s="30" t="n">
        <f aca="false">R707-S707-T707</f>
        <v>2944.33</v>
      </c>
    </row>
    <row r="708" customFormat="false" ht="15" hidden="false" customHeight="false" outlineLevel="0" collapsed="false">
      <c r="A708" s="0" t="n">
        <v>707</v>
      </c>
      <c r="B708" s="27" t="n">
        <v>45513</v>
      </c>
      <c r="C708" s="0" t="n">
        <v>2024</v>
      </c>
      <c r="D708" s="28" t="s">
        <v>115</v>
      </c>
      <c r="E708" s="0" t="n">
        <v>8</v>
      </c>
      <c r="F708" s="28" t="s">
        <v>118</v>
      </c>
      <c r="G708" s="28" t="s">
        <v>119</v>
      </c>
      <c r="H708" s="28" t="s">
        <v>64</v>
      </c>
      <c r="I708" s="28" t="s">
        <v>65</v>
      </c>
      <c r="J708" s="28" t="s">
        <v>66</v>
      </c>
      <c r="K708" s="28" t="s">
        <v>76</v>
      </c>
      <c r="L708" s="28" t="s">
        <v>77</v>
      </c>
      <c r="M708" s="28" t="s">
        <v>78</v>
      </c>
      <c r="N708" s="28" t="s">
        <v>79</v>
      </c>
      <c r="O708" s="29" t="n">
        <v>102</v>
      </c>
      <c r="P708" s="30" t="n">
        <v>27.44</v>
      </c>
      <c r="Q708" s="30" t="n">
        <v>13.44</v>
      </c>
      <c r="R708" s="30" t="n">
        <f aca="false">ROUND(O708*P708,2)</f>
        <v>2798.88</v>
      </c>
      <c r="S708" s="30" t="n">
        <f aca="false">ROUND(O708*Q708,2)</f>
        <v>1370.88</v>
      </c>
      <c r="T708" s="30" t="n">
        <f aca="false">ROUND(R708*SUMIFS(Parametros!$E$23:$E$38,Parametros!$B$23:$B$38,J708,Parametros!$C$23:$C$38,C708,Parametros!$D$23:$D$38,D708),2)</f>
        <v>36.39</v>
      </c>
      <c r="U708" s="30" t="n">
        <f aca="false">R708-S708-T708</f>
        <v>1391.61</v>
      </c>
    </row>
    <row r="709" customFormat="false" ht="15" hidden="false" customHeight="false" outlineLevel="0" collapsed="false">
      <c r="A709" s="0" t="n">
        <v>708</v>
      </c>
      <c r="B709" s="27" t="n">
        <v>45520</v>
      </c>
      <c r="C709" s="0" t="n">
        <v>2024</v>
      </c>
      <c r="D709" s="28" t="s">
        <v>115</v>
      </c>
      <c r="E709" s="0" t="n">
        <v>8</v>
      </c>
      <c r="F709" s="28" t="s">
        <v>118</v>
      </c>
      <c r="G709" s="28" t="s">
        <v>119</v>
      </c>
      <c r="H709" s="28" t="s">
        <v>64</v>
      </c>
      <c r="I709" s="28" t="s">
        <v>65</v>
      </c>
      <c r="J709" s="28" t="s">
        <v>71</v>
      </c>
      <c r="K709" s="28" t="s">
        <v>76</v>
      </c>
      <c r="L709" s="28" t="s">
        <v>77</v>
      </c>
      <c r="M709" s="28" t="s">
        <v>78</v>
      </c>
      <c r="N709" s="28" t="s">
        <v>79</v>
      </c>
      <c r="O709" s="29" t="n">
        <v>38</v>
      </c>
      <c r="P709" s="30" t="n">
        <v>27.44</v>
      </c>
      <c r="Q709" s="30" t="n">
        <v>13.44</v>
      </c>
      <c r="R709" s="30" t="n">
        <f aca="false">ROUND(O709*P709,2)</f>
        <v>1042.72</v>
      </c>
      <c r="S709" s="30" t="n">
        <f aca="false">ROUND(O709*Q709,2)</f>
        <v>510.72</v>
      </c>
      <c r="T709" s="30" t="n">
        <f aca="false">ROUND(R709*SUMIFS(Parametros!$E$23:$E$38,Parametros!$B$23:$B$38,J709,Parametros!$C$23:$C$38,C709,Parametros!$D$23:$D$38,D709),2)</f>
        <v>47.97</v>
      </c>
      <c r="U709" s="30" t="n">
        <f aca="false">R709-S709-T709</f>
        <v>484.03</v>
      </c>
    </row>
    <row r="710" customFormat="false" ht="15" hidden="false" customHeight="false" outlineLevel="0" collapsed="false">
      <c r="A710" s="0" t="n">
        <v>709</v>
      </c>
      <c r="B710" s="27" t="n">
        <v>45527</v>
      </c>
      <c r="C710" s="0" t="n">
        <v>2024</v>
      </c>
      <c r="D710" s="28" t="s">
        <v>115</v>
      </c>
      <c r="E710" s="0" t="n">
        <v>8</v>
      </c>
      <c r="F710" s="28" t="s">
        <v>118</v>
      </c>
      <c r="G710" s="28" t="s">
        <v>119</v>
      </c>
      <c r="H710" s="28" t="s">
        <v>64</v>
      </c>
      <c r="I710" s="28" t="s">
        <v>65</v>
      </c>
      <c r="J710" s="28" t="s">
        <v>66</v>
      </c>
      <c r="K710" s="28" t="s">
        <v>76</v>
      </c>
      <c r="L710" s="28" t="s">
        <v>77</v>
      </c>
      <c r="M710" s="28" t="s">
        <v>80</v>
      </c>
      <c r="N710" s="28" t="s">
        <v>81</v>
      </c>
      <c r="O710" s="29" t="n">
        <v>113</v>
      </c>
      <c r="P710" s="30" t="n">
        <v>93.1</v>
      </c>
      <c r="Q710" s="30" t="n">
        <v>47.98</v>
      </c>
      <c r="R710" s="30" t="n">
        <f aca="false">ROUND(O710*P710,2)</f>
        <v>10520.3</v>
      </c>
      <c r="S710" s="30" t="n">
        <f aca="false">ROUND(O710*Q710,2)</f>
        <v>5421.74</v>
      </c>
      <c r="T710" s="30" t="n">
        <f aca="false">ROUND(R710*SUMIFS(Parametros!$E$23:$E$38,Parametros!$B$23:$B$38,J710,Parametros!$C$23:$C$38,C710,Parametros!$D$23:$D$38,D710),2)</f>
        <v>136.76</v>
      </c>
      <c r="U710" s="30" t="n">
        <f aca="false">R710-S710-T710</f>
        <v>4961.8</v>
      </c>
    </row>
    <row r="711" customFormat="false" ht="15" hidden="false" customHeight="false" outlineLevel="0" collapsed="false">
      <c r="A711" s="0" t="n">
        <v>710</v>
      </c>
      <c r="B711" s="27" t="n">
        <v>45507</v>
      </c>
      <c r="C711" s="0" t="n">
        <v>2024</v>
      </c>
      <c r="D711" s="28" t="s">
        <v>115</v>
      </c>
      <c r="E711" s="0" t="n">
        <v>8</v>
      </c>
      <c r="F711" s="28" t="s">
        <v>118</v>
      </c>
      <c r="G711" s="28" t="s">
        <v>119</v>
      </c>
      <c r="H711" s="28" t="s">
        <v>64</v>
      </c>
      <c r="I711" s="28" t="s">
        <v>65</v>
      </c>
      <c r="J711" s="28" t="s">
        <v>71</v>
      </c>
      <c r="K711" s="28" t="s">
        <v>76</v>
      </c>
      <c r="L711" s="28" t="s">
        <v>77</v>
      </c>
      <c r="M711" s="28" t="s">
        <v>80</v>
      </c>
      <c r="N711" s="28" t="s">
        <v>81</v>
      </c>
      <c r="O711" s="29" t="n">
        <v>42</v>
      </c>
      <c r="P711" s="30" t="n">
        <v>93.1</v>
      </c>
      <c r="Q711" s="30" t="n">
        <v>47.98</v>
      </c>
      <c r="R711" s="30" t="n">
        <f aca="false">ROUND(O711*P711,2)</f>
        <v>3910.2</v>
      </c>
      <c r="S711" s="30" t="n">
        <f aca="false">ROUND(O711*Q711,2)</f>
        <v>2015.16</v>
      </c>
      <c r="T711" s="30" t="n">
        <f aca="false">ROUND(R711*SUMIFS(Parametros!$E$23:$E$38,Parametros!$B$23:$B$38,J711,Parametros!$C$23:$C$38,C711,Parametros!$D$23:$D$38,D711),2)</f>
        <v>179.87</v>
      </c>
      <c r="U711" s="30" t="n">
        <f aca="false">R711-S711-T711</f>
        <v>1715.17</v>
      </c>
    </row>
    <row r="712" customFormat="false" ht="15" hidden="false" customHeight="false" outlineLevel="0" collapsed="false">
      <c r="A712" s="0" t="n">
        <v>711</v>
      </c>
      <c r="B712" s="27" t="n">
        <v>45514</v>
      </c>
      <c r="C712" s="0" t="n">
        <v>2024</v>
      </c>
      <c r="D712" s="28" t="s">
        <v>115</v>
      </c>
      <c r="E712" s="0" t="n">
        <v>8</v>
      </c>
      <c r="F712" s="28" t="s">
        <v>118</v>
      </c>
      <c r="G712" s="28" t="s">
        <v>119</v>
      </c>
      <c r="H712" s="28" t="s">
        <v>64</v>
      </c>
      <c r="I712" s="28" t="s">
        <v>65</v>
      </c>
      <c r="J712" s="28" t="s">
        <v>66</v>
      </c>
      <c r="K712" s="28" t="s">
        <v>76</v>
      </c>
      <c r="L712" s="28" t="s">
        <v>77</v>
      </c>
      <c r="M712" s="28" t="s">
        <v>82</v>
      </c>
      <c r="N712" s="28" t="s">
        <v>83</v>
      </c>
      <c r="O712" s="29" t="n">
        <v>87</v>
      </c>
      <c r="P712" s="30" t="n">
        <v>63.7</v>
      </c>
      <c r="Q712" s="30" t="n">
        <v>35.43</v>
      </c>
      <c r="R712" s="30" t="n">
        <f aca="false">ROUND(O712*P712,2)</f>
        <v>5541.9</v>
      </c>
      <c r="S712" s="30" t="n">
        <f aca="false">ROUND(O712*Q712,2)</f>
        <v>3082.41</v>
      </c>
      <c r="T712" s="30" t="n">
        <f aca="false">ROUND(R712*SUMIFS(Parametros!$E$23:$E$38,Parametros!$B$23:$B$38,J712,Parametros!$C$23:$C$38,C712,Parametros!$D$23:$D$38,D712),2)</f>
        <v>72.04</v>
      </c>
      <c r="U712" s="30" t="n">
        <f aca="false">R712-S712-T712</f>
        <v>2387.45</v>
      </c>
    </row>
    <row r="713" customFormat="false" ht="15" hidden="false" customHeight="false" outlineLevel="0" collapsed="false">
      <c r="A713" s="0" t="n">
        <v>712</v>
      </c>
      <c r="B713" s="27" t="n">
        <v>45521</v>
      </c>
      <c r="C713" s="0" t="n">
        <v>2024</v>
      </c>
      <c r="D713" s="28" t="s">
        <v>115</v>
      </c>
      <c r="E713" s="0" t="n">
        <v>8</v>
      </c>
      <c r="F713" s="28" t="s">
        <v>118</v>
      </c>
      <c r="G713" s="28" t="s">
        <v>119</v>
      </c>
      <c r="H713" s="28" t="s">
        <v>64</v>
      </c>
      <c r="I713" s="28" t="s">
        <v>65</v>
      </c>
      <c r="J713" s="28" t="s">
        <v>71</v>
      </c>
      <c r="K713" s="28" t="s">
        <v>76</v>
      </c>
      <c r="L713" s="28" t="s">
        <v>77</v>
      </c>
      <c r="M713" s="28" t="s">
        <v>82</v>
      </c>
      <c r="N713" s="28" t="s">
        <v>83</v>
      </c>
      <c r="O713" s="29" t="n">
        <v>43</v>
      </c>
      <c r="P713" s="30" t="n">
        <v>63.7</v>
      </c>
      <c r="Q713" s="30" t="n">
        <v>35.43</v>
      </c>
      <c r="R713" s="30" t="n">
        <f aca="false">ROUND(O713*P713,2)</f>
        <v>2739.1</v>
      </c>
      <c r="S713" s="30" t="n">
        <f aca="false">ROUND(O713*Q713,2)</f>
        <v>1523.49</v>
      </c>
      <c r="T713" s="30" t="n">
        <f aca="false">ROUND(R713*SUMIFS(Parametros!$E$23:$E$38,Parametros!$B$23:$B$38,J713,Parametros!$C$23:$C$38,C713,Parametros!$D$23:$D$38,D713),2)</f>
        <v>126</v>
      </c>
      <c r="U713" s="30" t="n">
        <f aca="false">R713-S713-T713</f>
        <v>1089.61</v>
      </c>
    </row>
    <row r="714" customFormat="false" ht="15" hidden="false" customHeight="false" outlineLevel="0" collapsed="false">
      <c r="A714" s="0" t="n">
        <v>713</v>
      </c>
      <c r="B714" s="27" t="n">
        <v>45528</v>
      </c>
      <c r="C714" s="0" t="n">
        <v>2024</v>
      </c>
      <c r="D714" s="28" t="s">
        <v>115</v>
      </c>
      <c r="E714" s="0" t="n">
        <v>8</v>
      </c>
      <c r="F714" s="28" t="s">
        <v>118</v>
      </c>
      <c r="G714" s="28" t="s">
        <v>119</v>
      </c>
      <c r="H714" s="28" t="s">
        <v>64</v>
      </c>
      <c r="I714" s="28" t="s">
        <v>65</v>
      </c>
      <c r="J714" s="28" t="s">
        <v>66</v>
      </c>
      <c r="K714" s="28" t="s">
        <v>84</v>
      </c>
      <c r="L714" s="28" t="s">
        <v>85</v>
      </c>
      <c r="M714" s="28" t="s">
        <v>86</v>
      </c>
      <c r="N714" s="28" t="s">
        <v>87</v>
      </c>
      <c r="O714" s="29" t="n">
        <v>37</v>
      </c>
      <c r="P714" s="30" t="n">
        <v>117.6</v>
      </c>
      <c r="Q714" s="30" t="n">
        <v>63.6</v>
      </c>
      <c r="R714" s="30" t="n">
        <f aca="false">ROUND(O714*P714,2)</f>
        <v>4351.2</v>
      </c>
      <c r="S714" s="30" t="n">
        <f aca="false">ROUND(O714*Q714,2)</f>
        <v>2353.2</v>
      </c>
      <c r="T714" s="30" t="n">
        <f aca="false">ROUND(R714*SUMIFS(Parametros!$E$23:$E$38,Parametros!$B$23:$B$38,J714,Parametros!$C$23:$C$38,C714,Parametros!$D$23:$D$38,D714),2)</f>
        <v>56.57</v>
      </c>
      <c r="U714" s="30" t="n">
        <f aca="false">R714-S714-T714</f>
        <v>1941.43</v>
      </c>
    </row>
    <row r="715" customFormat="false" ht="15" hidden="false" customHeight="false" outlineLevel="0" collapsed="false">
      <c r="A715" s="0" t="n">
        <v>714</v>
      </c>
      <c r="B715" s="27" t="n">
        <v>45508</v>
      </c>
      <c r="C715" s="0" t="n">
        <v>2024</v>
      </c>
      <c r="D715" s="28" t="s">
        <v>115</v>
      </c>
      <c r="E715" s="0" t="n">
        <v>8</v>
      </c>
      <c r="F715" s="28" t="s">
        <v>118</v>
      </c>
      <c r="G715" s="28" t="s">
        <v>119</v>
      </c>
      <c r="H715" s="28" t="s">
        <v>64</v>
      </c>
      <c r="I715" s="28" t="s">
        <v>65</v>
      </c>
      <c r="J715" s="28" t="s">
        <v>71</v>
      </c>
      <c r="K715" s="28" t="s">
        <v>84</v>
      </c>
      <c r="L715" s="28" t="s">
        <v>85</v>
      </c>
      <c r="M715" s="28" t="s">
        <v>86</v>
      </c>
      <c r="N715" s="28" t="s">
        <v>87</v>
      </c>
      <c r="O715" s="29" t="n">
        <v>19</v>
      </c>
      <c r="P715" s="30" t="n">
        <v>117.6</v>
      </c>
      <c r="Q715" s="30" t="n">
        <v>63.6</v>
      </c>
      <c r="R715" s="30" t="n">
        <f aca="false">ROUND(O715*P715,2)</f>
        <v>2234.4</v>
      </c>
      <c r="S715" s="30" t="n">
        <f aca="false">ROUND(O715*Q715,2)</f>
        <v>1208.4</v>
      </c>
      <c r="T715" s="30" t="n">
        <f aca="false">ROUND(R715*SUMIFS(Parametros!$E$23:$E$38,Parametros!$B$23:$B$38,J715,Parametros!$C$23:$C$38,C715,Parametros!$D$23:$D$38,D715),2)</f>
        <v>102.78</v>
      </c>
      <c r="U715" s="30" t="n">
        <f aca="false">R715-S715-T715</f>
        <v>923.22</v>
      </c>
    </row>
    <row r="716" customFormat="false" ht="15" hidden="false" customHeight="false" outlineLevel="0" collapsed="false">
      <c r="A716" s="0" t="n">
        <v>715</v>
      </c>
      <c r="B716" s="27" t="n">
        <v>45515</v>
      </c>
      <c r="C716" s="0" t="n">
        <v>2024</v>
      </c>
      <c r="D716" s="28" t="s">
        <v>115</v>
      </c>
      <c r="E716" s="0" t="n">
        <v>8</v>
      </c>
      <c r="F716" s="28" t="s">
        <v>118</v>
      </c>
      <c r="G716" s="28" t="s">
        <v>119</v>
      </c>
      <c r="H716" s="28" t="s">
        <v>64</v>
      </c>
      <c r="I716" s="28" t="s">
        <v>65</v>
      </c>
      <c r="J716" s="28" t="s">
        <v>66</v>
      </c>
      <c r="K716" s="28" t="s">
        <v>84</v>
      </c>
      <c r="L716" s="28" t="s">
        <v>85</v>
      </c>
      <c r="M716" s="28" t="s">
        <v>88</v>
      </c>
      <c r="N716" s="28" t="s">
        <v>89</v>
      </c>
      <c r="O716" s="29" t="n">
        <v>37</v>
      </c>
      <c r="P716" s="30" t="n">
        <v>83.3</v>
      </c>
      <c r="Q716" s="30" t="n">
        <v>48.02</v>
      </c>
      <c r="R716" s="30" t="n">
        <f aca="false">ROUND(O716*P716,2)</f>
        <v>3082.1</v>
      </c>
      <c r="S716" s="30" t="n">
        <f aca="false">ROUND(O716*Q716,2)</f>
        <v>1776.74</v>
      </c>
      <c r="T716" s="30" t="n">
        <f aca="false">ROUND(R716*SUMIFS(Parametros!$E$23:$E$38,Parametros!$B$23:$B$38,J716,Parametros!$C$23:$C$38,C716,Parametros!$D$23:$D$38,D716),2)</f>
        <v>40.07</v>
      </c>
      <c r="U716" s="30" t="n">
        <f aca="false">R716-S716-T716</f>
        <v>1265.29</v>
      </c>
    </row>
    <row r="717" customFormat="false" ht="15" hidden="false" customHeight="false" outlineLevel="0" collapsed="false">
      <c r="A717" s="0" t="n">
        <v>716</v>
      </c>
      <c r="B717" s="27" t="n">
        <v>45522</v>
      </c>
      <c r="C717" s="0" t="n">
        <v>2024</v>
      </c>
      <c r="D717" s="28" t="s">
        <v>115</v>
      </c>
      <c r="E717" s="0" t="n">
        <v>8</v>
      </c>
      <c r="F717" s="28" t="s">
        <v>118</v>
      </c>
      <c r="G717" s="28" t="s">
        <v>119</v>
      </c>
      <c r="H717" s="28" t="s">
        <v>64</v>
      </c>
      <c r="I717" s="28" t="s">
        <v>65</v>
      </c>
      <c r="J717" s="28" t="s">
        <v>71</v>
      </c>
      <c r="K717" s="28" t="s">
        <v>84</v>
      </c>
      <c r="L717" s="28" t="s">
        <v>85</v>
      </c>
      <c r="M717" s="28" t="s">
        <v>88</v>
      </c>
      <c r="N717" s="28" t="s">
        <v>89</v>
      </c>
      <c r="O717" s="29" t="n">
        <v>17</v>
      </c>
      <c r="P717" s="30" t="n">
        <v>83.3</v>
      </c>
      <c r="Q717" s="30" t="n">
        <v>48.02</v>
      </c>
      <c r="R717" s="30" t="n">
        <f aca="false">ROUND(O717*P717,2)</f>
        <v>1416.1</v>
      </c>
      <c r="S717" s="30" t="n">
        <f aca="false">ROUND(O717*Q717,2)</f>
        <v>816.34</v>
      </c>
      <c r="T717" s="30" t="n">
        <f aca="false">ROUND(R717*SUMIFS(Parametros!$E$23:$E$38,Parametros!$B$23:$B$38,J717,Parametros!$C$23:$C$38,C717,Parametros!$D$23:$D$38,D717),2)</f>
        <v>65.14</v>
      </c>
      <c r="U717" s="30" t="n">
        <f aca="false">R717-S717-T717</f>
        <v>534.62</v>
      </c>
    </row>
    <row r="718" customFormat="false" ht="15" hidden="false" customHeight="false" outlineLevel="0" collapsed="false">
      <c r="A718" s="0" t="n">
        <v>717</v>
      </c>
      <c r="B718" s="27" t="n">
        <v>45529</v>
      </c>
      <c r="C718" s="0" t="n">
        <v>2024</v>
      </c>
      <c r="D718" s="28" t="s">
        <v>115</v>
      </c>
      <c r="E718" s="0" t="n">
        <v>8</v>
      </c>
      <c r="F718" s="28" t="s">
        <v>118</v>
      </c>
      <c r="G718" s="28" t="s">
        <v>119</v>
      </c>
      <c r="H718" s="28" t="s">
        <v>64</v>
      </c>
      <c r="I718" s="28" t="s">
        <v>65</v>
      </c>
      <c r="J718" s="28" t="s">
        <v>66</v>
      </c>
      <c r="K718" s="28" t="s">
        <v>90</v>
      </c>
      <c r="L718" s="28" t="s">
        <v>91</v>
      </c>
      <c r="M718" s="28" t="s">
        <v>92</v>
      </c>
      <c r="N718" s="28" t="s">
        <v>93</v>
      </c>
      <c r="O718" s="29" t="n">
        <v>50</v>
      </c>
      <c r="P718" s="30" t="n">
        <v>127.4</v>
      </c>
      <c r="Q718" s="30" t="n">
        <v>76.05</v>
      </c>
      <c r="R718" s="30" t="n">
        <f aca="false">ROUND(O718*P718,2)</f>
        <v>6370</v>
      </c>
      <c r="S718" s="30" t="n">
        <f aca="false">ROUND(O718*Q718,2)</f>
        <v>3802.5</v>
      </c>
      <c r="T718" s="30" t="n">
        <f aca="false">ROUND(R718*SUMIFS(Parametros!$E$23:$E$38,Parametros!$B$23:$B$38,J718,Parametros!$C$23:$C$38,C718,Parametros!$D$23:$D$38,D718),2)</f>
        <v>82.81</v>
      </c>
      <c r="U718" s="30" t="n">
        <f aca="false">R718-S718-T718</f>
        <v>2484.69</v>
      </c>
    </row>
    <row r="719" customFormat="false" ht="15" hidden="false" customHeight="false" outlineLevel="0" collapsed="false">
      <c r="A719" s="0" t="n">
        <v>718</v>
      </c>
      <c r="B719" s="27" t="n">
        <v>45509</v>
      </c>
      <c r="C719" s="0" t="n">
        <v>2024</v>
      </c>
      <c r="D719" s="28" t="s">
        <v>115</v>
      </c>
      <c r="E719" s="0" t="n">
        <v>8</v>
      </c>
      <c r="F719" s="28" t="s">
        <v>118</v>
      </c>
      <c r="G719" s="28" t="s">
        <v>119</v>
      </c>
      <c r="H719" s="28" t="s">
        <v>64</v>
      </c>
      <c r="I719" s="28" t="s">
        <v>65</v>
      </c>
      <c r="J719" s="28" t="s">
        <v>71</v>
      </c>
      <c r="K719" s="28" t="s">
        <v>90</v>
      </c>
      <c r="L719" s="28" t="s">
        <v>91</v>
      </c>
      <c r="M719" s="28" t="s">
        <v>92</v>
      </c>
      <c r="N719" s="28" t="s">
        <v>93</v>
      </c>
      <c r="O719" s="29" t="n">
        <v>19</v>
      </c>
      <c r="P719" s="30" t="n">
        <v>127.4</v>
      </c>
      <c r="Q719" s="30" t="n">
        <v>76.05</v>
      </c>
      <c r="R719" s="30" t="n">
        <f aca="false">ROUND(O719*P719,2)</f>
        <v>2420.6</v>
      </c>
      <c r="S719" s="30" t="n">
        <f aca="false">ROUND(O719*Q719,2)</f>
        <v>1444.95</v>
      </c>
      <c r="T719" s="30" t="n">
        <f aca="false">ROUND(R719*SUMIFS(Parametros!$E$23:$E$38,Parametros!$B$23:$B$38,J719,Parametros!$C$23:$C$38,C719,Parametros!$D$23:$D$38,D719),2)</f>
        <v>111.35</v>
      </c>
      <c r="U719" s="30" t="n">
        <f aca="false">R719-S719-T719</f>
        <v>864.3</v>
      </c>
    </row>
    <row r="720" customFormat="false" ht="15" hidden="false" customHeight="false" outlineLevel="0" collapsed="false">
      <c r="A720" s="0" t="n">
        <v>719</v>
      </c>
      <c r="B720" s="27" t="n">
        <v>45516</v>
      </c>
      <c r="C720" s="0" t="n">
        <v>2024</v>
      </c>
      <c r="D720" s="28" t="s">
        <v>115</v>
      </c>
      <c r="E720" s="0" t="n">
        <v>8</v>
      </c>
      <c r="F720" s="28" t="s">
        <v>118</v>
      </c>
      <c r="G720" s="28" t="s">
        <v>119</v>
      </c>
      <c r="H720" s="28" t="s">
        <v>64</v>
      </c>
      <c r="I720" s="28" t="s">
        <v>65</v>
      </c>
      <c r="J720" s="28" t="s">
        <v>66</v>
      </c>
      <c r="K720" s="28" t="s">
        <v>90</v>
      </c>
      <c r="L720" s="28" t="s">
        <v>91</v>
      </c>
      <c r="M720" s="28" t="s">
        <v>94</v>
      </c>
      <c r="N720" s="28" t="s">
        <v>95</v>
      </c>
      <c r="O720" s="29" t="n">
        <v>61</v>
      </c>
      <c r="P720" s="30" t="n">
        <v>34.3</v>
      </c>
      <c r="Q720" s="30" t="n">
        <v>17.85</v>
      </c>
      <c r="R720" s="30" t="n">
        <f aca="false">ROUND(O720*P720,2)</f>
        <v>2092.3</v>
      </c>
      <c r="S720" s="30" t="n">
        <f aca="false">ROUND(O720*Q720,2)</f>
        <v>1088.85</v>
      </c>
      <c r="T720" s="30" t="n">
        <f aca="false">ROUND(R720*SUMIFS(Parametros!$E$23:$E$38,Parametros!$B$23:$B$38,J720,Parametros!$C$23:$C$38,C720,Parametros!$D$23:$D$38,D720),2)</f>
        <v>27.2</v>
      </c>
      <c r="U720" s="30" t="n">
        <f aca="false">R720-S720-T720</f>
        <v>976.25</v>
      </c>
    </row>
    <row r="721" customFormat="false" ht="15" hidden="false" customHeight="false" outlineLevel="0" collapsed="false">
      <c r="A721" s="0" t="n">
        <v>720</v>
      </c>
      <c r="B721" s="27" t="n">
        <v>45523</v>
      </c>
      <c r="C721" s="0" t="n">
        <v>2024</v>
      </c>
      <c r="D721" s="28" t="s">
        <v>115</v>
      </c>
      <c r="E721" s="0" t="n">
        <v>8</v>
      </c>
      <c r="F721" s="28" t="s">
        <v>118</v>
      </c>
      <c r="G721" s="28" t="s">
        <v>119</v>
      </c>
      <c r="H721" s="28" t="s">
        <v>64</v>
      </c>
      <c r="I721" s="28" t="s">
        <v>65</v>
      </c>
      <c r="J721" s="28" t="s">
        <v>71</v>
      </c>
      <c r="K721" s="28" t="s">
        <v>90</v>
      </c>
      <c r="L721" s="28" t="s">
        <v>91</v>
      </c>
      <c r="M721" s="28" t="s">
        <v>94</v>
      </c>
      <c r="N721" s="28" t="s">
        <v>95</v>
      </c>
      <c r="O721" s="29" t="n">
        <v>25</v>
      </c>
      <c r="P721" s="30" t="n">
        <v>34.3</v>
      </c>
      <c r="Q721" s="30" t="n">
        <v>17.85</v>
      </c>
      <c r="R721" s="30" t="n">
        <f aca="false">ROUND(O721*P721,2)</f>
        <v>857.5</v>
      </c>
      <c r="S721" s="30" t="n">
        <f aca="false">ROUND(O721*Q721,2)</f>
        <v>446.25</v>
      </c>
      <c r="T721" s="30" t="n">
        <f aca="false">ROUND(R721*SUMIFS(Parametros!$E$23:$E$38,Parametros!$B$23:$B$38,J721,Parametros!$C$23:$C$38,C721,Parametros!$D$23:$D$38,D721),2)</f>
        <v>39.45</v>
      </c>
      <c r="U721" s="30" t="n">
        <f aca="false">R721-S721-T721</f>
        <v>371.8</v>
      </c>
    </row>
    <row r="722" customFormat="false" ht="15" hidden="false" customHeight="false" outlineLevel="0" collapsed="false">
      <c r="A722" s="0" t="n">
        <v>721</v>
      </c>
      <c r="B722" s="27" t="n">
        <v>45530</v>
      </c>
      <c r="C722" s="0" t="n">
        <v>2024</v>
      </c>
      <c r="D722" s="28" t="s">
        <v>115</v>
      </c>
      <c r="E722" s="0" t="n">
        <v>8</v>
      </c>
      <c r="F722" s="28" t="s">
        <v>118</v>
      </c>
      <c r="G722" s="28" t="s">
        <v>119</v>
      </c>
      <c r="H722" s="28" t="s">
        <v>96</v>
      </c>
      <c r="I722" s="28" t="s">
        <v>97</v>
      </c>
      <c r="J722" s="28" t="s">
        <v>66</v>
      </c>
      <c r="K722" s="28" t="s">
        <v>67</v>
      </c>
      <c r="L722" s="28" t="s">
        <v>68</v>
      </c>
      <c r="M722" s="28" t="s">
        <v>69</v>
      </c>
      <c r="N722" s="28" t="s">
        <v>70</v>
      </c>
      <c r="O722" s="29" t="n">
        <v>11</v>
      </c>
      <c r="P722" s="30" t="n">
        <v>1176</v>
      </c>
      <c r="Q722" s="30" t="n">
        <v>744</v>
      </c>
      <c r="R722" s="30" t="n">
        <f aca="false">ROUND(O722*P722,2)</f>
        <v>12936</v>
      </c>
      <c r="S722" s="30" t="n">
        <f aca="false">ROUND(O722*Q722,2)</f>
        <v>8184</v>
      </c>
      <c r="T722" s="30" t="n">
        <f aca="false">ROUND(R722*SUMIFS(Parametros!$E$23:$E$38,Parametros!$B$23:$B$38,J722,Parametros!$C$23:$C$38,C722,Parametros!$D$23:$D$38,D722),2)</f>
        <v>168.17</v>
      </c>
      <c r="U722" s="30" t="n">
        <f aca="false">R722-S722-T722</f>
        <v>4583.83</v>
      </c>
    </row>
    <row r="723" customFormat="false" ht="15" hidden="false" customHeight="false" outlineLevel="0" collapsed="false">
      <c r="A723" s="0" t="n">
        <v>722</v>
      </c>
      <c r="B723" s="27" t="n">
        <v>45510</v>
      </c>
      <c r="C723" s="0" t="n">
        <v>2024</v>
      </c>
      <c r="D723" s="28" t="s">
        <v>115</v>
      </c>
      <c r="E723" s="0" t="n">
        <v>8</v>
      </c>
      <c r="F723" s="28" t="s">
        <v>118</v>
      </c>
      <c r="G723" s="28" t="s">
        <v>119</v>
      </c>
      <c r="H723" s="28" t="s">
        <v>96</v>
      </c>
      <c r="I723" s="28" t="s">
        <v>97</v>
      </c>
      <c r="J723" s="28" t="s">
        <v>71</v>
      </c>
      <c r="K723" s="28" t="s">
        <v>67</v>
      </c>
      <c r="L723" s="28" t="s">
        <v>68</v>
      </c>
      <c r="M723" s="28" t="s">
        <v>69</v>
      </c>
      <c r="N723" s="28" t="s">
        <v>70</v>
      </c>
      <c r="O723" s="29" t="n">
        <v>4</v>
      </c>
      <c r="P723" s="30" t="n">
        <v>1176</v>
      </c>
      <c r="Q723" s="30" t="n">
        <v>744</v>
      </c>
      <c r="R723" s="30" t="n">
        <f aca="false">ROUND(O723*P723,2)</f>
        <v>4704</v>
      </c>
      <c r="S723" s="30" t="n">
        <f aca="false">ROUND(O723*Q723,2)</f>
        <v>2976</v>
      </c>
      <c r="T723" s="30" t="n">
        <f aca="false">ROUND(R723*SUMIFS(Parametros!$E$23:$E$38,Parametros!$B$23:$B$38,J723,Parametros!$C$23:$C$38,C723,Parametros!$D$23:$D$38,D723),2)</f>
        <v>216.38</v>
      </c>
      <c r="U723" s="30" t="n">
        <f aca="false">R723-S723-T723</f>
        <v>1511.62</v>
      </c>
    </row>
    <row r="724" customFormat="false" ht="15" hidden="false" customHeight="false" outlineLevel="0" collapsed="false">
      <c r="A724" s="0" t="n">
        <v>723</v>
      </c>
      <c r="B724" s="27" t="n">
        <v>45517</v>
      </c>
      <c r="C724" s="0" t="n">
        <v>2024</v>
      </c>
      <c r="D724" s="28" t="s">
        <v>115</v>
      </c>
      <c r="E724" s="0" t="n">
        <v>8</v>
      </c>
      <c r="F724" s="28" t="s">
        <v>118</v>
      </c>
      <c r="G724" s="28" t="s">
        <v>119</v>
      </c>
      <c r="H724" s="28" t="s">
        <v>96</v>
      </c>
      <c r="I724" s="28" t="s">
        <v>97</v>
      </c>
      <c r="J724" s="28" t="s">
        <v>66</v>
      </c>
      <c r="K724" s="28" t="s">
        <v>67</v>
      </c>
      <c r="L724" s="28" t="s">
        <v>68</v>
      </c>
      <c r="M724" s="28" t="s">
        <v>72</v>
      </c>
      <c r="N724" s="28" t="s">
        <v>73</v>
      </c>
      <c r="O724" s="29" t="n">
        <v>13</v>
      </c>
      <c r="P724" s="30" t="n">
        <v>441</v>
      </c>
      <c r="Q724" s="30" t="n">
        <v>272.25</v>
      </c>
      <c r="R724" s="30" t="n">
        <f aca="false">ROUND(O724*P724,2)</f>
        <v>5733</v>
      </c>
      <c r="S724" s="30" t="n">
        <f aca="false">ROUND(O724*Q724,2)</f>
        <v>3539.25</v>
      </c>
      <c r="T724" s="30" t="n">
        <f aca="false">ROUND(R724*SUMIFS(Parametros!$E$23:$E$38,Parametros!$B$23:$B$38,J724,Parametros!$C$23:$C$38,C724,Parametros!$D$23:$D$38,D724),2)</f>
        <v>74.53</v>
      </c>
      <c r="U724" s="30" t="n">
        <f aca="false">R724-S724-T724</f>
        <v>2119.22</v>
      </c>
    </row>
    <row r="725" customFormat="false" ht="15" hidden="false" customHeight="false" outlineLevel="0" collapsed="false">
      <c r="A725" s="0" t="n">
        <v>724</v>
      </c>
      <c r="B725" s="27" t="n">
        <v>45524</v>
      </c>
      <c r="C725" s="0" t="n">
        <v>2024</v>
      </c>
      <c r="D725" s="28" t="s">
        <v>115</v>
      </c>
      <c r="E725" s="0" t="n">
        <v>8</v>
      </c>
      <c r="F725" s="28" t="s">
        <v>118</v>
      </c>
      <c r="G725" s="28" t="s">
        <v>119</v>
      </c>
      <c r="H725" s="28" t="s">
        <v>96</v>
      </c>
      <c r="I725" s="28" t="s">
        <v>97</v>
      </c>
      <c r="J725" s="28" t="s">
        <v>71</v>
      </c>
      <c r="K725" s="28" t="s">
        <v>67</v>
      </c>
      <c r="L725" s="28" t="s">
        <v>68</v>
      </c>
      <c r="M725" s="28" t="s">
        <v>72</v>
      </c>
      <c r="N725" s="28" t="s">
        <v>73</v>
      </c>
      <c r="O725" s="29" t="n">
        <v>4</v>
      </c>
      <c r="P725" s="30" t="n">
        <v>441</v>
      </c>
      <c r="Q725" s="30" t="n">
        <v>272.25</v>
      </c>
      <c r="R725" s="30" t="n">
        <f aca="false">ROUND(O725*P725,2)</f>
        <v>1764</v>
      </c>
      <c r="S725" s="30" t="n">
        <f aca="false">ROUND(O725*Q725,2)</f>
        <v>1089</v>
      </c>
      <c r="T725" s="30" t="n">
        <f aca="false">ROUND(R725*SUMIFS(Parametros!$E$23:$E$38,Parametros!$B$23:$B$38,J725,Parametros!$C$23:$C$38,C725,Parametros!$D$23:$D$38,D725),2)</f>
        <v>81.14</v>
      </c>
      <c r="U725" s="30" t="n">
        <f aca="false">R725-S725-T725</f>
        <v>593.86</v>
      </c>
    </row>
    <row r="726" customFormat="false" ht="15" hidden="false" customHeight="false" outlineLevel="0" collapsed="false">
      <c r="A726" s="0" t="n">
        <v>725</v>
      </c>
      <c r="B726" s="27" t="n">
        <v>45531</v>
      </c>
      <c r="C726" s="0" t="n">
        <v>2024</v>
      </c>
      <c r="D726" s="28" t="s">
        <v>115</v>
      </c>
      <c r="E726" s="0" t="n">
        <v>8</v>
      </c>
      <c r="F726" s="28" t="s">
        <v>118</v>
      </c>
      <c r="G726" s="28" t="s">
        <v>119</v>
      </c>
      <c r="H726" s="28" t="s">
        <v>96</v>
      </c>
      <c r="I726" s="28" t="s">
        <v>97</v>
      </c>
      <c r="J726" s="28" t="s">
        <v>66</v>
      </c>
      <c r="K726" s="28" t="s">
        <v>67</v>
      </c>
      <c r="L726" s="28" t="s">
        <v>68</v>
      </c>
      <c r="M726" s="28" t="s">
        <v>74</v>
      </c>
      <c r="N726" s="28" t="s">
        <v>75</v>
      </c>
      <c r="O726" s="29" t="n">
        <v>13</v>
      </c>
      <c r="P726" s="30" t="n">
        <v>1617</v>
      </c>
      <c r="Q726" s="30" t="n">
        <v>1122</v>
      </c>
      <c r="R726" s="30" t="n">
        <f aca="false">ROUND(O726*P726,2)</f>
        <v>21021</v>
      </c>
      <c r="S726" s="30" t="n">
        <f aca="false">ROUND(O726*Q726,2)</f>
        <v>14586</v>
      </c>
      <c r="T726" s="30" t="n">
        <f aca="false">ROUND(R726*SUMIFS(Parametros!$E$23:$E$38,Parametros!$B$23:$B$38,J726,Parametros!$C$23:$C$38,C726,Parametros!$D$23:$D$38,D726),2)</f>
        <v>273.27</v>
      </c>
      <c r="U726" s="30" t="n">
        <f aca="false">R726-S726-T726</f>
        <v>6161.73</v>
      </c>
    </row>
    <row r="727" customFormat="false" ht="15" hidden="false" customHeight="false" outlineLevel="0" collapsed="false">
      <c r="A727" s="0" t="n">
        <v>726</v>
      </c>
      <c r="B727" s="27" t="n">
        <v>45511</v>
      </c>
      <c r="C727" s="0" t="n">
        <v>2024</v>
      </c>
      <c r="D727" s="28" t="s">
        <v>115</v>
      </c>
      <c r="E727" s="0" t="n">
        <v>8</v>
      </c>
      <c r="F727" s="28" t="s">
        <v>118</v>
      </c>
      <c r="G727" s="28" t="s">
        <v>119</v>
      </c>
      <c r="H727" s="28" t="s">
        <v>96</v>
      </c>
      <c r="I727" s="28" t="s">
        <v>97</v>
      </c>
      <c r="J727" s="28" t="s">
        <v>71</v>
      </c>
      <c r="K727" s="28" t="s">
        <v>67</v>
      </c>
      <c r="L727" s="28" t="s">
        <v>68</v>
      </c>
      <c r="M727" s="28" t="s">
        <v>74</v>
      </c>
      <c r="N727" s="28" t="s">
        <v>75</v>
      </c>
      <c r="O727" s="29" t="n">
        <v>4</v>
      </c>
      <c r="P727" s="30" t="n">
        <v>1617</v>
      </c>
      <c r="Q727" s="30" t="n">
        <v>1122</v>
      </c>
      <c r="R727" s="30" t="n">
        <f aca="false">ROUND(O727*P727,2)</f>
        <v>6468</v>
      </c>
      <c r="S727" s="30" t="n">
        <f aca="false">ROUND(O727*Q727,2)</f>
        <v>4488</v>
      </c>
      <c r="T727" s="30" t="n">
        <f aca="false">ROUND(R727*SUMIFS(Parametros!$E$23:$E$38,Parametros!$B$23:$B$38,J727,Parametros!$C$23:$C$38,C727,Parametros!$D$23:$D$38,D727),2)</f>
        <v>297.53</v>
      </c>
      <c r="U727" s="30" t="n">
        <f aca="false">R727-S727-T727</f>
        <v>1682.47</v>
      </c>
    </row>
    <row r="728" customFormat="false" ht="15" hidden="false" customHeight="false" outlineLevel="0" collapsed="false">
      <c r="A728" s="0" t="n">
        <v>727</v>
      </c>
      <c r="B728" s="27" t="n">
        <v>45518</v>
      </c>
      <c r="C728" s="0" t="n">
        <v>2024</v>
      </c>
      <c r="D728" s="28" t="s">
        <v>115</v>
      </c>
      <c r="E728" s="0" t="n">
        <v>8</v>
      </c>
      <c r="F728" s="28" t="s">
        <v>118</v>
      </c>
      <c r="G728" s="28" t="s">
        <v>119</v>
      </c>
      <c r="H728" s="28" t="s">
        <v>96</v>
      </c>
      <c r="I728" s="28" t="s">
        <v>97</v>
      </c>
      <c r="J728" s="28" t="s">
        <v>66</v>
      </c>
      <c r="K728" s="28" t="s">
        <v>76</v>
      </c>
      <c r="L728" s="28" t="s">
        <v>77</v>
      </c>
      <c r="M728" s="28" t="s">
        <v>78</v>
      </c>
      <c r="N728" s="28" t="s">
        <v>79</v>
      </c>
      <c r="O728" s="29" t="n">
        <v>64</v>
      </c>
      <c r="P728" s="30" t="n">
        <v>27.44</v>
      </c>
      <c r="Q728" s="30" t="n">
        <v>13.44</v>
      </c>
      <c r="R728" s="30" t="n">
        <f aca="false">ROUND(O728*P728,2)</f>
        <v>1756.16</v>
      </c>
      <c r="S728" s="30" t="n">
        <f aca="false">ROUND(O728*Q728,2)</f>
        <v>860.16</v>
      </c>
      <c r="T728" s="30" t="n">
        <f aca="false">ROUND(R728*SUMIFS(Parametros!$E$23:$E$38,Parametros!$B$23:$B$38,J728,Parametros!$C$23:$C$38,C728,Parametros!$D$23:$D$38,D728),2)</f>
        <v>22.83</v>
      </c>
      <c r="U728" s="30" t="n">
        <f aca="false">R728-S728-T728</f>
        <v>873.17</v>
      </c>
    </row>
    <row r="729" customFormat="false" ht="15" hidden="false" customHeight="false" outlineLevel="0" collapsed="false">
      <c r="A729" s="0" t="n">
        <v>728</v>
      </c>
      <c r="B729" s="27" t="n">
        <v>45525</v>
      </c>
      <c r="C729" s="0" t="n">
        <v>2024</v>
      </c>
      <c r="D729" s="28" t="s">
        <v>115</v>
      </c>
      <c r="E729" s="0" t="n">
        <v>8</v>
      </c>
      <c r="F729" s="28" t="s">
        <v>118</v>
      </c>
      <c r="G729" s="28" t="s">
        <v>119</v>
      </c>
      <c r="H729" s="28" t="s">
        <v>96</v>
      </c>
      <c r="I729" s="28" t="s">
        <v>97</v>
      </c>
      <c r="J729" s="28" t="s">
        <v>71</v>
      </c>
      <c r="K729" s="28" t="s">
        <v>76</v>
      </c>
      <c r="L729" s="28" t="s">
        <v>77</v>
      </c>
      <c r="M729" s="28" t="s">
        <v>78</v>
      </c>
      <c r="N729" s="28" t="s">
        <v>79</v>
      </c>
      <c r="O729" s="29" t="n">
        <v>25</v>
      </c>
      <c r="P729" s="30" t="n">
        <v>27.44</v>
      </c>
      <c r="Q729" s="30" t="n">
        <v>13.44</v>
      </c>
      <c r="R729" s="30" t="n">
        <f aca="false">ROUND(O729*P729,2)</f>
        <v>686</v>
      </c>
      <c r="S729" s="30" t="n">
        <f aca="false">ROUND(O729*Q729,2)</f>
        <v>336</v>
      </c>
      <c r="T729" s="30" t="n">
        <f aca="false">ROUND(R729*SUMIFS(Parametros!$E$23:$E$38,Parametros!$B$23:$B$38,J729,Parametros!$C$23:$C$38,C729,Parametros!$D$23:$D$38,D729),2)</f>
        <v>31.56</v>
      </c>
      <c r="U729" s="30" t="n">
        <f aca="false">R729-S729-T729</f>
        <v>318.44</v>
      </c>
    </row>
    <row r="730" customFormat="false" ht="15" hidden="false" customHeight="false" outlineLevel="0" collapsed="false">
      <c r="A730" s="0" t="n">
        <v>729</v>
      </c>
      <c r="B730" s="27" t="n">
        <v>45505</v>
      </c>
      <c r="C730" s="0" t="n">
        <v>2024</v>
      </c>
      <c r="D730" s="28" t="s">
        <v>115</v>
      </c>
      <c r="E730" s="0" t="n">
        <v>8</v>
      </c>
      <c r="F730" s="28" t="s">
        <v>118</v>
      </c>
      <c r="G730" s="28" t="s">
        <v>119</v>
      </c>
      <c r="H730" s="28" t="s">
        <v>96</v>
      </c>
      <c r="I730" s="28" t="s">
        <v>97</v>
      </c>
      <c r="J730" s="28" t="s">
        <v>66</v>
      </c>
      <c r="K730" s="28" t="s">
        <v>76</v>
      </c>
      <c r="L730" s="28" t="s">
        <v>77</v>
      </c>
      <c r="M730" s="28" t="s">
        <v>80</v>
      </c>
      <c r="N730" s="28" t="s">
        <v>81</v>
      </c>
      <c r="O730" s="29" t="n">
        <v>65</v>
      </c>
      <c r="P730" s="30" t="n">
        <v>93.1</v>
      </c>
      <c r="Q730" s="30" t="n">
        <v>47.98</v>
      </c>
      <c r="R730" s="30" t="n">
        <f aca="false">ROUND(O730*P730,2)</f>
        <v>6051.5</v>
      </c>
      <c r="S730" s="30" t="n">
        <f aca="false">ROUND(O730*Q730,2)</f>
        <v>3118.7</v>
      </c>
      <c r="T730" s="30" t="n">
        <f aca="false">ROUND(R730*SUMIFS(Parametros!$E$23:$E$38,Parametros!$B$23:$B$38,J730,Parametros!$C$23:$C$38,C730,Parametros!$D$23:$D$38,D730),2)</f>
        <v>78.67</v>
      </c>
      <c r="U730" s="30" t="n">
        <f aca="false">R730-S730-T730</f>
        <v>2854.13</v>
      </c>
    </row>
    <row r="731" customFormat="false" ht="15" hidden="false" customHeight="false" outlineLevel="0" collapsed="false">
      <c r="A731" s="0" t="n">
        <v>730</v>
      </c>
      <c r="B731" s="27" t="n">
        <v>45512</v>
      </c>
      <c r="C731" s="0" t="n">
        <v>2024</v>
      </c>
      <c r="D731" s="28" t="s">
        <v>115</v>
      </c>
      <c r="E731" s="0" t="n">
        <v>8</v>
      </c>
      <c r="F731" s="28" t="s">
        <v>118</v>
      </c>
      <c r="G731" s="28" t="s">
        <v>119</v>
      </c>
      <c r="H731" s="28" t="s">
        <v>96</v>
      </c>
      <c r="I731" s="28" t="s">
        <v>97</v>
      </c>
      <c r="J731" s="28" t="s">
        <v>71</v>
      </c>
      <c r="K731" s="28" t="s">
        <v>76</v>
      </c>
      <c r="L731" s="28" t="s">
        <v>77</v>
      </c>
      <c r="M731" s="28" t="s">
        <v>80</v>
      </c>
      <c r="N731" s="28" t="s">
        <v>81</v>
      </c>
      <c r="O731" s="29" t="n">
        <v>25</v>
      </c>
      <c r="P731" s="30" t="n">
        <v>93.1</v>
      </c>
      <c r="Q731" s="30" t="n">
        <v>47.98</v>
      </c>
      <c r="R731" s="30" t="n">
        <f aca="false">ROUND(O731*P731,2)</f>
        <v>2327.5</v>
      </c>
      <c r="S731" s="30" t="n">
        <f aca="false">ROUND(O731*Q731,2)</f>
        <v>1199.5</v>
      </c>
      <c r="T731" s="30" t="n">
        <f aca="false">ROUND(R731*SUMIFS(Parametros!$E$23:$E$38,Parametros!$B$23:$B$38,J731,Parametros!$C$23:$C$38,C731,Parametros!$D$23:$D$38,D731),2)</f>
        <v>107.07</v>
      </c>
      <c r="U731" s="30" t="n">
        <f aca="false">R731-S731-T731</f>
        <v>1020.93</v>
      </c>
    </row>
    <row r="732" customFormat="false" ht="15" hidden="false" customHeight="false" outlineLevel="0" collapsed="false">
      <c r="A732" s="0" t="n">
        <v>731</v>
      </c>
      <c r="B732" s="27" t="n">
        <v>45519</v>
      </c>
      <c r="C732" s="0" t="n">
        <v>2024</v>
      </c>
      <c r="D732" s="28" t="s">
        <v>115</v>
      </c>
      <c r="E732" s="0" t="n">
        <v>8</v>
      </c>
      <c r="F732" s="28" t="s">
        <v>118</v>
      </c>
      <c r="G732" s="28" t="s">
        <v>119</v>
      </c>
      <c r="H732" s="28" t="s">
        <v>96</v>
      </c>
      <c r="I732" s="28" t="s">
        <v>97</v>
      </c>
      <c r="J732" s="28" t="s">
        <v>66</v>
      </c>
      <c r="K732" s="28" t="s">
        <v>76</v>
      </c>
      <c r="L732" s="28" t="s">
        <v>77</v>
      </c>
      <c r="M732" s="28" t="s">
        <v>82</v>
      </c>
      <c r="N732" s="28" t="s">
        <v>83</v>
      </c>
      <c r="O732" s="29" t="n">
        <v>58</v>
      </c>
      <c r="P732" s="30" t="n">
        <v>63.7</v>
      </c>
      <c r="Q732" s="30" t="n">
        <v>35.43</v>
      </c>
      <c r="R732" s="30" t="n">
        <f aca="false">ROUND(O732*P732,2)</f>
        <v>3694.6</v>
      </c>
      <c r="S732" s="30" t="n">
        <f aca="false">ROUND(O732*Q732,2)</f>
        <v>2054.94</v>
      </c>
      <c r="T732" s="30" t="n">
        <f aca="false">ROUND(R732*SUMIFS(Parametros!$E$23:$E$38,Parametros!$B$23:$B$38,J732,Parametros!$C$23:$C$38,C732,Parametros!$D$23:$D$38,D732),2)</f>
        <v>48.03</v>
      </c>
      <c r="U732" s="30" t="n">
        <f aca="false">R732-S732-T732</f>
        <v>1591.63</v>
      </c>
    </row>
    <row r="733" customFormat="false" ht="15" hidden="false" customHeight="false" outlineLevel="0" collapsed="false">
      <c r="A733" s="0" t="n">
        <v>732</v>
      </c>
      <c r="B733" s="27" t="n">
        <v>45526</v>
      </c>
      <c r="C733" s="0" t="n">
        <v>2024</v>
      </c>
      <c r="D733" s="28" t="s">
        <v>115</v>
      </c>
      <c r="E733" s="0" t="n">
        <v>8</v>
      </c>
      <c r="F733" s="28" t="s">
        <v>118</v>
      </c>
      <c r="G733" s="28" t="s">
        <v>119</v>
      </c>
      <c r="H733" s="28" t="s">
        <v>96</v>
      </c>
      <c r="I733" s="28" t="s">
        <v>97</v>
      </c>
      <c r="J733" s="28" t="s">
        <v>71</v>
      </c>
      <c r="K733" s="28" t="s">
        <v>76</v>
      </c>
      <c r="L733" s="28" t="s">
        <v>77</v>
      </c>
      <c r="M733" s="28" t="s">
        <v>82</v>
      </c>
      <c r="N733" s="28" t="s">
        <v>83</v>
      </c>
      <c r="O733" s="29" t="n">
        <v>19</v>
      </c>
      <c r="P733" s="30" t="n">
        <v>63.7</v>
      </c>
      <c r="Q733" s="30" t="n">
        <v>35.43</v>
      </c>
      <c r="R733" s="30" t="n">
        <f aca="false">ROUND(O733*P733,2)</f>
        <v>1210.3</v>
      </c>
      <c r="S733" s="30" t="n">
        <f aca="false">ROUND(O733*Q733,2)</f>
        <v>673.17</v>
      </c>
      <c r="T733" s="30" t="n">
        <f aca="false">ROUND(R733*SUMIFS(Parametros!$E$23:$E$38,Parametros!$B$23:$B$38,J733,Parametros!$C$23:$C$38,C733,Parametros!$D$23:$D$38,D733),2)</f>
        <v>55.67</v>
      </c>
      <c r="U733" s="30" t="n">
        <f aca="false">R733-S733-T733</f>
        <v>481.46</v>
      </c>
    </row>
    <row r="734" customFormat="false" ht="15" hidden="false" customHeight="false" outlineLevel="0" collapsed="false">
      <c r="A734" s="0" t="n">
        <v>733</v>
      </c>
      <c r="B734" s="27" t="n">
        <v>45506</v>
      </c>
      <c r="C734" s="0" t="n">
        <v>2024</v>
      </c>
      <c r="D734" s="28" t="s">
        <v>115</v>
      </c>
      <c r="E734" s="0" t="n">
        <v>8</v>
      </c>
      <c r="F734" s="28" t="s">
        <v>118</v>
      </c>
      <c r="G734" s="28" t="s">
        <v>119</v>
      </c>
      <c r="H734" s="28" t="s">
        <v>96</v>
      </c>
      <c r="I734" s="28" t="s">
        <v>97</v>
      </c>
      <c r="J734" s="28" t="s">
        <v>66</v>
      </c>
      <c r="K734" s="28" t="s">
        <v>84</v>
      </c>
      <c r="L734" s="28" t="s">
        <v>85</v>
      </c>
      <c r="M734" s="28" t="s">
        <v>86</v>
      </c>
      <c r="N734" s="28" t="s">
        <v>87</v>
      </c>
      <c r="O734" s="29" t="n">
        <v>22</v>
      </c>
      <c r="P734" s="30" t="n">
        <v>117.6</v>
      </c>
      <c r="Q734" s="30" t="n">
        <v>63.6</v>
      </c>
      <c r="R734" s="30" t="n">
        <f aca="false">ROUND(O734*P734,2)</f>
        <v>2587.2</v>
      </c>
      <c r="S734" s="30" t="n">
        <f aca="false">ROUND(O734*Q734,2)</f>
        <v>1399.2</v>
      </c>
      <c r="T734" s="30" t="n">
        <f aca="false">ROUND(R734*SUMIFS(Parametros!$E$23:$E$38,Parametros!$B$23:$B$38,J734,Parametros!$C$23:$C$38,C734,Parametros!$D$23:$D$38,D734),2)</f>
        <v>33.63</v>
      </c>
      <c r="U734" s="30" t="n">
        <f aca="false">R734-S734-T734</f>
        <v>1154.37</v>
      </c>
    </row>
    <row r="735" customFormat="false" ht="15" hidden="false" customHeight="false" outlineLevel="0" collapsed="false">
      <c r="A735" s="0" t="n">
        <v>734</v>
      </c>
      <c r="B735" s="27" t="n">
        <v>45513</v>
      </c>
      <c r="C735" s="0" t="n">
        <v>2024</v>
      </c>
      <c r="D735" s="28" t="s">
        <v>115</v>
      </c>
      <c r="E735" s="0" t="n">
        <v>8</v>
      </c>
      <c r="F735" s="28" t="s">
        <v>118</v>
      </c>
      <c r="G735" s="28" t="s">
        <v>119</v>
      </c>
      <c r="H735" s="28" t="s">
        <v>96</v>
      </c>
      <c r="I735" s="28" t="s">
        <v>97</v>
      </c>
      <c r="J735" s="28" t="s">
        <v>71</v>
      </c>
      <c r="K735" s="28" t="s">
        <v>84</v>
      </c>
      <c r="L735" s="28" t="s">
        <v>85</v>
      </c>
      <c r="M735" s="28" t="s">
        <v>86</v>
      </c>
      <c r="N735" s="28" t="s">
        <v>87</v>
      </c>
      <c r="O735" s="29" t="n">
        <v>9</v>
      </c>
      <c r="P735" s="30" t="n">
        <v>117.6</v>
      </c>
      <c r="Q735" s="30" t="n">
        <v>63.6</v>
      </c>
      <c r="R735" s="30" t="n">
        <f aca="false">ROUND(O735*P735,2)</f>
        <v>1058.4</v>
      </c>
      <c r="S735" s="30" t="n">
        <f aca="false">ROUND(O735*Q735,2)</f>
        <v>572.4</v>
      </c>
      <c r="T735" s="30" t="n">
        <f aca="false">ROUND(R735*SUMIFS(Parametros!$E$23:$E$38,Parametros!$B$23:$B$38,J735,Parametros!$C$23:$C$38,C735,Parametros!$D$23:$D$38,D735),2)</f>
        <v>48.69</v>
      </c>
      <c r="U735" s="30" t="n">
        <f aca="false">R735-S735-T735</f>
        <v>437.31</v>
      </c>
    </row>
    <row r="736" customFormat="false" ht="15" hidden="false" customHeight="false" outlineLevel="0" collapsed="false">
      <c r="A736" s="0" t="n">
        <v>735</v>
      </c>
      <c r="B736" s="27" t="n">
        <v>45520</v>
      </c>
      <c r="C736" s="0" t="n">
        <v>2024</v>
      </c>
      <c r="D736" s="28" t="s">
        <v>115</v>
      </c>
      <c r="E736" s="0" t="n">
        <v>8</v>
      </c>
      <c r="F736" s="28" t="s">
        <v>118</v>
      </c>
      <c r="G736" s="28" t="s">
        <v>119</v>
      </c>
      <c r="H736" s="28" t="s">
        <v>96</v>
      </c>
      <c r="I736" s="28" t="s">
        <v>97</v>
      </c>
      <c r="J736" s="28" t="s">
        <v>66</v>
      </c>
      <c r="K736" s="28" t="s">
        <v>84</v>
      </c>
      <c r="L736" s="28" t="s">
        <v>85</v>
      </c>
      <c r="M736" s="28" t="s">
        <v>88</v>
      </c>
      <c r="N736" s="28" t="s">
        <v>89</v>
      </c>
      <c r="O736" s="29" t="n">
        <v>26</v>
      </c>
      <c r="P736" s="30" t="n">
        <v>83.3</v>
      </c>
      <c r="Q736" s="30" t="n">
        <v>48.02</v>
      </c>
      <c r="R736" s="30" t="n">
        <f aca="false">ROUND(O736*P736,2)</f>
        <v>2165.8</v>
      </c>
      <c r="S736" s="30" t="n">
        <f aca="false">ROUND(O736*Q736,2)</f>
        <v>1248.52</v>
      </c>
      <c r="T736" s="30" t="n">
        <f aca="false">ROUND(R736*SUMIFS(Parametros!$E$23:$E$38,Parametros!$B$23:$B$38,J736,Parametros!$C$23:$C$38,C736,Parametros!$D$23:$D$38,D736),2)</f>
        <v>28.16</v>
      </c>
      <c r="U736" s="30" t="n">
        <f aca="false">R736-S736-T736</f>
        <v>889.12</v>
      </c>
    </row>
    <row r="737" customFormat="false" ht="15" hidden="false" customHeight="false" outlineLevel="0" collapsed="false">
      <c r="A737" s="0" t="n">
        <v>736</v>
      </c>
      <c r="B737" s="27" t="n">
        <v>45527</v>
      </c>
      <c r="C737" s="0" t="n">
        <v>2024</v>
      </c>
      <c r="D737" s="28" t="s">
        <v>115</v>
      </c>
      <c r="E737" s="0" t="n">
        <v>8</v>
      </c>
      <c r="F737" s="28" t="s">
        <v>118</v>
      </c>
      <c r="G737" s="28" t="s">
        <v>119</v>
      </c>
      <c r="H737" s="28" t="s">
        <v>96</v>
      </c>
      <c r="I737" s="28" t="s">
        <v>97</v>
      </c>
      <c r="J737" s="28" t="s">
        <v>71</v>
      </c>
      <c r="K737" s="28" t="s">
        <v>84</v>
      </c>
      <c r="L737" s="28" t="s">
        <v>85</v>
      </c>
      <c r="M737" s="28" t="s">
        <v>88</v>
      </c>
      <c r="N737" s="28" t="s">
        <v>89</v>
      </c>
      <c r="O737" s="29" t="n">
        <v>10</v>
      </c>
      <c r="P737" s="30" t="n">
        <v>83.3</v>
      </c>
      <c r="Q737" s="30" t="n">
        <v>48.02</v>
      </c>
      <c r="R737" s="30" t="n">
        <f aca="false">ROUND(O737*P737,2)</f>
        <v>833</v>
      </c>
      <c r="S737" s="30" t="n">
        <f aca="false">ROUND(O737*Q737,2)</f>
        <v>480.2</v>
      </c>
      <c r="T737" s="30" t="n">
        <f aca="false">ROUND(R737*SUMIFS(Parametros!$E$23:$E$38,Parametros!$B$23:$B$38,J737,Parametros!$C$23:$C$38,C737,Parametros!$D$23:$D$38,D737),2)</f>
        <v>38.32</v>
      </c>
      <c r="U737" s="30" t="n">
        <f aca="false">R737-S737-T737</f>
        <v>314.48</v>
      </c>
    </row>
    <row r="738" customFormat="false" ht="15" hidden="false" customHeight="false" outlineLevel="0" collapsed="false">
      <c r="A738" s="0" t="n">
        <v>737</v>
      </c>
      <c r="B738" s="27" t="n">
        <v>45507</v>
      </c>
      <c r="C738" s="0" t="n">
        <v>2024</v>
      </c>
      <c r="D738" s="28" t="s">
        <v>115</v>
      </c>
      <c r="E738" s="0" t="n">
        <v>8</v>
      </c>
      <c r="F738" s="28" t="s">
        <v>118</v>
      </c>
      <c r="G738" s="28" t="s">
        <v>119</v>
      </c>
      <c r="H738" s="28" t="s">
        <v>96</v>
      </c>
      <c r="I738" s="28" t="s">
        <v>97</v>
      </c>
      <c r="J738" s="28" t="s">
        <v>66</v>
      </c>
      <c r="K738" s="28" t="s">
        <v>90</v>
      </c>
      <c r="L738" s="28" t="s">
        <v>91</v>
      </c>
      <c r="M738" s="28" t="s">
        <v>92</v>
      </c>
      <c r="N738" s="28" t="s">
        <v>93</v>
      </c>
      <c r="O738" s="29" t="n">
        <v>27</v>
      </c>
      <c r="P738" s="30" t="n">
        <v>127.4</v>
      </c>
      <c r="Q738" s="30" t="n">
        <v>76.05</v>
      </c>
      <c r="R738" s="30" t="n">
        <f aca="false">ROUND(O738*P738,2)</f>
        <v>3439.8</v>
      </c>
      <c r="S738" s="30" t="n">
        <f aca="false">ROUND(O738*Q738,2)</f>
        <v>2053.35</v>
      </c>
      <c r="T738" s="30" t="n">
        <f aca="false">ROUND(R738*SUMIFS(Parametros!$E$23:$E$38,Parametros!$B$23:$B$38,J738,Parametros!$C$23:$C$38,C738,Parametros!$D$23:$D$38,D738),2)</f>
        <v>44.72</v>
      </c>
      <c r="U738" s="30" t="n">
        <f aca="false">R738-S738-T738</f>
        <v>1341.73</v>
      </c>
    </row>
    <row r="739" customFormat="false" ht="15" hidden="false" customHeight="false" outlineLevel="0" collapsed="false">
      <c r="A739" s="0" t="n">
        <v>738</v>
      </c>
      <c r="B739" s="27" t="n">
        <v>45514</v>
      </c>
      <c r="C739" s="0" t="n">
        <v>2024</v>
      </c>
      <c r="D739" s="28" t="s">
        <v>115</v>
      </c>
      <c r="E739" s="0" t="n">
        <v>8</v>
      </c>
      <c r="F739" s="28" t="s">
        <v>118</v>
      </c>
      <c r="G739" s="28" t="s">
        <v>119</v>
      </c>
      <c r="H739" s="28" t="s">
        <v>96</v>
      </c>
      <c r="I739" s="28" t="s">
        <v>97</v>
      </c>
      <c r="J739" s="28" t="s">
        <v>71</v>
      </c>
      <c r="K739" s="28" t="s">
        <v>90</v>
      </c>
      <c r="L739" s="28" t="s">
        <v>91</v>
      </c>
      <c r="M739" s="28" t="s">
        <v>92</v>
      </c>
      <c r="N739" s="28" t="s">
        <v>93</v>
      </c>
      <c r="O739" s="29" t="n">
        <v>11</v>
      </c>
      <c r="P739" s="30" t="n">
        <v>127.4</v>
      </c>
      <c r="Q739" s="30" t="n">
        <v>76.05</v>
      </c>
      <c r="R739" s="30" t="n">
        <f aca="false">ROUND(O739*P739,2)</f>
        <v>1401.4</v>
      </c>
      <c r="S739" s="30" t="n">
        <f aca="false">ROUND(O739*Q739,2)</f>
        <v>836.55</v>
      </c>
      <c r="T739" s="30" t="n">
        <f aca="false">ROUND(R739*SUMIFS(Parametros!$E$23:$E$38,Parametros!$B$23:$B$38,J739,Parametros!$C$23:$C$38,C739,Parametros!$D$23:$D$38,D739),2)</f>
        <v>64.46</v>
      </c>
      <c r="U739" s="30" t="n">
        <f aca="false">R739-S739-T739</f>
        <v>500.39</v>
      </c>
    </row>
    <row r="740" customFormat="false" ht="15" hidden="false" customHeight="false" outlineLevel="0" collapsed="false">
      <c r="A740" s="0" t="n">
        <v>739</v>
      </c>
      <c r="B740" s="27" t="n">
        <v>45521</v>
      </c>
      <c r="C740" s="0" t="n">
        <v>2024</v>
      </c>
      <c r="D740" s="28" t="s">
        <v>115</v>
      </c>
      <c r="E740" s="0" t="n">
        <v>8</v>
      </c>
      <c r="F740" s="28" t="s">
        <v>118</v>
      </c>
      <c r="G740" s="28" t="s">
        <v>119</v>
      </c>
      <c r="H740" s="28" t="s">
        <v>96</v>
      </c>
      <c r="I740" s="28" t="s">
        <v>97</v>
      </c>
      <c r="J740" s="28" t="s">
        <v>66</v>
      </c>
      <c r="K740" s="28" t="s">
        <v>90</v>
      </c>
      <c r="L740" s="28" t="s">
        <v>91</v>
      </c>
      <c r="M740" s="28" t="s">
        <v>94</v>
      </c>
      <c r="N740" s="28" t="s">
        <v>95</v>
      </c>
      <c r="O740" s="29" t="n">
        <v>33</v>
      </c>
      <c r="P740" s="30" t="n">
        <v>34.3</v>
      </c>
      <c r="Q740" s="30" t="n">
        <v>17.85</v>
      </c>
      <c r="R740" s="30" t="n">
        <f aca="false">ROUND(O740*P740,2)</f>
        <v>1131.9</v>
      </c>
      <c r="S740" s="30" t="n">
        <f aca="false">ROUND(O740*Q740,2)</f>
        <v>589.05</v>
      </c>
      <c r="T740" s="30" t="n">
        <f aca="false">ROUND(R740*SUMIFS(Parametros!$E$23:$E$38,Parametros!$B$23:$B$38,J740,Parametros!$C$23:$C$38,C740,Parametros!$D$23:$D$38,D740),2)</f>
        <v>14.71</v>
      </c>
      <c r="U740" s="30" t="n">
        <f aca="false">R740-S740-T740</f>
        <v>528.14</v>
      </c>
    </row>
    <row r="741" customFormat="false" ht="15" hidden="false" customHeight="false" outlineLevel="0" collapsed="false">
      <c r="A741" s="0" t="n">
        <v>740</v>
      </c>
      <c r="B741" s="27" t="n">
        <v>45528</v>
      </c>
      <c r="C741" s="0" t="n">
        <v>2024</v>
      </c>
      <c r="D741" s="28" t="s">
        <v>115</v>
      </c>
      <c r="E741" s="0" t="n">
        <v>8</v>
      </c>
      <c r="F741" s="28" t="s">
        <v>118</v>
      </c>
      <c r="G741" s="28" t="s">
        <v>119</v>
      </c>
      <c r="H741" s="28" t="s">
        <v>96</v>
      </c>
      <c r="I741" s="28" t="s">
        <v>97</v>
      </c>
      <c r="J741" s="28" t="s">
        <v>71</v>
      </c>
      <c r="K741" s="28" t="s">
        <v>90</v>
      </c>
      <c r="L741" s="28" t="s">
        <v>91</v>
      </c>
      <c r="M741" s="28" t="s">
        <v>94</v>
      </c>
      <c r="N741" s="28" t="s">
        <v>95</v>
      </c>
      <c r="O741" s="29" t="n">
        <v>12</v>
      </c>
      <c r="P741" s="30" t="n">
        <v>34.3</v>
      </c>
      <c r="Q741" s="30" t="n">
        <v>17.85</v>
      </c>
      <c r="R741" s="30" t="n">
        <f aca="false">ROUND(O741*P741,2)</f>
        <v>411.6</v>
      </c>
      <c r="S741" s="30" t="n">
        <f aca="false">ROUND(O741*Q741,2)</f>
        <v>214.2</v>
      </c>
      <c r="T741" s="30" t="n">
        <f aca="false">ROUND(R741*SUMIFS(Parametros!$E$23:$E$38,Parametros!$B$23:$B$38,J741,Parametros!$C$23:$C$38,C741,Parametros!$D$23:$D$38,D741),2)</f>
        <v>18.93</v>
      </c>
      <c r="U741" s="30" t="n">
        <f aca="false">R741-S741-T741</f>
        <v>178.47</v>
      </c>
    </row>
    <row r="742" customFormat="false" ht="15" hidden="false" customHeight="false" outlineLevel="0" collapsed="false">
      <c r="A742" s="0" t="n">
        <v>741</v>
      </c>
      <c r="B742" s="27" t="n">
        <v>45508</v>
      </c>
      <c r="C742" s="0" t="n">
        <v>2024</v>
      </c>
      <c r="D742" s="28" t="s">
        <v>115</v>
      </c>
      <c r="E742" s="0" t="n">
        <v>8</v>
      </c>
      <c r="F742" s="28" t="s">
        <v>118</v>
      </c>
      <c r="G742" s="28" t="s">
        <v>119</v>
      </c>
      <c r="H742" s="28" t="s">
        <v>98</v>
      </c>
      <c r="I742" s="28" t="s">
        <v>99</v>
      </c>
      <c r="J742" s="28" t="s">
        <v>66</v>
      </c>
      <c r="K742" s="28" t="s">
        <v>67</v>
      </c>
      <c r="L742" s="28" t="s">
        <v>68</v>
      </c>
      <c r="M742" s="28" t="s">
        <v>69</v>
      </c>
      <c r="N742" s="28" t="s">
        <v>70</v>
      </c>
      <c r="O742" s="29" t="n">
        <v>9</v>
      </c>
      <c r="P742" s="30" t="n">
        <v>1176</v>
      </c>
      <c r="Q742" s="30" t="n">
        <v>744</v>
      </c>
      <c r="R742" s="30" t="n">
        <f aca="false">ROUND(O742*P742,2)</f>
        <v>10584</v>
      </c>
      <c r="S742" s="30" t="n">
        <f aca="false">ROUND(O742*Q742,2)</f>
        <v>6696</v>
      </c>
      <c r="T742" s="30" t="n">
        <f aca="false">ROUND(R742*SUMIFS(Parametros!$E$23:$E$38,Parametros!$B$23:$B$38,J742,Parametros!$C$23:$C$38,C742,Parametros!$D$23:$D$38,D742),2)</f>
        <v>137.59</v>
      </c>
      <c r="U742" s="30" t="n">
        <f aca="false">R742-S742-T742</f>
        <v>3750.41</v>
      </c>
    </row>
    <row r="743" customFormat="false" ht="15" hidden="false" customHeight="false" outlineLevel="0" collapsed="false">
      <c r="A743" s="0" t="n">
        <v>742</v>
      </c>
      <c r="B743" s="27" t="n">
        <v>45515</v>
      </c>
      <c r="C743" s="0" t="n">
        <v>2024</v>
      </c>
      <c r="D743" s="28" t="s">
        <v>115</v>
      </c>
      <c r="E743" s="0" t="n">
        <v>8</v>
      </c>
      <c r="F743" s="28" t="s">
        <v>118</v>
      </c>
      <c r="G743" s="28" t="s">
        <v>119</v>
      </c>
      <c r="H743" s="28" t="s">
        <v>98</v>
      </c>
      <c r="I743" s="28" t="s">
        <v>99</v>
      </c>
      <c r="J743" s="28" t="s">
        <v>71</v>
      </c>
      <c r="K743" s="28" t="s">
        <v>67</v>
      </c>
      <c r="L743" s="28" t="s">
        <v>68</v>
      </c>
      <c r="M743" s="28" t="s">
        <v>69</v>
      </c>
      <c r="N743" s="28" t="s">
        <v>70</v>
      </c>
      <c r="O743" s="29" t="n">
        <v>4</v>
      </c>
      <c r="P743" s="30" t="n">
        <v>1176</v>
      </c>
      <c r="Q743" s="30" t="n">
        <v>744</v>
      </c>
      <c r="R743" s="30" t="n">
        <f aca="false">ROUND(O743*P743,2)</f>
        <v>4704</v>
      </c>
      <c r="S743" s="30" t="n">
        <f aca="false">ROUND(O743*Q743,2)</f>
        <v>2976</v>
      </c>
      <c r="T743" s="30" t="n">
        <f aca="false">ROUND(R743*SUMIFS(Parametros!$E$23:$E$38,Parametros!$B$23:$B$38,J743,Parametros!$C$23:$C$38,C743,Parametros!$D$23:$D$38,D743),2)</f>
        <v>216.38</v>
      </c>
      <c r="U743" s="30" t="n">
        <f aca="false">R743-S743-T743</f>
        <v>1511.62</v>
      </c>
    </row>
    <row r="744" customFormat="false" ht="15" hidden="false" customHeight="false" outlineLevel="0" collapsed="false">
      <c r="A744" s="0" t="n">
        <v>743</v>
      </c>
      <c r="B744" s="27" t="n">
        <v>45522</v>
      </c>
      <c r="C744" s="0" t="n">
        <v>2024</v>
      </c>
      <c r="D744" s="28" t="s">
        <v>115</v>
      </c>
      <c r="E744" s="0" t="n">
        <v>8</v>
      </c>
      <c r="F744" s="28" t="s">
        <v>118</v>
      </c>
      <c r="G744" s="28" t="s">
        <v>119</v>
      </c>
      <c r="H744" s="28" t="s">
        <v>98</v>
      </c>
      <c r="I744" s="28" t="s">
        <v>99</v>
      </c>
      <c r="J744" s="28" t="s">
        <v>66</v>
      </c>
      <c r="K744" s="28" t="s">
        <v>67</v>
      </c>
      <c r="L744" s="28" t="s">
        <v>68</v>
      </c>
      <c r="M744" s="28" t="s">
        <v>72</v>
      </c>
      <c r="N744" s="28" t="s">
        <v>73</v>
      </c>
      <c r="O744" s="29" t="n">
        <v>8</v>
      </c>
      <c r="P744" s="30" t="n">
        <v>441</v>
      </c>
      <c r="Q744" s="30" t="n">
        <v>272.25</v>
      </c>
      <c r="R744" s="30" t="n">
        <f aca="false">ROUND(O744*P744,2)</f>
        <v>3528</v>
      </c>
      <c r="S744" s="30" t="n">
        <f aca="false">ROUND(O744*Q744,2)</f>
        <v>2178</v>
      </c>
      <c r="T744" s="30" t="n">
        <f aca="false">ROUND(R744*SUMIFS(Parametros!$E$23:$E$38,Parametros!$B$23:$B$38,J744,Parametros!$C$23:$C$38,C744,Parametros!$D$23:$D$38,D744),2)</f>
        <v>45.86</v>
      </c>
      <c r="U744" s="30" t="n">
        <f aca="false">R744-S744-T744</f>
        <v>1304.14</v>
      </c>
    </row>
    <row r="745" customFormat="false" ht="15" hidden="false" customHeight="false" outlineLevel="0" collapsed="false">
      <c r="A745" s="0" t="n">
        <v>744</v>
      </c>
      <c r="B745" s="27" t="n">
        <v>45529</v>
      </c>
      <c r="C745" s="0" t="n">
        <v>2024</v>
      </c>
      <c r="D745" s="28" t="s">
        <v>115</v>
      </c>
      <c r="E745" s="0" t="n">
        <v>8</v>
      </c>
      <c r="F745" s="28" t="s">
        <v>118</v>
      </c>
      <c r="G745" s="28" t="s">
        <v>119</v>
      </c>
      <c r="H745" s="28" t="s">
        <v>98</v>
      </c>
      <c r="I745" s="28" t="s">
        <v>99</v>
      </c>
      <c r="J745" s="28" t="s">
        <v>71</v>
      </c>
      <c r="K745" s="28" t="s">
        <v>67</v>
      </c>
      <c r="L745" s="28" t="s">
        <v>68</v>
      </c>
      <c r="M745" s="28" t="s">
        <v>72</v>
      </c>
      <c r="N745" s="28" t="s">
        <v>73</v>
      </c>
      <c r="O745" s="29" t="n">
        <v>3</v>
      </c>
      <c r="P745" s="30" t="n">
        <v>441</v>
      </c>
      <c r="Q745" s="30" t="n">
        <v>272.25</v>
      </c>
      <c r="R745" s="30" t="n">
        <f aca="false">ROUND(O745*P745,2)</f>
        <v>1323</v>
      </c>
      <c r="S745" s="30" t="n">
        <f aca="false">ROUND(O745*Q745,2)</f>
        <v>816.75</v>
      </c>
      <c r="T745" s="30" t="n">
        <f aca="false">ROUND(R745*SUMIFS(Parametros!$E$23:$E$38,Parametros!$B$23:$B$38,J745,Parametros!$C$23:$C$38,C745,Parametros!$D$23:$D$38,D745),2)</f>
        <v>60.86</v>
      </c>
      <c r="U745" s="30" t="n">
        <f aca="false">R745-S745-T745</f>
        <v>445.39</v>
      </c>
    </row>
    <row r="746" customFormat="false" ht="15" hidden="false" customHeight="false" outlineLevel="0" collapsed="false">
      <c r="A746" s="0" t="n">
        <v>745</v>
      </c>
      <c r="B746" s="27" t="n">
        <v>45509</v>
      </c>
      <c r="C746" s="0" t="n">
        <v>2024</v>
      </c>
      <c r="D746" s="28" t="s">
        <v>115</v>
      </c>
      <c r="E746" s="0" t="n">
        <v>8</v>
      </c>
      <c r="F746" s="28" t="s">
        <v>118</v>
      </c>
      <c r="G746" s="28" t="s">
        <v>119</v>
      </c>
      <c r="H746" s="28" t="s">
        <v>98</v>
      </c>
      <c r="I746" s="28" t="s">
        <v>99</v>
      </c>
      <c r="J746" s="28" t="s">
        <v>66</v>
      </c>
      <c r="K746" s="28" t="s">
        <v>67</v>
      </c>
      <c r="L746" s="28" t="s">
        <v>68</v>
      </c>
      <c r="M746" s="28" t="s">
        <v>74</v>
      </c>
      <c r="N746" s="28" t="s">
        <v>75</v>
      </c>
      <c r="O746" s="29" t="n">
        <v>10</v>
      </c>
      <c r="P746" s="30" t="n">
        <v>1617</v>
      </c>
      <c r="Q746" s="30" t="n">
        <v>1122</v>
      </c>
      <c r="R746" s="30" t="n">
        <f aca="false">ROUND(O746*P746,2)</f>
        <v>16170</v>
      </c>
      <c r="S746" s="30" t="n">
        <f aca="false">ROUND(O746*Q746,2)</f>
        <v>11220</v>
      </c>
      <c r="T746" s="30" t="n">
        <f aca="false">ROUND(R746*SUMIFS(Parametros!$E$23:$E$38,Parametros!$B$23:$B$38,J746,Parametros!$C$23:$C$38,C746,Parametros!$D$23:$D$38,D746),2)</f>
        <v>210.21</v>
      </c>
      <c r="U746" s="30" t="n">
        <f aca="false">R746-S746-T746</f>
        <v>4739.79</v>
      </c>
    </row>
    <row r="747" customFormat="false" ht="15" hidden="false" customHeight="false" outlineLevel="0" collapsed="false">
      <c r="A747" s="0" t="n">
        <v>746</v>
      </c>
      <c r="B747" s="27" t="n">
        <v>45516</v>
      </c>
      <c r="C747" s="0" t="n">
        <v>2024</v>
      </c>
      <c r="D747" s="28" t="s">
        <v>115</v>
      </c>
      <c r="E747" s="0" t="n">
        <v>8</v>
      </c>
      <c r="F747" s="28" t="s">
        <v>118</v>
      </c>
      <c r="G747" s="28" t="s">
        <v>119</v>
      </c>
      <c r="H747" s="28" t="s">
        <v>98</v>
      </c>
      <c r="I747" s="28" t="s">
        <v>99</v>
      </c>
      <c r="J747" s="28" t="s">
        <v>71</v>
      </c>
      <c r="K747" s="28" t="s">
        <v>67</v>
      </c>
      <c r="L747" s="28" t="s">
        <v>68</v>
      </c>
      <c r="M747" s="28" t="s">
        <v>74</v>
      </c>
      <c r="N747" s="28" t="s">
        <v>75</v>
      </c>
      <c r="O747" s="29" t="n">
        <v>3</v>
      </c>
      <c r="P747" s="30" t="n">
        <v>1617</v>
      </c>
      <c r="Q747" s="30" t="n">
        <v>1122</v>
      </c>
      <c r="R747" s="30" t="n">
        <f aca="false">ROUND(O747*P747,2)</f>
        <v>4851</v>
      </c>
      <c r="S747" s="30" t="n">
        <f aca="false">ROUND(O747*Q747,2)</f>
        <v>3366</v>
      </c>
      <c r="T747" s="30" t="n">
        <f aca="false">ROUND(R747*SUMIFS(Parametros!$E$23:$E$38,Parametros!$B$23:$B$38,J747,Parametros!$C$23:$C$38,C747,Parametros!$D$23:$D$38,D747),2)</f>
        <v>223.15</v>
      </c>
      <c r="U747" s="30" t="n">
        <f aca="false">R747-S747-T747</f>
        <v>1261.85</v>
      </c>
    </row>
    <row r="748" customFormat="false" ht="15" hidden="false" customHeight="false" outlineLevel="0" collapsed="false">
      <c r="A748" s="0" t="n">
        <v>747</v>
      </c>
      <c r="B748" s="27" t="n">
        <v>45523</v>
      </c>
      <c r="C748" s="0" t="n">
        <v>2024</v>
      </c>
      <c r="D748" s="28" t="s">
        <v>115</v>
      </c>
      <c r="E748" s="0" t="n">
        <v>8</v>
      </c>
      <c r="F748" s="28" t="s">
        <v>118</v>
      </c>
      <c r="G748" s="28" t="s">
        <v>119</v>
      </c>
      <c r="H748" s="28" t="s">
        <v>98</v>
      </c>
      <c r="I748" s="28" t="s">
        <v>99</v>
      </c>
      <c r="J748" s="28" t="s">
        <v>66</v>
      </c>
      <c r="K748" s="28" t="s">
        <v>76</v>
      </c>
      <c r="L748" s="28" t="s">
        <v>77</v>
      </c>
      <c r="M748" s="28" t="s">
        <v>78</v>
      </c>
      <c r="N748" s="28" t="s">
        <v>79</v>
      </c>
      <c r="O748" s="29" t="n">
        <v>40</v>
      </c>
      <c r="P748" s="30" t="n">
        <v>27.44</v>
      </c>
      <c r="Q748" s="30" t="n">
        <v>13.44</v>
      </c>
      <c r="R748" s="30" t="n">
        <f aca="false">ROUND(O748*P748,2)</f>
        <v>1097.6</v>
      </c>
      <c r="S748" s="30" t="n">
        <f aca="false">ROUND(O748*Q748,2)</f>
        <v>537.6</v>
      </c>
      <c r="T748" s="30" t="n">
        <f aca="false">ROUND(R748*SUMIFS(Parametros!$E$23:$E$38,Parametros!$B$23:$B$38,J748,Parametros!$C$23:$C$38,C748,Parametros!$D$23:$D$38,D748),2)</f>
        <v>14.27</v>
      </c>
      <c r="U748" s="30" t="n">
        <f aca="false">R748-S748-T748</f>
        <v>545.73</v>
      </c>
    </row>
    <row r="749" customFormat="false" ht="15" hidden="false" customHeight="false" outlineLevel="0" collapsed="false">
      <c r="A749" s="0" t="n">
        <v>748</v>
      </c>
      <c r="B749" s="27" t="n">
        <v>45530</v>
      </c>
      <c r="C749" s="0" t="n">
        <v>2024</v>
      </c>
      <c r="D749" s="28" t="s">
        <v>115</v>
      </c>
      <c r="E749" s="0" t="n">
        <v>8</v>
      </c>
      <c r="F749" s="28" t="s">
        <v>118</v>
      </c>
      <c r="G749" s="28" t="s">
        <v>119</v>
      </c>
      <c r="H749" s="28" t="s">
        <v>98</v>
      </c>
      <c r="I749" s="28" t="s">
        <v>99</v>
      </c>
      <c r="J749" s="28" t="s">
        <v>71</v>
      </c>
      <c r="K749" s="28" t="s">
        <v>76</v>
      </c>
      <c r="L749" s="28" t="s">
        <v>77</v>
      </c>
      <c r="M749" s="28" t="s">
        <v>78</v>
      </c>
      <c r="N749" s="28" t="s">
        <v>79</v>
      </c>
      <c r="O749" s="29" t="n">
        <v>16</v>
      </c>
      <c r="P749" s="30" t="n">
        <v>27.44</v>
      </c>
      <c r="Q749" s="30" t="n">
        <v>13.44</v>
      </c>
      <c r="R749" s="30" t="n">
        <f aca="false">ROUND(O749*P749,2)</f>
        <v>439.04</v>
      </c>
      <c r="S749" s="30" t="n">
        <f aca="false">ROUND(O749*Q749,2)</f>
        <v>215.04</v>
      </c>
      <c r="T749" s="30" t="n">
        <f aca="false">ROUND(R749*SUMIFS(Parametros!$E$23:$E$38,Parametros!$B$23:$B$38,J749,Parametros!$C$23:$C$38,C749,Parametros!$D$23:$D$38,D749),2)</f>
        <v>20.2</v>
      </c>
      <c r="U749" s="30" t="n">
        <f aca="false">R749-S749-T749</f>
        <v>203.8</v>
      </c>
    </row>
    <row r="750" customFormat="false" ht="15" hidden="false" customHeight="false" outlineLevel="0" collapsed="false">
      <c r="A750" s="0" t="n">
        <v>749</v>
      </c>
      <c r="B750" s="27" t="n">
        <v>45510</v>
      </c>
      <c r="C750" s="0" t="n">
        <v>2024</v>
      </c>
      <c r="D750" s="28" t="s">
        <v>115</v>
      </c>
      <c r="E750" s="0" t="n">
        <v>8</v>
      </c>
      <c r="F750" s="28" t="s">
        <v>118</v>
      </c>
      <c r="G750" s="28" t="s">
        <v>119</v>
      </c>
      <c r="H750" s="28" t="s">
        <v>98</v>
      </c>
      <c r="I750" s="28" t="s">
        <v>99</v>
      </c>
      <c r="J750" s="28" t="s">
        <v>66</v>
      </c>
      <c r="K750" s="28" t="s">
        <v>76</v>
      </c>
      <c r="L750" s="28" t="s">
        <v>77</v>
      </c>
      <c r="M750" s="28" t="s">
        <v>80</v>
      </c>
      <c r="N750" s="28" t="s">
        <v>81</v>
      </c>
      <c r="O750" s="29" t="n">
        <v>33</v>
      </c>
      <c r="P750" s="30" t="n">
        <v>93.1</v>
      </c>
      <c r="Q750" s="30" t="n">
        <v>47.98</v>
      </c>
      <c r="R750" s="30" t="n">
        <f aca="false">ROUND(O750*P750,2)</f>
        <v>3072.3</v>
      </c>
      <c r="S750" s="30" t="n">
        <f aca="false">ROUND(O750*Q750,2)</f>
        <v>1583.34</v>
      </c>
      <c r="T750" s="30" t="n">
        <f aca="false">ROUND(R750*SUMIFS(Parametros!$E$23:$E$38,Parametros!$B$23:$B$38,J750,Parametros!$C$23:$C$38,C750,Parametros!$D$23:$D$38,D750),2)</f>
        <v>39.94</v>
      </c>
      <c r="U750" s="30" t="n">
        <f aca="false">R750-S750-T750</f>
        <v>1449.02</v>
      </c>
    </row>
    <row r="751" customFormat="false" ht="15" hidden="false" customHeight="false" outlineLevel="0" collapsed="false">
      <c r="A751" s="0" t="n">
        <v>750</v>
      </c>
      <c r="B751" s="27" t="n">
        <v>45517</v>
      </c>
      <c r="C751" s="0" t="n">
        <v>2024</v>
      </c>
      <c r="D751" s="28" t="s">
        <v>115</v>
      </c>
      <c r="E751" s="0" t="n">
        <v>8</v>
      </c>
      <c r="F751" s="28" t="s">
        <v>118</v>
      </c>
      <c r="G751" s="28" t="s">
        <v>119</v>
      </c>
      <c r="H751" s="28" t="s">
        <v>98</v>
      </c>
      <c r="I751" s="28" t="s">
        <v>99</v>
      </c>
      <c r="J751" s="28" t="s">
        <v>71</v>
      </c>
      <c r="K751" s="28" t="s">
        <v>76</v>
      </c>
      <c r="L751" s="28" t="s">
        <v>77</v>
      </c>
      <c r="M751" s="28" t="s">
        <v>80</v>
      </c>
      <c r="N751" s="28" t="s">
        <v>81</v>
      </c>
      <c r="O751" s="29" t="n">
        <v>17</v>
      </c>
      <c r="P751" s="30" t="n">
        <v>93.1</v>
      </c>
      <c r="Q751" s="30" t="n">
        <v>47.98</v>
      </c>
      <c r="R751" s="30" t="n">
        <f aca="false">ROUND(O751*P751,2)</f>
        <v>1582.7</v>
      </c>
      <c r="S751" s="30" t="n">
        <f aca="false">ROUND(O751*Q751,2)</f>
        <v>815.66</v>
      </c>
      <c r="T751" s="30" t="n">
        <f aca="false">ROUND(R751*SUMIFS(Parametros!$E$23:$E$38,Parametros!$B$23:$B$38,J751,Parametros!$C$23:$C$38,C751,Parametros!$D$23:$D$38,D751),2)</f>
        <v>72.8</v>
      </c>
      <c r="U751" s="30" t="n">
        <f aca="false">R751-S751-T751</f>
        <v>694.24</v>
      </c>
    </row>
    <row r="752" customFormat="false" ht="15" hidden="false" customHeight="false" outlineLevel="0" collapsed="false">
      <c r="A752" s="0" t="n">
        <v>751</v>
      </c>
      <c r="B752" s="27" t="n">
        <v>45524</v>
      </c>
      <c r="C752" s="0" t="n">
        <v>2024</v>
      </c>
      <c r="D752" s="28" t="s">
        <v>115</v>
      </c>
      <c r="E752" s="0" t="n">
        <v>8</v>
      </c>
      <c r="F752" s="28" t="s">
        <v>118</v>
      </c>
      <c r="G752" s="28" t="s">
        <v>119</v>
      </c>
      <c r="H752" s="28" t="s">
        <v>98</v>
      </c>
      <c r="I752" s="28" t="s">
        <v>99</v>
      </c>
      <c r="J752" s="28" t="s">
        <v>66</v>
      </c>
      <c r="K752" s="28" t="s">
        <v>76</v>
      </c>
      <c r="L752" s="28" t="s">
        <v>77</v>
      </c>
      <c r="M752" s="28" t="s">
        <v>82</v>
      </c>
      <c r="N752" s="28" t="s">
        <v>83</v>
      </c>
      <c r="O752" s="29" t="n">
        <v>46</v>
      </c>
      <c r="P752" s="30" t="n">
        <v>63.7</v>
      </c>
      <c r="Q752" s="30" t="n">
        <v>35.43</v>
      </c>
      <c r="R752" s="30" t="n">
        <f aca="false">ROUND(O752*P752,2)</f>
        <v>2930.2</v>
      </c>
      <c r="S752" s="30" t="n">
        <f aca="false">ROUND(O752*Q752,2)</f>
        <v>1629.78</v>
      </c>
      <c r="T752" s="30" t="n">
        <f aca="false">ROUND(R752*SUMIFS(Parametros!$E$23:$E$38,Parametros!$B$23:$B$38,J752,Parametros!$C$23:$C$38,C752,Parametros!$D$23:$D$38,D752),2)</f>
        <v>38.09</v>
      </c>
      <c r="U752" s="30" t="n">
        <f aca="false">R752-S752-T752</f>
        <v>1262.33</v>
      </c>
    </row>
    <row r="753" customFormat="false" ht="15" hidden="false" customHeight="false" outlineLevel="0" collapsed="false">
      <c r="A753" s="0" t="n">
        <v>752</v>
      </c>
      <c r="B753" s="27" t="n">
        <v>45531</v>
      </c>
      <c r="C753" s="0" t="n">
        <v>2024</v>
      </c>
      <c r="D753" s="28" t="s">
        <v>115</v>
      </c>
      <c r="E753" s="0" t="n">
        <v>8</v>
      </c>
      <c r="F753" s="28" t="s">
        <v>118</v>
      </c>
      <c r="G753" s="28" t="s">
        <v>119</v>
      </c>
      <c r="H753" s="28" t="s">
        <v>98</v>
      </c>
      <c r="I753" s="28" t="s">
        <v>99</v>
      </c>
      <c r="J753" s="28" t="s">
        <v>71</v>
      </c>
      <c r="K753" s="28" t="s">
        <v>76</v>
      </c>
      <c r="L753" s="28" t="s">
        <v>77</v>
      </c>
      <c r="M753" s="28" t="s">
        <v>82</v>
      </c>
      <c r="N753" s="28" t="s">
        <v>83</v>
      </c>
      <c r="O753" s="29" t="n">
        <v>16</v>
      </c>
      <c r="P753" s="30" t="n">
        <v>63.7</v>
      </c>
      <c r="Q753" s="30" t="n">
        <v>35.43</v>
      </c>
      <c r="R753" s="30" t="n">
        <f aca="false">ROUND(O753*P753,2)</f>
        <v>1019.2</v>
      </c>
      <c r="S753" s="30" t="n">
        <f aca="false">ROUND(O753*Q753,2)</f>
        <v>566.88</v>
      </c>
      <c r="T753" s="30" t="n">
        <f aca="false">ROUND(R753*SUMIFS(Parametros!$E$23:$E$38,Parametros!$B$23:$B$38,J753,Parametros!$C$23:$C$38,C753,Parametros!$D$23:$D$38,D753),2)</f>
        <v>46.88</v>
      </c>
      <c r="U753" s="30" t="n">
        <f aca="false">R753-S753-T753</f>
        <v>405.44</v>
      </c>
    </row>
    <row r="754" customFormat="false" ht="15" hidden="false" customHeight="false" outlineLevel="0" collapsed="false">
      <c r="A754" s="0" t="n">
        <v>753</v>
      </c>
      <c r="B754" s="27" t="n">
        <v>45511</v>
      </c>
      <c r="C754" s="0" t="n">
        <v>2024</v>
      </c>
      <c r="D754" s="28" t="s">
        <v>115</v>
      </c>
      <c r="E754" s="0" t="n">
        <v>8</v>
      </c>
      <c r="F754" s="28" t="s">
        <v>118</v>
      </c>
      <c r="G754" s="28" t="s">
        <v>119</v>
      </c>
      <c r="H754" s="28" t="s">
        <v>98</v>
      </c>
      <c r="I754" s="28" t="s">
        <v>99</v>
      </c>
      <c r="J754" s="28" t="s">
        <v>66</v>
      </c>
      <c r="K754" s="28" t="s">
        <v>84</v>
      </c>
      <c r="L754" s="28" t="s">
        <v>85</v>
      </c>
      <c r="M754" s="28" t="s">
        <v>86</v>
      </c>
      <c r="N754" s="28" t="s">
        <v>87</v>
      </c>
      <c r="O754" s="29" t="n">
        <v>21</v>
      </c>
      <c r="P754" s="30" t="n">
        <v>117.6</v>
      </c>
      <c r="Q754" s="30" t="n">
        <v>63.6</v>
      </c>
      <c r="R754" s="30" t="n">
        <f aca="false">ROUND(O754*P754,2)</f>
        <v>2469.6</v>
      </c>
      <c r="S754" s="30" t="n">
        <f aca="false">ROUND(O754*Q754,2)</f>
        <v>1335.6</v>
      </c>
      <c r="T754" s="30" t="n">
        <f aca="false">ROUND(R754*SUMIFS(Parametros!$E$23:$E$38,Parametros!$B$23:$B$38,J754,Parametros!$C$23:$C$38,C754,Parametros!$D$23:$D$38,D754),2)</f>
        <v>32.1</v>
      </c>
      <c r="U754" s="30" t="n">
        <f aca="false">R754-S754-T754</f>
        <v>1101.9</v>
      </c>
    </row>
    <row r="755" customFormat="false" ht="15" hidden="false" customHeight="false" outlineLevel="0" collapsed="false">
      <c r="A755" s="0" t="n">
        <v>754</v>
      </c>
      <c r="B755" s="27" t="n">
        <v>45518</v>
      </c>
      <c r="C755" s="0" t="n">
        <v>2024</v>
      </c>
      <c r="D755" s="28" t="s">
        <v>115</v>
      </c>
      <c r="E755" s="0" t="n">
        <v>8</v>
      </c>
      <c r="F755" s="28" t="s">
        <v>118</v>
      </c>
      <c r="G755" s="28" t="s">
        <v>119</v>
      </c>
      <c r="H755" s="28" t="s">
        <v>98</v>
      </c>
      <c r="I755" s="28" t="s">
        <v>99</v>
      </c>
      <c r="J755" s="28" t="s">
        <v>71</v>
      </c>
      <c r="K755" s="28" t="s">
        <v>84</v>
      </c>
      <c r="L755" s="28" t="s">
        <v>85</v>
      </c>
      <c r="M755" s="28" t="s">
        <v>86</v>
      </c>
      <c r="N755" s="28" t="s">
        <v>87</v>
      </c>
      <c r="O755" s="29" t="n">
        <v>7</v>
      </c>
      <c r="P755" s="30" t="n">
        <v>117.6</v>
      </c>
      <c r="Q755" s="30" t="n">
        <v>63.6</v>
      </c>
      <c r="R755" s="30" t="n">
        <f aca="false">ROUND(O755*P755,2)</f>
        <v>823.2</v>
      </c>
      <c r="S755" s="30" t="n">
        <f aca="false">ROUND(O755*Q755,2)</f>
        <v>445.2</v>
      </c>
      <c r="T755" s="30" t="n">
        <f aca="false">ROUND(R755*SUMIFS(Parametros!$E$23:$E$38,Parametros!$B$23:$B$38,J755,Parametros!$C$23:$C$38,C755,Parametros!$D$23:$D$38,D755),2)</f>
        <v>37.87</v>
      </c>
      <c r="U755" s="30" t="n">
        <f aca="false">R755-S755-T755</f>
        <v>340.13</v>
      </c>
    </row>
    <row r="756" customFormat="false" ht="15" hidden="false" customHeight="false" outlineLevel="0" collapsed="false">
      <c r="A756" s="0" t="n">
        <v>755</v>
      </c>
      <c r="B756" s="27" t="n">
        <v>45525</v>
      </c>
      <c r="C756" s="0" t="n">
        <v>2024</v>
      </c>
      <c r="D756" s="28" t="s">
        <v>115</v>
      </c>
      <c r="E756" s="0" t="n">
        <v>8</v>
      </c>
      <c r="F756" s="28" t="s">
        <v>118</v>
      </c>
      <c r="G756" s="28" t="s">
        <v>119</v>
      </c>
      <c r="H756" s="28" t="s">
        <v>98</v>
      </c>
      <c r="I756" s="28" t="s">
        <v>99</v>
      </c>
      <c r="J756" s="28" t="s">
        <v>66</v>
      </c>
      <c r="K756" s="28" t="s">
        <v>84</v>
      </c>
      <c r="L756" s="28" t="s">
        <v>85</v>
      </c>
      <c r="M756" s="28" t="s">
        <v>88</v>
      </c>
      <c r="N756" s="28" t="s">
        <v>89</v>
      </c>
      <c r="O756" s="29" t="n">
        <v>18</v>
      </c>
      <c r="P756" s="30" t="n">
        <v>83.3</v>
      </c>
      <c r="Q756" s="30" t="n">
        <v>48.02</v>
      </c>
      <c r="R756" s="30" t="n">
        <f aca="false">ROUND(O756*P756,2)</f>
        <v>1499.4</v>
      </c>
      <c r="S756" s="30" t="n">
        <f aca="false">ROUND(O756*Q756,2)</f>
        <v>864.36</v>
      </c>
      <c r="T756" s="30" t="n">
        <f aca="false">ROUND(R756*SUMIFS(Parametros!$E$23:$E$38,Parametros!$B$23:$B$38,J756,Parametros!$C$23:$C$38,C756,Parametros!$D$23:$D$38,D756),2)</f>
        <v>19.49</v>
      </c>
      <c r="U756" s="30" t="n">
        <f aca="false">R756-S756-T756</f>
        <v>615.55</v>
      </c>
    </row>
    <row r="757" customFormat="false" ht="15" hidden="false" customHeight="false" outlineLevel="0" collapsed="false">
      <c r="A757" s="0" t="n">
        <v>756</v>
      </c>
      <c r="B757" s="27" t="n">
        <v>45505</v>
      </c>
      <c r="C757" s="0" t="n">
        <v>2024</v>
      </c>
      <c r="D757" s="28" t="s">
        <v>115</v>
      </c>
      <c r="E757" s="0" t="n">
        <v>8</v>
      </c>
      <c r="F757" s="28" t="s">
        <v>118</v>
      </c>
      <c r="G757" s="28" t="s">
        <v>119</v>
      </c>
      <c r="H757" s="28" t="s">
        <v>98</v>
      </c>
      <c r="I757" s="28" t="s">
        <v>99</v>
      </c>
      <c r="J757" s="28" t="s">
        <v>71</v>
      </c>
      <c r="K757" s="28" t="s">
        <v>84</v>
      </c>
      <c r="L757" s="28" t="s">
        <v>85</v>
      </c>
      <c r="M757" s="28" t="s">
        <v>88</v>
      </c>
      <c r="N757" s="28" t="s">
        <v>89</v>
      </c>
      <c r="O757" s="29" t="n">
        <v>7</v>
      </c>
      <c r="P757" s="30" t="n">
        <v>83.3</v>
      </c>
      <c r="Q757" s="30" t="n">
        <v>48.02</v>
      </c>
      <c r="R757" s="30" t="n">
        <f aca="false">ROUND(O757*P757,2)</f>
        <v>583.1</v>
      </c>
      <c r="S757" s="30" t="n">
        <f aca="false">ROUND(O757*Q757,2)</f>
        <v>336.14</v>
      </c>
      <c r="T757" s="30" t="n">
        <f aca="false">ROUND(R757*SUMIFS(Parametros!$E$23:$E$38,Parametros!$B$23:$B$38,J757,Parametros!$C$23:$C$38,C757,Parametros!$D$23:$D$38,D757),2)</f>
        <v>26.82</v>
      </c>
      <c r="U757" s="30" t="n">
        <f aca="false">R757-S757-T757</f>
        <v>220.14</v>
      </c>
    </row>
    <row r="758" customFormat="false" ht="15" hidden="false" customHeight="false" outlineLevel="0" collapsed="false">
      <c r="A758" s="0" t="n">
        <v>757</v>
      </c>
      <c r="B758" s="27" t="n">
        <v>45512</v>
      </c>
      <c r="C758" s="0" t="n">
        <v>2024</v>
      </c>
      <c r="D758" s="28" t="s">
        <v>115</v>
      </c>
      <c r="E758" s="0" t="n">
        <v>8</v>
      </c>
      <c r="F758" s="28" t="s">
        <v>118</v>
      </c>
      <c r="G758" s="28" t="s">
        <v>119</v>
      </c>
      <c r="H758" s="28" t="s">
        <v>98</v>
      </c>
      <c r="I758" s="28" t="s">
        <v>99</v>
      </c>
      <c r="J758" s="28" t="s">
        <v>66</v>
      </c>
      <c r="K758" s="28" t="s">
        <v>90</v>
      </c>
      <c r="L758" s="28" t="s">
        <v>91</v>
      </c>
      <c r="M758" s="28" t="s">
        <v>92</v>
      </c>
      <c r="N758" s="28" t="s">
        <v>93</v>
      </c>
      <c r="O758" s="29" t="n">
        <v>25</v>
      </c>
      <c r="P758" s="30" t="n">
        <v>127.4</v>
      </c>
      <c r="Q758" s="30" t="n">
        <v>76.05</v>
      </c>
      <c r="R758" s="30" t="n">
        <f aca="false">ROUND(O758*P758,2)</f>
        <v>3185</v>
      </c>
      <c r="S758" s="30" t="n">
        <f aca="false">ROUND(O758*Q758,2)</f>
        <v>1901.25</v>
      </c>
      <c r="T758" s="30" t="n">
        <f aca="false">ROUND(R758*SUMIFS(Parametros!$E$23:$E$38,Parametros!$B$23:$B$38,J758,Parametros!$C$23:$C$38,C758,Parametros!$D$23:$D$38,D758),2)</f>
        <v>41.41</v>
      </c>
      <c r="U758" s="30" t="n">
        <f aca="false">R758-S758-T758</f>
        <v>1242.34</v>
      </c>
    </row>
    <row r="759" customFormat="false" ht="15" hidden="false" customHeight="false" outlineLevel="0" collapsed="false">
      <c r="A759" s="0" t="n">
        <v>758</v>
      </c>
      <c r="B759" s="27" t="n">
        <v>45519</v>
      </c>
      <c r="C759" s="0" t="n">
        <v>2024</v>
      </c>
      <c r="D759" s="28" t="s">
        <v>115</v>
      </c>
      <c r="E759" s="0" t="n">
        <v>8</v>
      </c>
      <c r="F759" s="28" t="s">
        <v>118</v>
      </c>
      <c r="G759" s="28" t="s">
        <v>119</v>
      </c>
      <c r="H759" s="28" t="s">
        <v>98</v>
      </c>
      <c r="I759" s="28" t="s">
        <v>99</v>
      </c>
      <c r="J759" s="28" t="s">
        <v>71</v>
      </c>
      <c r="K759" s="28" t="s">
        <v>90</v>
      </c>
      <c r="L759" s="28" t="s">
        <v>91</v>
      </c>
      <c r="M759" s="28" t="s">
        <v>92</v>
      </c>
      <c r="N759" s="28" t="s">
        <v>93</v>
      </c>
      <c r="O759" s="29" t="n">
        <v>8</v>
      </c>
      <c r="P759" s="30" t="n">
        <v>127.4</v>
      </c>
      <c r="Q759" s="30" t="n">
        <v>76.05</v>
      </c>
      <c r="R759" s="30" t="n">
        <f aca="false">ROUND(O759*P759,2)</f>
        <v>1019.2</v>
      </c>
      <c r="S759" s="30" t="n">
        <f aca="false">ROUND(O759*Q759,2)</f>
        <v>608.4</v>
      </c>
      <c r="T759" s="30" t="n">
        <f aca="false">ROUND(R759*SUMIFS(Parametros!$E$23:$E$38,Parametros!$B$23:$B$38,J759,Parametros!$C$23:$C$38,C759,Parametros!$D$23:$D$38,D759),2)</f>
        <v>46.88</v>
      </c>
      <c r="U759" s="30" t="n">
        <f aca="false">R759-S759-T759</f>
        <v>363.92</v>
      </c>
    </row>
    <row r="760" customFormat="false" ht="15" hidden="false" customHeight="false" outlineLevel="0" collapsed="false">
      <c r="A760" s="0" t="n">
        <v>759</v>
      </c>
      <c r="B760" s="27" t="n">
        <v>45526</v>
      </c>
      <c r="C760" s="0" t="n">
        <v>2024</v>
      </c>
      <c r="D760" s="28" t="s">
        <v>115</v>
      </c>
      <c r="E760" s="0" t="n">
        <v>8</v>
      </c>
      <c r="F760" s="28" t="s">
        <v>118</v>
      </c>
      <c r="G760" s="28" t="s">
        <v>119</v>
      </c>
      <c r="H760" s="28" t="s">
        <v>98</v>
      </c>
      <c r="I760" s="28" t="s">
        <v>99</v>
      </c>
      <c r="J760" s="28" t="s">
        <v>66</v>
      </c>
      <c r="K760" s="28" t="s">
        <v>90</v>
      </c>
      <c r="L760" s="28" t="s">
        <v>91</v>
      </c>
      <c r="M760" s="28" t="s">
        <v>94</v>
      </c>
      <c r="N760" s="28" t="s">
        <v>95</v>
      </c>
      <c r="O760" s="29" t="n">
        <v>26</v>
      </c>
      <c r="P760" s="30" t="n">
        <v>34.3</v>
      </c>
      <c r="Q760" s="30" t="n">
        <v>17.85</v>
      </c>
      <c r="R760" s="30" t="n">
        <f aca="false">ROUND(O760*P760,2)</f>
        <v>891.8</v>
      </c>
      <c r="S760" s="30" t="n">
        <f aca="false">ROUND(O760*Q760,2)</f>
        <v>464.1</v>
      </c>
      <c r="T760" s="30" t="n">
        <f aca="false">ROUND(R760*SUMIFS(Parametros!$E$23:$E$38,Parametros!$B$23:$B$38,J760,Parametros!$C$23:$C$38,C760,Parametros!$D$23:$D$38,D760),2)</f>
        <v>11.59</v>
      </c>
      <c r="U760" s="30" t="n">
        <f aca="false">R760-S760-T760</f>
        <v>416.11</v>
      </c>
    </row>
    <row r="761" customFormat="false" ht="15" hidden="false" customHeight="false" outlineLevel="0" collapsed="false">
      <c r="A761" s="0" t="n">
        <v>760</v>
      </c>
      <c r="B761" s="27" t="n">
        <v>45506</v>
      </c>
      <c r="C761" s="0" t="n">
        <v>2024</v>
      </c>
      <c r="D761" s="28" t="s">
        <v>115</v>
      </c>
      <c r="E761" s="0" t="n">
        <v>8</v>
      </c>
      <c r="F761" s="28" t="s">
        <v>118</v>
      </c>
      <c r="G761" s="28" t="s">
        <v>119</v>
      </c>
      <c r="H761" s="28" t="s">
        <v>98</v>
      </c>
      <c r="I761" s="28" t="s">
        <v>99</v>
      </c>
      <c r="J761" s="28" t="s">
        <v>71</v>
      </c>
      <c r="K761" s="28" t="s">
        <v>90</v>
      </c>
      <c r="L761" s="28" t="s">
        <v>91</v>
      </c>
      <c r="M761" s="28" t="s">
        <v>94</v>
      </c>
      <c r="N761" s="28" t="s">
        <v>95</v>
      </c>
      <c r="O761" s="29" t="n">
        <v>8</v>
      </c>
      <c r="P761" s="30" t="n">
        <v>34.3</v>
      </c>
      <c r="Q761" s="30" t="n">
        <v>17.85</v>
      </c>
      <c r="R761" s="30" t="n">
        <f aca="false">ROUND(O761*P761,2)</f>
        <v>274.4</v>
      </c>
      <c r="S761" s="30" t="n">
        <f aca="false">ROUND(O761*Q761,2)</f>
        <v>142.8</v>
      </c>
      <c r="T761" s="30" t="n">
        <f aca="false">ROUND(R761*SUMIFS(Parametros!$E$23:$E$38,Parametros!$B$23:$B$38,J761,Parametros!$C$23:$C$38,C761,Parametros!$D$23:$D$38,D761),2)</f>
        <v>12.62</v>
      </c>
      <c r="U761" s="30" t="n">
        <f aca="false">R761-S761-T761</f>
        <v>118.98</v>
      </c>
    </row>
    <row r="762" customFormat="false" ht="15" hidden="false" customHeight="false" outlineLevel="0" collapsed="false">
      <c r="A762" s="0" t="n">
        <v>761</v>
      </c>
      <c r="B762" s="27" t="n">
        <v>45513</v>
      </c>
      <c r="C762" s="0" t="n">
        <v>2024</v>
      </c>
      <c r="D762" s="28" t="s">
        <v>115</v>
      </c>
      <c r="E762" s="0" t="n">
        <v>8</v>
      </c>
      <c r="F762" s="28" t="s">
        <v>118</v>
      </c>
      <c r="G762" s="28" t="s">
        <v>119</v>
      </c>
      <c r="H762" s="28" t="s">
        <v>100</v>
      </c>
      <c r="I762" s="28" t="s">
        <v>101</v>
      </c>
      <c r="J762" s="28" t="s">
        <v>66</v>
      </c>
      <c r="K762" s="28" t="s">
        <v>67</v>
      </c>
      <c r="L762" s="28" t="s">
        <v>68</v>
      </c>
      <c r="M762" s="28" t="s">
        <v>69</v>
      </c>
      <c r="N762" s="28" t="s">
        <v>70</v>
      </c>
      <c r="O762" s="29" t="n">
        <v>7</v>
      </c>
      <c r="P762" s="30" t="n">
        <v>1176</v>
      </c>
      <c r="Q762" s="30" t="n">
        <v>744</v>
      </c>
      <c r="R762" s="30" t="n">
        <f aca="false">ROUND(O762*P762,2)</f>
        <v>8232</v>
      </c>
      <c r="S762" s="30" t="n">
        <f aca="false">ROUND(O762*Q762,2)</f>
        <v>5208</v>
      </c>
      <c r="T762" s="30" t="n">
        <f aca="false">ROUND(R762*SUMIFS(Parametros!$E$23:$E$38,Parametros!$B$23:$B$38,J762,Parametros!$C$23:$C$38,C762,Parametros!$D$23:$D$38,D762),2)</f>
        <v>107.02</v>
      </c>
      <c r="U762" s="30" t="n">
        <f aca="false">R762-S762-T762</f>
        <v>2916.98</v>
      </c>
    </row>
    <row r="763" customFormat="false" ht="15" hidden="false" customHeight="false" outlineLevel="0" collapsed="false">
      <c r="A763" s="0" t="n">
        <v>762</v>
      </c>
      <c r="B763" s="27" t="n">
        <v>45520</v>
      </c>
      <c r="C763" s="0" t="n">
        <v>2024</v>
      </c>
      <c r="D763" s="28" t="s">
        <v>115</v>
      </c>
      <c r="E763" s="0" t="n">
        <v>8</v>
      </c>
      <c r="F763" s="28" t="s">
        <v>118</v>
      </c>
      <c r="G763" s="28" t="s">
        <v>119</v>
      </c>
      <c r="H763" s="28" t="s">
        <v>100</v>
      </c>
      <c r="I763" s="28" t="s">
        <v>101</v>
      </c>
      <c r="J763" s="28" t="s">
        <v>71</v>
      </c>
      <c r="K763" s="28" t="s">
        <v>67</v>
      </c>
      <c r="L763" s="28" t="s">
        <v>68</v>
      </c>
      <c r="M763" s="28" t="s">
        <v>69</v>
      </c>
      <c r="N763" s="28" t="s">
        <v>70</v>
      </c>
      <c r="O763" s="29" t="n">
        <v>3</v>
      </c>
      <c r="P763" s="30" t="n">
        <v>1176</v>
      </c>
      <c r="Q763" s="30" t="n">
        <v>744</v>
      </c>
      <c r="R763" s="30" t="n">
        <f aca="false">ROUND(O763*P763,2)</f>
        <v>3528</v>
      </c>
      <c r="S763" s="30" t="n">
        <f aca="false">ROUND(O763*Q763,2)</f>
        <v>2232</v>
      </c>
      <c r="T763" s="30" t="n">
        <f aca="false">ROUND(R763*SUMIFS(Parametros!$E$23:$E$38,Parametros!$B$23:$B$38,J763,Parametros!$C$23:$C$38,C763,Parametros!$D$23:$D$38,D763),2)</f>
        <v>162.29</v>
      </c>
      <c r="U763" s="30" t="n">
        <f aca="false">R763-S763-T763</f>
        <v>1133.71</v>
      </c>
    </row>
    <row r="764" customFormat="false" ht="15" hidden="false" customHeight="false" outlineLevel="0" collapsed="false">
      <c r="A764" s="0" t="n">
        <v>763</v>
      </c>
      <c r="B764" s="27" t="n">
        <v>45527</v>
      </c>
      <c r="C764" s="0" t="n">
        <v>2024</v>
      </c>
      <c r="D764" s="28" t="s">
        <v>115</v>
      </c>
      <c r="E764" s="0" t="n">
        <v>8</v>
      </c>
      <c r="F764" s="28" t="s">
        <v>118</v>
      </c>
      <c r="G764" s="28" t="s">
        <v>119</v>
      </c>
      <c r="H764" s="28" t="s">
        <v>100</v>
      </c>
      <c r="I764" s="28" t="s">
        <v>101</v>
      </c>
      <c r="J764" s="28" t="s">
        <v>66</v>
      </c>
      <c r="K764" s="28" t="s">
        <v>67</v>
      </c>
      <c r="L764" s="28" t="s">
        <v>68</v>
      </c>
      <c r="M764" s="28" t="s">
        <v>72</v>
      </c>
      <c r="N764" s="28" t="s">
        <v>73</v>
      </c>
      <c r="O764" s="29" t="n">
        <v>7</v>
      </c>
      <c r="P764" s="30" t="n">
        <v>441</v>
      </c>
      <c r="Q764" s="30" t="n">
        <v>272.25</v>
      </c>
      <c r="R764" s="30" t="n">
        <f aca="false">ROUND(O764*P764,2)</f>
        <v>3087</v>
      </c>
      <c r="S764" s="30" t="n">
        <f aca="false">ROUND(O764*Q764,2)</f>
        <v>1905.75</v>
      </c>
      <c r="T764" s="30" t="n">
        <f aca="false">ROUND(R764*SUMIFS(Parametros!$E$23:$E$38,Parametros!$B$23:$B$38,J764,Parametros!$C$23:$C$38,C764,Parametros!$D$23:$D$38,D764),2)</f>
        <v>40.13</v>
      </c>
      <c r="U764" s="30" t="n">
        <f aca="false">R764-S764-T764</f>
        <v>1141.12</v>
      </c>
    </row>
    <row r="765" customFormat="false" ht="15" hidden="false" customHeight="false" outlineLevel="0" collapsed="false">
      <c r="A765" s="0" t="n">
        <v>764</v>
      </c>
      <c r="B765" s="27" t="n">
        <v>45507</v>
      </c>
      <c r="C765" s="0" t="n">
        <v>2024</v>
      </c>
      <c r="D765" s="28" t="s">
        <v>115</v>
      </c>
      <c r="E765" s="0" t="n">
        <v>8</v>
      </c>
      <c r="F765" s="28" t="s">
        <v>118</v>
      </c>
      <c r="G765" s="28" t="s">
        <v>119</v>
      </c>
      <c r="H765" s="28" t="s">
        <v>100</v>
      </c>
      <c r="I765" s="28" t="s">
        <v>101</v>
      </c>
      <c r="J765" s="28" t="s">
        <v>71</v>
      </c>
      <c r="K765" s="28" t="s">
        <v>67</v>
      </c>
      <c r="L765" s="28" t="s">
        <v>68</v>
      </c>
      <c r="M765" s="28" t="s">
        <v>72</v>
      </c>
      <c r="N765" s="28" t="s">
        <v>73</v>
      </c>
      <c r="O765" s="29" t="n">
        <v>3</v>
      </c>
      <c r="P765" s="30" t="n">
        <v>441</v>
      </c>
      <c r="Q765" s="30" t="n">
        <v>272.25</v>
      </c>
      <c r="R765" s="30" t="n">
        <f aca="false">ROUND(O765*P765,2)</f>
        <v>1323</v>
      </c>
      <c r="S765" s="30" t="n">
        <f aca="false">ROUND(O765*Q765,2)</f>
        <v>816.75</v>
      </c>
      <c r="T765" s="30" t="n">
        <f aca="false">ROUND(R765*SUMIFS(Parametros!$E$23:$E$38,Parametros!$B$23:$B$38,J765,Parametros!$C$23:$C$38,C765,Parametros!$D$23:$D$38,D765),2)</f>
        <v>60.86</v>
      </c>
      <c r="U765" s="30" t="n">
        <f aca="false">R765-S765-T765</f>
        <v>445.39</v>
      </c>
    </row>
    <row r="766" customFormat="false" ht="15" hidden="false" customHeight="false" outlineLevel="0" collapsed="false">
      <c r="A766" s="0" t="n">
        <v>765</v>
      </c>
      <c r="B766" s="27" t="n">
        <v>45514</v>
      </c>
      <c r="C766" s="0" t="n">
        <v>2024</v>
      </c>
      <c r="D766" s="28" t="s">
        <v>115</v>
      </c>
      <c r="E766" s="0" t="n">
        <v>8</v>
      </c>
      <c r="F766" s="28" t="s">
        <v>118</v>
      </c>
      <c r="G766" s="28" t="s">
        <v>119</v>
      </c>
      <c r="H766" s="28" t="s">
        <v>100</v>
      </c>
      <c r="I766" s="28" t="s">
        <v>101</v>
      </c>
      <c r="J766" s="28" t="s">
        <v>66</v>
      </c>
      <c r="K766" s="28" t="s">
        <v>67</v>
      </c>
      <c r="L766" s="28" t="s">
        <v>68</v>
      </c>
      <c r="M766" s="28" t="s">
        <v>74</v>
      </c>
      <c r="N766" s="28" t="s">
        <v>75</v>
      </c>
      <c r="O766" s="29" t="n">
        <v>7</v>
      </c>
      <c r="P766" s="30" t="n">
        <v>1617</v>
      </c>
      <c r="Q766" s="30" t="n">
        <v>1122</v>
      </c>
      <c r="R766" s="30" t="n">
        <f aca="false">ROUND(O766*P766,2)</f>
        <v>11319</v>
      </c>
      <c r="S766" s="30" t="n">
        <f aca="false">ROUND(O766*Q766,2)</f>
        <v>7854</v>
      </c>
      <c r="T766" s="30" t="n">
        <f aca="false">ROUND(R766*SUMIFS(Parametros!$E$23:$E$38,Parametros!$B$23:$B$38,J766,Parametros!$C$23:$C$38,C766,Parametros!$D$23:$D$38,D766),2)</f>
        <v>147.15</v>
      </c>
      <c r="U766" s="30" t="n">
        <f aca="false">R766-S766-T766</f>
        <v>3317.85</v>
      </c>
    </row>
    <row r="767" customFormat="false" ht="15" hidden="false" customHeight="false" outlineLevel="0" collapsed="false">
      <c r="A767" s="0" t="n">
        <v>766</v>
      </c>
      <c r="B767" s="27" t="n">
        <v>45521</v>
      </c>
      <c r="C767" s="0" t="n">
        <v>2024</v>
      </c>
      <c r="D767" s="28" t="s">
        <v>115</v>
      </c>
      <c r="E767" s="0" t="n">
        <v>8</v>
      </c>
      <c r="F767" s="28" t="s">
        <v>118</v>
      </c>
      <c r="G767" s="28" t="s">
        <v>119</v>
      </c>
      <c r="H767" s="28" t="s">
        <v>100</v>
      </c>
      <c r="I767" s="28" t="s">
        <v>101</v>
      </c>
      <c r="J767" s="28" t="s">
        <v>71</v>
      </c>
      <c r="K767" s="28" t="s">
        <v>67</v>
      </c>
      <c r="L767" s="28" t="s">
        <v>68</v>
      </c>
      <c r="M767" s="28" t="s">
        <v>74</v>
      </c>
      <c r="N767" s="28" t="s">
        <v>75</v>
      </c>
      <c r="O767" s="29" t="n">
        <v>2</v>
      </c>
      <c r="P767" s="30" t="n">
        <v>1617</v>
      </c>
      <c r="Q767" s="30" t="n">
        <v>1122</v>
      </c>
      <c r="R767" s="30" t="n">
        <f aca="false">ROUND(O767*P767,2)</f>
        <v>3234</v>
      </c>
      <c r="S767" s="30" t="n">
        <f aca="false">ROUND(O767*Q767,2)</f>
        <v>2244</v>
      </c>
      <c r="T767" s="30" t="n">
        <f aca="false">ROUND(R767*SUMIFS(Parametros!$E$23:$E$38,Parametros!$B$23:$B$38,J767,Parametros!$C$23:$C$38,C767,Parametros!$D$23:$D$38,D767),2)</f>
        <v>148.76</v>
      </c>
      <c r="U767" s="30" t="n">
        <f aca="false">R767-S767-T767</f>
        <v>841.24</v>
      </c>
    </row>
    <row r="768" customFormat="false" ht="15" hidden="false" customHeight="false" outlineLevel="0" collapsed="false">
      <c r="A768" s="0" t="n">
        <v>767</v>
      </c>
      <c r="B768" s="27" t="n">
        <v>45528</v>
      </c>
      <c r="C768" s="0" t="n">
        <v>2024</v>
      </c>
      <c r="D768" s="28" t="s">
        <v>115</v>
      </c>
      <c r="E768" s="0" t="n">
        <v>8</v>
      </c>
      <c r="F768" s="28" t="s">
        <v>118</v>
      </c>
      <c r="G768" s="28" t="s">
        <v>119</v>
      </c>
      <c r="H768" s="28" t="s">
        <v>100</v>
      </c>
      <c r="I768" s="28" t="s">
        <v>101</v>
      </c>
      <c r="J768" s="28" t="s">
        <v>66</v>
      </c>
      <c r="K768" s="28" t="s">
        <v>76</v>
      </c>
      <c r="L768" s="28" t="s">
        <v>77</v>
      </c>
      <c r="M768" s="28" t="s">
        <v>78</v>
      </c>
      <c r="N768" s="28" t="s">
        <v>79</v>
      </c>
      <c r="O768" s="29" t="n">
        <v>26</v>
      </c>
      <c r="P768" s="30" t="n">
        <v>27.44</v>
      </c>
      <c r="Q768" s="30" t="n">
        <v>13.44</v>
      </c>
      <c r="R768" s="30" t="n">
        <f aca="false">ROUND(O768*P768,2)</f>
        <v>713.44</v>
      </c>
      <c r="S768" s="30" t="n">
        <f aca="false">ROUND(O768*Q768,2)</f>
        <v>349.44</v>
      </c>
      <c r="T768" s="30" t="n">
        <f aca="false">ROUND(R768*SUMIFS(Parametros!$E$23:$E$38,Parametros!$B$23:$B$38,J768,Parametros!$C$23:$C$38,C768,Parametros!$D$23:$D$38,D768),2)</f>
        <v>9.27</v>
      </c>
      <c r="U768" s="30" t="n">
        <f aca="false">R768-S768-T768</f>
        <v>354.73</v>
      </c>
    </row>
    <row r="769" customFormat="false" ht="15" hidden="false" customHeight="false" outlineLevel="0" collapsed="false">
      <c r="A769" s="0" t="n">
        <v>768</v>
      </c>
      <c r="B769" s="27" t="n">
        <v>45508</v>
      </c>
      <c r="C769" s="0" t="n">
        <v>2024</v>
      </c>
      <c r="D769" s="28" t="s">
        <v>115</v>
      </c>
      <c r="E769" s="0" t="n">
        <v>8</v>
      </c>
      <c r="F769" s="28" t="s">
        <v>118</v>
      </c>
      <c r="G769" s="28" t="s">
        <v>119</v>
      </c>
      <c r="H769" s="28" t="s">
        <v>100</v>
      </c>
      <c r="I769" s="28" t="s">
        <v>101</v>
      </c>
      <c r="J769" s="28" t="s">
        <v>71</v>
      </c>
      <c r="K769" s="28" t="s">
        <v>76</v>
      </c>
      <c r="L769" s="28" t="s">
        <v>77</v>
      </c>
      <c r="M769" s="28" t="s">
        <v>78</v>
      </c>
      <c r="N769" s="28" t="s">
        <v>79</v>
      </c>
      <c r="O769" s="29" t="n">
        <v>14</v>
      </c>
      <c r="P769" s="30" t="n">
        <v>27.44</v>
      </c>
      <c r="Q769" s="30" t="n">
        <v>13.44</v>
      </c>
      <c r="R769" s="30" t="n">
        <f aca="false">ROUND(O769*P769,2)</f>
        <v>384.16</v>
      </c>
      <c r="S769" s="30" t="n">
        <f aca="false">ROUND(O769*Q769,2)</f>
        <v>188.16</v>
      </c>
      <c r="T769" s="30" t="n">
        <f aca="false">ROUND(R769*SUMIFS(Parametros!$E$23:$E$38,Parametros!$B$23:$B$38,J769,Parametros!$C$23:$C$38,C769,Parametros!$D$23:$D$38,D769),2)</f>
        <v>17.67</v>
      </c>
      <c r="U769" s="30" t="n">
        <f aca="false">R769-S769-T769</f>
        <v>178.33</v>
      </c>
    </row>
    <row r="770" customFormat="false" ht="15" hidden="false" customHeight="false" outlineLevel="0" collapsed="false">
      <c r="A770" s="0" t="n">
        <v>769</v>
      </c>
      <c r="B770" s="27" t="n">
        <v>45515</v>
      </c>
      <c r="C770" s="0" t="n">
        <v>2024</v>
      </c>
      <c r="D770" s="28" t="s">
        <v>115</v>
      </c>
      <c r="E770" s="0" t="n">
        <v>8</v>
      </c>
      <c r="F770" s="28" t="s">
        <v>118</v>
      </c>
      <c r="G770" s="28" t="s">
        <v>119</v>
      </c>
      <c r="H770" s="28" t="s">
        <v>100</v>
      </c>
      <c r="I770" s="28" t="s">
        <v>101</v>
      </c>
      <c r="J770" s="28" t="s">
        <v>66</v>
      </c>
      <c r="K770" s="28" t="s">
        <v>76</v>
      </c>
      <c r="L770" s="28" t="s">
        <v>77</v>
      </c>
      <c r="M770" s="28" t="s">
        <v>80</v>
      </c>
      <c r="N770" s="28" t="s">
        <v>81</v>
      </c>
      <c r="O770" s="29" t="n">
        <v>26</v>
      </c>
      <c r="P770" s="30" t="n">
        <v>93.1</v>
      </c>
      <c r="Q770" s="30" t="n">
        <v>47.98</v>
      </c>
      <c r="R770" s="30" t="n">
        <f aca="false">ROUND(O770*P770,2)</f>
        <v>2420.6</v>
      </c>
      <c r="S770" s="30" t="n">
        <f aca="false">ROUND(O770*Q770,2)</f>
        <v>1247.48</v>
      </c>
      <c r="T770" s="30" t="n">
        <f aca="false">ROUND(R770*SUMIFS(Parametros!$E$23:$E$38,Parametros!$B$23:$B$38,J770,Parametros!$C$23:$C$38,C770,Parametros!$D$23:$D$38,D770),2)</f>
        <v>31.47</v>
      </c>
      <c r="U770" s="30" t="n">
        <f aca="false">R770-S770-T770</f>
        <v>1141.65</v>
      </c>
    </row>
    <row r="771" customFormat="false" ht="15" hidden="false" customHeight="false" outlineLevel="0" collapsed="false">
      <c r="A771" s="0" t="n">
        <v>770</v>
      </c>
      <c r="B771" s="27" t="n">
        <v>45522</v>
      </c>
      <c r="C771" s="0" t="n">
        <v>2024</v>
      </c>
      <c r="D771" s="28" t="s">
        <v>115</v>
      </c>
      <c r="E771" s="0" t="n">
        <v>8</v>
      </c>
      <c r="F771" s="28" t="s">
        <v>118</v>
      </c>
      <c r="G771" s="28" t="s">
        <v>119</v>
      </c>
      <c r="H771" s="28" t="s">
        <v>100</v>
      </c>
      <c r="I771" s="28" t="s">
        <v>101</v>
      </c>
      <c r="J771" s="28" t="s">
        <v>71</v>
      </c>
      <c r="K771" s="28" t="s">
        <v>76</v>
      </c>
      <c r="L771" s="28" t="s">
        <v>77</v>
      </c>
      <c r="M771" s="28" t="s">
        <v>80</v>
      </c>
      <c r="N771" s="28" t="s">
        <v>81</v>
      </c>
      <c r="O771" s="29" t="n">
        <v>12</v>
      </c>
      <c r="P771" s="30" t="n">
        <v>93.1</v>
      </c>
      <c r="Q771" s="30" t="n">
        <v>47.98</v>
      </c>
      <c r="R771" s="30" t="n">
        <f aca="false">ROUND(O771*P771,2)</f>
        <v>1117.2</v>
      </c>
      <c r="S771" s="30" t="n">
        <f aca="false">ROUND(O771*Q771,2)</f>
        <v>575.76</v>
      </c>
      <c r="T771" s="30" t="n">
        <f aca="false">ROUND(R771*SUMIFS(Parametros!$E$23:$E$38,Parametros!$B$23:$B$38,J771,Parametros!$C$23:$C$38,C771,Parametros!$D$23:$D$38,D771),2)</f>
        <v>51.39</v>
      </c>
      <c r="U771" s="30" t="n">
        <f aca="false">R771-S771-T771</f>
        <v>490.05</v>
      </c>
    </row>
    <row r="772" customFormat="false" ht="15" hidden="false" customHeight="false" outlineLevel="0" collapsed="false">
      <c r="A772" s="0" t="n">
        <v>771</v>
      </c>
      <c r="B772" s="27" t="n">
        <v>45529</v>
      </c>
      <c r="C772" s="0" t="n">
        <v>2024</v>
      </c>
      <c r="D772" s="28" t="s">
        <v>115</v>
      </c>
      <c r="E772" s="0" t="n">
        <v>8</v>
      </c>
      <c r="F772" s="28" t="s">
        <v>118</v>
      </c>
      <c r="G772" s="28" t="s">
        <v>119</v>
      </c>
      <c r="H772" s="28" t="s">
        <v>100</v>
      </c>
      <c r="I772" s="28" t="s">
        <v>101</v>
      </c>
      <c r="J772" s="28" t="s">
        <v>66</v>
      </c>
      <c r="K772" s="28" t="s">
        <v>76</v>
      </c>
      <c r="L772" s="28" t="s">
        <v>77</v>
      </c>
      <c r="M772" s="28" t="s">
        <v>82</v>
      </c>
      <c r="N772" s="28" t="s">
        <v>83</v>
      </c>
      <c r="O772" s="29" t="n">
        <v>33</v>
      </c>
      <c r="P772" s="30" t="n">
        <v>63.7</v>
      </c>
      <c r="Q772" s="30" t="n">
        <v>35.43</v>
      </c>
      <c r="R772" s="30" t="n">
        <f aca="false">ROUND(O772*P772,2)</f>
        <v>2102.1</v>
      </c>
      <c r="S772" s="30" t="n">
        <f aca="false">ROUND(O772*Q772,2)</f>
        <v>1169.19</v>
      </c>
      <c r="T772" s="30" t="n">
        <f aca="false">ROUND(R772*SUMIFS(Parametros!$E$23:$E$38,Parametros!$B$23:$B$38,J772,Parametros!$C$23:$C$38,C772,Parametros!$D$23:$D$38,D772),2)</f>
        <v>27.33</v>
      </c>
      <c r="U772" s="30" t="n">
        <f aca="false">R772-S772-T772</f>
        <v>905.58</v>
      </c>
    </row>
    <row r="773" customFormat="false" ht="15" hidden="false" customHeight="false" outlineLevel="0" collapsed="false">
      <c r="A773" s="0" t="n">
        <v>772</v>
      </c>
      <c r="B773" s="27" t="n">
        <v>45509</v>
      </c>
      <c r="C773" s="0" t="n">
        <v>2024</v>
      </c>
      <c r="D773" s="28" t="s">
        <v>115</v>
      </c>
      <c r="E773" s="0" t="n">
        <v>8</v>
      </c>
      <c r="F773" s="28" t="s">
        <v>118</v>
      </c>
      <c r="G773" s="28" t="s">
        <v>119</v>
      </c>
      <c r="H773" s="28" t="s">
        <v>100</v>
      </c>
      <c r="I773" s="28" t="s">
        <v>101</v>
      </c>
      <c r="J773" s="28" t="s">
        <v>71</v>
      </c>
      <c r="K773" s="28" t="s">
        <v>76</v>
      </c>
      <c r="L773" s="28" t="s">
        <v>77</v>
      </c>
      <c r="M773" s="28" t="s">
        <v>82</v>
      </c>
      <c r="N773" s="28" t="s">
        <v>83</v>
      </c>
      <c r="O773" s="29" t="n">
        <v>11</v>
      </c>
      <c r="P773" s="30" t="n">
        <v>63.7</v>
      </c>
      <c r="Q773" s="30" t="n">
        <v>35.43</v>
      </c>
      <c r="R773" s="30" t="n">
        <f aca="false">ROUND(O773*P773,2)</f>
        <v>700.7</v>
      </c>
      <c r="S773" s="30" t="n">
        <f aca="false">ROUND(O773*Q773,2)</f>
        <v>389.73</v>
      </c>
      <c r="T773" s="30" t="n">
        <f aca="false">ROUND(R773*SUMIFS(Parametros!$E$23:$E$38,Parametros!$B$23:$B$38,J773,Parametros!$C$23:$C$38,C773,Parametros!$D$23:$D$38,D773),2)</f>
        <v>32.23</v>
      </c>
      <c r="U773" s="30" t="n">
        <f aca="false">R773-S773-T773</f>
        <v>278.74</v>
      </c>
    </row>
    <row r="774" customFormat="false" ht="15" hidden="false" customHeight="false" outlineLevel="0" collapsed="false">
      <c r="A774" s="0" t="n">
        <v>773</v>
      </c>
      <c r="B774" s="27" t="n">
        <v>45516</v>
      </c>
      <c r="C774" s="0" t="n">
        <v>2024</v>
      </c>
      <c r="D774" s="28" t="s">
        <v>115</v>
      </c>
      <c r="E774" s="0" t="n">
        <v>8</v>
      </c>
      <c r="F774" s="28" t="s">
        <v>118</v>
      </c>
      <c r="G774" s="28" t="s">
        <v>119</v>
      </c>
      <c r="H774" s="28" t="s">
        <v>100</v>
      </c>
      <c r="I774" s="28" t="s">
        <v>101</v>
      </c>
      <c r="J774" s="28" t="s">
        <v>66</v>
      </c>
      <c r="K774" s="28" t="s">
        <v>84</v>
      </c>
      <c r="L774" s="28" t="s">
        <v>85</v>
      </c>
      <c r="M774" s="28" t="s">
        <v>86</v>
      </c>
      <c r="N774" s="28" t="s">
        <v>87</v>
      </c>
      <c r="O774" s="29" t="n">
        <v>12</v>
      </c>
      <c r="P774" s="30" t="n">
        <v>117.6</v>
      </c>
      <c r="Q774" s="30" t="n">
        <v>63.6</v>
      </c>
      <c r="R774" s="30" t="n">
        <f aca="false">ROUND(O774*P774,2)</f>
        <v>1411.2</v>
      </c>
      <c r="S774" s="30" t="n">
        <f aca="false">ROUND(O774*Q774,2)</f>
        <v>763.2</v>
      </c>
      <c r="T774" s="30" t="n">
        <f aca="false">ROUND(R774*SUMIFS(Parametros!$E$23:$E$38,Parametros!$B$23:$B$38,J774,Parametros!$C$23:$C$38,C774,Parametros!$D$23:$D$38,D774),2)</f>
        <v>18.35</v>
      </c>
      <c r="U774" s="30" t="n">
        <f aca="false">R774-S774-T774</f>
        <v>629.65</v>
      </c>
    </row>
    <row r="775" customFormat="false" ht="15" hidden="false" customHeight="false" outlineLevel="0" collapsed="false">
      <c r="A775" s="0" t="n">
        <v>774</v>
      </c>
      <c r="B775" s="27" t="n">
        <v>45523</v>
      </c>
      <c r="C775" s="0" t="n">
        <v>2024</v>
      </c>
      <c r="D775" s="28" t="s">
        <v>115</v>
      </c>
      <c r="E775" s="0" t="n">
        <v>8</v>
      </c>
      <c r="F775" s="28" t="s">
        <v>118</v>
      </c>
      <c r="G775" s="28" t="s">
        <v>119</v>
      </c>
      <c r="H775" s="28" t="s">
        <v>100</v>
      </c>
      <c r="I775" s="28" t="s">
        <v>101</v>
      </c>
      <c r="J775" s="28" t="s">
        <v>71</v>
      </c>
      <c r="K775" s="28" t="s">
        <v>84</v>
      </c>
      <c r="L775" s="28" t="s">
        <v>85</v>
      </c>
      <c r="M775" s="28" t="s">
        <v>86</v>
      </c>
      <c r="N775" s="28" t="s">
        <v>87</v>
      </c>
      <c r="O775" s="29" t="n">
        <v>6</v>
      </c>
      <c r="P775" s="30" t="n">
        <v>117.6</v>
      </c>
      <c r="Q775" s="30" t="n">
        <v>63.6</v>
      </c>
      <c r="R775" s="30" t="n">
        <f aca="false">ROUND(O775*P775,2)</f>
        <v>705.6</v>
      </c>
      <c r="S775" s="30" t="n">
        <f aca="false">ROUND(O775*Q775,2)</f>
        <v>381.6</v>
      </c>
      <c r="T775" s="30" t="n">
        <f aca="false">ROUND(R775*SUMIFS(Parametros!$E$23:$E$38,Parametros!$B$23:$B$38,J775,Parametros!$C$23:$C$38,C775,Parametros!$D$23:$D$38,D775),2)</f>
        <v>32.46</v>
      </c>
      <c r="U775" s="30" t="n">
        <f aca="false">R775-S775-T775</f>
        <v>291.54</v>
      </c>
    </row>
    <row r="776" customFormat="false" ht="15" hidden="false" customHeight="false" outlineLevel="0" collapsed="false">
      <c r="A776" s="0" t="n">
        <v>775</v>
      </c>
      <c r="B776" s="27" t="n">
        <v>45530</v>
      </c>
      <c r="C776" s="0" t="n">
        <v>2024</v>
      </c>
      <c r="D776" s="28" t="s">
        <v>115</v>
      </c>
      <c r="E776" s="0" t="n">
        <v>8</v>
      </c>
      <c r="F776" s="28" t="s">
        <v>118</v>
      </c>
      <c r="G776" s="28" t="s">
        <v>119</v>
      </c>
      <c r="H776" s="28" t="s">
        <v>100</v>
      </c>
      <c r="I776" s="28" t="s">
        <v>101</v>
      </c>
      <c r="J776" s="28" t="s">
        <v>66</v>
      </c>
      <c r="K776" s="28" t="s">
        <v>84</v>
      </c>
      <c r="L776" s="28" t="s">
        <v>85</v>
      </c>
      <c r="M776" s="28" t="s">
        <v>88</v>
      </c>
      <c r="N776" s="28" t="s">
        <v>89</v>
      </c>
      <c r="O776" s="29" t="n">
        <v>12</v>
      </c>
      <c r="P776" s="30" t="n">
        <v>83.3</v>
      </c>
      <c r="Q776" s="30" t="n">
        <v>48.02</v>
      </c>
      <c r="R776" s="30" t="n">
        <f aca="false">ROUND(O776*P776,2)</f>
        <v>999.6</v>
      </c>
      <c r="S776" s="30" t="n">
        <f aca="false">ROUND(O776*Q776,2)</f>
        <v>576.24</v>
      </c>
      <c r="T776" s="30" t="n">
        <f aca="false">ROUND(R776*SUMIFS(Parametros!$E$23:$E$38,Parametros!$B$23:$B$38,J776,Parametros!$C$23:$C$38,C776,Parametros!$D$23:$D$38,D776),2)</f>
        <v>12.99</v>
      </c>
      <c r="U776" s="30" t="n">
        <f aca="false">R776-S776-T776</f>
        <v>410.37</v>
      </c>
    </row>
    <row r="777" customFormat="false" ht="15" hidden="false" customHeight="false" outlineLevel="0" collapsed="false">
      <c r="A777" s="0" t="n">
        <v>776</v>
      </c>
      <c r="B777" s="27" t="n">
        <v>45510</v>
      </c>
      <c r="C777" s="0" t="n">
        <v>2024</v>
      </c>
      <c r="D777" s="28" t="s">
        <v>115</v>
      </c>
      <c r="E777" s="0" t="n">
        <v>8</v>
      </c>
      <c r="F777" s="28" t="s">
        <v>118</v>
      </c>
      <c r="G777" s="28" t="s">
        <v>119</v>
      </c>
      <c r="H777" s="28" t="s">
        <v>100</v>
      </c>
      <c r="I777" s="28" t="s">
        <v>101</v>
      </c>
      <c r="J777" s="28" t="s">
        <v>71</v>
      </c>
      <c r="K777" s="28" t="s">
        <v>84</v>
      </c>
      <c r="L777" s="28" t="s">
        <v>85</v>
      </c>
      <c r="M777" s="28" t="s">
        <v>88</v>
      </c>
      <c r="N777" s="28" t="s">
        <v>89</v>
      </c>
      <c r="O777" s="29" t="n">
        <v>5</v>
      </c>
      <c r="P777" s="30" t="n">
        <v>83.3</v>
      </c>
      <c r="Q777" s="30" t="n">
        <v>48.02</v>
      </c>
      <c r="R777" s="30" t="n">
        <f aca="false">ROUND(O777*P777,2)</f>
        <v>416.5</v>
      </c>
      <c r="S777" s="30" t="n">
        <f aca="false">ROUND(O777*Q777,2)</f>
        <v>240.1</v>
      </c>
      <c r="T777" s="30" t="n">
        <f aca="false">ROUND(R777*SUMIFS(Parametros!$E$23:$E$38,Parametros!$B$23:$B$38,J777,Parametros!$C$23:$C$38,C777,Parametros!$D$23:$D$38,D777),2)</f>
        <v>19.16</v>
      </c>
      <c r="U777" s="30" t="n">
        <f aca="false">R777-S777-T777</f>
        <v>157.24</v>
      </c>
    </row>
    <row r="778" customFormat="false" ht="15" hidden="false" customHeight="false" outlineLevel="0" collapsed="false">
      <c r="A778" s="0" t="n">
        <v>777</v>
      </c>
      <c r="B778" s="27" t="n">
        <v>45517</v>
      </c>
      <c r="C778" s="0" t="n">
        <v>2024</v>
      </c>
      <c r="D778" s="28" t="s">
        <v>115</v>
      </c>
      <c r="E778" s="0" t="n">
        <v>8</v>
      </c>
      <c r="F778" s="28" t="s">
        <v>118</v>
      </c>
      <c r="G778" s="28" t="s">
        <v>119</v>
      </c>
      <c r="H778" s="28" t="s">
        <v>100</v>
      </c>
      <c r="I778" s="28" t="s">
        <v>101</v>
      </c>
      <c r="J778" s="28" t="s">
        <v>66</v>
      </c>
      <c r="K778" s="28" t="s">
        <v>90</v>
      </c>
      <c r="L778" s="28" t="s">
        <v>91</v>
      </c>
      <c r="M778" s="28" t="s">
        <v>92</v>
      </c>
      <c r="N778" s="28" t="s">
        <v>93</v>
      </c>
      <c r="O778" s="29" t="n">
        <v>17</v>
      </c>
      <c r="P778" s="30" t="n">
        <v>127.4</v>
      </c>
      <c r="Q778" s="30" t="n">
        <v>76.05</v>
      </c>
      <c r="R778" s="30" t="n">
        <f aca="false">ROUND(O778*P778,2)</f>
        <v>2165.8</v>
      </c>
      <c r="S778" s="30" t="n">
        <f aca="false">ROUND(O778*Q778,2)</f>
        <v>1292.85</v>
      </c>
      <c r="T778" s="30" t="n">
        <f aca="false">ROUND(R778*SUMIFS(Parametros!$E$23:$E$38,Parametros!$B$23:$B$38,J778,Parametros!$C$23:$C$38,C778,Parametros!$D$23:$D$38,D778),2)</f>
        <v>28.16</v>
      </c>
      <c r="U778" s="30" t="n">
        <f aca="false">R778-S778-T778</f>
        <v>844.79</v>
      </c>
    </row>
    <row r="779" customFormat="false" ht="15" hidden="false" customHeight="false" outlineLevel="0" collapsed="false">
      <c r="A779" s="0" t="n">
        <v>778</v>
      </c>
      <c r="B779" s="27" t="n">
        <v>45524</v>
      </c>
      <c r="C779" s="0" t="n">
        <v>2024</v>
      </c>
      <c r="D779" s="28" t="s">
        <v>115</v>
      </c>
      <c r="E779" s="0" t="n">
        <v>8</v>
      </c>
      <c r="F779" s="28" t="s">
        <v>118</v>
      </c>
      <c r="G779" s="28" t="s">
        <v>119</v>
      </c>
      <c r="H779" s="28" t="s">
        <v>100</v>
      </c>
      <c r="I779" s="28" t="s">
        <v>101</v>
      </c>
      <c r="J779" s="28" t="s">
        <v>71</v>
      </c>
      <c r="K779" s="28" t="s">
        <v>90</v>
      </c>
      <c r="L779" s="28" t="s">
        <v>91</v>
      </c>
      <c r="M779" s="28" t="s">
        <v>92</v>
      </c>
      <c r="N779" s="28" t="s">
        <v>93</v>
      </c>
      <c r="O779" s="29" t="n">
        <v>7</v>
      </c>
      <c r="P779" s="30" t="n">
        <v>127.4</v>
      </c>
      <c r="Q779" s="30" t="n">
        <v>76.05</v>
      </c>
      <c r="R779" s="30" t="n">
        <f aca="false">ROUND(O779*P779,2)</f>
        <v>891.8</v>
      </c>
      <c r="S779" s="30" t="n">
        <f aca="false">ROUND(O779*Q779,2)</f>
        <v>532.35</v>
      </c>
      <c r="T779" s="30" t="n">
        <f aca="false">ROUND(R779*SUMIFS(Parametros!$E$23:$E$38,Parametros!$B$23:$B$38,J779,Parametros!$C$23:$C$38,C779,Parametros!$D$23:$D$38,D779),2)</f>
        <v>41.02</v>
      </c>
      <c r="U779" s="30" t="n">
        <f aca="false">R779-S779-T779</f>
        <v>318.43</v>
      </c>
    </row>
    <row r="780" customFormat="false" ht="15" hidden="false" customHeight="false" outlineLevel="0" collapsed="false">
      <c r="A780" s="0" t="n">
        <v>779</v>
      </c>
      <c r="B780" s="27" t="n">
        <v>45531</v>
      </c>
      <c r="C780" s="0" t="n">
        <v>2024</v>
      </c>
      <c r="D780" s="28" t="s">
        <v>115</v>
      </c>
      <c r="E780" s="0" t="n">
        <v>8</v>
      </c>
      <c r="F780" s="28" t="s">
        <v>118</v>
      </c>
      <c r="G780" s="28" t="s">
        <v>119</v>
      </c>
      <c r="H780" s="28" t="s">
        <v>100</v>
      </c>
      <c r="I780" s="28" t="s">
        <v>101</v>
      </c>
      <c r="J780" s="28" t="s">
        <v>66</v>
      </c>
      <c r="K780" s="28" t="s">
        <v>90</v>
      </c>
      <c r="L780" s="28" t="s">
        <v>91</v>
      </c>
      <c r="M780" s="28" t="s">
        <v>94</v>
      </c>
      <c r="N780" s="28" t="s">
        <v>95</v>
      </c>
      <c r="O780" s="29" t="n">
        <v>15</v>
      </c>
      <c r="P780" s="30" t="n">
        <v>34.3</v>
      </c>
      <c r="Q780" s="30" t="n">
        <v>17.85</v>
      </c>
      <c r="R780" s="30" t="n">
        <f aca="false">ROUND(O780*P780,2)</f>
        <v>514.5</v>
      </c>
      <c r="S780" s="30" t="n">
        <f aca="false">ROUND(O780*Q780,2)</f>
        <v>267.75</v>
      </c>
      <c r="T780" s="30" t="n">
        <f aca="false">ROUND(R780*SUMIFS(Parametros!$E$23:$E$38,Parametros!$B$23:$B$38,J780,Parametros!$C$23:$C$38,C780,Parametros!$D$23:$D$38,D780),2)</f>
        <v>6.69</v>
      </c>
      <c r="U780" s="30" t="n">
        <f aca="false">R780-S780-T780</f>
        <v>240.06</v>
      </c>
    </row>
    <row r="781" customFormat="false" ht="15" hidden="false" customHeight="false" outlineLevel="0" collapsed="false">
      <c r="A781" s="0" t="n">
        <v>780</v>
      </c>
      <c r="B781" s="27" t="n">
        <v>45511</v>
      </c>
      <c r="C781" s="0" t="n">
        <v>2024</v>
      </c>
      <c r="D781" s="28" t="s">
        <v>115</v>
      </c>
      <c r="E781" s="0" t="n">
        <v>8</v>
      </c>
      <c r="F781" s="28" t="s">
        <v>118</v>
      </c>
      <c r="G781" s="28" t="s">
        <v>119</v>
      </c>
      <c r="H781" s="28" t="s">
        <v>100</v>
      </c>
      <c r="I781" s="28" t="s">
        <v>101</v>
      </c>
      <c r="J781" s="28" t="s">
        <v>71</v>
      </c>
      <c r="K781" s="28" t="s">
        <v>90</v>
      </c>
      <c r="L781" s="28" t="s">
        <v>91</v>
      </c>
      <c r="M781" s="28" t="s">
        <v>94</v>
      </c>
      <c r="N781" s="28" t="s">
        <v>95</v>
      </c>
      <c r="O781" s="29" t="n">
        <v>6</v>
      </c>
      <c r="P781" s="30" t="n">
        <v>34.3</v>
      </c>
      <c r="Q781" s="30" t="n">
        <v>17.85</v>
      </c>
      <c r="R781" s="30" t="n">
        <f aca="false">ROUND(O781*P781,2)</f>
        <v>205.8</v>
      </c>
      <c r="S781" s="30" t="n">
        <f aca="false">ROUND(O781*Q781,2)</f>
        <v>107.1</v>
      </c>
      <c r="T781" s="30" t="n">
        <f aca="false">ROUND(R781*SUMIFS(Parametros!$E$23:$E$38,Parametros!$B$23:$B$38,J781,Parametros!$C$23:$C$38,C781,Parametros!$D$23:$D$38,D781),2)</f>
        <v>9.47</v>
      </c>
      <c r="U781" s="30" t="n">
        <f aca="false">R781-S781-T781</f>
        <v>89.23</v>
      </c>
    </row>
    <row r="782" customFormat="false" ht="15" hidden="false" customHeight="false" outlineLevel="0" collapsed="false">
      <c r="A782" s="0" t="n">
        <v>781</v>
      </c>
      <c r="B782" s="27" t="n">
        <v>45518</v>
      </c>
      <c r="C782" s="0" t="n">
        <v>2024</v>
      </c>
      <c r="D782" s="28" t="s">
        <v>115</v>
      </c>
      <c r="E782" s="0" t="n">
        <v>8</v>
      </c>
      <c r="F782" s="28" t="s">
        <v>118</v>
      </c>
      <c r="G782" s="28" t="s">
        <v>119</v>
      </c>
      <c r="H782" s="28" t="s">
        <v>102</v>
      </c>
      <c r="I782" s="28" t="s">
        <v>103</v>
      </c>
      <c r="J782" s="28" t="s">
        <v>66</v>
      </c>
      <c r="K782" s="28" t="s">
        <v>67</v>
      </c>
      <c r="L782" s="28" t="s">
        <v>68</v>
      </c>
      <c r="M782" s="28" t="s">
        <v>69</v>
      </c>
      <c r="N782" s="28" t="s">
        <v>70</v>
      </c>
      <c r="O782" s="29" t="n">
        <v>7</v>
      </c>
      <c r="P782" s="30" t="n">
        <v>1176</v>
      </c>
      <c r="Q782" s="30" t="n">
        <v>744</v>
      </c>
      <c r="R782" s="30" t="n">
        <f aca="false">ROUND(O782*P782,2)</f>
        <v>8232</v>
      </c>
      <c r="S782" s="30" t="n">
        <f aca="false">ROUND(O782*Q782,2)</f>
        <v>5208</v>
      </c>
      <c r="T782" s="30" t="n">
        <f aca="false">ROUND(R782*SUMIFS(Parametros!$E$23:$E$38,Parametros!$B$23:$B$38,J782,Parametros!$C$23:$C$38,C782,Parametros!$D$23:$D$38,D782),2)</f>
        <v>107.02</v>
      </c>
      <c r="U782" s="30" t="n">
        <f aca="false">R782-S782-T782</f>
        <v>2916.98</v>
      </c>
    </row>
    <row r="783" customFormat="false" ht="15" hidden="false" customHeight="false" outlineLevel="0" collapsed="false">
      <c r="A783" s="0" t="n">
        <v>782</v>
      </c>
      <c r="B783" s="27" t="n">
        <v>45525</v>
      </c>
      <c r="C783" s="0" t="n">
        <v>2024</v>
      </c>
      <c r="D783" s="28" t="s">
        <v>115</v>
      </c>
      <c r="E783" s="0" t="n">
        <v>8</v>
      </c>
      <c r="F783" s="28" t="s">
        <v>118</v>
      </c>
      <c r="G783" s="28" t="s">
        <v>119</v>
      </c>
      <c r="H783" s="28" t="s">
        <v>102</v>
      </c>
      <c r="I783" s="28" t="s">
        <v>103</v>
      </c>
      <c r="J783" s="28" t="s">
        <v>71</v>
      </c>
      <c r="K783" s="28" t="s">
        <v>67</v>
      </c>
      <c r="L783" s="28" t="s">
        <v>68</v>
      </c>
      <c r="M783" s="28" t="s">
        <v>69</v>
      </c>
      <c r="N783" s="28" t="s">
        <v>70</v>
      </c>
      <c r="O783" s="29" t="n">
        <v>3</v>
      </c>
      <c r="P783" s="30" t="n">
        <v>1176</v>
      </c>
      <c r="Q783" s="30" t="n">
        <v>744</v>
      </c>
      <c r="R783" s="30" t="n">
        <f aca="false">ROUND(O783*P783,2)</f>
        <v>3528</v>
      </c>
      <c r="S783" s="30" t="n">
        <f aca="false">ROUND(O783*Q783,2)</f>
        <v>2232</v>
      </c>
      <c r="T783" s="30" t="n">
        <f aca="false">ROUND(R783*SUMIFS(Parametros!$E$23:$E$38,Parametros!$B$23:$B$38,J783,Parametros!$C$23:$C$38,C783,Parametros!$D$23:$D$38,D783),2)</f>
        <v>162.29</v>
      </c>
      <c r="U783" s="30" t="n">
        <f aca="false">R783-S783-T783</f>
        <v>1133.71</v>
      </c>
    </row>
    <row r="784" customFormat="false" ht="15" hidden="false" customHeight="false" outlineLevel="0" collapsed="false">
      <c r="A784" s="0" t="n">
        <v>783</v>
      </c>
      <c r="B784" s="27" t="n">
        <v>45505</v>
      </c>
      <c r="C784" s="0" t="n">
        <v>2024</v>
      </c>
      <c r="D784" s="28" t="s">
        <v>115</v>
      </c>
      <c r="E784" s="0" t="n">
        <v>8</v>
      </c>
      <c r="F784" s="28" t="s">
        <v>118</v>
      </c>
      <c r="G784" s="28" t="s">
        <v>119</v>
      </c>
      <c r="H784" s="28" t="s">
        <v>102</v>
      </c>
      <c r="I784" s="28" t="s">
        <v>103</v>
      </c>
      <c r="J784" s="28" t="s">
        <v>66</v>
      </c>
      <c r="K784" s="28" t="s">
        <v>67</v>
      </c>
      <c r="L784" s="28" t="s">
        <v>68</v>
      </c>
      <c r="M784" s="28" t="s">
        <v>72</v>
      </c>
      <c r="N784" s="28" t="s">
        <v>73</v>
      </c>
      <c r="O784" s="29" t="n">
        <v>7</v>
      </c>
      <c r="P784" s="30" t="n">
        <v>441</v>
      </c>
      <c r="Q784" s="30" t="n">
        <v>272.25</v>
      </c>
      <c r="R784" s="30" t="n">
        <f aca="false">ROUND(O784*P784,2)</f>
        <v>3087</v>
      </c>
      <c r="S784" s="30" t="n">
        <f aca="false">ROUND(O784*Q784,2)</f>
        <v>1905.75</v>
      </c>
      <c r="T784" s="30" t="n">
        <f aca="false">ROUND(R784*SUMIFS(Parametros!$E$23:$E$38,Parametros!$B$23:$B$38,J784,Parametros!$C$23:$C$38,C784,Parametros!$D$23:$D$38,D784),2)</f>
        <v>40.13</v>
      </c>
      <c r="U784" s="30" t="n">
        <f aca="false">R784-S784-T784</f>
        <v>1141.12</v>
      </c>
    </row>
    <row r="785" customFormat="false" ht="15" hidden="false" customHeight="false" outlineLevel="0" collapsed="false">
      <c r="A785" s="0" t="n">
        <v>784</v>
      </c>
      <c r="B785" s="27" t="n">
        <v>45512</v>
      </c>
      <c r="C785" s="0" t="n">
        <v>2024</v>
      </c>
      <c r="D785" s="28" t="s">
        <v>115</v>
      </c>
      <c r="E785" s="0" t="n">
        <v>8</v>
      </c>
      <c r="F785" s="28" t="s">
        <v>118</v>
      </c>
      <c r="G785" s="28" t="s">
        <v>119</v>
      </c>
      <c r="H785" s="28" t="s">
        <v>102</v>
      </c>
      <c r="I785" s="28" t="s">
        <v>103</v>
      </c>
      <c r="J785" s="28" t="s">
        <v>71</v>
      </c>
      <c r="K785" s="28" t="s">
        <v>67</v>
      </c>
      <c r="L785" s="28" t="s">
        <v>68</v>
      </c>
      <c r="M785" s="28" t="s">
        <v>72</v>
      </c>
      <c r="N785" s="28" t="s">
        <v>73</v>
      </c>
      <c r="O785" s="29" t="n">
        <v>2</v>
      </c>
      <c r="P785" s="30" t="n">
        <v>441</v>
      </c>
      <c r="Q785" s="30" t="n">
        <v>272.25</v>
      </c>
      <c r="R785" s="30" t="n">
        <f aca="false">ROUND(O785*P785,2)</f>
        <v>882</v>
      </c>
      <c r="S785" s="30" t="n">
        <f aca="false">ROUND(O785*Q785,2)</f>
        <v>544.5</v>
      </c>
      <c r="T785" s="30" t="n">
        <f aca="false">ROUND(R785*SUMIFS(Parametros!$E$23:$E$38,Parametros!$B$23:$B$38,J785,Parametros!$C$23:$C$38,C785,Parametros!$D$23:$D$38,D785),2)</f>
        <v>40.57</v>
      </c>
      <c r="U785" s="30" t="n">
        <f aca="false">R785-S785-T785</f>
        <v>296.93</v>
      </c>
    </row>
    <row r="786" customFormat="false" ht="15" hidden="false" customHeight="false" outlineLevel="0" collapsed="false">
      <c r="A786" s="0" t="n">
        <v>785</v>
      </c>
      <c r="B786" s="27" t="n">
        <v>45519</v>
      </c>
      <c r="C786" s="0" t="n">
        <v>2024</v>
      </c>
      <c r="D786" s="28" t="s">
        <v>115</v>
      </c>
      <c r="E786" s="0" t="n">
        <v>8</v>
      </c>
      <c r="F786" s="28" t="s">
        <v>118</v>
      </c>
      <c r="G786" s="28" t="s">
        <v>119</v>
      </c>
      <c r="H786" s="28" t="s">
        <v>102</v>
      </c>
      <c r="I786" s="28" t="s">
        <v>103</v>
      </c>
      <c r="J786" s="28" t="s">
        <v>66</v>
      </c>
      <c r="K786" s="28" t="s">
        <v>67</v>
      </c>
      <c r="L786" s="28" t="s">
        <v>68</v>
      </c>
      <c r="M786" s="28" t="s">
        <v>74</v>
      </c>
      <c r="N786" s="28" t="s">
        <v>75</v>
      </c>
      <c r="O786" s="29" t="n">
        <v>7</v>
      </c>
      <c r="P786" s="30" t="n">
        <v>1617</v>
      </c>
      <c r="Q786" s="30" t="n">
        <v>1122</v>
      </c>
      <c r="R786" s="30" t="n">
        <f aca="false">ROUND(O786*P786,2)</f>
        <v>11319</v>
      </c>
      <c r="S786" s="30" t="n">
        <f aca="false">ROUND(O786*Q786,2)</f>
        <v>7854</v>
      </c>
      <c r="T786" s="30" t="n">
        <f aca="false">ROUND(R786*SUMIFS(Parametros!$E$23:$E$38,Parametros!$B$23:$B$38,J786,Parametros!$C$23:$C$38,C786,Parametros!$D$23:$D$38,D786),2)</f>
        <v>147.15</v>
      </c>
      <c r="U786" s="30" t="n">
        <f aca="false">R786-S786-T786</f>
        <v>3317.85</v>
      </c>
    </row>
    <row r="787" customFormat="false" ht="15" hidden="false" customHeight="false" outlineLevel="0" collapsed="false">
      <c r="A787" s="0" t="n">
        <v>786</v>
      </c>
      <c r="B787" s="27" t="n">
        <v>45526</v>
      </c>
      <c r="C787" s="0" t="n">
        <v>2024</v>
      </c>
      <c r="D787" s="28" t="s">
        <v>115</v>
      </c>
      <c r="E787" s="0" t="n">
        <v>8</v>
      </c>
      <c r="F787" s="28" t="s">
        <v>118</v>
      </c>
      <c r="G787" s="28" t="s">
        <v>119</v>
      </c>
      <c r="H787" s="28" t="s">
        <v>102</v>
      </c>
      <c r="I787" s="28" t="s">
        <v>103</v>
      </c>
      <c r="J787" s="28" t="s">
        <v>71</v>
      </c>
      <c r="K787" s="28" t="s">
        <v>67</v>
      </c>
      <c r="L787" s="28" t="s">
        <v>68</v>
      </c>
      <c r="M787" s="28" t="s">
        <v>74</v>
      </c>
      <c r="N787" s="28" t="s">
        <v>75</v>
      </c>
      <c r="O787" s="29" t="n">
        <v>3</v>
      </c>
      <c r="P787" s="30" t="n">
        <v>1617</v>
      </c>
      <c r="Q787" s="30" t="n">
        <v>1122</v>
      </c>
      <c r="R787" s="30" t="n">
        <f aca="false">ROUND(O787*P787,2)</f>
        <v>4851</v>
      </c>
      <c r="S787" s="30" t="n">
        <f aca="false">ROUND(O787*Q787,2)</f>
        <v>3366</v>
      </c>
      <c r="T787" s="30" t="n">
        <f aca="false">ROUND(R787*SUMIFS(Parametros!$E$23:$E$38,Parametros!$B$23:$B$38,J787,Parametros!$C$23:$C$38,C787,Parametros!$D$23:$D$38,D787),2)</f>
        <v>223.15</v>
      </c>
      <c r="U787" s="30" t="n">
        <f aca="false">R787-S787-T787</f>
        <v>1261.85</v>
      </c>
    </row>
    <row r="788" customFormat="false" ht="15" hidden="false" customHeight="false" outlineLevel="0" collapsed="false">
      <c r="A788" s="0" t="n">
        <v>787</v>
      </c>
      <c r="B788" s="27" t="n">
        <v>45506</v>
      </c>
      <c r="C788" s="0" t="n">
        <v>2024</v>
      </c>
      <c r="D788" s="28" t="s">
        <v>115</v>
      </c>
      <c r="E788" s="0" t="n">
        <v>8</v>
      </c>
      <c r="F788" s="28" t="s">
        <v>118</v>
      </c>
      <c r="G788" s="28" t="s">
        <v>119</v>
      </c>
      <c r="H788" s="28" t="s">
        <v>102</v>
      </c>
      <c r="I788" s="28" t="s">
        <v>103</v>
      </c>
      <c r="J788" s="28" t="s">
        <v>66</v>
      </c>
      <c r="K788" s="28" t="s">
        <v>76</v>
      </c>
      <c r="L788" s="28" t="s">
        <v>77</v>
      </c>
      <c r="M788" s="28" t="s">
        <v>78</v>
      </c>
      <c r="N788" s="28" t="s">
        <v>79</v>
      </c>
      <c r="O788" s="29" t="n">
        <v>32</v>
      </c>
      <c r="P788" s="30" t="n">
        <v>27.44</v>
      </c>
      <c r="Q788" s="30" t="n">
        <v>13.44</v>
      </c>
      <c r="R788" s="30" t="n">
        <f aca="false">ROUND(O788*P788,2)</f>
        <v>878.08</v>
      </c>
      <c r="S788" s="30" t="n">
        <f aca="false">ROUND(O788*Q788,2)</f>
        <v>430.08</v>
      </c>
      <c r="T788" s="30" t="n">
        <f aca="false">ROUND(R788*SUMIFS(Parametros!$E$23:$E$38,Parametros!$B$23:$B$38,J788,Parametros!$C$23:$C$38,C788,Parametros!$D$23:$D$38,D788),2)</f>
        <v>11.42</v>
      </c>
      <c r="U788" s="30" t="n">
        <f aca="false">R788-S788-T788</f>
        <v>436.58</v>
      </c>
    </row>
    <row r="789" customFormat="false" ht="15" hidden="false" customHeight="false" outlineLevel="0" collapsed="false">
      <c r="A789" s="0" t="n">
        <v>788</v>
      </c>
      <c r="B789" s="27" t="n">
        <v>45513</v>
      </c>
      <c r="C789" s="0" t="n">
        <v>2024</v>
      </c>
      <c r="D789" s="28" t="s">
        <v>115</v>
      </c>
      <c r="E789" s="0" t="n">
        <v>8</v>
      </c>
      <c r="F789" s="28" t="s">
        <v>118</v>
      </c>
      <c r="G789" s="28" t="s">
        <v>119</v>
      </c>
      <c r="H789" s="28" t="s">
        <v>102</v>
      </c>
      <c r="I789" s="28" t="s">
        <v>103</v>
      </c>
      <c r="J789" s="28" t="s">
        <v>71</v>
      </c>
      <c r="K789" s="28" t="s">
        <v>76</v>
      </c>
      <c r="L789" s="28" t="s">
        <v>77</v>
      </c>
      <c r="M789" s="28" t="s">
        <v>78</v>
      </c>
      <c r="N789" s="28" t="s">
        <v>79</v>
      </c>
      <c r="O789" s="29" t="n">
        <v>10</v>
      </c>
      <c r="P789" s="30" t="n">
        <v>27.44</v>
      </c>
      <c r="Q789" s="30" t="n">
        <v>13.44</v>
      </c>
      <c r="R789" s="30" t="n">
        <f aca="false">ROUND(O789*P789,2)</f>
        <v>274.4</v>
      </c>
      <c r="S789" s="30" t="n">
        <f aca="false">ROUND(O789*Q789,2)</f>
        <v>134.4</v>
      </c>
      <c r="T789" s="30" t="n">
        <f aca="false">ROUND(R789*SUMIFS(Parametros!$E$23:$E$38,Parametros!$B$23:$B$38,J789,Parametros!$C$23:$C$38,C789,Parametros!$D$23:$D$38,D789),2)</f>
        <v>12.62</v>
      </c>
      <c r="U789" s="30" t="n">
        <f aca="false">R789-S789-T789</f>
        <v>127.38</v>
      </c>
    </row>
    <row r="790" customFormat="false" ht="15" hidden="false" customHeight="false" outlineLevel="0" collapsed="false">
      <c r="A790" s="0" t="n">
        <v>789</v>
      </c>
      <c r="B790" s="27" t="n">
        <v>45520</v>
      </c>
      <c r="C790" s="0" t="n">
        <v>2024</v>
      </c>
      <c r="D790" s="28" t="s">
        <v>115</v>
      </c>
      <c r="E790" s="0" t="n">
        <v>8</v>
      </c>
      <c r="F790" s="28" t="s">
        <v>118</v>
      </c>
      <c r="G790" s="28" t="s">
        <v>119</v>
      </c>
      <c r="H790" s="28" t="s">
        <v>102</v>
      </c>
      <c r="I790" s="28" t="s">
        <v>103</v>
      </c>
      <c r="J790" s="28" t="s">
        <v>66</v>
      </c>
      <c r="K790" s="28" t="s">
        <v>76</v>
      </c>
      <c r="L790" s="28" t="s">
        <v>77</v>
      </c>
      <c r="M790" s="28" t="s">
        <v>80</v>
      </c>
      <c r="N790" s="28" t="s">
        <v>81</v>
      </c>
      <c r="O790" s="29" t="n">
        <v>30</v>
      </c>
      <c r="P790" s="30" t="n">
        <v>93.1</v>
      </c>
      <c r="Q790" s="30" t="n">
        <v>47.98</v>
      </c>
      <c r="R790" s="30" t="n">
        <f aca="false">ROUND(O790*P790,2)</f>
        <v>2793</v>
      </c>
      <c r="S790" s="30" t="n">
        <f aca="false">ROUND(O790*Q790,2)</f>
        <v>1439.4</v>
      </c>
      <c r="T790" s="30" t="n">
        <f aca="false">ROUND(R790*SUMIFS(Parametros!$E$23:$E$38,Parametros!$B$23:$B$38,J790,Parametros!$C$23:$C$38,C790,Parametros!$D$23:$D$38,D790),2)</f>
        <v>36.31</v>
      </c>
      <c r="U790" s="30" t="n">
        <f aca="false">R790-S790-T790</f>
        <v>1317.29</v>
      </c>
    </row>
    <row r="791" customFormat="false" ht="15" hidden="false" customHeight="false" outlineLevel="0" collapsed="false">
      <c r="A791" s="0" t="n">
        <v>790</v>
      </c>
      <c r="B791" s="27" t="n">
        <v>45527</v>
      </c>
      <c r="C791" s="0" t="n">
        <v>2024</v>
      </c>
      <c r="D791" s="28" t="s">
        <v>115</v>
      </c>
      <c r="E791" s="0" t="n">
        <v>8</v>
      </c>
      <c r="F791" s="28" t="s">
        <v>118</v>
      </c>
      <c r="G791" s="28" t="s">
        <v>119</v>
      </c>
      <c r="H791" s="28" t="s">
        <v>102</v>
      </c>
      <c r="I791" s="28" t="s">
        <v>103</v>
      </c>
      <c r="J791" s="28" t="s">
        <v>71</v>
      </c>
      <c r="K791" s="28" t="s">
        <v>76</v>
      </c>
      <c r="L791" s="28" t="s">
        <v>77</v>
      </c>
      <c r="M791" s="28" t="s">
        <v>80</v>
      </c>
      <c r="N791" s="28" t="s">
        <v>81</v>
      </c>
      <c r="O791" s="29" t="n">
        <v>12</v>
      </c>
      <c r="P791" s="30" t="n">
        <v>93.1</v>
      </c>
      <c r="Q791" s="30" t="n">
        <v>47.98</v>
      </c>
      <c r="R791" s="30" t="n">
        <f aca="false">ROUND(O791*P791,2)</f>
        <v>1117.2</v>
      </c>
      <c r="S791" s="30" t="n">
        <f aca="false">ROUND(O791*Q791,2)</f>
        <v>575.76</v>
      </c>
      <c r="T791" s="30" t="n">
        <f aca="false">ROUND(R791*SUMIFS(Parametros!$E$23:$E$38,Parametros!$B$23:$B$38,J791,Parametros!$C$23:$C$38,C791,Parametros!$D$23:$D$38,D791),2)</f>
        <v>51.39</v>
      </c>
      <c r="U791" s="30" t="n">
        <f aca="false">R791-S791-T791</f>
        <v>490.05</v>
      </c>
    </row>
    <row r="792" customFormat="false" ht="15" hidden="false" customHeight="false" outlineLevel="0" collapsed="false">
      <c r="A792" s="0" t="n">
        <v>791</v>
      </c>
      <c r="B792" s="27" t="n">
        <v>45507</v>
      </c>
      <c r="C792" s="0" t="n">
        <v>2024</v>
      </c>
      <c r="D792" s="28" t="s">
        <v>115</v>
      </c>
      <c r="E792" s="0" t="n">
        <v>8</v>
      </c>
      <c r="F792" s="28" t="s">
        <v>118</v>
      </c>
      <c r="G792" s="28" t="s">
        <v>119</v>
      </c>
      <c r="H792" s="28" t="s">
        <v>102</v>
      </c>
      <c r="I792" s="28" t="s">
        <v>103</v>
      </c>
      <c r="J792" s="28" t="s">
        <v>66</v>
      </c>
      <c r="K792" s="28" t="s">
        <v>76</v>
      </c>
      <c r="L792" s="28" t="s">
        <v>77</v>
      </c>
      <c r="M792" s="28" t="s">
        <v>82</v>
      </c>
      <c r="N792" s="28" t="s">
        <v>83</v>
      </c>
      <c r="O792" s="29" t="n">
        <v>30</v>
      </c>
      <c r="P792" s="30" t="n">
        <v>63.7</v>
      </c>
      <c r="Q792" s="30" t="n">
        <v>35.43</v>
      </c>
      <c r="R792" s="30" t="n">
        <f aca="false">ROUND(O792*P792,2)</f>
        <v>1911</v>
      </c>
      <c r="S792" s="30" t="n">
        <f aca="false">ROUND(O792*Q792,2)</f>
        <v>1062.9</v>
      </c>
      <c r="T792" s="30" t="n">
        <f aca="false">ROUND(R792*SUMIFS(Parametros!$E$23:$E$38,Parametros!$B$23:$B$38,J792,Parametros!$C$23:$C$38,C792,Parametros!$D$23:$D$38,D792),2)</f>
        <v>24.84</v>
      </c>
      <c r="U792" s="30" t="n">
        <f aca="false">R792-S792-T792</f>
        <v>823.26</v>
      </c>
    </row>
    <row r="793" customFormat="false" ht="15" hidden="false" customHeight="false" outlineLevel="0" collapsed="false">
      <c r="A793" s="0" t="n">
        <v>792</v>
      </c>
      <c r="B793" s="27" t="n">
        <v>45514</v>
      </c>
      <c r="C793" s="0" t="n">
        <v>2024</v>
      </c>
      <c r="D793" s="28" t="s">
        <v>115</v>
      </c>
      <c r="E793" s="0" t="n">
        <v>8</v>
      </c>
      <c r="F793" s="28" t="s">
        <v>118</v>
      </c>
      <c r="G793" s="28" t="s">
        <v>119</v>
      </c>
      <c r="H793" s="28" t="s">
        <v>102</v>
      </c>
      <c r="I793" s="28" t="s">
        <v>103</v>
      </c>
      <c r="J793" s="28" t="s">
        <v>71</v>
      </c>
      <c r="K793" s="28" t="s">
        <v>76</v>
      </c>
      <c r="L793" s="28" t="s">
        <v>77</v>
      </c>
      <c r="M793" s="28" t="s">
        <v>82</v>
      </c>
      <c r="N793" s="28" t="s">
        <v>83</v>
      </c>
      <c r="O793" s="29" t="n">
        <v>13</v>
      </c>
      <c r="P793" s="30" t="n">
        <v>63.7</v>
      </c>
      <c r="Q793" s="30" t="n">
        <v>35.43</v>
      </c>
      <c r="R793" s="30" t="n">
        <f aca="false">ROUND(O793*P793,2)</f>
        <v>828.1</v>
      </c>
      <c r="S793" s="30" t="n">
        <f aca="false">ROUND(O793*Q793,2)</f>
        <v>460.59</v>
      </c>
      <c r="T793" s="30" t="n">
        <f aca="false">ROUND(R793*SUMIFS(Parametros!$E$23:$E$38,Parametros!$B$23:$B$38,J793,Parametros!$C$23:$C$38,C793,Parametros!$D$23:$D$38,D793),2)</f>
        <v>38.09</v>
      </c>
      <c r="U793" s="30" t="n">
        <f aca="false">R793-S793-T793</f>
        <v>329.42</v>
      </c>
    </row>
    <row r="794" customFormat="false" ht="15" hidden="false" customHeight="false" outlineLevel="0" collapsed="false">
      <c r="A794" s="0" t="n">
        <v>793</v>
      </c>
      <c r="B794" s="27" t="n">
        <v>45521</v>
      </c>
      <c r="C794" s="0" t="n">
        <v>2024</v>
      </c>
      <c r="D794" s="28" t="s">
        <v>115</v>
      </c>
      <c r="E794" s="0" t="n">
        <v>8</v>
      </c>
      <c r="F794" s="28" t="s">
        <v>118</v>
      </c>
      <c r="G794" s="28" t="s">
        <v>119</v>
      </c>
      <c r="H794" s="28" t="s">
        <v>102</v>
      </c>
      <c r="I794" s="28" t="s">
        <v>103</v>
      </c>
      <c r="J794" s="28" t="s">
        <v>66</v>
      </c>
      <c r="K794" s="28" t="s">
        <v>84</v>
      </c>
      <c r="L794" s="28" t="s">
        <v>85</v>
      </c>
      <c r="M794" s="28" t="s">
        <v>86</v>
      </c>
      <c r="N794" s="28" t="s">
        <v>87</v>
      </c>
      <c r="O794" s="29" t="n">
        <v>14</v>
      </c>
      <c r="P794" s="30" t="n">
        <v>117.6</v>
      </c>
      <c r="Q794" s="30" t="n">
        <v>63.6</v>
      </c>
      <c r="R794" s="30" t="n">
        <f aca="false">ROUND(O794*P794,2)</f>
        <v>1646.4</v>
      </c>
      <c r="S794" s="30" t="n">
        <f aca="false">ROUND(O794*Q794,2)</f>
        <v>890.4</v>
      </c>
      <c r="T794" s="30" t="n">
        <f aca="false">ROUND(R794*SUMIFS(Parametros!$E$23:$E$38,Parametros!$B$23:$B$38,J794,Parametros!$C$23:$C$38,C794,Parametros!$D$23:$D$38,D794),2)</f>
        <v>21.4</v>
      </c>
      <c r="U794" s="30" t="n">
        <f aca="false">R794-S794-T794</f>
        <v>734.6</v>
      </c>
    </row>
    <row r="795" customFormat="false" ht="15" hidden="false" customHeight="false" outlineLevel="0" collapsed="false">
      <c r="A795" s="0" t="n">
        <v>794</v>
      </c>
      <c r="B795" s="27" t="n">
        <v>45528</v>
      </c>
      <c r="C795" s="0" t="n">
        <v>2024</v>
      </c>
      <c r="D795" s="28" t="s">
        <v>115</v>
      </c>
      <c r="E795" s="0" t="n">
        <v>8</v>
      </c>
      <c r="F795" s="28" t="s">
        <v>118</v>
      </c>
      <c r="G795" s="28" t="s">
        <v>119</v>
      </c>
      <c r="H795" s="28" t="s">
        <v>102</v>
      </c>
      <c r="I795" s="28" t="s">
        <v>103</v>
      </c>
      <c r="J795" s="28" t="s">
        <v>71</v>
      </c>
      <c r="K795" s="28" t="s">
        <v>84</v>
      </c>
      <c r="L795" s="28" t="s">
        <v>85</v>
      </c>
      <c r="M795" s="28" t="s">
        <v>86</v>
      </c>
      <c r="N795" s="28" t="s">
        <v>87</v>
      </c>
      <c r="O795" s="29" t="n">
        <v>6</v>
      </c>
      <c r="P795" s="30" t="n">
        <v>117.6</v>
      </c>
      <c r="Q795" s="30" t="n">
        <v>63.6</v>
      </c>
      <c r="R795" s="30" t="n">
        <f aca="false">ROUND(O795*P795,2)</f>
        <v>705.6</v>
      </c>
      <c r="S795" s="30" t="n">
        <f aca="false">ROUND(O795*Q795,2)</f>
        <v>381.6</v>
      </c>
      <c r="T795" s="30" t="n">
        <f aca="false">ROUND(R795*SUMIFS(Parametros!$E$23:$E$38,Parametros!$B$23:$B$38,J795,Parametros!$C$23:$C$38,C795,Parametros!$D$23:$D$38,D795),2)</f>
        <v>32.46</v>
      </c>
      <c r="U795" s="30" t="n">
        <f aca="false">R795-S795-T795</f>
        <v>291.54</v>
      </c>
    </row>
    <row r="796" customFormat="false" ht="15" hidden="false" customHeight="false" outlineLevel="0" collapsed="false">
      <c r="A796" s="0" t="n">
        <v>795</v>
      </c>
      <c r="B796" s="27" t="n">
        <v>45508</v>
      </c>
      <c r="C796" s="0" t="n">
        <v>2024</v>
      </c>
      <c r="D796" s="28" t="s">
        <v>115</v>
      </c>
      <c r="E796" s="0" t="n">
        <v>8</v>
      </c>
      <c r="F796" s="28" t="s">
        <v>118</v>
      </c>
      <c r="G796" s="28" t="s">
        <v>119</v>
      </c>
      <c r="H796" s="28" t="s">
        <v>102</v>
      </c>
      <c r="I796" s="28" t="s">
        <v>103</v>
      </c>
      <c r="J796" s="28" t="s">
        <v>66</v>
      </c>
      <c r="K796" s="28" t="s">
        <v>84</v>
      </c>
      <c r="L796" s="28" t="s">
        <v>85</v>
      </c>
      <c r="M796" s="28" t="s">
        <v>88</v>
      </c>
      <c r="N796" s="28" t="s">
        <v>89</v>
      </c>
      <c r="O796" s="29" t="n">
        <v>13</v>
      </c>
      <c r="P796" s="30" t="n">
        <v>83.3</v>
      </c>
      <c r="Q796" s="30" t="n">
        <v>48.02</v>
      </c>
      <c r="R796" s="30" t="n">
        <f aca="false">ROUND(O796*P796,2)</f>
        <v>1082.9</v>
      </c>
      <c r="S796" s="30" t="n">
        <f aca="false">ROUND(O796*Q796,2)</f>
        <v>624.26</v>
      </c>
      <c r="T796" s="30" t="n">
        <f aca="false">ROUND(R796*SUMIFS(Parametros!$E$23:$E$38,Parametros!$B$23:$B$38,J796,Parametros!$C$23:$C$38,C796,Parametros!$D$23:$D$38,D796),2)</f>
        <v>14.08</v>
      </c>
      <c r="U796" s="30" t="n">
        <f aca="false">R796-S796-T796</f>
        <v>444.56</v>
      </c>
    </row>
    <row r="797" customFormat="false" ht="15" hidden="false" customHeight="false" outlineLevel="0" collapsed="false">
      <c r="A797" s="0" t="n">
        <v>796</v>
      </c>
      <c r="B797" s="27" t="n">
        <v>45515</v>
      </c>
      <c r="C797" s="0" t="n">
        <v>2024</v>
      </c>
      <c r="D797" s="28" t="s">
        <v>115</v>
      </c>
      <c r="E797" s="0" t="n">
        <v>8</v>
      </c>
      <c r="F797" s="28" t="s">
        <v>118</v>
      </c>
      <c r="G797" s="28" t="s">
        <v>119</v>
      </c>
      <c r="H797" s="28" t="s">
        <v>102</v>
      </c>
      <c r="I797" s="28" t="s">
        <v>103</v>
      </c>
      <c r="J797" s="28" t="s">
        <v>71</v>
      </c>
      <c r="K797" s="28" t="s">
        <v>84</v>
      </c>
      <c r="L797" s="28" t="s">
        <v>85</v>
      </c>
      <c r="M797" s="28" t="s">
        <v>88</v>
      </c>
      <c r="N797" s="28" t="s">
        <v>89</v>
      </c>
      <c r="O797" s="29" t="n">
        <v>5</v>
      </c>
      <c r="P797" s="30" t="n">
        <v>83.3</v>
      </c>
      <c r="Q797" s="30" t="n">
        <v>48.02</v>
      </c>
      <c r="R797" s="30" t="n">
        <f aca="false">ROUND(O797*P797,2)</f>
        <v>416.5</v>
      </c>
      <c r="S797" s="30" t="n">
        <f aca="false">ROUND(O797*Q797,2)</f>
        <v>240.1</v>
      </c>
      <c r="T797" s="30" t="n">
        <f aca="false">ROUND(R797*SUMIFS(Parametros!$E$23:$E$38,Parametros!$B$23:$B$38,J797,Parametros!$C$23:$C$38,C797,Parametros!$D$23:$D$38,D797),2)</f>
        <v>19.16</v>
      </c>
      <c r="U797" s="30" t="n">
        <f aca="false">R797-S797-T797</f>
        <v>157.24</v>
      </c>
    </row>
    <row r="798" customFormat="false" ht="15" hidden="false" customHeight="false" outlineLevel="0" collapsed="false">
      <c r="A798" s="0" t="n">
        <v>797</v>
      </c>
      <c r="B798" s="27" t="n">
        <v>45522</v>
      </c>
      <c r="C798" s="0" t="n">
        <v>2024</v>
      </c>
      <c r="D798" s="28" t="s">
        <v>115</v>
      </c>
      <c r="E798" s="0" t="n">
        <v>8</v>
      </c>
      <c r="F798" s="28" t="s">
        <v>118</v>
      </c>
      <c r="G798" s="28" t="s">
        <v>119</v>
      </c>
      <c r="H798" s="28" t="s">
        <v>102</v>
      </c>
      <c r="I798" s="28" t="s">
        <v>103</v>
      </c>
      <c r="J798" s="28" t="s">
        <v>66</v>
      </c>
      <c r="K798" s="28" t="s">
        <v>90</v>
      </c>
      <c r="L798" s="28" t="s">
        <v>91</v>
      </c>
      <c r="M798" s="28" t="s">
        <v>92</v>
      </c>
      <c r="N798" s="28" t="s">
        <v>93</v>
      </c>
      <c r="O798" s="29" t="n">
        <v>20</v>
      </c>
      <c r="P798" s="30" t="n">
        <v>127.4</v>
      </c>
      <c r="Q798" s="30" t="n">
        <v>76.05</v>
      </c>
      <c r="R798" s="30" t="n">
        <f aca="false">ROUND(O798*P798,2)</f>
        <v>2548</v>
      </c>
      <c r="S798" s="30" t="n">
        <f aca="false">ROUND(O798*Q798,2)</f>
        <v>1521</v>
      </c>
      <c r="T798" s="30" t="n">
        <f aca="false">ROUND(R798*SUMIFS(Parametros!$E$23:$E$38,Parametros!$B$23:$B$38,J798,Parametros!$C$23:$C$38,C798,Parametros!$D$23:$D$38,D798),2)</f>
        <v>33.12</v>
      </c>
      <c r="U798" s="30" t="n">
        <f aca="false">R798-S798-T798</f>
        <v>993.88</v>
      </c>
    </row>
    <row r="799" customFormat="false" ht="15" hidden="false" customHeight="false" outlineLevel="0" collapsed="false">
      <c r="A799" s="0" t="n">
        <v>798</v>
      </c>
      <c r="B799" s="27" t="n">
        <v>45529</v>
      </c>
      <c r="C799" s="0" t="n">
        <v>2024</v>
      </c>
      <c r="D799" s="28" t="s">
        <v>115</v>
      </c>
      <c r="E799" s="0" t="n">
        <v>8</v>
      </c>
      <c r="F799" s="28" t="s">
        <v>118</v>
      </c>
      <c r="G799" s="28" t="s">
        <v>119</v>
      </c>
      <c r="H799" s="28" t="s">
        <v>102</v>
      </c>
      <c r="I799" s="28" t="s">
        <v>103</v>
      </c>
      <c r="J799" s="28" t="s">
        <v>71</v>
      </c>
      <c r="K799" s="28" t="s">
        <v>90</v>
      </c>
      <c r="L799" s="28" t="s">
        <v>91</v>
      </c>
      <c r="M799" s="28" t="s">
        <v>92</v>
      </c>
      <c r="N799" s="28" t="s">
        <v>93</v>
      </c>
      <c r="O799" s="29" t="n">
        <v>8</v>
      </c>
      <c r="P799" s="30" t="n">
        <v>127.4</v>
      </c>
      <c r="Q799" s="30" t="n">
        <v>76.05</v>
      </c>
      <c r="R799" s="30" t="n">
        <f aca="false">ROUND(O799*P799,2)</f>
        <v>1019.2</v>
      </c>
      <c r="S799" s="30" t="n">
        <f aca="false">ROUND(O799*Q799,2)</f>
        <v>608.4</v>
      </c>
      <c r="T799" s="30" t="n">
        <f aca="false">ROUND(R799*SUMIFS(Parametros!$E$23:$E$38,Parametros!$B$23:$B$38,J799,Parametros!$C$23:$C$38,C799,Parametros!$D$23:$D$38,D799),2)</f>
        <v>46.88</v>
      </c>
      <c r="U799" s="30" t="n">
        <f aca="false">R799-S799-T799</f>
        <v>363.92</v>
      </c>
    </row>
    <row r="800" customFormat="false" ht="15" hidden="false" customHeight="false" outlineLevel="0" collapsed="false">
      <c r="A800" s="0" t="n">
        <v>799</v>
      </c>
      <c r="B800" s="27" t="n">
        <v>45509</v>
      </c>
      <c r="C800" s="0" t="n">
        <v>2024</v>
      </c>
      <c r="D800" s="28" t="s">
        <v>115</v>
      </c>
      <c r="E800" s="0" t="n">
        <v>8</v>
      </c>
      <c r="F800" s="28" t="s">
        <v>118</v>
      </c>
      <c r="G800" s="28" t="s">
        <v>119</v>
      </c>
      <c r="H800" s="28" t="s">
        <v>102</v>
      </c>
      <c r="I800" s="28" t="s">
        <v>103</v>
      </c>
      <c r="J800" s="28" t="s">
        <v>66</v>
      </c>
      <c r="K800" s="28" t="s">
        <v>90</v>
      </c>
      <c r="L800" s="28" t="s">
        <v>91</v>
      </c>
      <c r="M800" s="28" t="s">
        <v>94</v>
      </c>
      <c r="N800" s="28" t="s">
        <v>95</v>
      </c>
      <c r="O800" s="29" t="n">
        <v>17</v>
      </c>
      <c r="P800" s="30" t="n">
        <v>34.3</v>
      </c>
      <c r="Q800" s="30" t="n">
        <v>17.85</v>
      </c>
      <c r="R800" s="30" t="n">
        <f aca="false">ROUND(O800*P800,2)</f>
        <v>583.1</v>
      </c>
      <c r="S800" s="30" t="n">
        <f aca="false">ROUND(O800*Q800,2)</f>
        <v>303.45</v>
      </c>
      <c r="T800" s="30" t="n">
        <f aca="false">ROUND(R800*SUMIFS(Parametros!$E$23:$E$38,Parametros!$B$23:$B$38,J800,Parametros!$C$23:$C$38,C800,Parametros!$D$23:$D$38,D800),2)</f>
        <v>7.58</v>
      </c>
      <c r="U800" s="30" t="n">
        <f aca="false">R800-S800-T800</f>
        <v>272.07</v>
      </c>
    </row>
    <row r="801" customFormat="false" ht="15" hidden="false" customHeight="false" outlineLevel="0" collapsed="false">
      <c r="A801" s="0" t="n">
        <v>800</v>
      </c>
      <c r="B801" s="27" t="n">
        <v>45516</v>
      </c>
      <c r="C801" s="0" t="n">
        <v>2024</v>
      </c>
      <c r="D801" s="28" t="s">
        <v>115</v>
      </c>
      <c r="E801" s="0" t="n">
        <v>8</v>
      </c>
      <c r="F801" s="28" t="s">
        <v>118</v>
      </c>
      <c r="G801" s="28" t="s">
        <v>119</v>
      </c>
      <c r="H801" s="28" t="s">
        <v>102</v>
      </c>
      <c r="I801" s="28" t="s">
        <v>103</v>
      </c>
      <c r="J801" s="28" t="s">
        <v>71</v>
      </c>
      <c r="K801" s="28" t="s">
        <v>90</v>
      </c>
      <c r="L801" s="28" t="s">
        <v>91</v>
      </c>
      <c r="M801" s="28" t="s">
        <v>94</v>
      </c>
      <c r="N801" s="28" t="s">
        <v>95</v>
      </c>
      <c r="O801" s="29" t="n">
        <v>8</v>
      </c>
      <c r="P801" s="30" t="n">
        <v>34.3</v>
      </c>
      <c r="Q801" s="30" t="n">
        <v>17.85</v>
      </c>
      <c r="R801" s="30" t="n">
        <f aca="false">ROUND(O801*P801,2)</f>
        <v>274.4</v>
      </c>
      <c r="S801" s="30" t="n">
        <f aca="false">ROUND(O801*Q801,2)</f>
        <v>142.8</v>
      </c>
      <c r="T801" s="30" t="n">
        <f aca="false">ROUND(R801*SUMIFS(Parametros!$E$23:$E$38,Parametros!$B$23:$B$38,J801,Parametros!$C$23:$C$38,C801,Parametros!$D$23:$D$38,D801),2)</f>
        <v>12.62</v>
      </c>
      <c r="U801" s="30" t="n">
        <f aca="false">R801-S801-T801</f>
        <v>118.98</v>
      </c>
    </row>
    <row r="802" customFormat="false" ht="15" hidden="false" customHeight="false" outlineLevel="0" collapsed="false">
      <c r="A802" s="0" t="n">
        <v>801</v>
      </c>
      <c r="B802" s="27" t="n">
        <v>45554</v>
      </c>
      <c r="C802" s="0" t="n">
        <v>2024</v>
      </c>
      <c r="D802" s="28" t="s">
        <v>115</v>
      </c>
      <c r="E802" s="0" t="n">
        <v>9</v>
      </c>
      <c r="F802" s="28" t="s">
        <v>120</v>
      </c>
      <c r="G802" s="28" t="s">
        <v>121</v>
      </c>
      <c r="H802" s="28" t="s">
        <v>64</v>
      </c>
      <c r="I802" s="28" t="s">
        <v>65</v>
      </c>
      <c r="J802" s="28" t="s">
        <v>66</v>
      </c>
      <c r="K802" s="28" t="s">
        <v>67</v>
      </c>
      <c r="L802" s="28" t="s">
        <v>68</v>
      </c>
      <c r="M802" s="28" t="s">
        <v>69</v>
      </c>
      <c r="N802" s="28" t="s">
        <v>70</v>
      </c>
      <c r="O802" s="29" t="n">
        <v>18</v>
      </c>
      <c r="P802" s="30" t="n">
        <v>1176</v>
      </c>
      <c r="Q802" s="30" t="n">
        <v>744</v>
      </c>
      <c r="R802" s="30" t="n">
        <f aca="false">ROUND(O802*P802,2)</f>
        <v>21168</v>
      </c>
      <c r="S802" s="30" t="n">
        <f aca="false">ROUND(O802*Q802,2)</f>
        <v>13392</v>
      </c>
      <c r="T802" s="30" t="n">
        <f aca="false">ROUND(R802*SUMIFS(Parametros!$E$23:$E$38,Parametros!$B$23:$B$38,J802,Parametros!$C$23:$C$38,C802,Parametros!$D$23:$D$38,D802),2)</f>
        <v>275.18</v>
      </c>
      <c r="U802" s="30" t="n">
        <f aca="false">R802-S802-T802</f>
        <v>7500.82</v>
      </c>
    </row>
    <row r="803" customFormat="false" ht="15" hidden="false" customHeight="false" outlineLevel="0" collapsed="false">
      <c r="A803" s="0" t="n">
        <v>802</v>
      </c>
      <c r="B803" s="27" t="n">
        <v>45561</v>
      </c>
      <c r="C803" s="0" t="n">
        <v>2024</v>
      </c>
      <c r="D803" s="28" t="s">
        <v>115</v>
      </c>
      <c r="E803" s="0" t="n">
        <v>9</v>
      </c>
      <c r="F803" s="28" t="s">
        <v>120</v>
      </c>
      <c r="G803" s="28" t="s">
        <v>121</v>
      </c>
      <c r="H803" s="28" t="s">
        <v>64</v>
      </c>
      <c r="I803" s="28" t="s">
        <v>65</v>
      </c>
      <c r="J803" s="28" t="s">
        <v>71</v>
      </c>
      <c r="K803" s="28" t="s">
        <v>67</v>
      </c>
      <c r="L803" s="28" t="s">
        <v>68</v>
      </c>
      <c r="M803" s="28" t="s">
        <v>69</v>
      </c>
      <c r="N803" s="28" t="s">
        <v>70</v>
      </c>
      <c r="O803" s="29" t="n">
        <v>7</v>
      </c>
      <c r="P803" s="30" t="n">
        <v>1176</v>
      </c>
      <c r="Q803" s="30" t="n">
        <v>744</v>
      </c>
      <c r="R803" s="30" t="n">
        <f aca="false">ROUND(O803*P803,2)</f>
        <v>8232</v>
      </c>
      <c r="S803" s="30" t="n">
        <f aca="false">ROUND(O803*Q803,2)</f>
        <v>5208</v>
      </c>
      <c r="T803" s="30" t="n">
        <f aca="false">ROUND(R803*SUMIFS(Parametros!$E$23:$E$38,Parametros!$B$23:$B$38,J803,Parametros!$C$23:$C$38,C803,Parametros!$D$23:$D$38,D803),2)</f>
        <v>378.67</v>
      </c>
      <c r="U803" s="30" t="n">
        <f aca="false">R803-S803-T803</f>
        <v>2645.33</v>
      </c>
    </row>
    <row r="804" customFormat="false" ht="15" hidden="false" customHeight="false" outlineLevel="0" collapsed="false">
      <c r="A804" s="0" t="n">
        <v>803</v>
      </c>
      <c r="B804" s="27" t="n">
        <v>45541</v>
      </c>
      <c r="C804" s="0" t="n">
        <v>2024</v>
      </c>
      <c r="D804" s="28" t="s">
        <v>115</v>
      </c>
      <c r="E804" s="0" t="n">
        <v>9</v>
      </c>
      <c r="F804" s="28" t="s">
        <v>120</v>
      </c>
      <c r="G804" s="28" t="s">
        <v>121</v>
      </c>
      <c r="H804" s="28" t="s">
        <v>64</v>
      </c>
      <c r="I804" s="28" t="s">
        <v>65</v>
      </c>
      <c r="J804" s="28" t="s">
        <v>66</v>
      </c>
      <c r="K804" s="28" t="s">
        <v>67</v>
      </c>
      <c r="L804" s="28" t="s">
        <v>68</v>
      </c>
      <c r="M804" s="28" t="s">
        <v>72</v>
      </c>
      <c r="N804" s="28" t="s">
        <v>73</v>
      </c>
      <c r="O804" s="29" t="n">
        <v>21</v>
      </c>
      <c r="P804" s="30" t="n">
        <v>441</v>
      </c>
      <c r="Q804" s="30" t="n">
        <v>272.25</v>
      </c>
      <c r="R804" s="30" t="n">
        <f aca="false">ROUND(O804*P804,2)</f>
        <v>9261</v>
      </c>
      <c r="S804" s="30" t="n">
        <f aca="false">ROUND(O804*Q804,2)</f>
        <v>5717.25</v>
      </c>
      <c r="T804" s="30" t="n">
        <f aca="false">ROUND(R804*SUMIFS(Parametros!$E$23:$E$38,Parametros!$B$23:$B$38,J804,Parametros!$C$23:$C$38,C804,Parametros!$D$23:$D$38,D804),2)</f>
        <v>120.39</v>
      </c>
      <c r="U804" s="30" t="n">
        <f aca="false">R804-S804-T804</f>
        <v>3423.36</v>
      </c>
    </row>
    <row r="805" customFormat="false" ht="15" hidden="false" customHeight="false" outlineLevel="0" collapsed="false">
      <c r="A805" s="0" t="n">
        <v>804</v>
      </c>
      <c r="B805" s="27" t="n">
        <v>45548</v>
      </c>
      <c r="C805" s="0" t="n">
        <v>2024</v>
      </c>
      <c r="D805" s="28" t="s">
        <v>115</v>
      </c>
      <c r="E805" s="0" t="n">
        <v>9</v>
      </c>
      <c r="F805" s="28" t="s">
        <v>120</v>
      </c>
      <c r="G805" s="28" t="s">
        <v>121</v>
      </c>
      <c r="H805" s="28" t="s">
        <v>64</v>
      </c>
      <c r="I805" s="28" t="s">
        <v>65</v>
      </c>
      <c r="J805" s="28" t="s">
        <v>71</v>
      </c>
      <c r="K805" s="28" t="s">
        <v>67</v>
      </c>
      <c r="L805" s="28" t="s">
        <v>68</v>
      </c>
      <c r="M805" s="28" t="s">
        <v>72</v>
      </c>
      <c r="N805" s="28" t="s">
        <v>73</v>
      </c>
      <c r="O805" s="29" t="n">
        <v>9</v>
      </c>
      <c r="P805" s="30" t="n">
        <v>441</v>
      </c>
      <c r="Q805" s="30" t="n">
        <v>272.25</v>
      </c>
      <c r="R805" s="30" t="n">
        <f aca="false">ROUND(O805*P805,2)</f>
        <v>3969</v>
      </c>
      <c r="S805" s="30" t="n">
        <f aca="false">ROUND(O805*Q805,2)</f>
        <v>2450.25</v>
      </c>
      <c r="T805" s="30" t="n">
        <f aca="false">ROUND(R805*SUMIFS(Parametros!$E$23:$E$38,Parametros!$B$23:$B$38,J805,Parametros!$C$23:$C$38,C805,Parametros!$D$23:$D$38,D805),2)</f>
        <v>182.57</v>
      </c>
      <c r="U805" s="30" t="n">
        <f aca="false">R805-S805-T805</f>
        <v>1336.18</v>
      </c>
    </row>
    <row r="806" customFormat="false" ht="15" hidden="false" customHeight="false" outlineLevel="0" collapsed="false">
      <c r="A806" s="0" t="n">
        <v>805</v>
      </c>
      <c r="B806" s="27" t="n">
        <v>45555</v>
      </c>
      <c r="C806" s="0" t="n">
        <v>2024</v>
      </c>
      <c r="D806" s="28" t="s">
        <v>115</v>
      </c>
      <c r="E806" s="0" t="n">
        <v>9</v>
      </c>
      <c r="F806" s="28" t="s">
        <v>120</v>
      </c>
      <c r="G806" s="28" t="s">
        <v>121</v>
      </c>
      <c r="H806" s="28" t="s">
        <v>64</v>
      </c>
      <c r="I806" s="28" t="s">
        <v>65</v>
      </c>
      <c r="J806" s="28" t="s">
        <v>66</v>
      </c>
      <c r="K806" s="28" t="s">
        <v>67</v>
      </c>
      <c r="L806" s="28" t="s">
        <v>68</v>
      </c>
      <c r="M806" s="28" t="s">
        <v>74</v>
      </c>
      <c r="N806" s="28" t="s">
        <v>75</v>
      </c>
      <c r="O806" s="29" t="n">
        <v>20</v>
      </c>
      <c r="P806" s="30" t="n">
        <v>1617</v>
      </c>
      <c r="Q806" s="30" t="n">
        <v>1122</v>
      </c>
      <c r="R806" s="30" t="n">
        <f aca="false">ROUND(O806*P806,2)</f>
        <v>32340</v>
      </c>
      <c r="S806" s="30" t="n">
        <f aca="false">ROUND(O806*Q806,2)</f>
        <v>22440</v>
      </c>
      <c r="T806" s="30" t="n">
        <f aca="false">ROUND(R806*SUMIFS(Parametros!$E$23:$E$38,Parametros!$B$23:$B$38,J806,Parametros!$C$23:$C$38,C806,Parametros!$D$23:$D$38,D806),2)</f>
        <v>420.42</v>
      </c>
      <c r="U806" s="30" t="n">
        <f aca="false">R806-S806-T806</f>
        <v>9479.58</v>
      </c>
    </row>
    <row r="807" customFormat="false" ht="15" hidden="false" customHeight="false" outlineLevel="0" collapsed="false">
      <c r="A807" s="0" t="n">
        <v>806</v>
      </c>
      <c r="B807" s="27" t="n">
        <v>45562</v>
      </c>
      <c r="C807" s="0" t="n">
        <v>2024</v>
      </c>
      <c r="D807" s="28" t="s">
        <v>115</v>
      </c>
      <c r="E807" s="0" t="n">
        <v>9</v>
      </c>
      <c r="F807" s="28" t="s">
        <v>120</v>
      </c>
      <c r="G807" s="28" t="s">
        <v>121</v>
      </c>
      <c r="H807" s="28" t="s">
        <v>64</v>
      </c>
      <c r="I807" s="28" t="s">
        <v>65</v>
      </c>
      <c r="J807" s="28" t="s">
        <v>71</v>
      </c>
      <c r="K807" s="28" t="s">
        <v>67</v>
      </c>
      <c r="L807" s="28" t="s">
        <v>68</v>
      </c>
      <c r="M807" s="28" t="s">
        <v>74</v>
      </c>
      <c r="N807" s="28" t="s">
        <v>75</v>
      </c>
      <c r="O807" s="29" t="n">
        <v>8</v>
      </c>
      <c r="P807" s="30" t="n">
        <v>1617</v>
      </c>
      <c r="Q807" s="30" t="n">
        <v>1122</v>
      </c>
      <c r="R807" s="30" t="n">
        <f aca="false">ROUND(O807*P807,2)</f>
        <v>12936</v>
      </c>
      <c r="S807" s="30" t="n">
        <f aca="false">ROUND(O807*Q807,2)</f>
        <v>8976</v>
      </c>
      <c r="T807" s="30" t="n">
        <f aca="false">ROUND(R807*SUMIFS(Parametros!$E$23:$E$38,Parametros!$B$23:$B$38,J807,Parametros!$C$23:$C$38,C807,Parametros!$D$23:$D$38,D807),2)</f>
        <v>595.06</v>
      </c>
      <c r="U807" s="30" t="n">
        <f aca="false">R807-S807-T807</f>
        <v>3364.94</v>
      </c>
    </row>
    <row r="808" customFormat="false" ht="15" hidden="false" customHeight="false" outlineLevel="0" collapsed="false">
      <c r="A808" s="0" t="n">
        <v>807</v>
      </c>
      <c r="B808" s="27" t="n">
        <v>45542</v>
      </c>
      <c r="C808" s="0" t="n">
        <v>2024</v>
      </c>
      <c r="D808" s="28" t="s">
        <v>115</v>
      </c>
      <c r="E808" s="0" t="n">
        <v>9</v>
      </c>
      <c r="F808" s="28" t="s">
        <v>120</v>
      </c>
      <c r="G808" s="28" t="s">
        <v>121</v>
      </c>
      <c r="H808" s="28" t="s">
        <v>64</v>
      </c>
      <c r="I808" s="28" t="s">
        <v>65</v>
      </c>
      <c r="J808" s="28" t="s">
        <v>66</v>
      </c>
      <c r="K808" s="28" t="s">
        <v>76</v>
      </c>
      <c r="L808" s="28" t="s">
        <v>77</v>
      </c>
      <c r="M808" s="28" t="s">
        <v>78</v>
      </c>
      <c r="N808" s="28" t="s">
        <v>79</v>
      </c>
      <c r="O808" s="29" t="n">
        <v>92</v>
      </c>
      <c r="P808" s="30" t="n">
        <v>27.44</v>
      </c>
      <c r="Q808" s="30" t="n">
        <v>13.44</v>
      </c>
      <c r="R808" s="30" t="n">
        <f aca="false">ROUND(O808*P808,2)</f>
        <v>2524.48</v>
      </c>
      <c r="S808" s="30" t="n">
        <f aca="false">ROUND(O808*Q808,2)</f>
        <v>1236.48</v>
      </c>
      <c r="T808" s="30" t="n">
        <f aca="false">ROUND(R808*SUMIFS(Parametros!$E$23:$E$38,Parametros!$B$23:$B$38,J808,Parametros!$C$23:$C$38,C808,Parametros!$D$23:$D$38,D808),2)</f>
        <v>32.82</v>
      </c>
      <c r="U808" s="30" t="n">
        <f aca="false">R808-S808-T808</f>
        <v>1255.18</v>
      </c>
    </row>
    <row r="809" customFormat="false" ht="15" hidden="false" customHeight="false" outlineLevel="0" collapsed="false">
      <c r="A809" s="0" t="n">
        <v>808</v>
      </c>
      <c r="B809" s="27" t="n">
        <v>45549</v>
      </c>
      <c r="C809" s="0" t="n">
        <v>2024</v>
      </c>
      <c r="D809" s="28" t="s">
        <v>115</v>
      </c>
      <c r="E809" s="0" t="n">
        <v>9</v>
      </c>
      <c r="F809" s="28" t="s">
        <v>120</v>
      </c>
      <c r="G809" s="28" t="s">
        <v>121</v>
      </c>
      <c r="H809" s="28" t="s">
        <v>64</v>
      </c>
      <c r="I809" s="28" t="s">
        <v>65</v>
      </c>
      <c r="J809" s="28" t="s">
        <v>71</v>
      </c>
      <c r="K809" s="28" t="s">
        <v>76</v>
      </c>
      <c r="L809" s="28" t="s">
        <v>77</v>
      </c>
      <c r="M809" s="28" t="s">
        <v>78</v>
      </c>
      <c r="N809" s="28" t="s">
        <v>79</v>
      </c>
      <c r="O809" s="29" t="n">
        <v>45</v>
      </c>
      <c r="P809" s="30" t="n">
        <v>27.44</v>
      </c>
      <c r="Q809" s="30" t="n">
        <v>13.44</v>
      </c>
      <c r="R809" s="30" t="n">
        <f aca="false">ROUND(O809*P809,2)</f>
        <v>1234.8</v>
      </c>
      <c r="S809" s="30" t="n">
        <f aca="false">ROUND(O809*Q809,2)</f>
        <v>604.8</v>
      </c>
      <c r="T809" s="30" t="n">
        <f aca="false">ROUND(R809*SUMIFS(Parametros!$E$23:$E$38,Parametros!$B$23:$B$38,J809,Parametros!$C$23:$C$38,C809,Parametros!$D$23:$D$38,D809),2)</f>
        <v>56.8</v>
      </c>
      <c r="U809" s="30" t="n">
        <f aca="false">R809-S809-T809</f>
        <v>573.2</v>
      </c>
    </row>
    <row r="810" customFormat="false" ht="15" hidden="false" customHeight="false" outlineLevel="0" collapsed="false">
      <c r="A810" s="0" t="n">
        <v>809</v>
      </c>
      <c r="B810" s="27" t="n">
        <v>45556</v>
      </c>
      <c r="C810" s="0" t="n">
        <v>2024</v>
      </c>
      <c r="D810" s="28" t="s">
        <v>115</v>
      </c>
      <c r="E810" s="0" t="n">
        <v>9</v>
      </c>
      <c r="F810" s="28" t="s">
        <v>120</v>
      </c>
      <c r="G810" s="28" t="s">
        <v>121</v>
      </c>
      <c r="H810" s="28" t="s">
        <v>64</v>
      </c>
      <c r="I810" s="28" t="s">
        <v>65</v>
      </c>
      <c r="J810" s="28" t="s">
        <v>66</v>
      </c>
      <c r="K810" s="28" t="s">
        <v>76</v>
      </c>
      <c r="L810" s="28" t="s">
        <v>77</v>
      </c>
      <c r="M810" s="28" t="s">
        <v>80</v>
      </c>
      <c r="N810" s="28" t="s">
        <v>81</v>
      </c>
      <c r="O810" s="29" t="n">
        <v>97</v>
      </c>
      <c r="P810" s="30" t="n">
        <v>93.1</v>
      </c>
      <c r="Q810" s="30" t="n">
        <v>47.98</v>
      </c>
      <c r="R810" s="30" t="n">
        <f aca="false">ROUND(O810*P810,2)</f>
        <v>9030.7</v>
      </c>
      <c r="S810" s="30" t="n">
        <f aca="false">ROUND(O810*Q810,2)</f>
        <v>4654.06</v>
      </c>
      <c r="T810" s="30" t="n">
        <f aca="false">ROUND(R810*SUMIFS(Parametros!$E$23:$E$38,Parametros!$B$23:$B$38,J810,Parametros!$C$23:$C$38,C810,Parametros!$D$23:$D$38,D810),2)</f>
        <v>117.4</v>
      </c>
      <c r="U810" s="30" t="n">
        <f aca="false">R810-S810-T810</f>
        <v>4259.24</v>
      </c>
    </row>
    <row r="811" customFormat="false" ht="15" hidden="false" customHeight="false" outlineLevel="0" collapsed="false">
      <c r="A811" s="0" t="n">
        <v>810</v>
      </c>
      <c r="B811" s="27" t="n">
        <v>45536</v>
      </c>
      <c r="C811" s="0" t="n">
        <v>2024</v>
      </c>
      <c r="D811" s="28" t="s">
        <v>115</v>
      </c>
      <c r="E811" s="0" t="n">
        <v>9</v>
      </c>
      <c r="F811" s="28" t="s">
        <v>120</v>
      </c>
      <c r="G811" s="28" t="s">
        <v>121</v>
      </c>
      <c r="H811" s="28" t="s">
        <v>64</v>
      </c>
      <c r="I811" s="28" t="s">
        <v>65</v>
      </c>
      <c r="J811" s="28" t="s">
        <v>71</v>
      </c>
      <c r="K811" s="28" t="s">
        <v>76</v>
      </c>
      <c r="L811" s="28" t="s">
        <v>77</v>
      </c>
      <c r="M811" s="28" t="s">
        <v>80</v>
      </c>
      <c r="N811" s="28" t="s">
        <v>81</v>
      </c>
      <c r="O811" s="29" t="n">
        <v>35</v>
      </c>
      <c r="P811" s="30" t="n">
        <v>93.1</v>
      </c>
      <c r="Q811" s="30" t="n">
        <v>47.98</v>
      </c>
      <c r="R811" s="30" t="n">
        <f aca="false">ROUND(O811*P811,2)</f>
        <v>3258.5</v>
      </c>
      <c r="S811" s="30" t="n">
        <f aca="false">ROUND(O811*Q811,2)</f>
        <v>1679.3</v>
      </c>
      <c r="T811" s="30" t="n">
        <f aca="false">ROUND(R811*SUMIFS(Parametros!$E$23:$E$38,Parametros!$B$23:$B$38,J811,Parametros!$C$23:$C$38,C811,Parametros!$D$23:$D$38,D811),2)</f>
        <v>149.89</v>
      </c>
      <c r="U811" s="30" t="n">
        <f aca="false">R811-S811-T811</f>
        <v>1429.31</v>
      </c>
    </row>
    <row r="812" customFormat="false" ht="15" hidden="false" customHeight="false" outlineLevel="0" collapsed="false">
      <c r="A812" s="0" t="n">
        <v>811</v>
      </c>
      <c r="B812" s="27" t="n">
        <v>45543</v>
      </c>
      <c r="C812" s="0" t="n">
        <v>2024</v>
      </c>
      <c r="D812" s="28" t="s">
        <v>115</v>
      </c>
      <c r="E812" s="0" t="n">
        <v>9</v>
      </c>
      <c r="F812" s="28" t="s">
        <v>120</v>
      </c>
      <c r="G812" s="28" t="s">
        <v>121</v>
      </c>
      <c r="H812" s="28" t="s">
        <v>64</v>
      </c>
      <c r="I812" s="28" t="s">
        <v>65</v>
      </c>
      <c r="J812" s="28" t="s">
        <v>66</v>
      </c>
      <c r="K812" s="28" t="s">
        <v>76</v>
      </c>
      <c r="L812" s="28" t="s">
        <v>77</v>
      </c>
      <c r="M812" s="28" t="s">
        <v>82</v>
      </c>
      <c r="N812" s="28" t="s">
        <v>83</v>
      </c>
      <c r="O812" s="29" t="n">
        <v>96</v>
      </c>
      <c r="P812" s="30" t="n">
        <v>63.7</v>
      </c>
      <c r="Q812" s="30" t="n">
        <v>35.43</v>
      </c>
      <c r="R812" s="30" t="n">
        <f aca="false">ROUND(O812*P812,2)</f>
        <v>6115.2</v>
      </c>
      <c r="S812" s="30" t="n">
        <f aca="false">ROUND(O812*Q812,2)</f>
        <v>3401.28</v>
      </c>
      <c r="T812" s="30" t="n">
        <f aca="false">ROUND(R812*SUMIFS(Parametros!$E$23:$E$38,Parametros!$B$23:$B$38,J812,Parametros!$C$23:$C$38,C812,Parametros!$D$23:$D$38,D812),2)</f>
        <v>79.5</v>
      </c>
      <c r="U812" s="30" t="n">
        <f aca="false">R812-S812-T812</f>
        <v>2634.42</v>
      </c>
    </row>
    <row r="813" customFormat="false" ht="15" hidden="false" customHeight="false" outlineLevel="0" collapsed="false">
      <c r="A813" s="0" t="n">
        <v>812</v>
      </c>
      <c r="B813" s="27" t="n">
        <v>45550</v>
      </c>
      <c r="C813" s="0" t="n">
        <v>2024</v>
      </c>
      <c r="D813" s="28" t="s">
        <v>115</v>
      </c>
      <c r="E813" s="0" t="n">
        <v>9</v>
      </c>
      <c r="F813" s="28" t="s">
        <v>120</v>
      </c>
      <c r="G813" s="28" t="s">
        <v>121</v>
      </c>
      <c r="H813" s="28" t="s">
        <v>64</v>
      </c>
      <c r="I813" s="28" t="s">
        <v>65</v>
      </c>
      <c r="J813" s="28" t="s">
        <v>71</v>
      </c>
      <c r="K813" s="28" t="s">
        <v>76</v>
      </c>
      <c r="L813" s="28" t="s">
        <v>77</v>
      </c>
      <c r="M813" s="28" t="s">
        <v>82</v>
      </c>
      <c r="N813" s="28" t="s">
        <v>83</v>
      </c>
      <c r="O813" s="29" t="n">
        <v>42</v>
      </c>
      <c r="P813" s="30" t="n">
        <v>63.7</v>
      </c>
      <c r="Q813" s="30" t="n">
        <v>35.43</v>
      </c>
      <c r="R813" s="30" t="n">
        <f aca="false">ROUND(O813*P813,2)</f>
        <v>2675.4</v>
      </c>
      <c r="S813" s="30" t="n">
        <f aca="false">ROUND(O813*Q813,2)</f>
        <v>1488.06</v>
      </c>
      <c r="T813" s="30" t="n">
        <f aca="false">ROUND(R813*SUMIFS(Parametros!$E$23:$E$38,Parametros!$B$23:$B$38,J813,Parametros!$C$23:$C$38,C813,Parametros!$D$23:$D$38,D813),2)</f>
        <v>123.07</v>
      </c>
      <c r="U813" s="30" t="n">
        <f aca="false">R813-S813-T813</f>
        <v>1064.27</v>
      </c>
    </row>
    <row r="814" customFormat="false" ht="15" hidden="false" customHeight="false" outlineLevel="0" collapsed="false">
      <c r="A814" s="0" t="n">
        <v>813</v>
      </c>
      <c r="B814" s="27" t="n">
        <v>45557</v>
      </c>
      <c r="C814" s="0" t="n">
        <v>2024</v>
      </c>
      <c r="D814" s="28" t="s">
        <v>115</v>
      </c>
      <c r="E814" s="0" t="n">
        <v>9</v>
      </c>
      <c r="F814" s="28" t="s">
        <v>120</v>
      </c>
      <c r="G814" s="28" t="s">
        <v>121</v>
      </c>
      <c r="H814" s="28" t="s">
        <v>64</v>
      </c>
      <c r="I814" s="28" t="s">
        <v>65</v>
      </c>
      <c r="J814" s="28" t="s">
        <v>66</v>
      </c>
      <c r="K814" s="28" t="s">
        <v>84</v>
      </c>
      <c r="L814" s="28" t="s">
        <v>85</v>
      </c>
      <c r="M814" s="28" t="s">
        <v>86</v>
      </c>
      <c r="N814" s="28" t="s">
        <v>87</v>
      </c>
      <c r="O814" s="29" t="n">
        <v>43</v>
      </c>
      <c r="P814" s="30" t="n">
        <v>117.6</v>
      </c>
      <c r="Q814" s="30" t="n">
        <v>63.6</v>
      </c>
      <c r="R814" s="30" t="n">
        <f aca="false">ROUND(O814*P814,2)</f>
        <v>5056.8</v>
      </c>
      <c r="S814" s="30" t="n">
        <f aca="false">ROUND(O814*Q814,2)</f>
        <v>2734.8</v>
      </c>
      <c r="T814" s="30" t="n">
        <f aca="false">ROUND(R814*SUMIFS(Parametros!$E$23:$E$38,Parametros!$B$23:$B$38,J814,Parametros!$C$23:$C$38,C814,Parametros!$D$23:$D$38,D814),2)</f>
        <v>65.74</v>
      </c>
      <c r="U814" s="30" t="n">
        <f aca="false">R814-S814-T814</f>
        <v>2256.26</v>
      </c>
    </row>
    <row r="815" customFormat="false" ht="15" hidden="false" customHeight="false" outlineLevel="0" collapsed="false">
      <c r="A815" s="0" t="n">
        <v>814</v>
      </c>
      <c r="B815" s="27" t="n">
        <v>45537</v>
      </c>
      <c r="C815" s="0" t="n">
        <v>2024</v>
      </c>
      <c r="D815" s="28" t="s">
        <v>115</v>
      </c>
      <c r="E815" s="0" t="n">
        <v>9</v>
      </c>
      <c r="F815" s="28" t="s">
        <v>120</v>
      </c>
      <c r="G815" s="28" t="s">
        <v>121</v>
      </c>
      <c r="H815" s="28" t="s">
        <v>64</v>
      </c>
      <c r="I815" s="28" t="s">
        <v>65</v>
      </c>
      <c r="J815" s="28" t="s">
        <v>71</v>
      </c>
      <c r="K815" s="28" t="s">
        <v>84</v>
      </c>
      <c r="L815" s="28" t="s">
        <v>85</v>
      </c>
      <c r="M815" s="28" t="s">
        <v>86</v>
      </c>
      <c r="N815" s="28" t="s">
        <v>87</v>
      </c>
      <c r="O815" s="29" t="n">
        <v>16</v>
      </c>
      <c r="P815" s="30" t="n">
        <v>117.6</v>
      </c>
      <c r="Q815" s="30" t="n">
        <v>63.6</v>
      </c>
      <c r="R815" s="30" t="n">
        <f aca="false">ROUND(O815*P815,2)</f>
        <v>1881.6</v>
      </c>
      <c r="S815" s="30" t="n">
        <f aca="false">ROUND(O815*Q815,2)</f>
        <v>1017.6</v>
      </c>
      <c r="T815" s="30" t="n">
        <f aca="false">ROUND(R815*SUMIFS(Parametros!$E$23:$E$38,Parametros!$B$23:$B$38,J815,Parametros!$C$23:$C$38,C815,Parametros!$D$23:$D$38,D815),2)</f>
        <v>86.55</v>
      </c>
      <c r="U815" s="30" t="n">
        <f aca="false">R815-S815-T815</f>
        <v>777.45</v>
      </c>
    </row>
    <row r="816" customFormat="false" ht="15" hidden="false" customHeight="false" outlineLevel="0" collapsed="false">
      <c r="A816" s="0" t="n">
        <v>815</v>
      </c>
      <c r="B816" s="27" t="n">
        <v>45544</v>
      </c>
      <c r="C816" s="0" t="n">
        <v>2024</v>
      </c>
      <c r="D816" s="28" t="s">
        <v>115</v>
      </c>
      <c r="E816" s="0" t="n">
        <v>9</v>
      </c>
      <c r="F816" s="28" t="s">
        <v>120</v>
      </c>
      <c r="G816" s="28" t="s">
        <v>121</v>
      </c>
      <c r="H816" s="28" t="s">
        <v>64</v>
      </c>
      <c r="I816" s="28" t="s">
        <v>65</v>
      </c>
      <c r="J816" s="28" t="s">
        <v>66</v>
      </c>
      <c r="K816" s="28" t="s">
        <v>84</v>
      </c>
      <c r="L816" s="28" t="s">
        <v>85</v>
      </c>
      <c r="M816" s="28" t="s">
        <v>88</v>
      </c>
      <c r="N816" s="28" t="s">
        <v>89</v>
      </c>
      <c r="O816" s="29" t="n">
        <v>50</v>
      </c>
      <c r="P816" s="30" t="n">
        <v>83.3</v>
      </c>
      <c r="Q816" s="30" t="n">
        <v>48.02</v>
      </c>
      <c r="R816" s="30" t="n">
        <f aca="false">ROUND(O816*P816,2)</f>
        <v>4165</v>
      </c>
      <c r="S816" s="30" t="n">
        <f aca="false">ROUND(O816*Q816,2)</f>
        <v>2401</v>
      </c>
      <c r="T816" s="30" t="n">
        <f aca="false">ROUND(R816*SUMIFS(Parametros!$E$23:$E$38,Parametros!$B$23:$B$38,J816,Parametros!$C$23:$C$38,C816,Parametros!$D$23:$D$38,D816),2)</f>
        <v>54.15</v>
      </c>
      <c r="U816" s="30" t="n">
        <f aca="false">R816-S816-T816</f>
        <v>1709.85</v>
      </c>
    </row>
    <row r="817" customFormat="false" ht="15" hidden="false" customHeight="false" outlineLevel="0" collapsed="false">
      <c r="A817" s="0" t="n">
        <v>816</v>
      </c>
      <c r="B817" s="27" t="n">
        <v>45551</v>
      </c>
      <c r="C817" s="0" t="n">
        <v>2024</v>
      </c>
      <c r="D817" s="28" t="s">
        <v>115</v>
      </c>
      <c r="E817" s="0" t="n">
        <v>9</v>
      </c>
      <c r="F817" s="28" t="s">
        <v>120</v>
      </c>
      <c r="G817" s="28" t="s">
        <v>121</v>
      </c>
      <c r="H817" s="28" t="s">
        <v>64</v>
      </c>
      <c r="I817" s="28" t="s">
        <v>65</v>
      </c>
      <c r="J817" s="28" t="s">
        <v>71</v>
      </c>
      <c r="K817" s="28" t="s">
        <v>84</v>
      </c>
      <c r="L817" s="28" t="s">
        <v>85</v>
      </c>
      <c r="M817" s="28" t="s">
        <v>88</v>
      </c>
      <c r="N817" s="28" t="s">
        <v>89</v>
      </c>
      <c r="O817" s="29" t="n">
        <v>19</v>
      </c>
      <c r="P817" s="30" t="n">
        <v>83.3</v>
      </c>
      <c r="Q817" s="30" t="n">
        <v>48.02</v>
      </c>
      <c r="R817" s="30" t="n">
        <f aca="false">ROUND(O817*P817,2)</f>
        <v>1582.7</v>
      </c>
      <c r="S817" s="30" t="n">
        <f aca="false">ROUND(O817*Q817,2)</f>
        <v>912.38</v>
      </c>
      <c r="T817" s="30" t="n">
        <f aca="false">ROUND(R817*SUMIFS(Parametros!$E$23:$E$38,Parametros!$B$23:$B$38,J817,Parametros!$C$23:$C$38,C817,Parametros!$D$23:$D$38,D817),2)</f>
        <v>72.8</v>
      </c>
      <c r="U817" s="30" t="n">
        <f aca="false">R817-S817-T817</f>
        <v>597.52</v>
      </c>
    </row>
    <row r="818" customFormat="false" ht="15" hidden="false" customHeight="false" outlineLevel="0" collapsed="false">
      <c r="A818" s="0" t="n">
        <v>817</v>
      </c>
      <c r="B818" s="27" t="n">
        <v>45558</v>
      </c>
      <c r="C818" s="0" t="n">
        <v>2024</v>
      </c>
      <c r="D818" s="28" t="s">
        <v>115</v>
      </c>
      <c r="E818" s="0" t="n">
        <v>9</v>
      </c>
      <c r="F818" s="28" t="s">
        <v>120</v>
      </c>
      <c r="G818" s="28" t="s">
        <v>121</v>
      </c>
      <c r="H818" s="28" t="s">
        <v>64</v>
      </c>
      <c r="I818" s="28" t="s">
        <v>65</v>
      </c>
      <c r="J818" s="28" t="s">
        <v>66</v>
      </c>
      <c r="K818" s="28" t="s">
        <v>90</v>
      </c>
      <c r="L818" s="28" t="s">
        <v>91</v>
      </c>
      <c r="M818" s="28" t="s">
        <v>92</v>
      </c>
      <c r="N818" s="28" t="s">
        <v>93</v>
      </c>
      <c r="O818" s="29" t="n">
        <v>65</v>
      </c>
      <c r="P818" s="30" t="n">
        <v>127.4</v>
      </c>
      <c r="Q818" s="30" t="n">
        <v>76.05</v>
      </c>
      <c r="R818" s="30" t="n">
        <f aca="false">ROUND(O818*P818,2)</f>
        <v>8281</v>
      </c>
      <c r="S818" s="30" t="n">
        <f aca="false">ROUND(O818*Q818,2)</f>
        <v>4943.25</v>
      </c>
      <c r="T818" s="30" t="n">
        <f aca="false">ROUND(R818*SUMIFS(Parametros!$E$23:$E$38,Parametros!$B$23:$B$38,J818,Parametros!$C$23:$C$38,C818,Parametros!$D$23:$D$38,D818),2)</f>
        <v>107.65</v>
      </c>
      <c r="U818" s="30" t="n">
        <f aca="false">R818-S818-T818</f>
        <v>3230.1</v>
      </c>
    </row>
    <row r="819" customFormat="false" ht="15" hidden="false" customHeight="false" outlineLevel="0" collapsed="false">
      <c r="A819" s="0" t="n">
        <v>818</v>
      </c>
      <c r="B819" s="27" t="n">
        <v>45538</v>
      </c>
      <c r="C819" s="0" t="n">
        <v>2024</v>
      </c>
      <c r="D819" s="28" t="s">
        <v>115</v>
      </c>
      <c r="E819" s="0" t="n">
        <v>9</v>
      </c>
      <c r="F819" s="28" t="s">
        <v>120</v>
      </c>
      <c r="G819" s="28" t="s">
        <v>121</v>
      </c>
      <c r="H819" s="28" t="s">
        <v>64</v>
      </c>
      <c r="I819" s="28" t="s">
        <v>65</v>
      </c>
      <c r="J819" s="28" t="s">
        <v>71</v>
      </c>
      <c r="K819" s="28" t="s">
        <v>90</v>
      </c>
      <c r="L819" s="28" t="s">
        <v>91</v>
      </c>
      <c r="M819" s="28" t="s">
        <v>92</v>
      </c>
      <c r="N819" s="28" t="s">
        <v>93</v>
      </c>
      <c r="O819" s="29" t="n">
        <v>21</v>
      </c>
      <c r="P819" s="30" t="n">
        <v>127.4</v>
      </c>
      <c r="Q819" s="30" t="n">
        <v>76.05</v>
      </c>
      <c r="R819" s="30" t="n">
        <f aca="false">ROUND(O819*P819,2)</f>
        <v>2675.4</v>
      </c>
      <c r="S819" s="30" t="n">
        <f aca="false">ROUND(O819*Q819,2)</f>
        <v>1597.05</v>
      </c>
      <c r="T819" s="30" t="n">
        <f aca="false">ROUND(R819*SUMIFS(Parametros!$E$23:$E$38,Parametros!$B$23:$B$38,J819,Parametros!$C$23:$C$38,C819,Parametros!$D$23:$D$38,D819),2)</f>
        <v>123.07</v>
      </c>
      <c r="U819" s="30" t="n">
        <f aca="false">R819-S819-T819</f>
        <v>955.28</v>
      </c>
    </row>
    <row r="820" customFormat="false" ht="15" hidden="false" customHeight="false" outlineLevel="0" collapsed="false">
      <c r="A820" s="0" t="n">
        <v>819</v>
      </c>
      <c r="B820" s="27" t="n">
        <v>45545</v>
      </c>
      <c r="C820" s="0" t="n">
        <v>2024</v>
      </c>
      <c r="D820" s="28" t="s">
        <v>115</v>
      </c>
      <c r="E820" s="0" t="n">
        <v>9</v>
      </c>
      <c r="F820" s="28" t="s">
        <v>120</v>
      </c>
      <c r="G820" s="28" t="s">
        <v>121</v>
      </c>
      <c r="H820" s="28" t="s">
        <v>64</v>
      </c>
      <c r="I820" s="28" t="s">
        <v>65</v>
      </c>
      <c r="J820" s="28" t="s">
        <v>66</v>
      </c>
      <c r="K820" s="28" t="s">
        <v>90</v>
      </c>
      <c r="L820" s="28" t="s">
        <v>91</v>
      </c>
      <c r="M820" s="28" t="s">
        <v>94</v>
      </c>
      <c r="N820" s="28" t="s">
        <v>95</v>
      </c>
      <c r="O820" s="29" t="n">
        <v>49</v>
      </c>
      <c r="P820" s="30" t="n">
        <v>34.3</v>
      </c>
      <c r="Q820" s="30" t="n">
        <v>17.85</v>
      </c>
      <c r="R820" s="30" t="n">
        <f aca="false">ROUND(O820*P820,2)</f>
        <v>1680.7</v>
      </c>
      <c r="S820" s="30" t="n">
        <f aca="false">ROUND(O820*Q820,2)</f>
        <v>874.65</v>
      </c>
      <c r="T820" s="30" t="n">
        <f aca="false">ROUND(R820*SUMIFS(Parametros!$E$23:$E$38,Parametros!$B$23:$B$38,J820,Parametros!$C$23:$C$38,C820,Parametros!$D$23:$D$38,D820),2)</f>
        <v>21.85</v>
      </c>
      <c r="U820" s="30" t="n">
        <f aca="false">R820-S820-T820</f>
        <v>784.2</v>
      </c>
    </row>
    <row r="821" customFormat="false" ht="15" hidden="false" customHeight="false" outlineLevel="0" collapsed="false">
      <c r="A821" s="0" t="n">
        <v>820</v>
      </c>
      <c r="B821" s="27" t="n">
        <v>45552</v>
      </c>
      <c r="C821" s="0" t="n">
        <v>2024</v>
      </c>
      <c r="D821" s="28" t="s">
        <v>115</v>
      </c>
      <c r="E821" s="0" t="n">
        <v>9</v>
      </c>
      <c r="F821" s="28" t="s">
        <v>120</v>
      </c>
      <c r="G821" s="28" t="s">
        <v>121</v>
      </c>
      <c r="H821" s="28" t="s">
        <v>64</v>
      </c>
      <c r="I821" s="28" t="s">
        <v>65</v>
      </c>
      <c r="J821" s="28" t="s">
        <v>71</v>
      </c>
      <c r="K821" s="28" t="s">
        <v>90</v>
      </c>
      <c r="L821" s="28" t="s">
        <v>91</v>
      </c>
      <c r="M821" s="28" t="s">
        <v>94</v>
      </c>
      <c r="N821" s="28" t="s">
        <v>95</v>
      </c>
      <c r="O821" s="29" t="n">
        <v>21</v>
      </c>
      <c r="P821" s="30" t="n">
        <v>34.3</v>
      </c>
      <c r="Q821" s="30" t="n">
        <v>17.85</v>
      </c>
      <c r="R821" s="30" t="n">
        <f aca="false">ROUND(O821*P821,2)</f>
        <v>720.3</v>
      </c>
      <c r="S821" s="30" t="n">
        <f aca="false">ROUND(O821*Q821,2)</f>
        <v>374.85</v>
      </c>
      <c r="T821" s="30" t="n">
        <f aca="false">ROUND(R821*SUMIFS(Parametros!$E$23:$E$38,Parametros!$B$23:$B$38,J821,Parametros!$C$23:$C$38,C821,Parametros!$D$23:$D$38,D821),2)</f>
        <v>33.13</v>
      </c>
      <c r="U821" s="30" t="n">
        <f aca="false">R821-S821-T821</f>
        <v>312.32</v>
      </c>
    </row>
    <row r="822" customFormat="false" ht="15" hidden="false" customHeight="false" outlineLevel="0" collapsed="false">
      <c r="A822" s="0" t="n">
        <v>821</v>
      </c>
      <c r="B822" s="27" t="n">
        <v>45559</v>
      </c>
      <c r="C822" s="0" t="n">
        <v>2024</v>
      </c>
      <c r="D822" s="28" t="s">
        <v>115</v>
      </c>
      <c r="E822" s="0" t="n">
        <v>9</v>
      </c>
      <c r="F822" s="28" t="s">
        <v>120</v>
      </c>
      <c r="G822" s="28" t="s">
        <v>121</v>
      </c>
      <c r="H822" s="28" t="s">
        <v>96</v>
      </c>
      <c r="I822" s="28" t="s">
        <v>97</v>
      </c>
      <c r="J822" s="28" t="s">
        <v>66</v>
      </c>
      <c r="K822" s="28" t="s">
        <v>67</v>
      </c>
      <c r="L822" s="28" t="s">
        <v>68</v>
      </c>
      <c r="M822" s="28" t="s">
        <v>69</v>
      </c>
      <c r="N822" s="28" t="s">
        <v>70</v>
      </c>
      <c r="O822" s="29" t="n">
        <v>13</v>
      </c>
      <c r="P822" s="30" t="n">
        <v>1176</v>
      </c>
      <c r="Q822" s="30" t="n">
        <v>744</v>
      </c>
      <c r="R822" s="30" t="n">
        <f aca="false">ROUND(O822*P822,2)</f>
        <v>15288</v>
      </c>
      <c r="S822" s="30" t="n">
        <f aca="false">ROUND(O822*Q822,2)</f>
        <v>9672</v>
      </c>
      <c r="T822" s="30" t="n">
        <f aca="false">ROUND(R822*SUMIFS(Parametros!$E$23:$E$38,Parametros!$B$23:$B$38,J822,Parametros!$C$23:$C$38,C822,Parametros!$D$23:$D$38,D822),2)</f>
        <v>198.74</v>
      </c>
      <c r="U822" s="30" t="n">
        <f aca="false">R822-S822-T822</f>
        <v>5417.26</v>
      </c>
    </row>
    <row r="823" customFormat="false" ht="15" hidden="false" customHeight="false" outlineLevel="0" collapsed="false">
      <c r="A823" s="0" t="n">
        <v>822</v>
      </c>
      <c r="B823" s="27" t="n">
        <v>45539</v>
      </c>
      <c r="C823" s="0" t="n">
        <v>2024</v>
      </c>
      <c r="D823" s="28" t="s">
        <v>115</v>
      </c>
      <c r="E823" s="0" t="n">
        <v>9</v>
      </c>
      <c r="F823" s="28" t="s">
        <v>120</v>
      </c>
      <c r="G823" s="28" t="s">
        <v>121</v>
      </c>
      <c r="H823" s="28" t="s">
        <v>96</v>
      </c>
      <c r="I823" s="28" t="s">
        <v>97</v>
      </c>
      <c r="J823" s="28" t="s">
        <v>71</v>
      </c>
      <c r="K823" s="28" t="s">
        <v>67</v>
      </c>
      <c r="L823" s="28" t="s">
        <v>68</v>
      </c>
      <c r="M823" s="28" t="s">
        <v>69</v>
      </c>
      <c r="N823" s="28" t="s">
        <v>70</v>
      </c>
      <c r="O823" s="29" t="n">
        <v>5</v>
      </c>
      <c r="P823" s="30" t="n">
        <v>1176</v>
      </c>
      <c r="Q823" s="30" t="n">
        <v>744</v>
      </c>
      <c r="R823" s="30" t="n">
        <f aca="false">ROUND(O823*P823,2)</f>
        <v>5880</v>
      </c>
      <c r="S823" s="30" t="n">
        <f aca="false">ROUND(O823*Q823,2)</f>
        <v>3720</v>
      </c>
      <c r="T823" s="30" t="n">
        <f aca="false">ROUND(R823*SUMIFS(Parametros!$E$23:$E$38,Parametros!$B$23:$B$38,J823,Parametros!$C$23:$C$38,C823,Parametros!$D$23:$D$38,D823),2)</f>
        <v>270.48</v>
      </c>
      <c r="U823" s="30" t="n">
        <f aca="false">R823-S823-T823</f>
        <v>1889.52</v>
      </c>
    </row>
    <row r="824" customFormat="false" ht="15" hidden="false" customHeight="false" outlineLevel="0" collapsed="false">
      <c r="A824" s="0" t="n">
        <v>823</v>
      </c>
      <c r="B824" s="27" t="n">
        <v>45546</v>
      </c>
      <c r="C824" s="0" t="n">
        <v>2024</v>
      </c>
      <c r="D824" s="28" t="s">
        <v>115</v>
      </c>
      <c r="E824" s="0" t="n">
        <v>9</v>
      </c>
      <c r="F824" s="28" t="s">
        <v>120</v>
      </c>
      <c r="G824" s="28" t="s">
        <v>121</v>
      </c>
      <c r="H824" s="28" t="s">
        <v>96</v>
      </c>
      <c r="I824" s="28" t="s">
        <v>97</v>
      </c>
      <c r="J824" s="28" t="s">
        <v>66</v>
      </c>
      <c r="K824" s="28" t="s">
        <v>67</v>
      </c>
      <c r="L824" s="28" t="s">
        <v>68</v>
      </c>
      <c r="M824" s="28" t="s">
        <v>72</v>
      </c>
      <c r="N824" s="28" t="s">
        <v>73</v>
      </c>
      <c r="O824" s="29" t="n">
        <v>12</v>
      </c>
      <c r="P824" s="30" t="n">
        <v>441</v>
      </c>
      <c r="Q824" s="30" t="n">
        <v>272.25</v>
      </c>
      <c r="R824" s="30" t="n">
        <f aca="false">ROUND(O824*P824,2)</f>
        <v>5292</v>
      </c>
      <c r="S824" s="30" t="n">
        <f aca="false">ROUND(O824*Q824,2)</f>
        <v>3267</v>
      </c>
      <c r="T824" s="30" t="n">
        <f aca="false">ROUND(R824*SUMIFS(Parametros!$E$23:$E$38,Parametros!$B$23:$B$38,J824,Parametros!$C$23:$C$38,C824,Parametros!$D$23:$D$38,D824),2)</f>
        <v>68.8</v>
      </c>
      <c r="U824" s="30" t="n">
        <f aca="false">R824-S824-T824</f>
        <v>1956.2</v>
      </c>
    </row>
    <row r="825" customFormat="false" ht="15" hidden="false" customHeight="false" outlineLevel="0" collapsed="false">
      <c r="A825" s="0" t="n">
        <v>824</v>
      </c>
      <c r="B825" s="27" t="n">
        <v>45553</v>
      </c>
      <c r="C825" s="0" t="n">
        <v>2024</v>
      </c>
      <c r="D825" s="28" t="s">
        <v>115</v>
      </c>
      <c r="E825" s="0" t="n">
        <v>9</v>
      </c>
      <c r="F825" s="28" t="s">
        <v>120</v>
      </c>
      <c r="G825" s="28" t="s">
        <v>121</v>
      </c>
      <c r="H825" s="28" t="s">
        <v>96</v>
      </c>
      <c r="I825" s="28" t="s">
        <v>97</v>
      </c>
      <c r="J825" s="28" t="s">
        <v>71</v>
      </c>
      <c r="K825" s="28" t="s">
        <v>67</v>
      </c>
      <c r="L825" s="28" t="s">
        <v>68</v>
      </c>
      <c r="M825" s="28" t="s">
        <v>72</v>
      </c>
      <c r="N825" s="28" t="s">
        <v>73</v>
      </c>
      <c r="O825" s="29" t="n">
        <v>5</v>
      </c>
      <c r="P825" s="30" t="n">
        <v>441</v>
      </c>
      <c r="Q825" s="30" t="n">
        <v>272.25</v>
      </c>
      <c r="R825" s="30" t="n">
        <f aca="false">ROUND(O825*P825,2)</f>
        <v>2205</v>
      </c>
      <c r="S825" s="30" t="n">
        <f aca="false">ROUND(O825*Q825,2)</f>
        <v>1361.25</v>
      </c>
      <c r="T825" s="30" t="n">
        <f aca="false">ROUND(R825*SUMIFS(Parametros!$E$23:$E$38,Parametros!$B$23:$B$38,J825,Parametros!$C$23:$C$38,C825,Parametros!$D$23:$D$38,D825),2)</f>
        <v>101.43</v>
      </c>
      <c r="U825" s="30" t="n">
        <f aca="false">R825-S825-T825</f>
        <v>742.32</v>
      </c>
    </row>
    <row r="826" customFormat="false" ht="15" hidden="false" customHeight="false" outlineLevel="0" collapsed="false">
      <c r="A826" s="0" t="n">
        <v>825</v>
      </c>
      <c r="B826" s="27" t="n">
        <v>45560</v>
      </c>
      <c r="C826" s="0" t="n">
        <v>2024</v>
      </c>
      <c r="D826" s="28" t="s">
        <v>115</v>
      </c>
      <c r="E826" s="0" t="n">
        <v>9</v>
      </c>
      <c r="F826" s="28" t="s">
        <v>120</v>
      </c>
      <c r="G826" s="28" t="s">
        <v>121</v>
      </c>
      <c r="H826" s="28" t="s">
        <v>96</v>
      </c>
      <c r="I826" s="28" t="s">
        <v>97</v>
      </c>
      <c r="J826" s="28" t="s">
        <v>66</v>
      </c>
      <c r="K826" s="28" t="s">
        <v>67</v>
      </c>
      <c r="L826" s="28" t="s">
        <v>68</v>
      </c>
      <c r="M826" s="28" t="s">
        <v>74</v>
      </c>
      <c r="N826" s="28" t="s">
        <v>75</v>
      </c>
      <c r="O826" s="29" t="n">
        <v>11</v>
      </c>
      <c r="P826" s="30" t="n">
        <v>1617</v>
      </c>
      <c r="Q826" s="30" t="n">
        <v>1122</v>
      </c>
      <c r="R826" s="30" t="n">
        <f aca="false">ROUND(O826*P826,2)</f>
        <v>17787</v>
      </c>
      <c r="S826" s="30" t="n">
        <f aca="false">ROUND(O826*Q826,2)</f>
        <v>12342</v>
      </c>
      <c r="T826" s="30" t="n">
        <f aca="false">ROUND(R826*SUMIFS(Parametros!$E$23:$E$38,Parametros!$B$23:$B$38,J826,Parametros!$C$23:$C$38,C826,Parametros!$D$23:$D$38,D826),2)</f>
        <v>231.23</v>
      </c>
      <c r="U826" s="30" t="n">
        <f aca="false">R826-S826-T826</f>
        <v>5213.77</v>
      </c>
    </row>
    <row r="827" customFormat="false" ht="15" hidden="false" customHeight="false" outlineLevel="0" collapsed="false">
      <c r="A827" s="0" t="n">
        <v>826</v>
      </c>
      <c r="B827" s="27" t="n">
        <v>45540</v>
      </c>
      <c r="C827" s="0" t="n">
        <v>2024</v>
      </c>
      <c r="D827" s="28" t="s">
        <v>115</v>
      </c>
      <c r="E827" s="0" t="n">
        <v>9</v>
      </c>
      <c r="F827" s="28" t="s">
        <v>120</v>
      </c>
      <c r="G827" s="28" t="s">
        <v>121</v>
      </c>
      <c r="H827" s="28" t="s">
        <v>96</v>
      </c>
      <c r="I827" s="28" t="s">
        <v>97</v>
      </c>
      <c r="J827" s="28" t="s">
        <v>71</v>
      </c>
      <c r="K827" s="28" t="s">
        <v>67</v>
      </c>
      <c r="L827" s="28" t="s">
        <v>68</v>
      </c>
      <c r="M827" s="28" t="s">
        <v>74</v>
      </c>
      <c r="N827" s="28" t="s">
        <v>75</v>
      </c>
      <c r="O827" s="29" t="n">
        <v>6</v>
      </c>
      <c r="P827" s="30" t="n">
        <v>1617</v>
      </c>
      <c r="Q827" s="30" t="n">
        <v>1122</v>
      </c>
      <c r="R827" s="30" t="n">
        <f aca="false">ROUND(O827*P827,2)</f>
        <v>9702</v>
      </c>
      <c r="S827" s="30" t="n">
        <f aca="false">ROUND(O827*Q827,2)</f>
        <v>6732</v>
      </c>
      <c r="T827" s="30" t="n">
        <f aca="false">ROUND(R827*SUMIFS(Parametros!$E$23:$E$38,Parametros!$B$23:$B$38,J827,Parametros!$C$23:$C$38,C827,Parametros!$D$23:$D$38,D827),2)</f>
        <v>446.29</v>
      </c>
      <c r="U827" s="30" t="n">
        <f aca="false">R827-S827-T827</f>
        <v>2523.71</v>
      </c>
    </row>
    <row r="828" customFormat="false" ht="15" hidden="false" customHeight="false" outlineLevel="0" collapsed="false">
      <c r="A828" s="0" t="n">
        <v>827</v>
      </c>
      <c r="B828" s="27" t="n">
        <v>45547</v>
      </c>
      <c r="C828" s="0" t="n">
        <v>2024</v>
      </c>
      <c r="D828" s="28" t="s">
        <v>115</v>
      </c>
      <c r="E828" s="0" t="n">
        <v>9</v>
      </c>
      <c r="F828" s="28" t="s">
        <v>120</v>
      </c>
      <c r="G828" s="28" t="s">
        <v>121</v>
      </c>
      <c r="H828" s="28" t="s">
        <v>96</v>
      </c>
      <c r="I828" s="28" t="s">
        <v>97</v>
      </c>
      <c r="J828" s="28" t="s">
        <v>66</v>
      </c>
      <c r="K828" s="28" t="s">
        <v>76</v>
      </c>
      <c r="L828" s="28" t="s">
        <v>77</v>
      </c>
      <c r="M828" s="28" t="s">
        <v>78</v>
      </c>
      <c r="N828" s="28" t="s">
        <v>79</v>
      </c>
      <c r="O828" s="29" t="n">
        <v>50</v>
      </c>
      <c r="P828" s="30" t="n">
        <v>27.44</v>
      </c>
      <c r="Q828" s="30" t="n">
        <v>13.44</v>
      </c>
      <c r="R828" s="30" t="n">
        <f aca="false">ROUND(O828*P828,2)</f>
        <v>1372</v>
      </c>
      <c r="S828" s="30" t="n">
        <f aca="false">ROUND(O828*Q828,2)</f>
        <v>672</v>
      </c>
      <c r="T828" s="30" t="n">
        <f aca="false">ROUND(R828*SUMIFS(Parametros!$E$23:$E$38,Parametros!$B$23:$B$38,J828,Parametros!$C$23:$C$38,C828,Parametros!$D$23:$D$38,D828),2)</f>
        <v>17.84</v>
      </c>
      <c r="U828" s="30" t="n">
        <f aca="false">R828-S828-T828</f>
        <v>682.16</v>
      </c>
    </row>
    <row r="829" customFormat="false" ht="15" hidden="false" customHeight="false" outlineLevel="0" collapsed="false">
      <c r="A829" s="0" t="n">
        <v>828</v>
      </c>
      <c r="B829" s="27" t="n">
        <v>45554</v>
      </c>
      <c r="C829" s="0" t="n">
        <v>2024</v>
      </c>
      <c r="D829" s="28" t="s">
        <v>115</v>
      </c>
      <c r="E829" s="0" t="n">
        <v>9</v>
      </c>
      <c r="F829" s="28" t="s">
        <v>120</v>
      </c>
      <c r="G829" s="28" t="s">
        <v>121</v>
      </c>
      <c r="H829" s="28" t="s">
        <v>96</v>
      </c>
      <c r="I829" s="28" t="s">
        <v>97</v>
      </c>
      <c r="J829" s="28" t="s">
        <v>71</v>
      </c>
      <c r="K829" s="28" t="s">
        <v>76</v>
      </c>
      <c r="L829" s="28" t="s">
        <v>77</v>
      </c>
      <c r="M829" s="28" t="s">
        <v>78</v>
      </c>
      <c r="N829" s="28" t="s">
        <v>79</v>
      </c>
      <c r="O829" s="29" t="n">
        <v>18</v>
      </c>
      <c r="P829" s="30" t="n">
        <v>27.44</v>
      </c>
      <c r="Q829" s="30" t="n">
        <v>13.44</v>
      </c>
      <c r="R829" s="30" t="n">
        <f aca="false">ROUND(O829*P829,2)</f>
        <v>493.92</v>
      </c>
      <c r="S829" s="30" t="n">
        <f aca="false">ROUND(O829*Q829,2)</f>
        <v>241.92</v>
      </c>
      <c r="T829" s="30" t="n">
        <f aca="false">ROUND(R829*SUMIFS(Parametros!$E$23:$E$38,Parametros!$B$23:$B$38,J829,Parametros!$C$23:$C$38,C829,Parametros!$D$23:$D$38,D829),2)</f>
        <v>22.72</v>
      </c>
      <c r="U829" s="30" t="n">
        <f aca="false">R829-S829-T829</f>
        <v>229.28</v>
      </c>
    </row>
    <row r="830" customFormat="false" ht="15" hidden="false" customHeight="false" outlineLevel="0" collapsed="false">
      <c r="A830" s="0" t="n">
        <v>829</v>
      </c>
      <c r="B830" s="27" t="n">
        <v>45561</v>
      </c>
      <c r="C830" s="0" t="n">
        <v>2024</v>
      </c>
      <c r="D830" s="28" t="s">
        <v>115</v>
      </c>
      <c r="E830" s="0" t="n">
        <v>9</v>
      </c>
      <c r="F830" s="28" t="s">
        <v>120</v>
      </c>
      <c r="G830" s="28" t="s">
        <v>121</v>
      </c>
      <c r="H830" s="28" t="s">
        <v>96</v>
      </c>
      <c r="I830" s="28" t="s">
        <v>97</v>
      </c>
      <c r="J830" s="28" t="s">
        <v>66</v>
      </c>
      <c r="K830" s="28" t="s">
        <v>76</v>
      </c>
      <c r="L830" s="28" t="s">
        <v>77</v>
      </c>
      <c r="M830" s="28" t="s">
        <v>80</v>
      </c>
      <c r="N830" s="28" t="s">
        <v>81</v>
      </c>
      <c r="O830" s="29" t="n">
        <v>55</v>
      </c>
      <c r="P830" s="30" t="n">
        <v>93.1</v>
      </c>
      <c r="Q830" s="30" t="n">
        <v>47.98</v>
      </c>
      <c r="R830" s="30" t="n">
        <f aca="false">ROUND(O830*P830,2)</f>
        <v>5120.5</v>
      </c>
      <c r="S830" s="30" t="n">
        <f aca="false">ROUND(O830*Q830,2)</f>
        <v>2638.9</v>
      </c>
      <c r="T830" s="30" t="n">
        <f aca="false">ROUND(R830*SUMIFS(Parametros!$E$23:$E$38,Parametros!$B$23:$B$38,J830,Parametros!$C$23:$C$38,C830,Parametros!$D$23:$D$38,D830),2)</f>
        <v>66.57</v>
      </c>
      <c r="U830" s="30" t="n">
        <f aca="false">R830-S830-T830</f>
        <v>2415.03</v>
      </c>
    </row>
    <row r="831" customFormat="false" ht="15" hidden="false" customHeight="false" outlineLevel="0" collapsed="false">
      <c r="A831" s="0" t="n">
        <v>830</v>
      </c>
      <c r="B831" s="27" t="n">
        <v>45541</v>
      </c>
      <c r="C831" s="0" t="n">
        <v>2024</v>
      </c>
      <c r="D831" s="28" t="s">
        <v>115</v>
      </c>
      <c r="E831" s="0" t="n">
        <v>9</v>
      </c>
      <c r="F831" s="28" t="s">
        <v>120</v>
      </c>
      <c r="G831" s="28" t="s">
        <v>121</v>
      </c>
      <c r="H831" s="28" t="s">
        <v>96</v>
      </c>
      <c r="I831" s="28" t="s">
        <v>97</v>
      </c>
      <c r="J831" s="28" t="s">
        <v>71</v>
      </c>
      <c r="K831" s="28" t="s">
        <v>76</v>
      </c>
      <c r="L831" s="28" t="s">
        <v>77</v>
      </c>
      <c r="M831" s="28" t="s">
        <v>80</v>
      </c>
      <c r="N831" s="28" t="s">
        <v>81</v>
      </c>
      <c r="O831" s="29" t="n">
        <v>26</v>
      </c>
      <c r="P831" s="30" t="n">
        <v>93.1</v>
      </c>
      <c r="Q831" s="30" t="n">
        <v>47.98</v>
      </c>
      <c r="R831" s="30" t="n">
        <f aca="false">ROUND(O831*P831,2)</f>
        <v>2420.6</v>
      </c>
      <c r="S831" s="30" t="n">
        <f aca="false">ROUND(O831*Q831,2)</f>
        <v>1247.48</v>
      </c>
      <c r="T831" s="30" t="n">
        <f aca="false">ROUND(R831*SUMIFS(Parametros!$E$23:$E$38,Parametros!$B$23:$B$38,J831,Parametros!$C$23:$C$38,C831,Parametros!$D$23:$D$38,D831),2)</f>
        <v>111.35</v>
      </c>
      <c r="U831" s="30" t="n">
        <f aca="false">R831-S831-T831</f>
        <v>1061.77</v>
      </c>
    </row>
    <row r="832" customFormat="false" ht="15" hidden="false" customHeight="false" outlineLevel="0" collapsed="false">
      <c r="A832" s="0" t="n">
        <v>831</v>
      </c>
      <c r="B832" s="27" t="n">
        <v>45548</v>
      </c>
      <c r="C832" s="0" t="n">
        <v>2024</v>
      </c>
      <c r="D832" s="28" t="s">
        <v>115</v>
      </c>
      <c r="E832" s="0" t="n">
        <v>9</v>
      </c>
      <c r="F832" s="28" t="s">
        <v>120</v>
      </c>
      <c r="G832" s="28" t="s">
        <v>121</v>
      </c>
      <c r="H832" s="28" t="s">
        <v>96</v>
      </c>
      <c r="I832" s="28" t="s">
        <v>97</v>
      </c>
      <c r="J832" s="28" t="s">
        <v>66</v>
      </c>
      <c r="K832" s="28" t="s">
        <v>76</v>
      </c>
      <c r="L832" s="28" t="s">
        <v>77</v>
      </c>
      <c r="M832" s="28" t="s">
        <v>82</v>
      </c>
      <c r="N832" s="28" t="s">
        <v>83</v>
      </c>
      <c r="O832" s="29" t="n">
        <v>64</v>
      </c>
      <c r="P832" s="30" t="n">
        <v>63.7</v>
      </c>
      <c r="Q832" s="30" t="n">
        <v>35.43</v>
      </c>
      <c r="R832" s="30" t="n">
        <f aca="false">ROUND(O832*P832,2)</f>
        <v>4076.8</v>
      </c>
      <c r="S832" s="30" t="n">
        <f aca="false">ROUND(O832*Q832,2)</f>
        <v>2267.52</v>
      </c>
      <c r="T832" s="30" t="n">
        <f aca="false">ROUND(R832*SUMIFS(Parametros!$E$23:$E$38,Parametros!$B$23:$B$38,J832,Parametros!$C$23:$C$38,C832,Parametros!$D$23:$D$38,D832),2)</f>
        <v>53</v>
      </c>
      <c r="U832" s="30" t="n">
        <f aca="false">R832-S832-T832</f>
        <v>1756.28</v>
      </c>
    </row>
    <row r="833" customFormat="false" ht="15" hidden="false" customHeight="false" outlineLevel="0" collapsed="false">
      <c r="A833" s="0" t="n">
        <v>832</v>
      </c>
      <c r="B833" s="27" t="n">
        <v>45555</v>
      </c>
      <c r="C833" s="0" t="n">
        <v>2024</v>
      </c>
      <c r="D833" s="28" t="s">
        <v>115</v>
      </c>
      <c r="E833" s="0" t="n">
        <v>9</v>
      </c>
      <c r="F833" s="28" t="s">
        <v>120</v>
      </c>
      <c r="G833" s="28" t="s">
        <v>121</v>
      </c>
      <c r="H833" s="28" t="s">
        <v>96</v>
      </c>
      <c r="I833" s="28" t="s">
        <v>97</v>
      </c>
      <c r="J833" s="28" t="s">
        <v>71</v>
      </c>
      <c r="K833" s="28" t="s">
        <v>76</v>
      </c>
      <c r="L833" s="28" t="s">
        <v>77</v>
      </c>
      <c r="M833" s="28" t="s">
        <v>82</v>
      </c>
      <c r="N833" s="28" t="s">
        <v>83</v>
      </c>
      <c r="O833" s="29" t="n">
        <v>26</v>
      </c>
      <c r="P833" s="30" t="n">
        <v>63.7</v>
      </c>
      <c r="Q833" s="30" t="n">
        <v>35.43</v>
      </c>
      <c r="R833" s="30" t="n">
        <f aca="false">ROUND(O833*P833,2)</f>
        <v>1656.2</v>
      </c>
      <c r="S833" s="30" t="n">
        <f aca="false">ROUND(O833*Q833,2)</f>
        <v>921.18</v>
      </c>
      <c r="T833" s="30" t="n">
        <f aca="false">ROUND(R833*SUMIFS(Parametros!$E$23:$E$38,Parametros!$B$23:$B$38,J833,Parametros!$C$23:$C$38,C833,Parametros!$D$23:$D$38,D833),2)</f>
        <v>76.19</v>
      </c>
      <c r="U833" s="30" t="n">
        <f aca="false">R833-S833-T833</f>
        <v>658.83</v>
      </c>
    </row>
    <row r="834" customFormat="false" ht="15" hidden="false" customHeight="false" outlineLevel="0" collapsed="false">
      <c r="A834" s="0" t="n">
        <v>833</v>
      </c>
      <c r="B834" s="27" t="n">
        <v>45562</v>
      </c>
      <c r="C834" s="0" t="n">
        <v>2024</v>
      </c>
      <c r="D834" s="28" t="s">
        <v>115</v>
      </c>
      <c r="E834" s="0" t="n">
        <v>9</v>
      </c>
      <c r="F834" s="28" t="s">
        <v>120</v>
      </c>
      <c r="G834" s="28" t="s">
        <v>121</v>
      </c>
      <c r="H834" s="28" t="s">
        <v>96</v>
      </c>
      <c r="I834" s="28" t="s">
        <v>97</v>
      </c>
      <c r="J834" s="28" t="s">
        <v>66</v>
      </c>
      <c r="K834" s="28" t="s">
        <v>84</v>
      </c>
      <c r="L834" s="28" t="s">
        <v>85</v>
      </c>
      <c r="M834" s="28" t="s">
        <v>86</v>
      </c>
      <c r="N834" s="28" t="s">
        <v>87</v>
      </c>
      <c r="O834" s="29" t="n">
        <v>28</v>
      </c>
      <c r="P834" s="30" t="n">
        <v>117.6</v>
      </c>
      <c r="Q834" s="30" t="n">
        <v>63.6</v>
      </c>
      <c r="R834" s="30" t="n">
        <f aca="false">ROUND(O834*P834,2)</f>
        <v>3292.8</v>
      </c>
      <c r="S834" s="30" t="n">
        <f aca="false">ROUND(O834*Q834,2)</f>
        <v>1780.8</v>
      </c>
      <c r="T834" s="30" t="n">
        <f aca="false">ROUND(R834*SUMIFS(Parametros!$E$23:$E$38,Parametros!$B$23:$B$38,J834,Parametros!$C$23:$C$38,C834,Parametros!$D$23:$D$38,D834),2)</f>
        <v>42.81</v>
      </c>
      <c r="U834" s="30" t="n">
        <f aca="false">R834-S834-T834</f>
        <v>1469.19</v>
      </c>
    </row>
    <row r="835" customFormat="false" ht="15" hidden="false" customHeight="false" outlineLevel="0" collapsed="false">
      <c r="A835" s="0" t="n">
        <v>834</v>
      </c>
      <c r="B835" s="27" t="n">
        <v>45542</v>
      </c>
      <c r="C835" s="0" t="n">
        <v>2024</v>
      </c>
      <c r="D835" s="28" t="s">
        <v>115</v>
      </c>
      <c r="E835" s="0" t="n">
        <v>9</v>
      </c>
      <c r="F835" s="28" t="s">
        <v>120</v>
      </c>
      <c r="G835" s="28" t="s">
        <v>121</v>
      </c>
      <c r="H835" s="28" t="s">
        <v>96</v>
      </c>
      <c r="I835" s="28" t="s">
        <v>97</v>
      </c>
      <c r="J835" s="28" t="s">
        <v>71</v>
      </c>
      <c r="K835" s="28" t="s">
        <v>84</v>
      </c>
      <c r="L835" s="28" t="s">
        <v>85</v>
      </c>
      <c r="M835" s="28" t="s">
        <v>86</v>
      </c>
      <c r="N835" s="28" t="s">
        <v>87</v>
      </c>
      <c r="O835" s="29" t="n">
        <v>10</v>
      </c>
      <c r="P835" s="30" t="n">
        <v>117.6</v>
      </c>
      <c r="Q835" s="30" t="n">
        <v>63.6</v>
      </c>
      <c r="R835" s="30" t="n">
        <f aca="false">ROUND(O835*P835,2)</f>
        <v>1176</v>
      </c>
      <c r="S835" s="30" t="n">
        <f aca="false">ROUND(O835*Q835,2)</f>
        <v>636</v>
      </c>
      <c r="T835" s="30" t="n">
        <f aca="false">ROUND(R835*SUMIFS(Parametros!$E$23:$E$38,Parametros!$B$23:$B$38,J835,Parametros!$C$23:$C$38,C835,Parametros!$D$23:$D$38,D835),2)</f>
        <v>54.1</v>
      </c>
      <c r="U835" s="30" t="n">
        <f aca="false">R835-S835-T835</f>
        <v>485.9</v>
      </c>
    </row>
    <row r="836" customFormat="false" ht="15" hidden="false" customHeight="false" outlineLevel="0" collapsed="false">
      <c r="A836" s="0" t="n">
        <v>835</v>
      </c>
      <c r="B836" s="27" t="n">
        <v>45549</v>
      </c>
      <c r="C836" s="0" t="n">
        <v>2024</v>
      </c>
      <c r="D836" s="28" t="s">
        <v>115</v>
      </c>
      <c r="E836" s="0" t="n">
        <v>9</v>
      </c>
      <c r="F836" s="28" t="s">
        <v>120</v>
      </c>
      <c r="G836" s="28" t="s">
        <v>121</v>
      </c>
      <c r="H836" s="28" t="s">
        <v>96</v>
      </c>
      <c r="I836" s="28" t="s">
        <v>97</v>
      </c>
      <c r="J836" s="28" t="s">
        <v>66</v>
      </c>
      <c r="K836" s="28" t="s">
        <v>84</v>
      </c>
      <c r="L836" s="28" t="s">
        <v>85</v>
      </c>
      <c r="M836" s="28" t="s">
        <v>88</v>
      </c>
      <c r="N836" s="28" t="s">
        <v>89</v>
      </c>
      <c r="O836" s="29" t="n">
        <v>23</v>
      </c>
      <c r="P836" s="30" t="n">
        <v>83.3</v>
      </c>
      <c r="Q836" s="30" t="n">
        <v>48.02</v>
      </c>
      <c r="R836" s="30" t="n">
        <f aca="false">ROUND(O836*P836,2)</f>
        <v>1915.9</v>
      </c>
      <c r="S836" s="30" t="n">
        <f aca="false">ROUND(O836*Q836,2)</f>
        <v>1104.46</v>
      </c>
      <c r="T836" s="30" t="n">
        <f aca="false">ROUND(R836*SUMIFS(Parametros!$E$23:$E$38,Parametros!$B$23:$B$38,J836,Parametros!$C$23:$C$38,C836,Parametros!$D$23:$D$38,D836),2)</f>
        <v>24.91</v>
      </c>
      <c r="U836" s="30" t="n">
        <f aca="false">R836-S836-T836</f>
        <v>786.53</v>
      </c>
    </row>
    <row r="837" customFormat="false" ht="15" hidden="false" customHeight="false" outlineLevel="0" collapsed="false">
      <c r="A837" s="0" t="n">
        <v>836</v>
      </c>
      <c r="B837" s="27" t="n">
        <v>45556</v>
      </c>
      <c r="C837" s="0" t="n">
        <v>2024</v>
      </c>
      <c r="D837" s="28" t="s">
        <v>115</v>
      </c>
      <c r="E837" s="0" t="n">
        <v>9</v>
      </c>
      <c r="F837" s="28" t="s">
        <v>120</v>
      </c>
      <c r="G837" s="28" t="s">
        <v>121</v>
      </c>
      <c r="H837" s="28" t="s">
        <v>96</v>
      </c>
      <c r="I837" s="28" t="s">
        <v>97</v>
      </c>
      <c r="J837" s="28" t="s">
        <v>71</v>
      </c>
      <c r="K837" s="28" t="s">
        <v>84</v>
      </c>
      <c r="L837" s="28" t="s">
        <v>85</v>
      </c>
      <c r="M837" s="28" t="s">
        <v>88</v>
      </c>
      <c r="N837" s="28" t="s">
        <v>89</v>
      </c>
      <c r="O837" s="29" t="n">
        <v>12</v>
      </c>
      <c r="P837" s="30" t="n">
        <v>83.3</v>
      </c>
      <c r="Q837" s="30" t="n">
        <v>48.02</v>
      </c>
      <c r="R837" s="30" t="n">
        <f aca="false">ROUND(O837*P837,2)</f>
        <v>999.6</v>
      </c>
      <c r="S837" s="30" t="n">
        <f aca="false">ROUND(O837*Q837,2)</f>
        <v>576.24</v>
      </c>
      <c r="T837" s="30" t="n">
        <f aca="false">ROUND(R837*SUMIFS(Parametros!$E$23:$E$38,Parametros!$B$23:$B$38,J837,Parametros!$C$23:$C$38,C837,Parametros!$D$23:$D$38,D837),2)</f>
        <v>45.98</v>
      </c>
      <c r="U837" s="30" t="n">
        <f aca="false">R837-S837-T837</f>
        <v>377.38</v>
      </c>
    </row>
    <row r="838" customFormat="false" ht="15" hidden="false" customHeight="false" outlineLevel="0" collapsed="false">
      <c r="A838" s="0" t="n">
        <v>837</v>
      </c>
      <c r="B838" s="27" t="n">
        <v>45536</v>
      </c>
      <c r="C838" s="0" t="n">
        <v>2024</v>
      </c>
      <c r="D838" s="28" t="s">
        <v>115</v>
      </c>
      <c r="E838" s="0" t="n">
        <v>9</v>
      </c>
      <c r="F838" s="28" t="s">
        <v>120</v>
      </c>
      <c r="G838" s="28" t="s">
        <v>121</v>
      </c>
      <c r="H838" s="28" t="s">
        <v>96</v>
      </c>
      <c r="I838" s="28" t="s">
        <v>97</v>
      </c>
      <c r="J838" s="28" t="s">
        <v>66</v>
      </c>
      <c r="K838" s="28" t="s">
        <v>90</v>
      </c>
      <c r="L838" s="28" t="s">
        <v>91</v>
      </c>
      <c r="M838" s="28" t="s">
        <v>92</v>
      </c>
      <c r="N838" s="28" t="s">
        <v>93</v>
      </c>
      <c r="O838" s="29" t="n">
        <v>35</v>
      </c>
      <c r="P838" s="30" t="n">
        <v>127.4</v>
      </c>
      <c r="Q838" s="30" t="n">
        <v>76.05</v>
      </c>
      <c r="R838" s="30" t="n">
        <f aca="false">ROUND(O838*P838,2)</f>
        <v>4459</v>
      </c>
      <c r="S838" s="30" t="n">
        <f aca="false">ROUND(O838*Q838,2)</f>
        <v>2661.75</v>
      </c>
      <c r="T838" s="30" t="n">
        <f aca="false">ROUND(R838*SUMIFS(Parametros!$E$23:$E$38,Parametros!$B$23:$B$38,J838,Parametros!$C$23:$C$38,C838,Parametros!$D$23:$D$38,D838),2)</f>
        <v>57.97</v>
      </c>
      <c r="U838" s="30" t="n">
        <f aca="false">R838-S838-T838</f>
        <v>1739.28</v>
      </c>
    </row>
    <row r="839" customFormat="false" ht="15" hidden="false" customHeight="false" outlineLevel="0" collapsed="false">
      <c r="A839" s="0" t="n">
        <v>838</v>
      </c>
      <c r="B839" s="27" t="n">
        <v>45543</v>
      </c>
      <c r="C839" s="0" t="n">
        <v>2024</v>
      </c>
      <c r="D839" s="28" t="s">
        <v>115</v>
      </c>
      <c r="E839" s="0" t="n">
        <v>9</v>
      </c>
      <c r="F839" s="28" t="s">
        <v>120</v>
      </c>
      <c r="G839" s="28" t="s">
        <v>121</v>
      </c>
      <c r="H839" s="28" t="s">
        <v>96</v>
      </c>
      <c r="I839" s="28" t="s">
        <v>97</v>
      </c>
      <c r="J839" s="28" t="s">
        <v>71</v>
      </c>
      <c r="K839" s="28" t="s">
        <v>90</v>
      </c>
      <c r="L839" s="28" t="s">
        <v>91</v>
      </c>
      <c r="M839" s="28" t="s">
        <v>92</v>
      </c>
      <c r="N839" s="28" t="s">
        <v>93</v>
      </c>
      <c r="O839" s="29" t="n">
        <v>13</v>
      </c>
      <c r="P839" s="30" t="n">
        <v>127.4</v>
      </c>
      <c r="Q839" s="30" t="n">
        <v>76.05</v>
      </c>
      <c r="R839" s="30" t="n">
        <f aca="false">ROUND(O839*P839,2)</f>
        <v>1656.2</v>
      </c>
      <c r="S839" s="30" t="n">
        <f aca="false">ROUND(O839*Q839,2)</f>
        <v>988.65</v>
      </c>
      <c r="T839" s="30" t="n">
        <f aca="false">ROUND(R839*SUMIFS(Parametros!$E$23:$E$38,Parametros!$B$23:$B$38,J839,Parametros!$C$23:$C$38,C839,Parametros!$D$23:$D$38,D839),2)</f>
        <v>76.19</v>
      </c>
      <c r="U839" s="30" t="n">
        <f aca="false">R839-S839-T839</f>
        <v>591.36</v>
      </c>
    </row>
    <row r="840" customFormat="false" ht="15" hidden="false" customHeight="false" outlineLevel="0" collapsed="false">
      <c r="A840" s="0" t="n">
        <v>839</v>
      </c>
      <c r="B840" s="27" t="n">
        <v>45550</v>
      </c>
      <c r="C840" s="0" t="n">
        <v>2024</v>
      </c>
      <c r="D840" s="28" t="s">
        <v>115</v>
      </c>
      <c r="E840" s="0" t="n">
        <v>9</v>
      </c>
      <c r="F840" s="28" t="s">
        <v>120</v>
      </c>
      <c r="G840" s="28" t="s">
        <v>121</v>
      </c>
      <c r="H840" s="28" t="s">
        <v>96</v>
      </c>
      <c r="I840" s="28" t="s">
        <v>97</v>
      </c>
      <c r="J840" s="28" t="s">
        <v>66</v>
      </c>
      <c r="K840" s="28" t="s">
        <v>90</v>
      </c>
      <c r="L840" s="28" t="s">
        <v>91</v>
      </c>
      <c r="M840" s="28" t="s">
        <v>94</v>
      </c>
      <c r="N840" s="28" t="s">
        <v>95</v>
      </c>
      <c r="O840" s="29" t="n">
        <v>29</v>
      </c>
      <c r="P840" s="30" t="n">
        <v>34.3</v>
      </c>
      <c r="Q840" s="30" t="n">
        <v>17.85</v>
      </c>
      <c r="R840" s="30" t="n">
        <f aca="false">ROUND(O840*P840,2)</f>
        <v>994.7</v>
      </c>
      <c r="S840" s="30" t="n">
        <f aca="false">ROUND(O840*Q840,2)</f>
        <v>517.65</v>
      </c>
      <c r="T840" s="30" t="n">
        <f aca="false">ROUND(R840*SUMIFS(Parametros!$E$23:$E$38,Parametros!$B$23:$B$38,J840,Parametros!$C$23:$C$38,C840,Parametros!$D$23:$D$38,D840),2)</f>
        <v>12.93</v>
      </c>
      <c r="U840" s="30" t="n">
        <f aca="false">R840-S840-T840</f>
        <v>464.12</v>
      </c>
    </row>
    <row r="841" customFormat="false" ht="15" hidden="false" customHeight="false" outlineLevel="0" collapsed="false">
      <c r="A841" s="0" t="n">
        <v>840</v>
      </c>
      <c r="B841" s="27" t="n">
        <v>45557</v>
      </c>
      <c r="C841" s="0" t="n">
        <v>2024</v>
      </c>
      <c r="D841" s="28" t="s">
        <v>115</v>
      </c>
      <c r="E841" s="0" t="n">
        <v>9</v>
      </c>
      <c r="F841" s="28" t="s">
        <v>120</v>
      </c>
      <c r="G841" s="28" t="s">
        <v>121</v>
      </c>
      <c r="H841" s="28" t="s">
        <v>96</v>
      </c>
      <c r="I841" s="28" t="s">
        <v>97</v>
      </c>
      <c r="J841" s="28" t="s">
        <v>71</v>
      </c>
      <c r="K841" s="28" t="s">
        <v>90</v>
      </c>
      <c r="L841" s="28" t="s">
        <v>91</v>
      </c>
      <c r="M841" s="28" t="s">
        <v>94</v>
      </c>
      <c r="N841" s="28" t="s">
        <v>95</v>
      </c>
      <c r="O841" s="29" t="n">
        <v>12</v>
      </c>
      <c r="P841" s="30" t="n">
        <v>34.3</v>
      </c>
      <c r="Q841" s="30" t="n">
        <v>17.85</v>
      </c>
      <c r="R841" s="30" t="n">
        <f aca="false">ROUND(O841*P841,2)</f>
        <v>411.6</v>
      </c>
      <c r="S841" s="30" t="n">
        <f aca="false">ROUND(O841*Q841,2)</f>
        <v>214.2</v>
      </c>
      <c r="T841" s="30" t="n">
        <f aca="false">ROUND(R841*SUMIFS(Parametros!$E$23:$E$38,Parametros!$B$23:$B$38,J841,Parametros!$C$23:$C$38,C841,Parametros!$D$23:$D$38,D841),2)</f>
        <v>18.93</v>
      </c>
      <c r="U841" s="30" t="n">
        <f aca="false">R841-S841-T841</f>
        <v>178.47</v>
      </c>
    </row>
    <row r="842" customFormat="false" ht="15" hidden="false" customHeight="false" outlineLevel="0" collapsed="false">
      <c r="A842" s="0" t="n">
        <v>841</v>
      </c>
      <c r="B842" s="27" t="n">
        <v>45537</v>
      </c>
      <c r="C842" s="0" t="n">
        <v>2024</v>
      </c>
      <c r="D842" s="28" t="s">
        <v>115</v>
      </c>
      <c r="E842" s="0" t="n">
        <v>9</v>
      </c>
      <c r="F842" s="28" t="s">
        <v>120</v>
      </c>
      <c r="G842" s="28" t="s">
        <v>121</v>
      </c>
      <c r="H842" s="28" t="s">
        <v>98</v>
      </c>
      <c r="I842" s="28" t="s">
        <v>99</v>
      </c>
      <c r="J842" s="28" t="s">
        <v>66</v>
      </c>
      <c r="K842" s="28" t="s">
        <v>67</v>
      </c>
      <c r="L842" s="28" t="s">
        <v>68</v>
      </c>
      <c r="M842" s="28" t="s">
        <v>69</v>
      </c>
      <c r="N842" s="28" t="s">
        <v>70</v>
      </c>
      <c r="O842" s="29" t="n">
        <v>10</v>
      </c>
      <c r="P842" s="30" t="n">
        <v>1176</v>
      </c>
      <c r="Q842" s="30" t="n">
        <v>744</v>
      </c>
      <c r="R842" s="30" t="n">
        <f aca="false">ROUND(O842*P842,2)</f>
        <v>11760</v>
      </c>
      <c r="S842" s="30" t="n">
        <f aca="false">ROUND(O842*Q842,2)</f>
        <v>7440</v>
      </c>
      <c r="T842" s="30" t="n">
        <f aca="false">ROUND(R842*SUMIFS(Parametros!$E$23:$E$38,Parametros!$B$23:$B$38,J842,Parametros!$C$23:$C$38,C842,Parametros!$D$23:$D$38,D842),2)</f>
        <v>152.88</v>
      </c>
      <c r="U842" s="30" t="n">
        <f aca="false">R842-S842-T842</f>
        <v>4167.12</v>
      </c>
    </row>
    <row r="843" customFormat="false" ht="15" hidden="false" customHeight="false" outlineLevel="0" collapsed="false">
      <c r="A843" s="0" t="n">
        <v>842</v>
      </c>
      <c r="B843" s="27" t="n">
        <v>45544</v>
      </c>
      <c r="C843" s="0" t="n">
        <v>2024</v>
      </c>
      <c r="D843" s="28" t="s">
        <v>115</v>
      </c>
      <c r="E843" s="0" t="n">
        <v>9</v>
      </c>
      <c r="F843" s="28" t="s">
        <v>120</v>
      </c>
      <c r="G843" s="28" t="s">
        <v>121</v>
      </c>
      <c r="H843" s="28" t="s">
        <v>98</v>
      </c>
      <c r="I843" s="28" t="s">
        <v>99</v>
      </c>
      <c r="J843" s="28" t="s">
        <v>71</v>
      </c>
      <c r="K843" s="28" t="s">
        <v>67</v>
      </c>
      <c r="L843" s="28" t="s">
        <v>68</v>
      </c>
      <c r="M843" s="28" t="s">
        <v>69</v>
      </c>
      <c r="N843" s="28" t="s">
        <v>70</v>
      </c>
      <c r="O843" s="29" t="n">
        <v>3</v>
      </c>
      <c r="P843" s="30" t="n">
        <v>1176</v>
      </c>
      <c r="Q843" s="30" t="n">
        <v>744</v>
      </c>
      <c r="R843" s="30" t="n">
        <f aca="false">ROUND(O843*P843,2)</f>
        <v>3528</v>
      </c>
      <c r="S843" s="30" t="n">
        <f aca="false">ROUND(O843*Q843,2)</f>
        <v>2232</v>
      </c>
      <c r="T843" s="30" t="n">
        <f aca="false">ROUND(R843*SUMIFS(Parametros!$E$23:$E$38,Parametros!$B$23:$B$38,J843,Parametros!$C$23:$C$38,C843,Parametros!$D$23:$D$38,D843),2)</f>
        <v>162.29</v>
      </c>
      <c r="U843" s="30" t="n">
        <f aca="false">R843-S843-T843</f>
        <v>1133.71</v>
      </c>
    </row>
    <row r="844" customFormat="false" ht="15" hidden="false" customHeight="false" outlineLevel="0" collapsed="false">
      <c r="A844" s="0" t="n">
        <v>843</v>
      </c>
      <c r="B844" s="27" t="n">
        <v>45551</v>
      </c>
      <c r="C844" s="0" t="n">
        <v>2024</v>
      </c>
      <c r="D844" s="28" t="s">
        <v>115</v>
      </c>
      <c r="E844" s="0" t="n">
        <v>9</v>
      </c>
      <c r="F844" s="28" t="s">
        <v>120</v>
      </c>
      <c r="G844" s="28" t="s">
        <v>121</v>
      </c>
      <c r="H844" s="28" t="s">
        <v>98</v>
      </c>
      <c r="I844" s="28" t="s">
        <v>99</v>
      </c>
      <c r="J844" s="28" t="s">
        <v>66</v>
      </c>
      <c r="K844" s="28" t="s">
        <v>67</v>
      </c>
      <c r="L844" s="28" t="s">
        <v>68</v>
      </c>
      <c r="M844" s="28" t="s">
        <v>72</v>
      </c>
      <c r="N844" s="28" t="s">
        <v>73</v>
      </c>
      <c r="O844" s="29" t="n">
        <v>10</v>
      </c>
      <c r="P844" s="30" t="n">
        <v>441</v>
      </c>
      <c r="Q844" s="30" t="n">
        <v>272.25</v>
      </c>
      <c r="R844" s="30" t="n">
        <f aca="false">ROUND(O844*P844,2)</f>
        <v>4410</v>
      </c>
      <c r="S844" s="30" t="n">
        <f aca="false">ROUND(O844*Q844,2)</f>
        <v>2722.5</v>
      </c>
      <c r="T844" s="30" t="n">
        <f aca="false">ROUND(R844*SUMIFS(Parametros!$E$23:$E$38,Parametros!$B$23:$B$38,J844,Parametros!$C$23:$C$38,C844,Parametros!$D$23:$D$38,D844),2)</f>
        <v>57.33</v>
      </c>
      <c r="U844" s="30" t="n">
        <f aca="false">R844-S844-T844</f>
        <v>1630.17</v>
      </c>
    </row>
    <row r="845" customFormat="false" ht="15" hidden="false" customHeight="false" outlineLevel="0" collapsed="false">
      <c r="A845" s="0" t="n">
        <v>844</v>
      </c>
      <c r="B845" s="27" t="n">
        <v>45558</v>
      </c>
      <c r="C845" s="0" t="n">
        <v>2024</v>
      </c>
      <c r="D845" s="28" t="s">
        <v>115</v>
      </c>
      <c r="E845" s="0" t="n">
        <v>9</v>
      </c>
      <c r="F845" s="28" t="s">
        <v>120</v>
      </c>
      <c r="G845" s="28" t="s">
        <v>121</v>
      </c>
      <c r="H845" s="28" t="s">
        <v>98</v>
      </c>
      <c r="I845" s="28" t="s">
        <v>99</v>
      </c>
      <c r="J845" s="28" t="s">
        <v>71</v>
      </c>
      <c r="K845" s="28" t="s">
        <v>67</v>
      </c>
      <c r="L845" s="28" t="s">
        <v>68</v>
      </c>
      <c r="M845" s="28" t="s">
        <v>72</v>
      </c>
      <c r="N845" s="28" t="s">
        <v>73</v>
      </c>
      <c r="O845" s="29" t="n">
        <v>3</v>
      </c>
      <c r="P845" s="30" t="n">
        <v>441</v>
      </c>
      <c r="Q845" s="30" t="n">
        <v>272.25</v>
      </c>
      <c r="R845" s="30" t="n">
        <f aca="false">ROUND(O845*P845,2)</f>
        <v>1323</v>
      </c>
      <c r="S845" s="30" t="n">
        <f aca="false">ROUND(O845*Q845,2)</f>
        <v>816.75</v>
      </c>
      <c r="T845" s="30" t="n">
        <f aca="false">ROUND(R845*SUMIFS(Parametros!$E$23:$E$38,Parametros!$B$23:$B$38,J845,Parametros!$C$23:$C$38,C845,Parametros!$D$23:$D$38,D845),2)</f>
        <v>60.86</v>
      </c>
      <c r="U845" s="30" t="n">
        <f aca="false">R845-S845-T845</f>
        <v>445.39</v>
      </c>
    </row>
    <row r="846" customFormat="false" ht="15" hidden="false" customHeight="false" outlineLevel="0" collapsed="false">
      <c r="A846" s="0" t="n">
        <v>845</v>
      </c>
      <c r="B846" s="27" t="n">
        <v>45538</v>
      </c>
      <c r="C846" s="0" t="n">
        <v>2024</v>
      </c>
      <c r="D846" s="28" t="s">
        <v>115</v>
      </c>
      <c r="E846" s="0" t="n">
        <v>9</v>
      </c>
      <c r="F846" s="28" t="s">
        <v>120</v>
      </c>
      <c r="G846" s="28" t="s">
        <v>121</v>
      </c>
      <c r="H846" s="28" t="s">
        <v>98</v>
      </c>
      <c r="I846" s="28" t="s">
        <v>99</v>
      </c>
      <c r="J846" s="28" t="s">
        <v>66</v>
      </c>
      <c r="K846" s="28" t="s">
        <v>67</v>
      </c>
      <c r="L846" s="28" t="s">
        <v>68</v>
      </c>
      <c r="M846" s="28" t="s">
        <v>74</v>
      </c>
      <c r="N846" s="28" t="s">
        <v>75</v>
      </c>
      <c r="O846" s="29" t="n">
        <v>8</v>
      </c>
      <c r="P846" s="30" t="n">
        <v>1617</v>
      </c>
      <c r="Q846" s="30" t="n">
        <v>1122</v>
      </c>
      <c r="R846" s="30" t="n">
        <f aca="false">ROUND(O846*P846,2)</f>
        <v>12936</v>
      </c>
      <c r="S846" s="30" t="n">
        <f aca="false">ROUND(O846*Q846,2)</f>
        <v>8976</v>
      </c>
      <c r="T846" s="30" t="n">
        <f aca="false">ROUND(R846*SUMIFS(Parametros!$E$23:$E$38,Parametros!$B$23:$B$38,J846,Parametros!$C$23:$C$38,C846,Parametros!$D$23:$D$38,D846),2)</f>
        <v>168.17</v>
      </c>
      <c r="U846" s="30" t="n">
        <f aca="false">R846-S846-T846</f>
        <v>3791.83</v>
      </c>
    </row>
    <row r="847" customFormat="false" ht="15" hidden="false" customHeight="false" outlineLevel="0" collapsed="false">
      <c r="A847" s="0" t="n">
        <v>846</v>
      </c>
      <c r="B847" s="27" t="n">
        <v>45545</v>
      </c>
      <c r="C847" s="0" t="n">
        <v>2024</v>
      </c>
      <c r="D847" s="28" t="s">
        <v>115</v>
      </c>
      <c r="E847" s="0" t="n">
        <v>9</v>
      </c>
      <c r="F847" s="28" t="s">
        <v>120</v>
      </c>
      <c r="G847" s="28" t="s">
        <v>121</v>
      </c>
      <c r="H847" s="28" t="s">
        <v>98</v>
      </c>
      <c r="I847" s="28" t="s">
        <v>99</v>
      </c>
      <c r="J847" s="28" t="s">
        <v>71</v>
      </c>
      <c r="K847" s="28" t="s">
        <v>67</v>
      </c>
      <c r="L847" s="28" t="s">
        <v>68</v>
      </c>
      <c r="M847" s="28" t="s">
        <v>74</v>
      </c>
      <c r="N847" s="28" t="s">
        <v>75</v>
      </c>
      <c r="O847" s="29" t="n">
        <v>3</v>
      </c>
      <c r="P847" s="30" t="n">
        <v>1617</v>
      </c>
      <c r="Q847" s="30" t="n">
        <v>1122</v>
      </c>
      <c r="R847" s="30" t="n">
        <f aca="false">ROUND(O847*P847,2)</f>
        <v>4851</v>
      </c>
      <c r="S847" s="30" t="n">
        <f aca="false">ROUND(O847*Q847,2)</f>
        <v>3366</v>
      </c>
      <c r="T847" s="30" t="n">
        <f aca="false">ROUND(R847*SUMIFS(Parametros!$E$23:$E$38,Parametros!$B$23:$B$38,J847,Parametros!$C$23:$C$38,C847,Parametros!$D$23:$D$38,D847),2)</f>
        <v>223.15</v>
      </c>
      <c r="U847" s="30" t="n">
        <f aca="false">R847-S847-T847</f>
        <v>1261.85</v>
      </c>
    </row>
    <row r="848" customFormat="false" ht="15" hidden="false" customHeight="false" outlineLevel="0" collapsed="false">
      <c r="A848" s="0" t="n">
        <v>847</v>
      </c>
      <c r="B848" s="27" t="n">
        <v>45552</v>
      </c>
      <c r="C848" s="0" t="n">
        <v>2024</v>
      </c>
      <c r="D848" s="28" t="s">
        <v>115</v>
      </c>
      <c r="E848" s="0" t="n">
        <v>9</v>
      </c>
      <c r="F848" s="28" t="s">
        <v>120</v>
      </c>
      <c r="G848" s="28" t="s">
        <v>121</v>
      </c>
      <c r="H848" s="28" t="s">
        <v>98</v>
      </c>
      <c r="I848" s="28" t="s">
        <v>99</v>
      </c>
      <c r="J848" s="28" t="s">
        <v>66</v>
      </c>
      <c r="K848" s="28" t="s">
        <v>76</v>
      </c>
      <c r="L848" s="28" t="s">
        <v>77</v>
      </c>
      <c r="M848" s="28" t="s">
        <v>78</v>
      </c>
      <c r="N848" s="28" t="s">
        <v>79</v>
      </c>
      <c r="O848" s="29" t="n">
        <v>40</v>
      </c>
      <c r="P848" s="30" t="n">
        <v>27.44</v>
      </c>
      <c r="Q848" s="30" t="n">
        <v>13.44</v>
      </c>
      <c r="R848" s="30" t="n">
        <f aca="false">ROUND(O848*P848,2)</f>
        <v>1097.6</v>
      </c>
      <c r="S848" s="30" t="n">
        <f aca="false">ROUND(O848*Q848,2)</f>
        <v>537.6</v>
      </c>
      <c r="T848" s="30" t="n">
        <f aca="false">ROUND(R848*SUMIFS(Parametros!$E$23:$E$38,Parametros!$B$23:$B$38,J848,Parametros!$C$23:$C$38,C848,Parametros!$D$23:$D$38,D848),2)</f>
        <v>14.27</v>
      </c>
      <c r="U848" s="30" t="n">
        <f aca="false">R848-S848-T848</f>
        <v>545.73</v>
      </c>
    </row>
    <row r="849" customFormat="false" ht="15" hidden="false" customHeight="false" outlineLevel="0" collapsed="false">
      <c r="A849" s="0" t="n">
        <v>848</v>
      </c>
      <c r="B849" s="27" t="n">
        <v>45559</v>
      </c>
      <c r="C849" s="0" t="n">
        <v>2024</v>
      </c>
      <c r="D849" s="28" t="s">
        <v>115</v>
      </c>
      <c r="E849" s="0" t="n">
        <v>9</v>
      </c>
      <c r="F849" s="28" t="s">
        <v>120</v>
      </c>
      <c r="G849" s="28" t="s">
        <v>121</v>
      </c>
      <c r="H849" s="28" t="s">
        <v>98</v>
      </c>
      <c r="I849" s="28" t="s">
        <v>99</v>
      </c>
      <c r="J849" s="28" t="s">
        <v>71</v>
      </c>
      <c r="K849" s="28" t="s">
        <v>76</v>
      </c>
      <c r="L849" s="28" t="s">
        <v>77</v>
      </c>
      <c r="M849" s="28" t="s">
        <v>78</v>
      </c>
      <c r="N849" s="28" t="s">
        <v>79</v>
      </c>
      <c r="O849" s="29" t="n">
        <v>16</v>
      </c>
      <c r="P849" s="30" t="n">
        <v>27.44</v>
      </c>
      <c r="Q849" s="30" t="n">
        <v>13.44</v>
      </c>
      <c r="R849" s="30" t="n">
        <f aca="false">ROUND(O849*P849,2)</f>
        <v>439.04</v>
      </c>
      <c r="S849" s="30" t="n">
        <f aca="false">ROUND(O849*Q849,2)</f>
        <v>215.04</v>
      </c>
      <c r="T849" s="30" t="n">
        <f aca="false">ROUND(R849*SUMIFS(Parametros!$E$23:$E$38,Parametros!$B$23:$B$38,J849,Parametros!$C$23:$C$38,C849,Parametros!$D$23:$D$38,D849),2)</f>
        <v>20.2</v>
      </c>
      <c r="U849" s="30" t="n">
        <f aca="false">R849-S849-T849</f>
        <v>203.8</v>
      </c>
    </row>
    <row r="850" customFormat="false" ht="15" hidden="false" customHeight="false" outlineLevel="0" collapsed="false">
      <c r="A850" s="0" t="n">
        <v>849</v>
      </c>
      <c r="B850" s="27" t="n">
        <v>45539</v>
      </c>
      <c r="C850" s="0" t="n">
        <v>2024</v>
      </c>
      <c r="D850" s="28" t="s">
        <v>115</v>
      </c>
      <c r="E850" s="0" t="n">
        <v>9</v>
      </c>
      <c r="F850" s="28" t="s">
        <v>120</v>
      </c>
      <c r="G850" s="28" t="s">
        <v>121</v>
      </c>
      <c r="H850" s="28" t="s">
        <v>98</v>
      </c>
      <c r="I850" s="28" t="s">
        <v>99</v>
      </c>
      <c r="J850" s="28" t="s">
        <v>66</v>
      </c>
      <c r="K850" s="28" t="s">
        <v>76</v>
      </c>
      <c r="L850" s="28" t="s">
        <v>77</v>
      </c>
      <c r="M850" s="28" t="s">
        <v>80</v>
      </c>
      <c r="N850" s="28" t="s">
        <v>81</v>
      </c>
      <c r="O850" s="29" t="n">
        <v>47</v>
      </c>
      <c r="P850" s="30" t="n">
        <v>93.1</v>
      </c>
      <c r="Q850" s="30" t="n">
        <v>47.98</v>
      </c>
      <c r="R850" s="30" t="n">
        <f aca="false">ROUND(O850*P850,2)</f>
        <v>4375.7</v>
      </c>
      <c r="S850" s="30" t="n">
        <f aca="false">ROUND(O850*Q850,2)</f>
        <v>2255.06</v>
      </c>
      <c r="T850" s="30" t="n">
        <f aca="false">ROUND(R850*SUMIFS(Parametros!$E$23:$E$38,Parametros!$B$23:$B$38,J850,Parametros!$C$23:$C$38,C850,Parametros!$D$23:$D$38,D850),2)</f>
        <v>56.88</v>
      </c>
      <c r="U850" s="30" t="n">
        <f aca="false">R850-S850-T850</f>
        <v>2063.76</v>
      </c>
    </row>
    <row r="851" customFormat="false" ht="15" hidden="false" customHeight="false" outlineLevel="0" collapsed="false">
      <c r="A851" s="0" t="n">
        <v>850</v>
      </c>
      <c r="B851" s="27" t="n">
        <v>45546</v>
      </c>
      <c r="C851" s="0" t="n">
        <v>2024</v>
      </c>
      <c r="D851" s="28" t="s">
        <v>115</v>
      </c>
      <c r="E851" s="0" t="n">
        <v>9</v>
      </c>
      <c r="F851" s="28" t="s">
        <v>120</v>
      </c>
      <c r="G851" s="28" t="s">
        <v>121</v>
      </c>
      <c r="H851" s="28" t="s">
        <v>98</v>
      </c>
      <c r="I851" s="28" t="s">
        <v>99</v>
      </c>
      <c r="J851" s="28" t="s">
        <v>71</v>
      </c>
      <c r="K851" s="28" t="s">
        <v>76</v>
      </c>
      <c r="L851" s="28" t="s">
        <v>77</v>
      </c>
      <c r="M851" s="28" t="s">
        <v>80</v>
      </c>
      <c r="N851" s="28" t="s">
        <v>81</v>
      </c>
      <c r="O851" s="29" t="n">
        <v>18</v>
      </c>
      <c r="P851" s="30" t="n">
        <v>93.1</v>
      </c>
      <c r="Q851" s="30" t="n">
        <v>47.98</v>
      </c>
      <c r="R851" s="30" t="n">
        <f aca="false">ROUND(O851*P851,2)</f>
        <v>1675.8</v>
      </c>
      <c r="S851" s="30" t="n">
        <f aca="false">ROUND(O851*Q851,2)</f>
        <v>863.64</v>
      </c>
      <c r="T851" s="30" t="n">
        <f aca="false">ROUND(R851*SUMIFS(Parametros!$E$23:$E$38,Parametros!$B$23:$B$38,J851,Parametros!$C$23:$C$38,C851,Parametros!$D$23:$D$38,D851),2)</f>
        <v>77.09</v>
      </c>
      <c r="U851" s="30" t="n">
        <f aca="false">R851-S851-T851</f>
        <v>735.07</v>
      </c>
    </row>
    <row r="852" customFormat="false" ht="15" hidden="false" customHeight="false" outlineLevel="0" collapsed="false">
      <c r="A852" s="0" t="n">
        <v>851</v>
      </c>
      <c r="B852" s="27" t="n">
        <v>45553</v>
      </c>
      <c r="C852" s="0" t="n">
        <v>2024</v>
      </c>
      <c r="D852" s="28" t="s">
        <v>115</v>
      </c>
      <c r="E852" s="0" t="n">
        <v>9</v>
      </c>
      <c r="F852" s="28" t="s">
        <v>120</v>
      </c>
      <c r="G852" s="28" t="s">
        <v>121</v>
      </c>
      <c r="H852" s="28" t="s">
        <v>98</v>
      </c>
      <c r="I852" s="28" t="s">
        <v>99</v>
      </c>
      <c r="J852" s="28" t="s">
        <v>66</v>
      </c>
      <c r="K852" s="28" t="s">
        <v>76</v>
      </c>
      <c r="L852" s="28" t="s">
        <v>77</v>
      </c>
      <c r="M852" s="28" t="s">
        <v>82</v>
      </c>
      <c r="N852" s="28" t="s">
        <v>83</v>
      </c>
      <c r="O852" s="29" t="n">
        <v>46</v>
      </c>
      <c r="P852" s="30" t="n">
        <v>63.7</v>
      </c>
      <c r="Q852" s="30" t="n">
        <v>35.43</v>
      </c>
      <c r="R852" s="30" t="n">
        <f aca="false">ROUND(O852*P852,2)</f>
        <v>2930.2</v>
      </c>
      <c r="S852" s="30" t="n">
        <f aca="false">ROUND(O852*Q852,2)</f>
        <v>1629.78</v>
      </c>
      <c r="T852" s="30" t="n">
        <f aca="false">ROUND(R852*SUMIFS(Parametros!$E$23:$E$38,Parametros!$B$23:$B$38,J852,Parametros!$C$23:$C$38,C852,Parametros!$D$23:$D$38,D852),2)</f>
        <v>38.09</v>
      </c>
      <c r="U852" s="30" t="n">
        <f aca="false">R852-S852-T852</f>
        <v>1262.33</v>
      </c>
    </row>
    <row r="853" customFormat="false" ht="15" hidden="false" customHeight="false" outlineLevel="0" collapsed="false">
      <c r="A853" s="0" t="n">
        <v>852</v>
      </c>
      <c r="B853" s="27" t="n">
        <v>45560</v>
      </c>
      <c r="C853" s="0" t="n">
        <v>2024</v>
      </c>
      <c r="D853" s="28" t="s">
        <v>115</v>
      </c>
      <c r="E853" s="0" t="n">
        <v>9</v>
      </c>
      <c r="F853" s="28" t="s">
        <v>120</v>
      </c>
      <c r="G853" s="28" t="s">
        <v>121</v>
      </c>
      <c r="H853" s="28" t="s">
        <v>98</v>
      </c>
      <c r="I853" s="28" t="s">
        <v>99</v>
      </c>
      <c r="J853" s="28" t="s">
        <v>71</v>
      </c>
      <c r="K853" s="28" t="s">
        <v>76</v>
      </c>
      <c r="L853" s="28" t="s">
        <v>77</v>
      </c>
      <c r="M853" s="28" t="s">
        <v>82</v>
      </c>
      <c r="N853" s="28" t="s">
        <v>83</v>
      </c>
      <c r="O853" s="29" t="n">
        <v>18</v>
      </c>
      <c r="P853" s="30" t="n">
        <v>63.7</v>
      </c>
      <c r="Q853" s="30" t="n">
        <v>35.43</v>
      </c>
      <c r="R853" s="30" t="n">
        <f aca="false">ROUND(O853*P853,2)</f>
        <v>1146.6</v>
      </c>
      <c r="S853" s="30" t="n">
        <f aca="false">ROUND(O853*Q853,2)</f>
        <v>637.74</v>
      </c>
      <c r="T853" s="30" t="n">
        <f aca="false">ROUND(R853*SUMIFS(Parametros!$E$23:$E$38,Parametros!$B$23:$B$38,J853,Parametros!$C$23:$C$38,C853,Parametros!$D$23:$D$38,D853),2)</f>
        <v>52.74</v>
      </c>
      <c r="U853" s="30" t="n">
        <f aca="false">R853-S853-T853</f>
        <v>456.12</v>
      </c>
    </row>
    <row r="854" customFormat="false" ht="15" hidden="false" customHeight="false" outlineLevel="0" collapsed="false">
      <c r="A854" s="0" t="n">
        <v>853</v>
      </c>
      <c r="B854" s="27" t="n">
        <v>45540</v>
      </c>
      <c r="C854" s="0" t="n">
        <v>2024</v>
      </c>
      <c r="D854" s="28" t="s">
        <v>115</v>
      </c>
      <c r="E854" s="0" t="n">
        <v>9</v>
      </c>
      <c r="F854" s="28" t="s">
        <v>120</v>
      </c>
      <c r="G854" s="28" t="s">
        <v>121</v>
      </c>
      <c r="H854" s="28" t="s">
        <v>98</v>
      </c>
      <c r="I854" s="28" t="s">
        <v>99</v>
      </c>
      <c r="J854" s="28" t="s">
        <v>66</v>
      </c>
      <c r="K854" s="28" t="s">
        <v>84</v>
      </c>
      <c r="L854" s="28" t="s">
        <v>85</v>
      </c>
      <c r="M854" s="28" t="s">
        <v>86</v>
      </c>
      <c r="N854" s="28" t="s">
        <v>87</v>
      </c>
      <c r="O854" s="29" t="n">
        <v>20</v>
      </c>
      <c r="P854" s="30" t="n">
        <v>117.6</v>
      </c>
      <c r="Q854" s="30" t="n">
        <v>63.6</v>
      </c>
      <c r="R854" s="30" t="n">
        <f aca="false">ROUND(O854*P854,2)</f>
        <v>2352</v>
      </c>
      <c r="S854" s="30" t="n">
        <f aca="false">ROUND(O854*Q854,2)</f>
        <v>1272</v>
      </c>
      <c r="T854" s="30" t="n">
        <f aca="false">ROUND(R854*SUMIFS(Parametros!$E$23:$E$38,Parametros!$B$23:$B$38,J854,Parametros!$C$23:$C$38,C854,Parametros!$D$23:$D$38,D854),2)</f>
        <v>30.58</v>
      </c>
      <c r="U854" s="30" t="n">
        <f aca="false">R854-S854-T854</f>
        <v>1049.42</v>
      </c>
    </row>
    <row r="855" customFormat="false" ht="15" hidden="false" customHeight="false" outlineLevel="0" collapsed="false">
      <c r="A855" s="0" t="n">
        <v>854</v>
      </c>
      <c r="B855" s="27" t="n">
        <v>45547</v>
      </c>
      <c r="C855" s="0" t="n">
        <v>2024</v>
      </c>
      <c r="D855" s="28" t="s">
        <v>115</v>
      </c>
      <c r="E855" s="0" t="n">
        <v>9</v>
      </c>
      <c r="F855" s="28" t="s">
        <v>120</v>
      </c>
      <c r="G855" s="28" t="s">
        <v>121</v>
      </c>
      <c r="H855" s="28" t="s">
        <v>98</v>
      </c>
      <c r="I855" s="28" t="s">
        <v>99</v>
      </c>
      <c r="J855" s="28" t="s">
        <v>71</v>
      </c>
      <c r="K855" s="28" t="s">
        <v>84</v>
      </c>
      <c r="L855" s="28" t="s">
        <v>85</v>
      </c>
      <c r="M855" s="28" t="s">
        <v>86</v>
      </c>
      <c r="N855" s="28" t="s">
        <v>87</v>
      </c>
      <c r="O855" s="29" t="n">
        <v>8</v>
      </c>
      <c r="P855" s="30" t="n">
        <v>117.6</v>
      </c>
      <c r="Q855" s="30" t="n">
        <v>63.6</v>
      </c>
      <c r="R855" s="30" t="n">
        <f aca="false">ROUND(O855*P855,2)</f>
        <v>940.8</v>
      </c>
      <c r="S855" s="30" t="n">
        <f aca="false">ROUND(O855*Q855,2)</f>
        <v>508.8</v>
      </c>
      <c r="T855" s="30" t="n">
        <f aca="false">ROUND(R855*SUMIFS(Parametros!$E$23:$E$38,Parametros!$B$23:$B$38,J855,Parametros!$C$23:$C$38,C855,Parametros!$D$23:$D$38,D855),2)</f>
        <v>43.28</v>
      </c>
      <c r="U855" s="30" t="n">
        <f aca="false">R855-S855-T855</f>
        <v>388.72</v>
      </c>
    </row>
    <row r="856" customFormat="false" ht="15" hidden="false" customHeight="false" outlineLevel="0" collapsed="false">
      <c r="A856" s="0" t="n">
        <v>855</v>
      </c>
      <c r="B856" s="27" t="n">
        <v>45554</v>
      </c>
      <c r="C856" s="0" t="n">
        <v>2024</v>
      </c>
      <c r="D856" s="28" t="s">
        <v>115</v>
      </c>
      <c r="E856" s="0" t="n">
        <v>9</v>
      </c>
      <c r="F856" s="28" t="s">
        <v>120</v>
      </c>
      <c r="G856" s="28" t="s">
        <v>121</v>
      </c>
      <c r="H856" s="28" t="s">
        <v>98</v>
      </c>
      <c r="I856" s="28" t="s">
        <v>99</v>
      </c>
      <c r="J856" s="28" t="s">
        <v>66</v>
      </c>
      <c r="K856" s="28" t="s">
        <v>84</v>
      </c>
      <c r="L856" s="28" t="s">
        <v>85</v>
      </c>
      <c r="M856" s="28" t="s">
        <v>88</v>
      </c>
      <c r="N856" s="28" t="s">
        <v>89</v>
      </c>
      <c r="O856" s="29" t="n">
        <v>19</v>
      </c>
      <c r="P856" s="30" t="n">
        <v>83.3</v>
      </c>
      <c r="Q856" s="30" t="n">
        <v>48.02</v>
      </c>
      <c r="R856" s="30" t="n">
        <f aca="false">ROUND(O856*P856,2)</f>
        <v>1582.7</v>
      </c>
      <c r="S856" s="30" t="n">
        <f aca="false">ROUND(O856*Q856,2)</f>
        <v>912.38</v>
      </c>
      <c r="T856" s="30" t="n">
        <f aca="false">ROUND(R856*SUMIFS(Parametros!$E$23:$E$38,Parametros!$B$23:$B$38,J856,Parametros!$C$23:$C$38,C856,Parametros!$D$23:$D$38,D856),2)</f>
        <v>20.58</v>
      </c>
      <c r="U856" s="30" t="n">
        <f aca="false">R856-S856-T856</f>
        <v>649.74</v>
      </c>
    </row>
    <row r="857" customFormat="false" ht="15" hidden="false" customHeight="false" outlineLevel="0" collapsed="false">
      <c r="A857" s="0" t="n">
        <v>856</v>
      </c>
      <c r="B857" s="27" t="n">
        <v>45561</v>
      </c>
      <c r="C857" s="0" t="n">
        <v>2024</v>
      </c>
      <c r="D857" s="28" t="s">
        <v>115</v>
      </c>
      <c r="E857" s="0" t="n">
        <v>9</v>
      </c>
      <c r="F857" s="28" t="s">
        <v>120</v>
      </c>
      <c r="G857" s="28" t="s">
        <v>121</v>
      </c>
      <c r="H857" s="28" t="s">
        <v>98</v>
      </c>
      <c r="I857" s="28" t="s">
        <v>99</v>
      </c>
      <c r="J857" s="28" t="s">
        <v>71</v>
      </c>
      <c r="K857" s="28" t="s">
        <v>84</v>
      </c>
      <c r="L857" s="28" t="s">
        <v>85</v>
      </c>
      <c r="M857" s="28" t="s">
        <v>88</v>
      </c>
      <c r="N857" s="28" t="s">
        <v>89</v>
      </c>
      <c r="O857" s="29" t="n">
        <v>8</v>
      </c>
      <c r="P857" s="30" t="n">
        <v>83.3</v>
      </c>
      <c r="Q857" s="30" t="n">
        <v>48.02</v>
      </c>
      <c r="R857" s="30" t="n">
        <f aca="false">ROUND(O857*P857,2)</f>
        <v>666.4</v>
      </c>
      <c r="S857" s="30" t="n">
        <f aca="false">ROUND(O857*Q857,2)</f>
        <v>384.16</v>
      </c>
      <c r="T857" s="30" t="n">
        <f aca="false">ROUND(R857*SUMIFS(Parametros!$E$23:$E$38,Parametros!$B$23:$B$38,J857,Parametros!$C$23:$C$38,C857,Parametros!$D$23:$D$38,D857),2)</f>
        <v>30.65</v>
      </c>
      <c r="U857" s="30" t="n">
        <f aca="false">R857-S857-T857</f>
        <v>251.59</v>
      </c>
    </row>
    <row r="858" customFormat="false" ht="15" hidden="false" customHeight="false" outlineLevel="0" collapsed="false">
      <c r="A858" s="0" t="n">
        <v>857</v>
      </c>
      <c r="B858" s="27" t="n">
        <v>45541</v>
      </c>
      <c r="C858" s="0" t="n">
        <v>2024</v>
      </c>
      <c r="D858" s="28" t="s">
        <v>115</v>
      </c>
      <c r="E858" s="0" t="n">
        <v>9</v>
      </c>
      <c r="F858" s="28" t="s">
        <v>120</v>
      </c>
      <c r="G858" s="28" t="s">
        <v>121</v>
      </c>
      <c r="H858" s="28" t="s">
        <v>98</v>
      </c>
      <c r="I858" s="28" t="s">
        <v>99</v>
      </c>
      <c r="J858" s="28" t="s">
        <v>66</v>
      </c>
      <c r="K858" s="28" t="s">
        <v>90</v>
      </c>
      <c r="L858" s="28" t="s">
        <v>91</v>
      </c>
      <c r="M858" s="28" t="s">
        <v>92</v>
      </c>
      <c r="N858" s="28" t="s">
        <v>93</v>
      </c>
      <c r="O858" s="29" t="n">
        <v>21</v>
      </c>
      <c r="P858" s="30" t="n">
        <v>127.4</v>
      </c>
      <c r="Q858" s="30" t="n">
        <v>76.05</v>
      </c>
      <c r="R858" s="30" t="n">
        <f aca="false">ROUND(O858*P858,2)</f>
        <v>2675.4</v>
      </c>
      <c r="S858" s="30" t="n">
        <f aca="false">ROUND(O858*Q858,2)</f>
        <v>1597.05</v>
      </c>
      <c r="T858" s="30" t="n">
        <f aca="false">ROUND(R858*SUMIFS(Parametros!$E$23:$E$38,Parametros!$B$23:$B$38,J858,Parametros!$C$23:$C$38,C858,Parametros!$D$23:$D$38,D858),2)</f>
        <v>34.78</v>
      </c>
      <c r="U858" s="30" t="n">
        <f aca="false">R858-S858-T858</f>
        <v>1043.57</v>
      </c>
    </row>
    <row r="859" customFormat="false" ht="15" hidden="false" customHeight="false" outlineLevel="0" collapsed="false">
      <c r="A859" s="0" t="n">
        <v>858</v>
      </c>
      <c r="B859" s="27" t="n">
        <v>45548</v>
      </c>
      <c r="C859" s="0" t="n">
        <v>2024</v>
      </c>
      <c r="D859" s="28" t="s">
        <v>115</v>
      </c>
      <c r="E859" s="0" t="n">
        <v>9</v>
      </c>
      <c r="F859" s="28" t="s">
        <v>120</v>
      </c>
      <c r="G859" s="28" t="s">
        <v>121</v>
      </c>
      <c r="H859" s="28" t="s">
        <v>98</v>
      </c>
      <c r="I859" s="28" t="s">
        <v>99</v>
      </c>
      <c r="J859" s="28" t="s">
        <v>71</v>
      </c>
      <c r="K859" s="28" t="s">
        <v>90</v>
      </c>
      <c r="L859" s="28" t="s">
        <v>91</v>
      </c>
      <c r="M859" s="28" t="s">
        <v>92</v>
      </c>
      <c r="N859" s="28" t="s">
        <v>93</v>
      </c>
      <c r="O859" s="29" t="n">
        <v>10</v>
      </c>
      <c r="P859" s="30" t="n">
        <v>127.4</v>
      </c>
      <c r="Q859" s="30" t="n">
        <v>76.05</v>
      </c>
      <c r="R859" s="30" t="n">
        <f aca="false">ROUND(O859*P859,2)</f>
        <v>1274</v>
      </c>
      <c r="S859" s="30" t="n">
        <f aca="false">ROUND(O859*Q859,2)</f>
        <v>760.5</v>
      </c>
      <c r="T859" s="30" t="n">
        <f aca="false">ROUND(R859*SUMIFS(Parametros!$E$23:$E$38,Parametros!$B$23:$B$38,J859,Parametros!$C$23:$C$38,C859,Parametros!$D$23:$D$38,D859),2)</f>
        <v>58.6</v>
      </c>
      <c r="U859" s="30" t="n">
        <f aca="false">R859-S859-T859</f>
        <v>454.9</v>
      </c>
    </row>
    <row r="860" customFormat="false" ht="15" hidden="false" customHeight="false" outlineLevel="0" collapsed="false">
      <c r="A860" s="0" t="n">
        <v>859</v>
      </c>
      <c r="B860" s="27" t="n">
        <v>45555</v>
      </c>
      <c r="C860" s="0" t="n">
        <v>2024</v>
      </c>
      <c r="D860" s="28" t="s">
        <v>115</v>
      </c>
      <c r="E860" s="0" t="n">
        <v>9</v>
      </c>
      <c r="F860" s="28" t="s">
        <v>120</v>
      </c>
      <c r="G860" s="28" t="s">
        <v>121</v>
      </c>
      <c r="H860" s="28" t="s">
        <v>98</v>
      </c>
      <c r="I860" s="28" t="s">
        <v>99</v>
      </c>
      <c r="J860" s="28" t="s">
        <v>66</v>
      </c>
      <c r="K860" s="28" t="s">
        <v>90</v>
      </c>
      <c r="L860" s="28" t="s">
        <v>91</v>
      </c>
      <c r="M860" s="28" t="s">
        <v>94</v>
      </c>
      <c r="N860" s="28" t="s">
        <v>95</v>
      </c>
      <c r="O860" s="29" t="n">
        <v>28</v>
      </c>
      <c r="P860" s="30" t="n">
        <v>34.3</v>
      </c>
      <c r="Q860" s="30" t="n">
        <v>17.85</v>
      </c>
      <c r="R860" s="30" t="n">
        <f aca="false">ROUND(O860*P860,2)</f>
        <v>960.4</v>
      </c>
      <c r="S860" s="30" t="n">
        <f aca="false">ROUND(O860*Q860,2)</f>
        <v>499.8</v>
      </c>
      <c r="T860" s="30" t="n">
        <f aca="false">ROUND(R860*SUMIFS(Parametros!$E$23:$E$38,Parametros!$B$23:$B$38,J860,Parametros!$C$23:$C$38,C860,Parametros!$D$23:$D$38,D860),2)</f>
        <v>12.49</v>
      </c>
      <c r="U860" s="30" t="n">
        <f aca="false">R860-S860-T860</f>
        <v>448.11</v>
      </c>
    </row>
    <row r="861" customFormat="false" ht="15" hidden="false" customHeight="false" outlineLevel="0" collapsed="false">
      <c r="A861" s="0" t="n">
        <v>860</v>
      </c>
      <c r="B861" s="27" t="n">
        <v>45562</v>
      </c>
      <c r="C861" s="0" t="n">
        <v>2024</v>
      </c>
      <c r="D861" s="28" t="s">
        <v>115</v>
      </c>
      <c r="E861" s="0" t="n">
        <v>9</v>
      </c>
      <c r="F861" s="28" t="s">
        <v>120</v>
      </c>
      <c r="G861" s="28" t="s">
        <v>121</v>
      </c>
      <c r="H861" s="28" t="s">
        <v>98</v>
      </c>
      <c r="I861" s="28" t="s">
        <v>99</v>
      </c>
      <c r="J861" s="28" t="s">
        <v>71</v>
      </c>
      <c r="K861" s="28" t="s">
        <v>90</v>
      </c>
      <c r="L861" s="28" t="s">
        <v>91</v>
      </c>
      <c r="M861" s="28" t="s">
        <v>94</v>
      </c>
      <c r="N861" s="28" t="s">
        <v>95</v>
      </c>
      <c r="O861" s="29" t="n">
        <v>11</v>
      </c>
      <c r="P861" s="30" t="n">
        <v>34.3</v>
      </c>
      <c r="Q861" s="30" t="n">
        <v>17.85</v>
      </c>
      <c r="R861" s="30" t="n">
        <f aca="false">ROUND(O861*P861,2)</f>
        <v>377.3</v>
      </c>
      <c r="S861" s="30" t="n">
        <f aca="false">ROUND(O861*Q861,2)</f>
        <v>196.35</v>
      </c>
      <c r="T861" s="30" t="n">
        <f aca="false">ROUND(R861*SUMIFS(Parametros!$E$23:$E$38,Parametros!$B$23:$B$38,J861,Parametros!$C$23:$C$38,C861,Parametros!$D$23:$D$38,D861),2)</f>
        <v>17.36</v>
      </c>
      <c r="U861" s="30" t="n">
        <f aca="false">R861-S861-T861</f>
        <v>163.59</v>
      </c>
    </row>
    <row r="862" customFormat="false" ht="15" hidden="false" customHeight="false" outlineLevel="0" collapsed="false">
      <c r="A862" s="0" t="n">
        <v>861</v>
      </c>
      <c r="B862" s="27" t="n">
        <v>45542</v>
      </c>
      <c r="C862" s="0" t="n">
        <v>2024</v>
      </c>
      <c r="D862" s="28" t="s">
        <v>115</v>
      </c>
      <c r="E862" s="0" t="n">
        <v>9</v>
      </c>
      <c r="F862" s="28" t="s">
        <v>120</v>
      </c>
      <c r="G862" s="28" t="s">
        <v>121</v>
      </c>
      <c r="H862" s="28" t="s">
        <v>100</v>
      </c>
      <c r="I862" s="28" t="s">
        <v>101</v>
      </c>
      <c r="J862" s="28" t="s">
        <v>66</v>
      </c>
      <c r="K862" s="28" t="s">
        <v>67</v>
      </c>
      <c r="L862" s="28" t="s">
        <v>68</v>
      </c>
      <c r="M862" s="28" t="s">
        <v>69</v>
      </c>
      <c r="N862" s="28" t="s">
        <v>70</v>
      </c>
      <c r="O862" s="29" t="n">
        <v>6</v>
      </c>
      <c r="P862" s="30" t="n">
        <v>1176</v>
      </c>
      <c r="Q862" s="30" t="n">
        <v>744</v>
      </c>
      <c r="R862" s="30" t="n">
        <f aca="false">ROUND(O862*P862,2)</f>
        <v>7056</v>
      </c>
      <c r="S862" s="30" t="n">
        <f aca="false">ROUND(O862*Q862,2)</f>
        <v>4464</v>
      </c>
      <c r="T862" s="30" t="n">
        <f aca="false">ROUND(R862*SUMIFS(Parametros!$E$23:$E$38,Parametros!$B$23:$B$38,J862,Parametros!$C$23:$C$38,C862,Parametros!$D$23:$D$38,D862),2)</f>
        <v>91.73</v>
      </c>
      <c r="U862" s="30" t="n">
        <f aca="false">R862-S862-T862</f>
        <v>2500.27</v>
      </c>
    </row>
    <row r="863" customFormat="false" ht="15" hidden="false" customHeight="false" outlineLevel="0" collapsed="false">
      <c r="A863" s="0" t="n">
        <v>862</v>
      </c>
      <c r="B863" s="27" t="n">
        <v>45549</v>
      </c>
      <c r="C863" s="0" t="n">
        <v>2024</v>
      </c>
      <c r="D863" s="28" t="s">
        <v>115</v>
      </c>
      <c r="E863" s="0" t="n">
        <v>9</v>
      </c>
      <c r="F863" s="28" t="s">
        <v>120</v>
      </c>
      <c r="G863" s="28" t="s">
        <v>121</v>
      </c>
      <c r="H863" s="28" t="s">
        <v>100</v>
      </c>
      <c r="I863" s="28" t="s">
        <v>101</v>
      </c>
      <c r="J863" s="28" t="s">
        <v>71</v>
      </c>
      <c r="K863" s="28" t="s">
        <v>67</v>
      </c>
      <c r="L863" s="28" t="s">
        <v>68</v>
      </c>
      <c r="M863" s="28" t="s">
        <v>69</v>
      </c>
      <c r="N863" s="28" t="s">
        <v>70</v>
      </c>
      <c r="O863" s="29" t="n">
        <v>2</v>
      </c>
      <c r="P863" s="30" t="n">
        <v>1176</v>
      </c>
      <c r="Q863" s="30" t="n">
        <v>744</v>
      </c>
      <c r="R863" s="30" t="n">
        <f aca="false">ROUND(O863*P863,2)</f>
        <v>2352</v>
      </c>
      <c r="S863" s="30" t="n">
        <f aca="false">ROUND(O863*Q863,2)</f>
        <v>1488</v>
      </c>
      <c r="T863" s="30" t="n">
        <f aca="false">ROUND(R863*SUMIFS(Parametros!$E$23:$E$38,Parametros!$B$23:$B$38,J863,Parametros!$C$23:$C$38,C863,Parametros!$D$23:$D$38,D863),2)</f>
        <v>108.19</v>
      </c>
      <c r="U863" s="30" t="n">
        <f aca="false">R863-S863-T863</f>
        <v>755.81</v>
      </c>
    </row>
    <row r="864" customFormat="false" ht="15" hidden="false" customHeight="false" outlineLevel="0" collapsed="false">
      <c r="A864" s="0" t="n">
        <v>863</v>
      </c>
      <c r="B864" s="27" t="n">
        <v>45556</v>
      </c>
      <c r="C864" s="0" t="n">
        <v>2024</v>
      </c>
      <c r="D864" s="28" t="s">
        <v>115</v>
      </c>
      <c r="E864" s="0" t="n">
        <v>9</v>
      </c>
      <c r="F864" s="28" t="s">
        <v>120</v>
      </c>
      <c r="G864" s="28" t="s">
        <v>121</v>
      </c>
      <c r="H864" s="28" t="s">
        <v>100</v>
      </c>
      <c r="I864" s="28" t="s">
        <v>101</v>
      </c>
      <c r="J864" s="28" t="s">
        <v>66</v>
      </c>
      <c r="K864" s="28" t="s">
        <v>67</v>
      </c>
      <c r="L864" s="28" t="s">
        <v>68</v>
      </c>
      <c r="M864" s="28" t="s">
        <v>72</v>
      </c>
      <c r="N864" s="28" t="s">
        <v>73</v>
      </c>
      <c r="O864" s="29" t="n">
        <v>7</v>
      </c>
      <c r="P864" s="30" t="n">
        <v>441</v>
      </c>
      <c r="Q864" s="30" t="n">
        <v>272.25</v>
      </c>
      <c r="R864" s="30" t="n">
        <f aca="false">ROUND(O864*P864,2)</f>
        <v>3087</v>
      </c>
      <c r="S864" s="30" t="n">
        <f aca="false">ROUND(O864*Q864,2)</f>
        <v>1905.75</v>
      </c>
      <c r="T864" s="30" t="n">
        <f aca="false">ROUND(R864*SUMIFS(Parametros!$E$23:$E$38,Parametros!$B$23:$B$38,J864,Parametros!$C$23:$C$38,C864,Parametros!$D$23:$D$38,D864),2)</f>
        <v>40.13</v>
      </c>
      <c r="U864" s="30" t="n">
        <f aca="false">R864-S864-T864</f>
        <v>1141.12</v>
      </c>
    </row>
    <row r="865" customFormat="false" ht="15" hidden="false" customHeight="false" outlineLevel="0" collapsed="false">
      <c r="A865" s="0" t="n">
        <v>864</v>
      </c>
      <c r="B865" s="27" t="n">
        <v>45536</v>
      </c>
      <c r="C865" s="0" t="n">
        <v>2024</v>
      </c>
      <c r="D865" s="28" t="s">
        <v>115</v>
      </c>
      <c r="E865" s="0" t="n">
        <v>9</v>
      </c>
      <c r="F865" s="28" t="s">
        <v>120</v>
      </c>
      <c r="G865" s="28" t="s">
        <v>121</v>
      </c>
      <c r="H865" s="28" t="s">
        <v>100</v>
      </c>
      <c r="I865" s="28" t="s">
        <v>101</v>
      </c>
      <c r="J865" s="28" t="s">
        <v>71</v>
      </c>
      <c r="K865" s="28" t="s">
        <v>67</v>
      </c>
      <c r="L865" s="28" t="s">
        <v>68</v>
      </c>
      <c r="M865" s="28" t="s">
        <v>72</v>
      </c>
      <c r="N865" s="28" t="s">
        <v>73</v>
      </c>
      <c r="O865" s="29" t="n">
        <v>3</v>
      </c>
      <c r="P865" s="30" t="n">
        <v>441</v>
      </c>
      <c r="Q865" s="30" t="n">
        <v>272.25</v>
      </c>
      <c r="R865" s="30" t="n">
        <f aca="false">ROUND(O865*P865,2)</f>
        <v>1323</v>
      </c>
      <c r="S865" s="30" t="n">
        <f aca="false">ROUND(O865*Q865,2)</f>
        <v>816.75</v>
      </c>
      <c r="T865" s="30" t="n">
        <f aca="false">ROUND(R865*SUMIFS(Parametros!$E$23:$E$38,Parametros!$B$23:$B$38,J865,Parametros!$C$23:$C$38,C865,Parametros!$D$23:$D$38,D865),2)</f>
        <v>60.86</v>
      </c>
      <c r="U865" s="30" t="n">
        <f aca="false">R865-S865-T865</f>
        <v>445.39</v>
      </c>
    </row>
    <row r="866" customFormat="false" ht="15" hidden="false" customHeight="false" outlineLevel="0" collapsed="false">
      <c r="A866" s="0" t="n">
        <v>865</v>
      </c>
      <c r="B866" s="27" t="n">
        <v>45543</v>
      </c>
      <c r="C866" s="0" t="n">
        <v>2024</v>
      </c>
      <c r="D866" s="28" t="s">
        <v>115</v>
      </c>
      <c r="E866" s="0" t="n">
        <v>9</v>
      </c>
      <c r="F866" s="28" t="s">
        <v>120</v>
      </c>
      <c r="G866" s="28" t="s">
        <v>121</v>
      </c>
      <c r="H866" s="28" t="s">
        <v>100</v>
      </c>
      <c r="I866" s="28" t="s">
        <v>101</v>
      </c>
      <c r="J866" s="28" t="s">
        <v>66</v>
      </c>
      <c r="K866" s="28" t="s">
        <v>67</v>
      </c>
      <c r="L866" s="28" t="s">
        <v>68</v>
      </c>
      <c r="M866" s="28" t="s">
        <v>74</v>
      </c>
      <c r="N866" s="28" t="s">
        <v>75</v>
      </c>
      <c r="O866" s="29" t="n">
        <v>8</v>
      </c>
      <c r="P866" s="30" t="n">
        <v>1617</v>
      </c>
      <c r="Q866" s="30" t="n">
        <v>1122</v>
      </c>
      <c r="R866" s="30" t="n">
        <f aca="false">ROUND(O866*P866,2)</f>
        <v>12936</v>
      </c>
      <c r="S866" s="30" t="n">
        <f aca="false">ROUND(O866*Q866,2)</f>
        <v>8976</v>
      </c>
      <c r="T866" s="30" t="n">
        <f aca="false">ROUND(R866*SUMIFS(Parametros!$E$23:$E$38,Parametros!$B$23:$B$38,J866,Parametros!$C$23:$C$38,C866,Parametros!$D$23:$D$38,D866),2)</f>
        <v>168.17</v>
      </c>
      <c r="U866" s="30" t="n">
        <f aca="false">R866-S866-T866</f>
        <v>3791.83</v>
      </c>
    </row>
    <row r="867" customFormat="false" ht="15" hidden="false" customHeight="false" outlineLevel="0" collapsed="false">
      <c r="A867" s="0" t="n">
        <v>866</v>
      </c>
      <c r="B867" s="27" t="n">
        <v>45550</v>
      </c>
      <c r="C867" s="0" t="n">
        <v>2024</v>
      </c>
      <c r="D867" s="28" t="s">
        <v>115</v>
      </c>
      <c r="E867" s="0" t="n">
        <v>9</v>
      </c>
      <c r="F867" s="28" t="s">
        <v>120</v>
      </c>
      <c r="G867" s="28" t="s">
        <v>121</v>
      </c>
      <c r="H867" s="28" t="s">
        <v>100</v>
      </c>
      <c r="I867" s="28" t="s">
        <v>101</v>
      </c>
      <c r="J867" s="28" t="s">
        <v>71</v>
      </c>
      <c r="K867" s="28" t="s">
        <v>67</v>
      </c>
      <c r="L867" s="28" t="s">
        <v>68</v>
      </c>
      <c r="M867" s="28" t="s">
        <v>74</v>
      </c>
      <c r="N867" s="28" t="s">
        <v>75</v>
      </c>
      <c r="O867" s="29" t="n">
        <v>2</v>
      </c>
      <c r="P867" s="30" t="n">
        <v>1617</v>
      </c>
      <c r="Q867" s="30" t="n">
        <v>1122</v>
      </c>
      <c r="R867" s="30" t="n">
        <f aca="false">ROUND(O867*P867,2)</f>
        <v>3234</v>
      </c>
      <c r="S867" s="30" t="n">
        <f aca="false">ROUND(O867*Q867,2)</f>
        <v>2244</v>
      </c>
      <c r="T867" s="30" t="n">
        <f aca="false">ROUND(R867*SUMIFS(Parametros!$E$23:$E$38,Parametros!$B$23:$B$38,J867,Parametros!$C$23:$C$38,C867,Parametros!$D$23:$D$38,D867),2)</f>
        <v>148.76</v>
      </c>
      <c r="U867" s="30" t="n">
        <f aca="false">R867-S867-T867</f>
        <v>841.24</v>
      </c>
    </row>
    <row r="868" customFormat="false" ht="15" hidden="false" customHeight="false" outlineLevel="0" collapsed="false">
      <c r="A868" s="0" t="n">
        <v>867</v>
      </c>
      <c r="B868" s="27" t="n">
        <v>45557</v>
      </c>
      <c r="C868" s="0" t="n">
        <v>2024</v>
      </c>
      <c r="D868" s="28" t="s">
        <v>115</v>
      </c>
      <c r="E868" s="0" t="n">
        <v>9</v>
      </c>
      <c r="F868" s="28" t="s">
        <v>120</v>
      </c>
      <c r="G868" s="28" t="s">
        <v>121</v>
      </c>
      <c r="H868" s="28" t="s">
        <v>100</v>
      </c>
      <c r="I868" s="28" t="s">
        <v>101</v>
      </c>
      <c r="J868" s="28" t="s">
        <v>66</v>
      </c>
      <c r="K868" s="28" t="s">
        <v>76</v>
      </c>
      <c r="L868" s="28" t="s">
        <v>77</v>
      </c>
      <c r="M868" s="28" t="s">
        <v>78</v>
      </c>
      <c r="N868" s="28" t="s">
        <v>79</v>
      </c>
      <c r="O868" s="29" t="n">
        <v>27</v>
      </c>
      <c r="P868" s="30" t="n">
        <v>27.44</v>
      </c>
      <c r="Q868" s="30" t="n">
        <v>13.44</v>
      </c>
      <c r="R868" s="30" t="n">
        <f aca="false">ROUND(O868*P868,2)</f>
        <v>740.88</v>
      </c>
      <c r="S868" s="30" t="n">
        <f aca="false">ROUND(O868*Q868,2)</f>
        <v>362.88</v>
      </c>
      <c r="T868" s="30" t="n">
        <f aca="false">ROUND(R868*SUMIFS(Parametros!$E$23:$E$38,Parametros!$B$23:$B$38,J868,Parametros!$C$23:$C$38,C868,Parametros!$D$23:$D$38,D868),2)</f>
        <v>9.63</v>
      </c>
      <c r="U868" s="30" t="n">
        <f aca="false">R868-S868-T868</f>
        <v>368.37</v>
      </c>
    </row>
    <row r="869" customFormat="false" ht="15" hidden="false" customHeight="false" outlineLevel="0" collapsed="false">
      <c r="A869" s="0" t="n">
        <v>868</v>
      </c>
      <c r="B869" s="27" t="n">
        <v>45537</v>
      </c>
      <c r="C869" s="0" t="n">
        <v>2024</v>
      </c>
      <c r="D869" s="28" t="s">
        <v>115</v>
      </c>
      <c r="E869" s="0" t="n">
        <v>9</v>
      </c>
      <c r="F869" s="28" t="s">
        <v>120</v>
      </c>
      <c r="G869" s="28" t="s">
        <v>121</v>
      </c>
      <c r="H869" s="28" t="s">
        <v>100</v>
      </c>
      <c r="I869" s="28" t="s">
        <v>101</v>
      </c>
      <c r="J869" s="28" t="s">
        <v>71</v>
      </c>
      <c r="K869" s="28" t="s">
        <v>76</v>
      </c>
      <c r="L869" s="28" t="s">
        <v>77</v>
      </c>
      <c r="M869" s="28" t="s">
        <v>78</v>
      </c>
      <c r="N869" s="28" t="s">
        <v>79</v>
      </c>
      <c r="O869" s="29" t="n">
        <v>14</v>
      </c>
      <c r="P869" s="30" t="n">
        <v>27.44</v>
      </c>
      <c r="Q869" s="30" t="n">
        <v>13.44</v>
      </c>
      <c r="R869" s="30" t="n">
        <f aca="false">ROUND(O869*P869,2)</f>
        <v>384.16</v>
      </c>
      <c r="S869" s="30" t="n">
        <f aca="false">ROUND(O869*Q869,2)</f>
        <v>188.16</v>
      </c>
      <c r="T869" s="30" t="n">
        <f aca="false">ROUND(R869*SUMIFS(Parametros!$E$23:$E$38,Parametros!$B$23:$B$38,J869,Parametros!$C$23:$C$38,C869,Parametros!$D$23:$D$38,D869),2)</f>
        <v>17.67</v>
      </c>
      <c r="U869" s="30" t="n">
        <f aca="false">R869-S869-T869</f>
        <v>178.33</v>
      </c>
    </row>
    <row r="870" customFormat="false" ht="15" hidden="false" customHeight="false" outlineLevel="0" collapsed="false">
      <c r="A870" s="0" t="n">
        <v>869</v>
      </c>
      <c r="B870" s="27" t="n">
        <v>45544</v>
      </c>
      <c r="C870" s="0" t="n">
        <v>2024</v>
      </c>
      <c r="D870" s="28" t="s">
        <v>115</v>
      </c>
      <c r="E870" s="0" t="n">
        <v>9</v>
      </c>
      <c r="F870" s="28" t="s">
        <v>120</v>
      </c>
      <c r="G870" s="28" t="s">
        <v>121</v>
      </c>
      <c r="H870" s="28" t="s">
        <v>100</v>
      </c>
      <c r="I870" s="28" t="s">
        <v>101</v>
      </c>
      <c r="J870" s="28" t="s">
        <v>66</v>
      </c>
      <c r="K870" s="28" t="s">
        <v>76</v>
      </c>
      <c r="L870" s="28" t="s">
        <v>77</v>
      </c>
      <c r="M870" s="28" t="s">
        <v>80</v>
      </c>
      <c r="N870" s="28" t="s">
        <v>81</v>
      </c>
      <c r="O870" s="29" t="n">
        <v>26</v>
      </c>
      <c r="P870" s="30" t="n">
        <v>93.1</v>
      </c>
      <c r="Q870" s="30" t="n">
        <v>47.98</v>
      </c>
      <c r="R870" s="30" t="n">
        <f aca="false">ROUND(O870*P870,2)</f>
        <v>2420.6</v>
      </c>
      <c r="S870" s="30" t="n">
        <f aca="false">ROUND(O870*Q870,2)</f>
        <v>1247.48</v>
      </c>
      <c r="T870" s="30" t="n">
        <f aca="false">ROUND(R870*SUMIFS(Parametros!$E$23:$E$38,Parametros!$B$23:$B$38,J870,Parametros!$C$23:$C$38,C870,Parametros!$D$23:$D$38,D870),2)</f>
        <v>31.47</v>
      </c>
      <c r="U870" s="30" t="n">
        <f aca="false">R870-S870-T870</f>
        <v>1141.65</v>
      </c>
    </row>
    <row r="871" customFormat="false" ht="15" hidden="false" customHeight="false" outlineLevel="0" collapsed="false">
      <c r="A871" s="0" t="n">
        <v>870</v>
      </c>
      <c r="B871" s="27" t="n">
        <v>45551</v>
      </c>
      <c r="C871" s="0" t="n">
        <v>2024</v>
      </c>
      <c r="D871" s="28" t="s">
        <v>115</v>
      </c>
      <c r="E871" s="0" t="n">
        <v>9</v>
      </c>
      <c r="F871" s="28" t="s">
        <v>120</v>
      </c>
      <c r="G871" s="28" t="s">
        <v>121</v>
      </c>
      <c r="H871" s="28" t="s">
        <v>100</v>
      </c>
      <c r="I871" s="28" t="s">
        <v>101</v>
      </c>
      <c r="J871" s="28" t="s">
        <v>71</v>
      </c>
      <c r="K871" s="28" t="s">
        <v>76</v>
      </c>
      <c r="L871" s="28" t="s">
        <v>77</v>
      </c>
      <c r="M871" s="28" t="s">
        <v>80</v>
      </c>
      <c r="N871" s="28" t="s">
        <v>81</v>
      </c>
      <c r="O871" s="29" t="n">
        <v>10</v>
      </c>
      <c r="P871" s="30" t="n">
        <v>93.1</v>
      </c>
      <c r="Q871" s="30" t="n">
        <v>47.98</v>
      </c>
      <c r="R871" s="30" t="n">
        <f aca="false">ROUND(O871*P871,2)</f>
        <v>931</v>
      </c>
      <c r="S871" s="30" t="n">
        <f aca="false">ROUND(O871*Q871,2)</f>
        <v>479.8</v>
      </c>
      <c r="T871" s="30" t="n">
        <f aca="false">ROUND(R871*SUMIFS(Parametros!$E$23:$E$38,Parametros!$B$23:$B$38,J871,Parametros!$C$23:$C$38,C871,Parametros!$D$23:$D$38,D871),2)</f>
        <v>42.83</v>
      </c>
      <c r="U871" s="30" t="n">
        <f aca="false">R871-S871-T871</f>
        <v>408.37</v>
      </c>
    </row>
    <row r="872" customFormat="false" ht="15" hidden="false" customHeight="false" outlineLevel="0" collapsed="false">
      <c r="A872" s="0" t="n">
        <v>871</v>
      </c>
      <c r="B872" s="27" t="n">
        <v>45558</v>
      </c>
      <c r="C872" s="0" t="n">
        <v>2024</v>
      </c>
      <c r="D872" s="28" t="s">
        <v>115</v>
      </c>
      <c r="E872" s="0" t="n">
        <v>9</v>
      </c>
      <c r="F872" s="28" t="s">
        <v>120</v>
      </c>
      <c r="G872" s="28" t="s">
        <v>121</v>
      </c>
      <c r="H872" s="28" t="s">
        <v>100</v>
      </c>
      <c r="I872" s="28" t="s">
        <v>101</v>
      </c>
      <c r="J872" s="28" t="s">
        <v>66</v>
      </c>
      <c r="K872" s="28" t="s">
        <v>76</v>
      </c>
      <c r="L872" s="28" t="s">
        <v>77</v>
      </c>
      <c r="M872" s="28" t="s">
        <v>82</v>
      </c>
      <c r="N872" s="28" t="s">
        <v>83</v>
      </c>
      <c r="O872" s="29" t="n">
        <v>32</v>
      </c>
      <c r="P872" s="30" t="n">
        <v>63.7</v>
      </c>
      <c r="Q872" s="30" t="n">
        <v>35.43</v>
      </c>
      <c r="R872" s="30" t="n">
        <f aca="false">ROUND(O872*P872,2)</f>
        <v>2038.4</v>
      </c>
      <c r="S872" s="30" t="n">
        <f aca="false">ROUND(O872*Q872,2)</f>
        <v>1133.76</v>
      </c>
      <c r="T872" s="30" t="n">
        <f aca="false">ROUND(R872*SUMIFS(Parametros!$E$23:$E$38,Parametros!$B$23:$B$38,J872,Parametros!$C$23:$C$38,C872,Parametros!$D$23:$D$38,D872),2)</f>
        <v>26.5</v>
      </c>
      <c r="U872" s="30" t="n">
        <f aca="false">R872-S872-T872</f>
        <v>878.14</v>
      </c>
    </row>
    <row r="873" customFormat="false" ht="15" hidden="false" customHeight="false" outlineLevel="0" collapsed="false">
      <c r="A873" s="0" t="n">
        <v>872</v>
      </c>
      <c r="B873" s="27" t="n">
        <v>45538</v>
      </c>
      <c r="C873" s="0" t="n">
        <v>2024</v>
      </c>
      <c r="D873" s="28" t="s">
        <v>115</v>
      </c>
      <c r="E873" s="0" t="n">
        <v>9</v>
      </c>
      <c r="F873" s="28" t="s">
        <v>120</v>
      </c>
      <c r="G873" s="28" t="s">
        <v>121</v>
      </c>
      <c r="H873" s="28" t="s">
        <v>100</v>
      </c>
      <c r="I873" s="28" t="s">
        <v>101</v>
      </c>
      <c r="J873" s="28" t="s">
        <v>71</v>
      </c>
      <c r="K873" s="28" t="s">
        <v>76</v>
      </c>
      <c r="L873" s="28" t="s">
        <v>77</v>
      </c>
      <c r="M873" s="28" t="s">
        <v>82</v>
      </c>
      <c r="N873" s="28" t="s">
        <v>83</v>
      </c>
      <c r="O873" s="29" t="n">
        <v>10</v>
      </c>
      <c r="P873" s="30" t="n">
        <v>63.7</v>
      </c>
      <c r="Q873" s="30" t="n">
        <v>35.43</v>
      </c>
      <c r="R873" s="30" t="n">
        <f aca="false">ROUND(O873*P873,2)</f>
        <v>637</v>
      </c>
      <c r="S873" s="30" t="n">
        <f aca="false">ROUND(O873*Q873,2)</f>
        <v>354.3</v>
      </c>
      <c r="T873" s="30" t="n">
        <f aca="false">ROUND(R873*SUMIFS(Parametros!$E$23:$E$38,Parametros!$B$23:$B$38,J873,Parametros!$C$23:$C$38,C873,Parametros!$D$23:$D$38,D873),2)</f>
        <v>29.3</v>
      </c>
      <c r="U873" s="30" t="n">
        <f aca="false">R873-S873-T873</f>
        <v>253.4</v>
      </c>
    </row>
    <row r="874" customFormat="false" ht="15" hidden="false" customHeight="false" outlineLevel="0" collapsed="false">
      <c r="A874" s="0" t="n">
        <v>873</v>
      </c>
      <c r="B874" s="27" t="n">
        <v>45545</v>
      </c>
      <c r="C874" s="0" t="n">
        <v>2024</v>
      </c>
      <c r="D874" s="28" t="s">
        <v>115</v>
      </c>
      <c r="E874" s="0" t="n">
        <v>9</v>
      </c>
      <c r="F874" s="28" t="s">
        <v>120</v>
      </c>
      <c r="G874" s="28" t="s">
        <v>121</v>
      </c>
      <c r="H874" s="28" t="s">
        <v>100</v>
      </c>
      <c r="I874" s="28" t="s">
        <v>101</v>
      </c>
      <c r="J874" s="28" t="s">
        <v>66</v>
      </c>
      <c r="K874" s="28" t="s">
        <v>84</v>
      </c>
      <c r="L874" s="28" t="s">
        <v>85</v>
      </c>
      <c r="M874" s="28" t="s">
        <v>86</v>
      </c>
      <c r="N874" s="28" t="s">
        <v>87</v>
      </c>
      <c r="O874" s="29" t="n">
        <v>13</v>
      </c>
      <c r="P874" s="30" t="n">
        <v>117.6</v>
      </c>
      <c r="Q874" s="30" t="n">
        <v>63.6</v>
      </c>
      <c r="R874" s="30" t="n">
        <f aca="false">ROUND(O874*P874,2)</f>
        <v>1528.8</v>
      </c>
      <c r="S874" s="30" t="n">
        <f aca="false">ROUND(O874*Q874,2)</f>
        <v>826.8</v>
      </c>
      <c r="T874" s="30" t="n">
        <f aca="false">ROUND(R874*SUMIFS(Parametros!$E$23:$E$38,Parametros!$B$23:$B$38,J874,Parametros!$C$23:$C$38,C874,Parametros!$D$23:$D$38,D874),2)</f>
        <v>19.87</v>
      </c>
      <c r="U874" s="30" t="n">
        <f aca="false">R874-S874-T874</f>
        <v>682.13</v>
      </c>
    </row>
    <row r="875" customFormat="false" ht="15" hidden="false" customHeight="false" outlineLevel="0" collapsed="false">
      <c r="A875" s="0" t="n">
        <v>874</v>
      </c>
      <c r="B875" s="27" t="n">
        <v>45552</v>
      </c>
      <c r="C875" s="0" t="n">
        <v>2024</v>
      </c>
      <c r="D875" s="28" t="s">
        <v>115</v>
      </c>
      <c r="E875" s="0" t="n">
        <v>9</v>
      </c>
      <c r="F875" s="28" t="s">
        <v>120</v>
      </c>
      <c r="G875" s="28" t="s">
        <v>121</v>
      </c>
      <c r="H875" s="28" t="s">
        <v>100</v>
      </c>
      <c r="I875" s="28" t="s">
        <v>101</v>
      </c>
      <c r="J875" s="28" t="s">
        <v>71</v>
      </c>
      <c r="K875" s="28" t="s">
        <v>84</v>
      </c>
      <c r="L875" s="28" t="s">
        <v>85</v>
      </c>
      <c r="M875" s="28" t="s">
        <v>86</v>
      </c>
      <c r="N875" s="28" t="s">
        <v>87</v>
      </c>
      <c r="O875" s="29" t="n">
        <v>6</v>
      </c>
      <c r="P875" s="30" t="n">
        <v>117.6</v>
      </c>
      <c r="Q875" s="30" t="n">
        <v>63.6</v>
      </c>
      <c r="R875" s="30" t="n">
        <f aca="false">ROUND(O875*P875,2)</f>
        <v>705.6</v>
      </c>
      <c r="S875" s="30" t="n">
        <f aca="false">ROUND(O875*Q875,2)</f>
        <v>381.6</v>
      </c>
      <c r="T875" s="30" t="n">
        <f aca="false">ROUND(R875*SUMIFS(Parametros!$E$23:$E$38,Parametros!$B$23:$B$38,J875,Parametros!$C$23:$C$38,C875,Parametros!$D$23:$D$38,D875),2)</f>
        <v>32.46</v>
      </c>
      <c r="U875" s="30" t="n">
        <f aca="false">R875-S875-T875</f>
        <v>291.54</v>
      </c>
    </row>
    <row r="876" customFormat="false" ht="15" hidden="false" customHeight="false" outlineLevel="0" collapsed="false">
      <c r="A876" s="0" t="n">
        <v>875</v>
      </c>
      <c r="B876" s="27" t="n">
        <v>45559</v>
      </c>
      <c r="C876" s="0" t="n">
        <v>2024</v>
      </c>
      <c r="D876" s="28" t="s">
        <v>115</v>
      </c>
      <c r="E876" s="0" t="n">
        <v>9</v>
      </c>
      <c r="F876" s="28" t="s">
        <v>120</v>
      </c>
      <c r="G876" s="28" t="s">
        <v>121</v>
      </c>
      <c r="H876" s="28" t="s">
        <v>100</v>
      </c>
      <c r="I876" s="28" t="s">
        <v>101</v>
      </c>
      <c r="J876" s="28" t="s">
        <v>66</v>
      </c>
      <c r="K876" s="28" t="s">
        <v>84</v>
      </c>
      <c r="L876" s="28" t="s">
        <v>85</v>
      </c>
      <c r="M876" s="28" t="s">
        <v>88</v>
      </c>
      <c r="N876" s="28" t="s">
        <v>89</v>
      </c>
      <c r="O876" s="29" t="n">
        <v>12</v>
      </c>
      <c r="P876" s="30" t="n">
        <v>83.3</v>
      </c>
      <c r="Q876" s="30" t="n">
        <v>48.02</v>
      </c>
      <c r="R876" s="30" t="n">
        <f aca="false">ROUND(O876*P876,2)</f>
        <v>999.6</v>
      </c>
      <c r="S876" s="30" t="n">
        <f aca="false">ROUND(O876*Q876,2)</f>
        <v>576.24</v>
      </c>
      <c r="T876" s="30" t="n">
        <f aca="false">ROUND(R876*SUMIFS(Parametros!$E$23:$E$38,Parametros!$B$23:$B$38,J876,Parametros!$C$23:$C$38,C876,Parametros!$D$23:$D$38,D876),2)</f>
        <v>12.99</v>
      </c>
      <c r="U876" s="30" t="n">
        <f aca="false">R876-S876-T876</f>
        <v>410.37</v>
      </c>
    </row>
    <row r="877" customFormat="false" ht="15" hidden="false" customHeight="false" outlineLevel="0" collapsed="false">
      <c r="A877" s="0" t="n">
        <v>876</v>
      </c>
      <c r="B877" s="27" t="n">
        <v>45539</v>
      </c>
      <c r="C877" s="0" t="n">
        <v>2024</v>
      </c>
      <c r="D877" s="28" t="s">
        <v>115</v>
      </c>
      <c r="E877" s="0" t="n">
        <v>9</v>
      </c>
      <c r="F877" s="28" t="s">
        <v>120</v>
      </c>
      <c r="G877" s="28" t="s">
        <v>121</v>
      </c>
      <c r="H877" s="28" t="s">
        <v>100</v>
      </c>
      <c r="I877" s="28" t="s">
        <v>101</v>
      </c>
      <c r="J877" s="28" t="s">
        <v>71</v>
      </c>
      <c r="K877" s="28" t="s">
        <v>84</v>
      </c>
      <c r="L877" s="28" t="s">
        <v>85</v>
      </c>
      <c r="M877" s="28" t="s">
        <v>88</v>
      </c>
      <c r="N877" s="28" t="s">
        <v>89</v>
      </c>
      <c r="O877" s="29" t="n">
        <v>5</v>
      </c>
      <c r="P877" s="30" t="n">
        <v>83.3</v>
      </c>
      <c r="Q877" s="30" t="n">
        <v>48.02</v>
      </c>
      <c r="R877" s="30" t="n">
        <f aca="false">ROUND(O877*P877,2)</f>
        <v>416.5</v>
      </c>
      <c r="S877" s="30" t="n">
        <f aca="false">ROUND(O877*Q877,2)</f>
        <v>240.1</v>
      </c>
      <c r="T877" s="30" t="n">
        <f aca="false">ROUND(R877*SUMIFS(Parametros!$E$23:$E$38,Parametros!$B$23:$B$38,J877,Parametros!$C$23:$C$38,C877,Parametros!$D$23:$D$38,D877),2)</f>
        <v>19.16</v>
      </c>
      <c r="U877" s="30" t="n">
        <f aca="false">R877-S877-T877</f>
        <v>157.24</v>
      </c>
    </row>
    <row r="878" customFormat="false" ht="15" hidden="false" customHeight="false" outlineLevel="0" collapsed="false">
      <c r="A878" s="0" t="n">
        <v>877</v>
      </c>
      <c r="B878" s="27" t="n">
        <v>45546</v>
      </c>
      <c r="C878" s="0" t="n">
        <v>2024</v>
      </c>
      <c r="D878" s="28" t="s">
        <v>115</v>
      </c>
      <c r="E878" s="0" t="n">
        <v>9</v>
      </c>
      <c r="F878" s="28" t="s">
        <v>120</v>
      </c>
      <c r="G878" s="28" t="s">
        <v>121</v>
      </c>
      <c r="H878" s="28" t="s">
        <v>100</v>
      </c>
      <c r="I878" s="28" t="s">
        <v>101</v>
      </c>
      <c r="J878" s="28" t="s">
        <v>66</v>
      </c>
      <c r="K878" s="28" t="s">
        <v>90</v>
      </c>
      <c r="L878" s="28" t="s">
        <v>91</v>
      </c>
      <c r="M878" s="28" t="s">
        <v>92</v>
      </c>
      <c r="N878" s="28" t="s">
        <v>93</v>
      </c>
      <c r="O878" s="29" t="n">
        <v>20</v>
      </c>
      <c r="P878" s="30" t="n">
        <v>127.4</v>
      </c>
      <c r="Q878" s="30" t="n">
        <v>76.05</v>
      </c>
      <c r="R878" s="30" t="n">
        <f aca="false">ROUND(O878*P878,2)</f>
        <v>2548</v>
      </c>
      <c r="S878" s="30" t="n">
        <f aca="false">ROUND(O878*Q878,2)</f>
        <v>1521</v>
      </c>
      <c r="T878" s="30" t="n">
        <f aca="false">ROUND(R878*SUMIFS(Parametros!$E$23:$E$38,Parametros!$B$23:$B$38,J878,Parametros!$C$23:$C$38,C878,Parametros!$D$23:$D$38,D878),2)</f>
        <v>33.12</v>
      </c>
      <c r="U878" s="30" t="n">
        <f aca="false">R878-S878-T878</f>
        <v>993.88</v>
      </c>
    </row>
    <row r="879" customFormat="false" ht="15" hidden="false" customHeight="false" outlineLevel="0" collapsed="false">
      <c r="A879" s="0" t="n">
        <v>878</v>
      </c>
      <c r="B879" s="27" t="n">
        <v>45553</v>
      </c>
      <c r="C879" s="0" t="n">
        <v>2024</v>
      </c>
      <c r="D879" s="28" t="s">
        <v>115</v>
      </c>
      <c r="E879" s="0" t="n">
        <v>9</v>
      </c>
      <c r="F879" s="28" t="s">
        <v>120</v>
      </c>
      <c r="G879" s="28" t="s">
        <v>121</v>
      </c>
      <c r="H879" s="28" t="s">
        <v>100</v>
      </c>
      <c r="I879" s="28" t="s">
        <v>101</v>
      </c>
      <c r="J879" s="28" t="s">
        <v>71</v>
      </c>
      <c r="K879" s="28" t="s">
        <v>90</v>
      </c>
      <c r="L879" s="28" t="s">
        <v>91</v>
      </c>
      <c r="M879" s="28" t="s">
        <v>92</v>
      </c>
      <c r="N879" s="28" t="s">
        <v>93</v>
      </c>
      <c r="O879" s="29" t="n">
        <v>8</v>
      </c>
      <c r="P879" s="30" t="n">
        <v>127.4</v>
      </c>
      <c r="Q879" s="30" t="n">
        <v>76.05</v>
      </c>
      <c r="R879" s="30" t="n">
        <f aca="false">ROUND(O879*P879,2)</f>
        <v>1019.2</v>
      </c>
      <c r="S879" s="30" t="n">
        <f aca="false">ROUND(O879*Q879,2)</f>
        <v>608.4</v>
      </c>
      <c r="T879" s="30" t="n">
        <f aca="false">ROUND(R879*SUMIFS(Parametros!$E$23:$E$38,Parametros!$B$23:$B$38,J879,Parametros!$C$23:$C$38,C879,Parametros!$D$23:$D$38,D879),2)</f>
        <v>46.88</v>
      </c>
      <c r="U879" s="30" t="n">
        <f aca="false">R879-S879-T879</f>
        <v>363.92</v>
      </c>
    </row>
    <row r="880" customFormat="false" ht="15" hidden="false" customHeight="false" outlineLevel="0" collapsed="false">
      <c r="A880" s="0" t="n">
        <v>879</v>
      </c>
      <c r="B880" s="27" t="n">
        <v>45560</v>
      </c>
      <c r="C880" s="0" t="n">
        <v>2024</v>
      </c>
      <c r="D880" s="28" t="s">
        <v>115</v>
      </c>
      <c r="E880" s="0" t="n">
        <v>9</v>
      </c>
      <c r="F880" s="28" t="s">
        <v>120</v>
      </c>
      <c r="G880" s="28" t="s">
        <v>121</v>
      </c>
      <c r="H880" s="28" t="s">
        <v>100</v>
      </c>
      <c r="I880" s="28" t="s">
        <v>101</v>
      </c>
      <c r="J880" s="28" t="s">
        <v>66</v>
      </c>
      <c r="K880" s="28" t="s">
        <v>90</v>
      </c>
      <c r="L880" s="28" t="s">
        <v>91</v>
      </c>
      <c r="M880" s="28" t="s">
        <v>94</v>
      </c>
      <c r="N880" s="28" t="s">
        <v>95</v>
      </c>
      <c r="O880" s="29" t="n">
        <v>18</v>
      </c>
      <c r="P880" s="30" t="n">
        <v>34.3</v>
      </c>
      <c r="Q880" s="30" t="n">
        <v>17.85</v>
      </c>
      <c r="R880" s="30" t="n">
        <f aca="false">ROUND(O880*P880,2)</f>
        <v>617.4</v>
      </c>
      <c r="S880" s="30" t="n">
        <f aca="false">ROUND(O880*Q880,2)</f>
        <v>321.3</v>
      </c>
      <c r="T880" s="30" t="n">
        <f aca="false">ROUND(R880*SUMIFS(Parametros!$E$23:$E$38,Parametros!$B$23:$B$38,J880,Parametros!$C$23:$C$38,C880,Parametros!$D$23:$D$38,D880),2)</f>
        <v>8.03</v>
      </c>
      <c r="U880" s="30" t="n">
        <f aca="false">R880-S880-T880</f>
        <v>288.07</v>
      </c>
    </row>
    <row r="881" customFormat="false" ht="15" hidden="false" customHeight="false" outlineLevel="0" collapsed="false">
      <c r="A881" s="0" t="n">
        <v>880</v>
      </c>
      <c r="B881" s="27" t="n">
        <v>45540</v>
      </c>
      <c r="C881" s="0" t="n">
        <v>2024</v>
      </c>
      <c r="D881" s="28" t="s">
        <v>115</v>
      </c>
      <c r="E881" s="0" t="n">
        <v>9</v>
      </c>
      <c r="F881" s="28" t="s">
        <v>120</v>
      </c>
      <c r="G881" s="28" t="s">
        <v>121</v>
      </c>
      <c r="H881" s="28" t="s">
        <v>100</v>
      </c>
      <c r="I881" s="28" t="s">
        <v>101</v>
      </c>
      <c r="J881" s="28" t="s">
        <v>71</v>
      </c>
      <c r="K881" s="28" t="s">
        <v>90</v>
      </c>
      <c r="L881" s="28" t="s">
        <v>91</v>
      </c>
      <c r="M881" s="28" t="s">
        <v>94</v>
      </c>
      <c r="N881" s="28" t="s">
        <v>95</v>
      </c>
      <c r="O881" s="29" t="n">
        <v>6</v>
      </c>
      <c r="P881" s="30" t="n">
        <v>34.3</v>
      </c>
      <c r="Q881" s="30" t="n">
        <v>17.85</v>
      </c>
      <c r="R881" s="30" t="n">
        <f aca="false">ROUND(O881*P881,2)</f>
        <v>205.8</v>
      </c>
      <c r="S881" s="30" t="n">
        <f aca="false">ROUND(O881*Q881,2)</f>
        <v>107.1</v>
      </c>
      <c r="T881" s="30" t="n">
        <f aca="false">ROUND(R881*SUMIFS(Parametros!$E$23:$E$38,Parametros!$B$23:$B$38,J881,Parametros!$C$23:$C$38,C881,Parametros!$D$23:$D$38,D881),2)</f>
        <v>9.47</v>
      </c>
      <c r="U881" s="30" t="n">
        <f aca="false">R881-S881-T881</f>
        <v>89.23</v>
      </c>
    </row>
    <row r="882" customFormat="false" ht="15" hidden="false" customHeight="false" outlineLevel="0" collapsed="false">
      <c r="A882" s="0" t="n">
        <v>881</v>
      </c>
      <c r="B882" s="27" t="n">
        <v>45547</v>
      </c>
      <c r="C882" s="0" t="n">
        <v>2024</v>
      </c>
      <c r="D882" s="28" t="s">
        <v>115</v>
      </c>
      <c r="E882" s="0" t="n">
        <v>9</v>
      </c>
      <c r="F882" s="28" t="s">
        <v>120</v>
      </c>
      <c r="G882" s="28" t="s">
        <v>121</v>
      </c>
      <c r="H882" s="28" t="s">
        <v>102</v>
      </c>
      <c r="I882" s="28" t="s">
        <v>103</v>
      </c>
      <c r="J882" s="28" t="s">
        <v>66</v>
      </c>
      <c r="K882" s="28" t="s">
        <v>67</v>
      </c>
      <c r="L882" s="28" t="s">
        <v>68</v>
      </c>
      <c r="M882" s="28" t="s">
        <v>69</v>
      </c>
      <c r="N882" s="28" t="s">
        <v>70</v>
      </c>
      <c r="O882" s="29" t="n">
        <v>6</v>
      </c>
      <c r="P882" s="30" t="n">
        <v>1176</v>
      </c>
      <c r="Q882" s="30" t="n">
        <v>744</v>
      </c>
      <c r="R882" s="30" t="n">
        <f aca="false">ROUND(O882*P882,2)</f>
        <v>7056</v>
      </c>
      <c r="S882" s="30" t="n">
        <f aca="false">ROUND(O882*Q882,2)</f>
        <v>4464</v>
      </c>
      <c r="T882" s="30" t="n">
        <f aca="false">ROUND(R882*SUMIFS(Parametros!$E$23:$E$38,Parametros!$B$23:$B$38,J882,Parametros!$C$23:$C$38,C882,Parametros!$D$23:$D$38,D882),2)</f>
        <v>91.73</v>
      </c>
      <c r="U882" s="30" t="n">
        <f aca="false">R882-S882-T882</f>
        <v>2500.27</v>
      </c>
    </row>
    <row r="883" customFormat="false" ht="15" hidden="false" customHeight="false" outlineLevel="0" collapsed="false">
      <c r="A883" s="0" t="n">
        <v>882</v>
      </c>
      <c r="B883" s="27" t="n">
        <v>45554</v>
      </c>
      <c r="C883" s="0" t="n">
        <v>2024</v>
      </c>
      <c r="D883" s="28" t="s">
        <v>115</v>
      </c>
      <c r="E883" s="0" t="n">
        <v>9</v>
      </c>
      <c r="F883" s="28" t="s">
        <v>120</v>
      </c>
      <c r="G883" s="28" t="s">
        <v>121</v>
      </c>
      <c r="H883" s="28" t="s">
        <v>102</v>
      </c>
      <c r="I883" s="28" t="s">
        <v>103</v>
      </c>
      <c r="J883" s="28" t="s">
        <v>71</v>
      </c>
      <c r="K883" s="28" t="s">
        <v>67</v>
      </c>
      <c r="L883" s="28" t="s">
        <v>68</v>
      </c>
      <c r="M883" s="28" t="s">
        <v>69</v>
      </c>
      <c r="N883" s="28" t="s">
        <v>70</v>
      </c>
      <c r="O883" s="29" t="n">
        <v>3</v>
      </c>
      <c r="P883" s="30" t="n">
        <v>1176</v>
      </c>
      <c r="Q883" s="30" t="n">
        <v>744</v>
      </c>
      <c r="R883" s="30" t="n">
        <f aca="false">ROUND(O883*P883,2)</f>
        <v>3528</v>
      </c>
      <c r="S883" s="30" t="n">
        <f aca="false">ROUND(O883*Q883,2)</f>
        <v>2232</v>
      </c>
      <c r="T883" s="30" t="n">
        <f aca="false">ROUND(R883*SUMIFS(Parametros!$E$23:$E$38,Parametros!$B$23:$B$38,J883,Parametros!$C$23:$C$38,C883,Parametros!$D$23:$D$38,D883),2)</f>
        <v>162.29</v>
      </c>
      <c r="U883" s="30" t="n">
        <f aca="false">R883-S883-T883</f>
        <v>1133.71</v>
      </c>
    </row>
    <row r="884" customFormat="false" ht="15" hidden="false" customHeight="false" outlineLevel="0" collapsed="false">
      <c r="A884" s="0" t="n">
        <v>883</v>
      </c>
      <c r="B884" s="27" t="n">
        <v>45561</v>
      </c>
      <c r="C884" s="0" t="n">
        <v>2024</v>
      </c>
      <c r="D884" s="28" t="s">
        <v>115</v>
      </c>
      <c r="E884" s="0" t="n">
        <v>9</v>
      </c>
      <c r="F884" s="28" t="s">
        <v>120</v>
      </c>
      <c r="G884" s="28" t="s">
        <v>121</v>
      </c>
      <c r="H884" s="28" t="s">
        <v>102</v>
      </c>
      <c r="I884" s="28" t="s">
        <v>103</v>
      </c>
      <c r="J884" s="28" t="s">
        <v>66</v>
      </c>
      <c r="K884" s="28" t="s">
        <v>67</v>
      </c>
      <c r="L884" s="28" t="s">
        <v>68</v>
      </c>
      <c r="M884" s="28" t="s">
        <v>72</v>
      </c>
      <c r="N884" s="28" t="s">
        <v>73</v>
      </c>
      <c r="O884" s="29" t="n">
        <v>7</v>
      </c>
      <c r="P884" s="30" t="n">
        <v>441</v>
      </c>
      <c r="Q884" s="30" t="n">
        <v>272.25</v>
      </c>
      <c r="R884" s="30" t="n">
        <f aca="false">ROUND(O884*P884,2)</f>
        <v>3087</v>
      </c>
      <c r="S884" s="30" t="n">
        <f aca="false">ROUND(O884*Q884,2)</f>
        <v>1905.75</v>
      </c>
      <c r="T884" s="30" t="n">
        <f aca="false">ROUND(R884*SUMIFS(Parametros!$E$23:$E$38,Parametros!$B$23:$B$38,J884,Parametros!$C$23:$C$38,C884,Parametros!$D$23:$D$38,D884),2)</f>
        <v>40.13</v>
      </c>
      <c r="U884" s="30" t="n">
        <f aca="false">R884-S884-T884</f>
        <v>1141.12</v>
      </c>
    </row>
    <row r="885" customFormat="false" ht="15" hidden="false" customHeight="false" outlineLevel="0" collapsed="false">
      <c r="A885" s="0" t="n">
        <v>884</v>
      </c>
      <c r="B885" s="27" t="n">
        <v>45541</v>
      </c>
      <c r="C885" s="0" t="n">
        <v>2024</v>
      </c>
      <c r="D885" s="28" t="s">
        <v>115</v>
      </c>
      <c r="E885" s="0" t="n">
        <v>9</v>
      </c>
      <c r="F885" s="28" t="s">
        <v>120</v>
      </c>
      <c r="G885" s="28" t="s">
        <v>121</v>
      </c>
      <c r="H885" s="28" t="s">
        <v>102</v>
      </c>
      <c r="I885" s="28" t="s">
        <v>103</v>
      </c>
      <c r="J885" s="28" t="s">
        <v>71</v>
      </c>
      <c r="K885" s="28" t="s">
        <v>67</v>
      </c>
      <c r="L885" s="28" t="s">
        <v>68</v>
      </c>
      <c r="M885" s="28" t="s">
        <v>72</v>
      </c>
      <c r="N885" s="28" t="s">
        <v>73</v>
      </c>
      <c r="O885" s="29" t="n">
        <v>3</v>
      </c>
      <c r="P885" s="30" t="n">
        <v>441</v>
      </c>
      <c r="Q885" s="30" t="n">
        <v>272.25</v>
      </c>
      <c r="R885" s="30" t="n">
        <f aca="false">ROUND(O885*P885,2)</f>
        <v>1323</v>
      </c>
      <c r="S885" s="30" t="n">
        <f aca="false">ROUND(O885*Q885,2)</f>
        <v>816.75</v>
      </c>
      <c r="T885" s="30" t="n">
        <f aca="false">ROUND(R885*SUMIFS(Parametros!$E$23:$E$38,Parametros!$B$23:$B$38,J885,Parametros!$C$23:$C$38,C885,Parametros!$D$23:$D$38,D885),2)</f>
        <v>60.86</v>
      </c>
      <c r="U885" s="30" t="n">
        <f aca="false">R885-S885-T885</f>
        <v>445.39</v>
      </c>
    </row>
    <row r="886" customFormat="false" ht="15" hidden="false" customHeight="false" outlineLevel="0" collapsed="false">
      <c r="A886" s="0" t="n">
        <v>885</v>
      </c>
      <c r="B886" s="27" t="n">
        <v>45548</v>
      </c>
      <c r="C886" s="0" t="n">
        <v>2024</v>
      </c>
      <c r="D886" s="28" t="s">
        <v>115</v>
      </c>
      <c r="E886" s="0" t="n">
        <v>9</v>
      </c>
      <c r="F886" s="28" t="s">
        <v>120</v>
      </c>
      <c r="G886" s="28" t="s">
        <v>121</v>
      </c>
      <c r="H886" s="28" t="s">
        <v>102</v>
      </c>
      <c r="I886" s="28" t="s">
        <v>103</v>
      </c>
      <c r="J886" s="28" t="s">
        <v>66</v>
      </c>
      <c r="K886" s="28" t="s">
        <v>67</v>
      </c>
      <c r="L886" s="28" t="s">
        <v>68</v>
      </c>
      <c r="M886" s="28" t="s">
        <v>74</v>
      </c>
      <c r="N886" s="28" t="s">
        <v>75</v>
      </c>
      <c r="O886" s="29" t="n">
        <v>6</v>
      </c>
      <c r="P886" s="30" t="n">
        <v>1617</v>
      </c>
      <c r="Q886" s="30" t="n">
        <v>1122</v>
      </c>
      <c r="R886" s="30" t="n">
        <f aca="false">ROUND(O886*P886,2)</f>
        <v>9702</v>
      </c>
      <c r="S886" s="30" t="n">
        <f aca="false">ROUND(O886*Q886,2)</f>
        <v>6732</v>
      </c>
      <c r="T886" s="30" t="n">
        <f aca="false">ROUND(R886*SUMIFS(Parametros!$E$23:$E$38,Parametros!$B$23:$B$38,J886,Parametros!$C$23:$C$38,C886,Parametros!$D$23:$D$38,D886),2)</f>
        <v>126.13</v>
      </c>
      <c r="U886" s="30" t="n">
        <f aca="false">R886-S886-T886</f>
        <v>2843.87</v>
      </c>
    </row>
    <row r="887" customFormat="false" ht="15" hidden="false" customHeight="false" outlineLevel="0" collapsed="false">
      <c r="A887" s="0" t="n">
        <v>886</v>
      </c>
      <c r="B887" s="27" t="n">
        <v>45555</v>
      </c>
      <c r="C887" s="0" t="n">
        <v>2024</v>
      </c>
      <c r="D887" s="28" t="s">
        <v>115</v>
      </c>
      <c r="E887" s="0" t="n">
        <v>9</v>
      </c>
      <c r="F887" s="28" t="s">
        <v>120</v>
      </c>
      <c r="G887" s="28" t="s">
        <v>121</v>
      </c>
      <c r="H887" s="28" t="s">
        <v>102</v>
      </c>
      <c r="I887" s="28" t="s">
        <v>103</v>
      </c>
      <c r="J887" s="28" t="s">
        <v>71</v>
      </c>
      <c r="K887" s="28" t="s">
        <v>67</v>
      </c>
      <c r="L887" s="28" t="s">
        <v>68</v>
      </c>
      <c r="M887" s="28" t="s">
        <v>74</v>
      </c>
      <c r="N887" s="28" t="s">
        <v>75</v>
      </c>
      <c r="O887" s="29" t="n">
        <v>2</v>
      </c>
      <c r="P887" s="30" t="n">
        <v>1617</v>
      </c>
      <c r="Q887" s="30" t="n">
        <v>1122</v>
      </c>
      <c r="R887" s="30" t="n">
        <f aca="false">ROUND(O887*P887,2)</f>
        <v>3234</v>
      </c>
      <c r="S887" s="30" t="n">
        <f aca="false">ROUND(O887*Q887,2)</f>
        <v>2244</v>
      </c>
      <c r="T887" s="30" t="n">
        <f aca="false">ROUND(R887*SUMIFS(Parametros!$E$23:$E$38,Parametros!$B$23:$B$38,J887,Parametros!$C$23:$C$38,C887,Parametros!$D$23:$D$38,D887),2)</f>
        <v>148.76</v>
      </c>
      <c r="U887" s="30" t="n">
        <f aca="false">R887-S887-T887</f>
        <v>841.24</v>
      </c>
    </row>
    <row r="888" customFormat="false" ht="15" hidden="false" customHeight="false" outlineLevel="0" collapsed="false">
      <c r="A888" s="0" t="n">
        <v>887</v>
      </c>
      <c r="B888" s="27" t="n">
        <v>45562</v>
      </c>
      <c r="C888" s="0" t="n">
        <v>2024</v>
      </c>
      <c r="D888" s="28" t="s">
        <v>115</v>
      </c>
      <c r="E888" s="0" t="n">
        <v>9</v>
      </c>
      <c r="F888" s="28" t="s">
        <v>120</v>
      </c>
      <c r="G888" s="28" t="s">
        <v>121</v>
      </c>
      <c r="H888" s="28" t="s">
        <v>102</v>
      </c>
      <c r="I888" s="28" t="s">
        <v>103</v>
      </c>
      <c r="J888" s="28" t="s">
        <v>66</v>
      </c>
      <c r="K888" s="28" t="s">
        <v>76</v>
      </c>
      <c r="L888" s="28" t="s">
        <v>77</v>
      </c>
      <c r="M888" s="28" t="s">
        <v>78</v>
      </c>
      <c r="N888" s="28" t="s">
        <v>79</v>
      </c>
      <c r="O888" s="29" t="n">
        <v>26</v>
      </c>
      <c r="P888" s="30" t="n">
        <v>27.44</v>
      </c>
      <c r="Q888" s="30" t="n">
        <v>13.44</v>
      </c>
      <c r="R888" s="30" t="n">
        <f aca="false">ROUND(O888*P888,2)</f>
        <v>713.44</v>
      </c>
      <c r="S888" s="30" t="n">
        <f aca="false">ROUND(O888*Q888,2)</f>
        <v>349.44</v>
      </c>
      <c r="T888" s="30" t="n">
        <f aca="false">ROUND(R888*SUMIFS(Parametros!$E$23:$E$38,Parametros!$B$23:$B$38,J888,Parametros!$C$23:$C$38,C888,Parametros!$D$23:$D$38,D888),2)</f>
        <v>9.27</v>
      </c>
      <c r="U888" s="30" t="n">
        <f aca="false">R888-S888-T888</f>
        <v>354.73</v>
      </c>
    </row>
    <row r="889" customFormat="false" ht="15" hidden="false" customHeight="false" outlineLevel="0" collapsed="false">
      <c r="A889" s="0" t="n">
        <v>888</v>
      </c>
      <c r="B889" s="27" t="n">
        <v>45542</v>
      </c>
      <c r="C889" s="0" t="n">
        <v>2024</v>
      </c>
      <c r="D889" s="28" t="s">
        <v>115</v>
      </c>
      <c r="E889" s="0" t="n">
        <v>9</v>
      </c>
      <c r="F889" s="28" t="s">
        <v>120</v>
      </c>
      <c r="G889" s="28" t="s">
        <v>121</v>
      </c>
      <c r="H889" s="28" t="s">
        <v>102</v>
      </c>
      <c r="I889" s="28" t="s">
        <v>103</v>
      </c>
      <c r="J889" s="28" t="s">
        <v>71</v>
      </c>
      <c r="K889" s="28" t="s">
        <v>76</v>
      </c>
      <c r="L889" s="28" t="s">
        <v>77</v>
      </c>
      <c r="M889" s="28" t="s">
        <v>78</v>
      </c>
      <c r="N889" s="28" t="s">
        <v>79</v>
      </c>
      <c r="O889" s="29" t="n">
        <v>12</v>
      </c>
      <c r="P889" s="30" t="n">
        <v>27.44</v>
      </c>
      <c r="Q889" s="30" t="n">
        <v>13.44</v>
      </c>
      <c r="R889" s="30" t="n">
        <f aca="false">ROUND(O889*P889,2)</f>
        <v>329.28</v>
      </c>
      <c r="S889" s="30" t="n">
        <f aca="false">ROUND(O889*Q889,2)</f>
        <v>161.28</v>
      </c>
      <c r="T889" s="30" t="n">
        <f aca="false">ROUND(R889*SUMIFS(Parametros!$E$23:$E$38,Parametros!$B$23:$B$38,J889,Parametros!$C$23:$C$38,C889,Parametros!$D$23:$D$38,D889),2)</f>
        <v>15.15</v>
      </c>
      <c r="U889" s="30" t="n">
        <f aca="false">R889-S889-T889</f>
        <v>152.85</v>
      </c>
    </row>
    <row r="890" customFormat="false" ht="15" hidden="false" customHeight="false" outlineLevel="0" collapsed="false">
      <c r="A890" s="0" t="n">
        <v>889</v>
      </c>
      <c r="B890" s="27" t="n">
        <v>45549</v>
      </c>
      <c r="C890" s="0" t="n">
        <v>2024</v>
      </c>
      <c r="D890" s="28" t="s">
        <v>115</v>
      </c>
      <c r="E890" s="0" t="n">
        <v>9</v>
      </c>
      <c r="F890" s="28" t="s">
        <v>120</v>
      </c>
      <c r="G890" s="28" t="s">
        <v>121</v>
      </c>
      <c r="H890" s="28" t="s">
        <v>102</v>
      </c>
      <c r="I890" s="28" t="s">
        <v>103</v>
      </c>
      <c r="J890" s="28" t="s">
        <v>66</v>
      </c>
      <c r="K890" s="28" t="s">
        <v>76</v>
      </c>
      <c r="L890" s="28" t="s">
        <v>77</v>
      </c>
      <c r="M890" s="28" t="s">
        <v>80</v>
      </c>
      <c r="N890" s="28" t="s">
        <v>81</v>
      </c>
      <c r="O890" s="29" t="n">
        <v>30</v>
      </c>
      <c r="P890" s="30" t="n">
        <v>93.1</v>
      </c>
      <c r="Q890" s="30" t="n">
        <v>47.98</v>
      </c>
      <c r="R890" s="30" t="n">
        <f aca="false">ROUND(O890*P890,2)</f>
        <v>2793</v>
      </c>
      <c r="S890" s="30" t="n">
        <f aca="false">ROUND(O890*Q890,2)</f>
        <v>1439.4</v>
      </c>
      <c r="T890" s="30" t="n">
        <f aca="false">ROUND(R890*SUMIFS(Parametros!$E$23:$E$38,Parametros!$B$23:$B$38,J890,Parametros!$C$23:$C$38,C890,Parametros!$D$23:$D$38,D890),2)</f>
        <v>36.31</v>
      </c>
      <c r="U890" s="30" t="n">
        <f aca="false">R890-S890-T890</f>
        <v>1317.29</v>
      </c>
    </row>
    <row r="891" customFormat="false" ht="15" hidden="false" customHeight="false" outlineLevel="0" collapsed="false">
      <c r="A891" s="0" t="n">
        <v>890</v>
      </c>
      <c r="B891" s="27" t="n">
        <v>45556</v>
      </c>
      <c r="C891" s="0" t="n">
        <v>2024</v>
      </c>
      <c r="D891" s="28" t="s">
        <v>115</v>
      </c>
      <c r="E891" s="0" t="n">
        <v>9</v>
      </c>
      <c r="F891" s="28" t="s">
        <v>120</v>
      </c>
      <c r="G891" s="28" t="s">
        <v>121</v>
      </c>
      <c r="H891" s="28" t="s">
        <v>102</v>
      </c>
      <c r="I891" s="28" t="s">
        <v>103</v>
      </c>
      <c r="J891" s="28" t="s">
        <v>71</v>
      </c>
      <c r="K891" s="28" t="s">
        <v>76</v>
      </c>
      <c r="L891" s="28" t="s">
        <v>77</v>
      </c>
      <c r="M891" s="28" t="s">
        <v>80</v>
      </c>
      <c r="N891" s="28" t="s">
        <v>81</v>
      </c>
      <c r="O891" s="29" t="n">
        <v>12</v>
      </c>
      <c r="P891" s="30" t="n">
        <v>93.1</v>
      </c>
      <c r="Q891" s="30" t="n">
        <v>47.98</v>
      </c>
      <c r="R891" s="30" t="n">
        <f aca="false">ROUND(O891*P891,2)</f>
        <v>1117.2</v>
      </c>
      <c r="S891" s="30" t="n">
        <f aca="false">ROUND(O891*Q891,2)</f>
        <v>575.76</v>
      </c>
      <c r="T891" s="30" t="n">
        <f aca="false">ROUND(R891*SUMIFS(Parametros!$E$23:$E$38,Parametros!$B$23:$B$38,J891,Parametros!$C$23:$C$38,C891,Parametros!$D$23:$D$38,D891),2)</f>
        <v>51.39</v>
      </c>
      <c r="U891" s="30" t="n">
        <f aca="false">R891-S891-T891</f>
        <v>490.05</v>
      </c>
    </row>
    <row r="892" customFormat="false" ht="15" hidden="false" customHeight="false" outlineLevel="0" collapsed="false">
      <c r="A892" s="0" t="n">
        <v>891</v>
      </c>
      <c r="B892" s="27" t="n">
        <v>45536</v>
      </c>
      <c r="C892" s="0" t="n">
        <v>2024</v>
      </c>
      <c r="D892" s="28" t="s">
        <v>115</v>
      </c>
      <c r="E892" s="0" t="n">
        <v>9</v>
      </c>
      <c r="F892" s="28" t="s">
        <v>120</v>
      </c>
      <c r="G892" s="28" t="s">
        <v>121</v>
      </c>
      <c r="H892" s="28" t="s">
        <v>102</v>
      </c>
      <c r="I892" s="28" t="s">
        <v>103</v>
      </c>
      <c r="J892" s="28" t="s">
        <v>66</v>
      </c>
      <c r="K892" s="28" t="s">
        <v>76</v>
      </c>
      <c r="L892" s="28" t="s">
        <v>77</v>
      </c>
      <c r="M892" s="28" t="s">
        <v>82</v>
      </c>
      <c r="N892" s="28" t="s">
        <v>83</v>
      </c>
      <c r="O892" s="29" t="n">
        <v>30</v>
      </c>
      <c r="P892" s="30" t="n">
        <v>63.7</v>
      </c>
      <c r="Q892" s="30" t="n">
        <v>35.43</v>
      </c>
      <c r="R892" s="30" t="n">
        <f aca="false">ROUND(O892*P892,2)</f>
        <v>1911</v>
      </c>
      <c r="S892" s="30" t="n">
        <f aca="false">ROUND(O892*Q892,2)</f>
        <v>1062.9</v>
      </c>
      <c r="T892" s="30" t="n">
        <f aca="false">ROUND(R892*SUMIFS(Parametros!$E$23:$E$38,Parametros!$B$23:$B$38,J892,Parametros!$C$23:$C$38,C892,Parametros!$D$23:$D$38,D892),2)</f>
        <v>24.84</v>
      </c>
      <c r="U892" s="30" t="n">
        <f aca="false">R892-S892-T892</f>
        <v>823.26</v>
      </c>
    </row>
    <row r="893" customFormat="false" ht="15" hidden="false" customHeight="false" outlineLevel="0" collapsed="false">
      <c r="A893" s="0" t="n">
        <v>892</v>
      </c>
      <c r="B893" s="27" t="n">
        <v>45543</v>
      </c>
      <c r="C893" s="0" t="n">
        <v>2024</v>
      </c>
      <c r="D893" s="28" t="s">
        <v>115</v>
      </c>
      <c r="E893" s="0" t="n">
        <v>9</v>
      </c>
      <c r="F893" s="28" t="s">
        <v>120</v>
      </c>
      <c r="G893" s="28" t="s">
        <v>121</v>
      </c>
      <c r="H893" s="28" t="s">
        <v>102</v>
      </c>
      <c r="I893" s="28" t="s">
        <v>103</v>
      </c>
      <c r="J893" s="28" t="s">
        <v>71</v>
      </c>
      <c r="K893" s="28" t="s">
        <v>76</v>
      </c>
      <c r="L893" s="28" t="s">
        <v>77</v>
      </c>
      <c r="M893" s="28" t="s">
        <v>82</v>
      </c>
      <c r="N893" s="28" t="s">
        <v>83</v>
      </c>
      <c r="O893" s="29" t="n">
        <v>14</v>
      </c>
      <c r="P893" s="30" t="n">
        <v>63.7</v>
      </c>
      <c r="Q893" s="30" t="n">
        <v>35.43</v>
      </c>
      <c r="R893" s="30" t="n">
        <f aca="false">ROUND(O893*P893,2)</f>
        <v>891.8</v>
      </c>
      <c r="S893" s="30" t="n">
        <f aca="false">ROUND(O893*Q893,2)</f>
        <v>496.02</v>
      </c>
      <c r="T893" s="30" t="n">
        <f aca="false">ROUND(R893*SUMIFS(Parametros!$E$23:$E$38,Parametros!$B$23:$B$38,J893,Parametros!$C$23:$C$38,C893,Parametros!$D$23:$D$38,D893),2)</f>
        <v>41.02</v>
      </c>
      <c r="U893" s="30" t="n">
        <f aca="false">R893-S893-T893</f>
        <v>354.76</v>
      </c>
    </row>
    <row r="894" customFormat="false" ht="15" hidden="false" customHeight="false" outlineLevel="0" collapsed="false">
      <c r="A894" s="0" t="n">
        <v>893</v>
      </c>
      <c r="B894" s="27" t="n">
        <v>45550</v>
      </c>
      <c r="C894" s="0" t="n">
        <v>2024</v>
      </c>
      <c r="D894" s="28" t="s">
        <v>115</v>
      </c>
      <c r="E894" s="0" t="n">
        <v>9</v>
      </c>
      <c r="F894" s="28" t="s">
        <v>120</v>
      </c>
      <c r="G894" s="28" t="s">
        <v>121</v>
      </c>
      <c r="H894" s="28" t="s">
        <v>102</v>
      </c>
      <c r="I894" s="28" t="s">
        <v>103</v>
      </c>
      <c r="J894" s="28" t="s">
        <v>66</v>
      </c>
      <c r="K894" s="28" t="s">
        <v>84</v>
      </c>
      <c r="L894" s="28" t="s">
        <v>85</v>
      </c>
      <c r="M894" s="28" t="s">
        <v>86</v>
      </c>
      <c r="N894" s="28" t="s">
        <v>87</v>
      </c>
      <c r="O894" s="29" t="n">
        <v>17</v>
      </c>
      <c r="P894" s="30" t="n">
        <v>117.6</v>
      </c>
      <c r="Q894" s="30" t="n">
        <v>63.6</v>
      </c>
      <c r="R894" s="30" t="n">
        <f aca="false">ROUND(O894*P894,2)</f>
        <v>1999.2</v>
      </c>
      <c r="S894" s="30" t="n">
        <f aca="false">ROUND(O894*Q894,2)</f>
        <v>1081.2</v>
      </c>
      <c r="T894" s="30" t="n">
        <f aca="false">ROUND(R894*SUMIFS(Parametros!$E$23:$E$38,Parametros!$B$23:$B$38,J894,Parametros!$C$23:$C$38,C894,Parametros!$D$23:$D$38,D894),2)</f>
        <v>25.99</v>
      </c>
      <c r="U894" s="30" t="n">
        <f aca="false">R894-S894-T894</f>
        <v>892.01</v>
      </c>
    </row>
    <row r="895" customFormat="false" ht="15" hidden="false" customHeight="false" outlineLevel="0" collapsed="false">
      <c r="A895" s="0" t="n">
        <v>894</v>
      </c>
      <c r="B895" s="27" t="n">
        <v>45557</v>
      </c>
      <c r="C895" s="0" t="n">
        <v>2024</v>
      </c>
      <c r="D895" s="28" t="s">
        <v>115</v>
      </c>
      <c r="E895" s="0" t="n">
        <v>9</v>
      </c>
      <c r="F895" s="28" t="s">
        <v>120</v>
      </c>
      <c r="G895" s="28" t="s">
        <v>121</v>
      </c>
      <c r="H895" s="28" t="s">
        <v>102</v>
      </c>
      <c r="I895" s="28" t="s">
        <v>103</v>
      </c>
      <c r="J895" s="28" t="s">
        <v>71</v>
      </c>
      <c r="K895" s="28" t="s">
        <v>84</v>
      </c>
      <c r="L895" s="28" t="s">
        <v>85</v>
      </c>
      <c r="M895" s="28" t="s">
        <v>86</v>
      </c>
      <c r="N895" s="28" t="s">
        <v>87</v>
      </c>
      <c r="O895" s="29" t="n">
        <v>5</v>
      </c>
      <c r="P895" s="30" t="n">
        <v>117.6</v>
      </c>
      <c r="Q895" s="30" t="n">
        <v>63.6</v>
      </c>
      <c r="R895" s="30" t="n">
        <f aca="false">ROUND(O895*P895,2)</f>
        <v>588</v>
      </c>
      <c r="S895" s="30" t="n">
        <f aca="false">ROUND(O895*Q895,2)</f>
        <v>318</v>
      </c>
      <c r="T895" s="30" t="n">
        <f aca="false">ROUND(R895*SUMIFS(Parametros!$E$23:$E$38,Parametros!$B$23:$B$38,J895,Parametros!$C$23:$C$38,C895,Parametros!$D$23:$D$38,D895),2)</f>
        <v>27.05</v>
      </c>
      <c r="U895" s="30" t="n">
        <f aca="false">R895-S895-T895</f>
        <v>242.95</v>
      </c>
    </row>
    <row r="896" customFormat="false" ht="15" hidden="false" customHeight="false" outlineLevel="0" collapsed="false">
      <c r="A896" s="0" t="n">
        <v>895</v>
      </c>
      <c r="B896" s="27" t="n">
        <v>45537</v>
      </c>
      <c r="C896" s="0" t="n">
        <v>2024</v>
      </c>
      <c r="D896" s="28" t="s">
        <v>115</v>
      </c>
      <c r="E896" s="0" t="n">
        <v>9</v>
      </c>
      <c r="F896" s="28" t="s">
        <v>120</v>
      </c>
      <c r="G896" s="28" t="s">
        <v>121</v>
      </c>
      <c r="H896" s="28" t="s">
        <v>102</v>
      </c>
      <c r="I896" s="28" t="s">
        <v>103</v>
      </c>
      <c r="J896" s="28" t="s">
        <v>66</v>
      </c>
      <c r="K896" s="28" t="s">
        <v>84</v>
      </c>
      <c r="L896" s="28" t="s">
        <v>85</v>
      </c>
      <c r="M896" s="28" t="s">
        <v>88</v>
      </c>
      <c r="N896" s="28" t="s">
        <v>89</v>
      </c>
      <c r="O896" s="29" t="n">
        <v>12</v>
      </c>
      <c r="P896" s="30" t="n">
        <v>83.3</v>
      </c>
      <c r="Q896" s="30" t="n">
        <v>48.02</v>
      </c>
      <c r="R896" s="30" t="n">
        <f aca="false">ROUND(O896*P896,2)</f>
        <v>999.6</v>
      </c>
      <c r="S896" s="30" t="n">
        <f aca="false">ROUND(O896*Q896,2)</f>
        <v>576.24</v>
      </c>
      <c r="T896" s="30" t="n">
        <f aca="false">ROUND(R896*SUMIFS(Parametros!$E$23:$E$38,Parametros!$B$23:$B$38,J896,Parametros!$C$23:$C$38,C896,Parametros!$D$23:$D$38,D896),2)</f>
        <v>12.99</v>
      </c>
      <c r="U896" s="30" t="n">
        <f aca="false">R896-S896-T896</f>
        <v>410.37</v>
      </c>
    </row>
    <row r="897" customFormat="false" ht="15" hidden="false" customHeight="false" outlineLevel="0" collapsed="false">
      <c r="A897" s="0" t="n">
        <v>896</v>
      </c>
      <c r="B897" s="27" t="n">
        <v>45544</v>
      </c>
      <c r="C897" s="0" t="n">
        <v>2024</v>
      </c>
      <c r="D897" s="28" t="s">
        <v>115</v>
      </c>
      <c r="E897" s="0" t="n">
        <v>9</v>
      </c>
      <c r="F897" s="28" t="s">
        <v>120</v>
      </c>
      <c r="G897" s="28" t="s">
        <v>121</v>
      </c>
      <c r="H897" s="28" t="s">
        <v>102</v>
      </c>
      <c r="I897" s="28" t="s">
        <v>103</v>
      </c>
      <c r="J897" s="28" t="s">
        <v>71</v>
      </c>
      <c r="K897" s="28" t="s">
        <v>84</v>
      </c>
      <c r="L897" s="28" t="s">
        <v>85</v>
      </c>
      <c r="M897" s="28" t="s">
        <v>88</v>
      </c>
      <c r="N897" s="28" t="s">
        <v>89</v>
      </c>
      <c r="O897" s="29" t="n">
        <v>6</v>
      </c>
      <c r="P897" s="30" t="n">
        <v>83.3</v>
      </c>
      <c r="Q897" s="30" t="n">
        <v>48.02</v>
      </c>
      <c r="R897" s="30" t="n">
        <f aca="false">ROUND(O897*P897,2)</f>
        <v>499.8</v>
      </c>
      <c r="S897" s="30" t="n">
        <f aca="false">ROUND(O897*Q897,2)</f>
        <v>288.12</v>
      </c>
      <c r="T897" s="30" t="n">
        <f aca="false">ROUND(R897*SUMIFS(Parametros!$E$23:$E$38,Parametros!$B$23:$B$38,J897,Parametros!$C$23:$C$38,C897,Parametros!$D$23:$D$38,D897),2)</f>
        <v>22.99</v>
      </c>
      <c r="U897" s="30" t="n">
        <f aca="false">R897-S897-T897</f>
        <v>188.69</v>
      </c>
    </row>
    <row r="898" customFormat="false" ht="15" hidden="false" customHeight="false" outlineLevel="0" collapsed="false">
      <c r="A898" s="0" t="n">
        <v>897</v>
      </c>
      <c r="B898" s="27" t="n">
        <v>45551</v>
      </c>
      <c r="C898" s="0" t="n">
        <v>2024</v>
      </c>
      <c r="D898" s="28" t="s">
        <v>115</v>
      </c>
      <c r="E898" s="0" t="n">
        <v>9</v>
      </c>
      <c r="F898" s="28" t="s">
        <v>120</v>
      </c>
      <c r="G898" s="28" t="s">
        <v>121</v>
      </c>
      <c r="H898" s="28" t="s">
        <v>102</v>
      </c>
      <c r="I898" s="28" t="s">
        <v>103</v>
      </c>
      <c r="J898" s="28" t="s">
        <v>66</v>
      </c>
      <c r="K898" s="28" t="s">
        <v>90</v>
      </c>
      <c r="L898" s="28" t="s">
        <v>91</v>
      </c>
      <c r="M898" s="28" t="s">
        <v>92</v>
      </c>
      <c r="N898" s="28" t="s">
        <v>93</v>
      </c>
      <c r="O898" s="29" t="n">
        <v>15</v>
      </c>
      <c r="P898" s="30" t="n">
        <v>127.4</v>
      </c>
      <c r="Q898" s="30" t="n">
        <v>76.05</v>
      </c>
      <c r="R898" s="30" t="n">
        <f aca="false">ROUND(O898*P898,2)</f>
        <v>1911</v>
      </c>
      <c r="S898" s="30" t="n">
        <f aca="false">ROUND(O898*Q898,2)</f>
        <v>1140.75</v>
      </c>
      <c r="T898" s="30" t="n">
        <f aca="false">ROUND(R898*SUMIFS(Parametros!$E$23:$E$38,Parametros!$B$23:$B$38,J898,Parametros!$C$23:$C$38,C898,Parametros!$D$23:$D$38,D898),2)</f>
        <v>24.84</v>
      </c>
      <c r="U898" s="30" t="n">
        <f aca="false">R898-S898-T898</f>
        <v>745.41</v>
      </c>
    </row>
    <row r="899" customFormat="false" ht="15" hidden="false" customHeight="false" outlineLevel="0" collapsed="false">
      <c r="A899" s="0" t="n">
        <v>898</v>
      </c>
      <c r="B899" s="27" t="n">
        <v>45558</v>
      </c>
      <c r="C899" s="0" t="n">
        <v>2024</v>
      </c>
      <c r="D899" s="28" t="s">
        <v>115</v>
      </c>
      <c r="E899" s="0" t="n">
        <v>9</v>
      </c>
      <c r="F899" s="28" t="s">
        <v>120</v>
      </c>
      <c r="G899" s="28" t="s">
        <v>121</v>
      </c>
      <c r="H899" s="28" t="s">
        <v>102</v>
      </c>
      <c r="I899" s="28" t="s">
        <v>103</v>
      </c>
      <c r="J899" s="28" t="s">
        <v>71</v>
      </c>
      <c r="K899" s="28" t="s">
        <v>90</v>
      </c>
      <c r="L899" s="28" t="s">
        <v>91</v>
      </c>
      <c r="M899" s="28" t="s">
        <v>92</v>
      </c>
      <c r="N899" s="28" t="s">
        <v>93</v>
      </c>
      <c r="O899" s="29" t="n">
        <v>6</v>
      </c>
      <c r="P899" s="30" t="n">
        <v>127.4</v>
      </c>
      <c r="Q899" s="30" t="n">
        <v>76.05</v>
      </c>
      <c r="R899" s="30" t="n">
        <f aca="false">ROUND(O899*P899,2)</f>
        <v>764.4</v>
      </c>
      <c r="S899" s="30" t="n">
        <f aca="false">ROUND(O899*Q899,2)</f>
        <v>456.3</v>
      </c>
      <c r="T899" s="30" t="n">
        <f aca="false">ROUND(R899*SUMIFS(Parametros!$E$23:$E$38,Parametros!$B$23:$B$38,J899,Parametros!$C$23:$C$38,C899,Parametros!$D$23:$D$38,D899),2)</f>
        <v>35.16</v>
      </c>
      <c r="U899" s="30" t="n">
        <f aca="false">R899-S899-T899</f>
        <v>272.94</v>
      </c>
    </row>
    <row r="900" customFormat="false" ht="15" hidden="false" customHeight="false" outlineLevel="0" collapsed="false">
      <c r="A900" s="0" t="n">
        <v>899</v>
      </c>
      <c r="B900" s="27" t="n">
        <v>45538</v>
      </c>
      <c r="C900" s="0" t="n">
        <v>2024</v>
      </c>
      <c r="D900" s="28" t="s">
        <v>115</v>
      </c>
      <c r="E900" s="0" t="n">
        <v>9</v>
      </c>
      <c r="F900" s="28" t="s">
        <v>120</v>
      </c>
      <c r="G900" s="28" t="s">
        <v>121</v>
      </c>
      <c r="H900" s="28" t="s">
        <v>102</v>
      </c>
      <c r="I900" s="28" t="s">
        <v>103</v>
      </c>
      <c r="J900" s="28" t="s">
        <v>66</v>
      </c>
      <c r="K900" s="28" t="s">
        <v>90</v>
      </c>
      <c r="L900" s="28" t="s">
        <v>91</v>
      </c>
      <c r="M900" s="28" t="s">
        <v>94</v>
      </c>
      <c r="N900" s="28" t="s">
        <v>95</v>
      </c>
      <c r="O900" s="29" t="n">
        <v>18</v>
      </c>
      <c r="P900" s="30" t="n">
        <v>34.3</v>
      </c>
      <c r="Q900" s="30" t="n">
        <v>17.85</v>
      </c>
      <c r="R900" s="30" t="n">
        <f aca="false">ROUND(O900*P900,2)</f>
        <v>617.4</v>
      </c>
      <c r="S900" s="30" t="n">
        <f aca="false">ROUND(O900*Q900,2)</f>
        <v>321.3</v>
      </c>
      <c r="T900" s="30" t="n">
        <f aca="false">ROUND(R900*SUMIFS(Parametros!$E$23:$E$38,Parametros!$B$23:$B$38,J900,Parametros!$C$23:$C$38,C900,Parametros!$D$23:$D$38,D900),2)</f>
        <v>8.03</v>
      </c>
      <c r="U900" s="30" t="n">
        <f aca="false">R900-S900-T900</f>
        <v>288.07</v>
      </c>
    </row>
    <row r="901" customFormat="false" ht="15" hidden="false" customHeight="false" outlineLevel="0" collapsed="false">
      <c r="A901" s="0" t="n">
        <v>900</v>
      </c>
      <c r="B901" s="27" t="n">
        <v>45545</v>
      </c>
      <c r="C901" s="0" t="n">
        <v>2024</v>
      </c>
      <c r="D901" s="28" t="s">
        <v>115</v>
      </c>
      <c r="E901" s="0" t="n">
        <v>9</v>
      </c>
      <c r="F901" s="28" t="s">
        <v>120</v>
      </c>
      <c r="G901" s="28" t="s">
        <v>121</v>
      </c>
      <c r="H901" s="28" t="s">
        <v>102</v>
      </c>
      <c r="I901" s="28" t="s">
        <v>103</v>
      </c>
      <c r="J901" s="28" t="s">
        <v>71</v>
      </c>
      <c r="K901" s="28" t="s">
        <v>90</v>
      </c>
      <c r="L901" s="28" t="s">
        <v>91</v>
      </c>
      <c r="M901" s="28" t="s">
        <v>94</v>
      </c>
      <c r="N901" s="28" t="s">
        <v>95</v>
      </c>
      <c r="O901" s="29" t="n">
        <v>8</v>
      </c>
      <c r="P901" s="30" t="n">
        <v>34.3</v>
      </c>
      <c r="Q901" s="30" t="n">
        <v>17.85</v>
      </c>
      <c r="R901" s="30" t="n">
        <f aca="false">ROUND(O901*P901,2)</f>
        <v>274.4</v>
      </c>
      <c r="S901" s="30" t="n">
        <f aca="false">ROUND(O901*Q901,2)</f>
        <v>142.8</v>
      </c>
      <c r="T901" s="30" t="n">
        <f aca="false">ROUND(R901*SUMIFS(Parametros!$E$23:$E$38,Parametros!$B$23:$B$38,J901,Parametros!$C$23:$C$38,C901,Parametros!$D$23:$D$38,D901),2)</f>
        <v>12.62</v>
      </c>
      <c r="U901" s="30" t="n">
        <f aca="false">R901-S901-T901</f>
        <v>118.98</v>
      </c>
    </row>
    <row r="902" customFormat="false" ht="15" hidden="false" customHeight="false" outlineLevel="0" collapsed="false">
      <c r="A902" s="0" t="n">
        <v>901</v>
      </c>
      <c r="B902" s="27" t="n">
        <v>45582</v>
      </c>
      <c r="C902" s="0" t="n">
        <v>2024</v>
      </c>
      <c r="D902" s="28" t="s">
        <v>122</v>
      </c>
      <c r="E902" s="0" t="n">
        <v>10</v>
      </c>
      <c r="F902" s="28" t="s">
        <v>123</v>
      </c>
      <c r="G902" s="28" t="s">
        <v>124</v>
      </c>
      <c r="H902" s="28" t="s">
        <v>64</v>
      </c>
      <c r="I902" s="28" t="s">
        <v>65</v>
      </c>
      <c r="J902" s="28" t="s">
        <v>66</v>
      </c>
      <c r="K902" s="28" t="s">
        <v>67</v>
      </c>
      <c r="L902" s="28" t="s">
        <v>68</v>
      </c>
      <c r="M902" s="28" t="s">
        <v>69</v>
      </c>
      <c r="N902" s="28" t="s">
        <v>70</v>
      </c>
      <c r="O902" s="29" t="n">
        <v>23</v>
      </c>
      <c r="P902" s="30" t="n">
        <v>1176</v>
      </c>
      <c r="Q902" s="30" t="n">
        <v>744</v>
      </c>
      <c r="R902" s="30" t="n">
        <f aca="false">ROUND(O902*P902,2)</f>
        <v>27048</v>
      </c>
      <c r="S902" s="30" t="n">
        <f aca="false">ROUND(O902*Q902,2)</f>
        <v>17112</v>
      </c>
      <c r="T902" s="30" t="n">
        <f aca="false">ROUND(R902*SUMIFS(Parametros!$E$23:$E$38,Parametros!$B$23:$B$38,J902,Parametros!$C$23:$C$38,C902,Parametros!$D$23:$D$38,D902),2)</f>
        <v>351.62</v>
      </c>
      <c r="U902" s="30" t="n">
        <f aca="false">R902-S902-T902</f>
        <v>9584.38</v>
      </c>
    </row>
    <row r="903" customFormat="false" ht="15" hidden="false" customHeight="false" outlineLevel="0" collapsed="false">
      <c r="A903" s="0" t="n">
        <v>902</v>
      </c>
      <c r="B903" s="27" t="n">
        <v>45589</v>
      </c>
      <c r="C903" s="0" t="n">
        <v>2024</v>
      </c>
      <c r="D903" s="28" t="s">
        <v>122</v>
      </c>
      <c r="E903" s="0" t="n">
        <v>10</v>
      </c>
      <c r="F903" s="28" t="s">
        <v>123</v>
      </c>
      <c r="G903" s="28" t="s">
        <v>124</v>
      </c>
      <c r="H903" s="28" t="s">
        <v>64</v>
      </c>
      <c r="I903" s="28" t="s">
        <v>65</v>
      </c>
      <c r="J903" s="28" t="s">
        <v>71</v>
      </c>
      <c r="K903" s="28" t="s">
        <v>67</v>
      </c>
      <c r="L903" s="28" t="s">
        <v>68</v>
      </c>
      <c r="M903" s="28" t="s">
        <v>69</v>
      </c>
      <c r="N903" s="28" t="s">
        <v>70</v>
      </c>
      <c r="O903" s="29" t="n">
        <v>9</v>
      </c>
      <c r="P903" s="30" t="n">
        <v>1176</v>
      </c>
      <c r="Q903" s="30" t="n">
        <v>744</v>
      </c>
      <c r="R903" s="30" t="n">
        <f aca="false">ROUND(O903*P903,2)</f>
        <v>10584</v>
      </c>
      <c r="S903" s="30" t="n">
        <f aca="false">ROUND(O903*Q903,2)</f>
        <v>6696</v>
      </c>
      <c r="T903" s="30" t="n">
        <f aca="false">ROUND(R903*SUMIFS(Parametros!$E$23:$E$38,Parametros!$B$23:$B$38,J903,Parametros!$C$23:$C$38,C903,Parametros!$D$23:$D$38,D903),2)</f>
        <v>508.03</v>
      </c>
      <c r="U903" s="30" t="n">
        <f aca="false">R903-S903-T903</f>
        <v>3379.97</v>
      </c>
    </row>
    <row r="904" customFormat="false" ht="15" hidden="false" customHeight="false" outlineLevel="0" collapsed="false">
      <c r="A904" s="0" t="n">
        <v>903</v>
      </c>
      <c r="B904" s="27" t="n">
        <v>45569</v>
      </c>
      <c r="C904" s="0" t="n">
        <v>2024</v>
      </c>
      <c r="D904" s="28" t="s">
        <v>122</v>
      </c>
      <c r="E904" s="0" t="n">
        <v>10</v>
      </c>
      <c r="F904" s="28" t="s">
        <v>123</v>
      </c>
      <c r="G904" s="28" t="s">
        <v>124</v>
      </c>
      <c r="H904" s="28" t="s">
        <v>64</v>
      </c>
      <c r="I904" s="28" t="s">
        <v>65</v>
      </c>
      <c r="J904" s="28" t="s">
        <v>66</v>
      </c>
      <c r="K904" s="28" t="s">
        <v>67</v>
      </c>
      <c r="L904" s="28" t="s">
        <v>68</v>
      </c>
      <c r="M904" s="28" t="s">
        <v>72</v>
      </c>
      <c r="N904" s="28" t="s">
        <v>73</v>
      </c>
      <c r="O904" s="29" t="n">
        <v>19</v>
      </c>
      <c r="P904" s="30" t="n">
        <v>441</v>
      </c>
      <c r="Q904" s="30" t="n">
        <v>272.25</v>
      </c>
      <c r="R904" s="30" t="n">
        <f aca="false">ROUND(O904*P904,2)</f>
        <v>8379</v>
      </c>
      <c r="S904" s="30" t="n">
        <f aca="false">ROUND(O904*Q904,2)</f>
        <v>5172.75</v>
      </c>
      <c r="T904" s="30" t="n">
        <f aca="false">ROUND(R904*SUMIFS(Parametros!$E$23:$E$38,Parametros!$B$23:$B$38,J904,Parametros!$C$23:$C$38,C904,Parametros!$D$23:$D$38,D904),2)</f>
        <v>108.93</v>
      </c>
      <c r="U904" s="30" t="n">
        <f aca="false">R904-S904-T904</f>
        <v>3097.32</v>
      </c>
    </row>
    <row r="905" customFormat="false" ht="15" hidden="false" customHeight="false" outlineLevel="0" collapsed="false">
      <c r="A905" s="0" t="n">
        <v>904</v>
      </c>
      <c r="B905" s="27" t="n">
        <v>45576</v>
      </c>
      <c r="C905" s="0" t="n">
        <v>2024</v>
      </c>
      <c r="D905" s="28" t="s">
        <v>122</v>
      </c>
      <c r="E905" s="0" t="n">
        <v>10</v>
      </c>
      <c r="F905" s="28" t="s">
        <v>123</v>
      </c>
      <c r="G905" s="28" t="s">
        <v>124</v>
      </c>
      <c r="H905" s="28" t="s">
        <v>64</v>
      </c>
      <c r="I905" s="28" t="s">
        <v>65</v>
      </c>
      <c r="J905" s="28" t="s">
        <v>71</v>
      </c>
      <c r="K905" s="28" t="s">
        <v>67</v>
      </c>
      <c r="L905" s="28" t="s">
        <v>68</v>
      </c>
      <c r="M905" s="28" t="s">
        <v>72</v>
      </c>
      <c r="N905" s="28" t="s">
        <v>73</v>
      </c>
      <c r="O905" s="29" t="n">
        <v>8</v>
      </c>
      <c r="P905" s="30" t="n">
        <v>441</v>
      </c>
      <c r="Q905" s="30" t="n">
        <v>272.25</v>
      </c>
      <c r="R905" s="30" t="n">
        <f aca="false">ROUND(O905*P905,2)</f>
        <v>3528</v>
      </c>
      <c r="S905" s="30" t="n">
        <f aca="false">ROUND(O905*Q905,2)</f>
        <v>2178</v>
      </c>
      <c r="T905" s="30" t="n">
        <f aca="false">ROUND(R905*SUMIFS(Parametros!$E$23:$E$38,Parametros!$B$23:$B$38,J905,Parametros!$C$23:$C$38,C905,Parametros!$D$23:$D$38,D905),2)</f>
        <v>169.34</v>
      </c>
      <c r="U905" s="30" t="n">
        <f aca="false">R905-S905-T905</f>
        <v>1180.66</v>
      </c>
    </row>
    <row r="906" customFormat="false" ht="15" hidden="false" customHeight="false" outlineLevel="0" collapsed="false">
      <c r="A906" s="0" t="n">
        <v>905</v>
      </c>
      <c r="B906" s="27" t="n">
        <v>45583</v>
      </c>
      <c r="C906" s="0" t="n">
        <v>2024</v>
      </c>
      <c r="D906" s="28" t="s">
        <v>122</v>
      </c>
      <c r="E906" s="0" t="n">
        <v>10</v>
      </c>
      <c r="F906" s="28" t="s">
        <v>123</v>
      </c>
      <c r="G906" s="28" t="s">
        <v>124</v>
      </c>
      <c r="H906" s="28" t="s">
        <v>64</v>
      </c>
      <c r="I906" s="28" t="s">
        <v>65</v>
      </c>
      <c r="J906" s="28" t="s">
        <v>66</v>
      </c>
      <c r="K906" s="28" t="s">
        <v>67</v>
      </c>
      <c r="L906" s="28" t="s">
        <v>68</v>
      </c>
      <c r="M906" s="28" t="s">
        <v>74</v>
      </c>
      <c r="N906" s="28" t="s">
        <v>75</v>
      </c>
      <c r="O906" s="29" t="n">
        <v>21</v>
      </c>
      <c r="P906" s="30" t="n">
        <v>1617</v>
      </c>
      <c r="Q906" s="30" t="n">
        <v>1122</v>
      </c>
      <c r="R906" s="30" t="n">
        <f aca="false">ROUND(O906*P906,2)</f>
        <v>33957</v>
      </c>
      <c r="S906" s="30" t="n">
        <f aca="false">ROUND(O906*Q906,2)</f>
        <v>23562</v>
      </c>
      <c r="T906" s="30" t="n">
        <f aca="false">ROUND(R906*SUMIFS(Parametros!$E$23:$E$38,Parametros!$B$23:$B$38,J906,Parametros!$C$23:$C$38,C906,Parametros!$D$23:$D$38,D906),2)</f>
        <v>441.44</v>
      </c>
      <c r="U906" s="30" t="n">
        <f aca="false">R906-S906-T906</f>
        <v>9953.56</v>
      </c>
    </row>
    <row r="907" customFormat="false" ht="15" hidden="false" customHeight="false" outlineLevel="0" collapsed="false">
      <c r="A907" s="0" t="n">
        <v>906</v>
      </c>
      <c r="B907" s="27" t="n">
        <v>45590</v>
      </c>
      <c r="C907" s="0" t="n">
        <v>2024</v>
      </c>
      <c r="D907" s="28" t="s">
        <v>122</v>
      </c>
      <c r="E907" s="0" t="n">
        <v>10</v>
      </c>
      <c r="F907" s="28" t="s">
        <v>123</v>
      </c>
      <c r="G907" s="28" t="s">
        <v>124</v>
      </c>
      <c r="H907" s="28" t="s">
        <v>64</v>
      </c>
      <c r="I907" s="28" t="s">
        <v>65</v>
      </c>
      <c r="J907" s="28" t="s">
        <v>71</v>
      </c>
      <c r="K907" s="28" t="s">
        <v>67</v>
      </c>
      <c r="L907" s="28" t="s">
        <v>68</v>
      </c>
      <c r="M907" s="28" t="s">
        <v>74</v>
      </c>
      <c r="N907" s="28" t="s">
        <v>75</v>
      </c>
      <c r="O907" s="29" t="n">
        <v>9</v>
      </c>
      <c r="P907" s="30" t="n">
        <v>1617</v>
      </c>
      <c r="Q907" s="30" t="n">
        <v>1122</v>
      </c>
      <c r="R907" s="30" t="n">
        <f aca="false">ROUND(O907*P907,2)</f>
        <v>14553</v>
      </c>
      <c r="S907" s="30" t="n">
        <f aca="false">ROUND(O907*Q907,2)</f>
        <v>10098</v>
      </c>
      <c r="T907" s="30" t="n">
        <f aca="false">ROUND(R907*SUMIFS(Parametros!$E$23:$E$38,Parametros!$B$23:$B$38,J907,Parametros!$C$23:$C$38,C907,Parametros!$D$23:$D$38,D907),2)</f>
        <v>698.54</v>
      </c>
      <c r="U907" s="30" t="n">
        <f aca="false">R907-S907-T907</f>
        <v>3756.46</v>
      </c>
    </row>
    <row r="908" customFormat="false" ht="15" hidden="false" customHeight="false" outlineLevel="0" collapsed="false">
      <c r="A908" s="0" t="n">
        <v>907</v>
      </c>
      <c r="B908" s="27" t="n">
        <v>45570</v>
      </c>
      <c r="C908" s="0" t="n">
        <v>2024</v>
      </c>
      <c r="D908" s="28" t="s">
        <v>122</v>
      </c>
      <c r="E908" s="0" t="n">
        <v>10</v>
      </c>
      <c r="F908" s="28" t="s">
        <v>123</v>
      </c>
      <c r="G908" s="28" t="s">
        <v>124</v>
      </c>
      <c r="H908" s="28" t="s">
        <v>64</v>
      </c>
      <c r="I908" s="28" t="s">
        <v>65</v>
      </c>
      <c r="J908" s="28" t="s">
        <v>66</v>
      </c>
      <c r="K908" s="28" t="s">
        <v>76</v>
      </c>
      <c r="L908" s="28" t="s">
        <v>77</v>
      </c>
      <c r="M908" s="28" t="s">
        <v>78</v>
      </c>
      <c r="N908" s="28" t="s">
        <v>79</v>
      </c>
      <c r="O908" s="29" t="n">
        <v>105</v>
      </c>
      <c r="P908" s="30" t="n">
        <v>27.44</v>
      </c>
      <c r="Q908" s="30" t="n">
        <v>13.44</v>
      </c>
      <c r="R908" s="30" t="n">
        <f aca="false">ROUND(O908*P908,2)</f>
        <v>2881.2</v>
      </c>
      <c r="S908" s="30" t="n">
        <f aca="false">ROUND(O908*Q908,2)</f>
        <v>1411.2</v>
      </c>
      <c r="T908" s="30" t="n">
        <f aca="false">ROUND(R908*SUMIFS(Parametros!$E$23:$E$38,Parametros!$B$23:$B$38,J908,Parametros!$C$23:$C$38,C908,Parametros!$D$23:$D$38,D908),2)</f>
        <v>37.46</v>
      </c>
      <c r="U908" s="30" t="n">
        <f aca="false">R908-S908-T908</f>
        <v>1432.54</v>
      </c>
    </row>
    <row r="909" customFormat="false" ht="15" hidden="false" customHeight="false" outlineLevel="0" collapsed="false">
      <c r="A909" s="0" t="n">
        <v>908</v>
      </c>
      <c r="B909" s="27" t="n">
        <v>45577</v>
      </c>
      <c r="C909" s="0" t="n">
        <v>2024</v>
      </c>
      <c r="D909" s="28" t="s">
        <v>122</v>
      </c>
      <c r="E909" s="0" t="n">
        <v>10</v>
      </c>
      <c r="F909" s="28" t="s">
        <v>123</v>
      </c>
      <c r="G909" s="28" t="s">
        <v>124</v>
      </c>
      <c r="H909" s="28" t="s">
        <v>64</v>
      </c>
      <c r="I909" s="28" t="s">
        <v>65</v>
      </c>
      <c r="J909" s="28" t="s">
        <v>71</v>
      </c>
      <c r="K909" s="28" t="s">
        <v>76</v>
      </c>
      <c r="L909" s="28" t="s">
        <v>77</v>
      </c>
      <c r="M909" s="28" t="s">
        <v>78</v>
      </c>
      <c r="N909" s="28" t="s">
        <v>79</v>
      </c>
      <c r="O909" s="29" t="n">
        <v>38</v>
      </c>
      <c r="P909" s="30" t="n">
        <v>27.44</v>
      </c>
      <c r="Q909" s="30" t="n">
        <v>13.44</v>
      </c>
      <c r="R909" s="30" t="n">
        <f aca="false">ROUND(O909*P909,2)</f>
        <v>1042.72</v>
      </c>
      <c r="S909" s="30" t="n">
        <f aca="false">ROUND(O909*Q909,2)</f>
        <v>510.72</v>
      </c>
      <c r="T909" s="30" t="n">
        <f aca="false">ROUND(R909*SUMIFS(Parametros!$E$23:$E$38,Parametros!$B$23:$B$38,J909,Parametros!$C$23:$C$38,C909,Parametros!$D$23:$D$38,D909),2)</f>
        <v>50.05</v>
      </c>
      <c r="U909" s="30" t="n">
        <f aca="false">R909-S909-T909</f>
        <v>481.95</v>
      </c>
    </row>
    <row r="910" customFormat="false" ht="15" hidden="false" customHeight="false" outlineLevel="0" collapsed="false">
      <c r="A910" s="0" t="n">
        <v>909</v>
      </c>
      <c r="B910" s="27" t="n">
        <v>45584</v>
      </c>
      <c r="C910" s="0" t="n">
        <v>2024</v>
      </c>
      <c r="D910" s="28" t="s">
        <v>122</v>
      </c>
      <c r="E910" s="0" t="n">
        <v>10</v>
      </c>
      <c r="F910" s="28" t="s">
        <v>123</v>
      </c>
      <c r="G910" s="28" t="s">
        <v>124</v>
      </c>
      <c r="H910" s="28" t="s">
        <v>64</v>
      </c>
      <c r="I910" s="28" t="s">
        <v>65</v>
      </c>
      <c r="J910" s="28" t="s">
        <v>66</v>
      </c>
      <c r="K910" s="28" t="s">
        <v>76</v>
      </c>
      <c r="L910" s="28" t="s">
        <v>77</v>
      </c>
      <c r="M910" s="28" t="s">
        <v>80</v>
      </c>
      <c r="N910" s="28" t="s">
        <v>81</v>
      </c>
      <c r="O910" s="29" t="n">
        <v>110</v>
      </c>
      <c r="P910" s="30" t="n">
        <v>93.1</v>
      </c>
      <c r="Q910" s="30" t="n">
        <v>47.98</v>
      </c>
      <c r="R910" s="30" t="n">
        <f aca="false">ROUND(O910*P910,2)</f>
        <v>10241</v>
      </c>
      <c r="S910" s="30" t="n">
        <f aca="false">ROUND(O910*Q910,2)</f>
        <v>5277.8</v>
      </c>
      <c r="T910" s="30" t="n">
        <f aca="false">ROUND(R910*SUMIFS(Parametros!$E$23:$E$38,Parametros!$B$23:$B$38,J910,Parametros!$C$23:$C$38,C910,Parametros!$D$23:$D$38,D910),2)</f>
        <v>133.13</v>
      </c>
      <c r="U910" s="30" t="n">
        <f aca="false">R910-S910-T910</f>
        <v>4830.07</v>
      </c>
    </row>
    <row r="911" customFormat="false" ht="15" hidden="false" customHeight="false" outlineLevel="0" collapsed="false">
      <c r="A911" s="0" t="n">
        <v>910</v>
      </c>
      <c r="B911" s="27" t="n">
        <v>45591</v>
      </c>
      <c r="C911" s="0" t="n">
        <v>2024</v>
      </c>
      <c r="D911" s="28" t="s">
        <v>122</v>
      </c>
      <c r="E911" s="0" t="n">
        <v>10</v>
      </c>
      <c r="F911" s="28" t="s">
        <v>123</v>
      </c>
      <c r="G911" s="28" t="s">
        <v>124</v>
      </c>
      <c r="H911" s="28" t="s">
        <v>64</v>
      </c>
      <c r="I911" s="28" t="s">
        <v>65</v>
      </c>
      <c r="J911" s="28" t="s">
        <v>71</v>
      </c>
      <c r="K911" s="28" t="s">
        <v>76</v>
      </c>
      <c r="L911" s="28" t="s">
        <v>77</v>
      </c>
      <c r="M911" s="28" t="s">
        <v>80</v>
      </c>
      <c r="N911" s="28" t="s">
        <v>81</v>
      </c>
      <c r="O911" s="29" t="n">
        <v>43</v>
      </c>
      <c r="P911" s="30" t="n">
        <v>93.1</v>
      </c>
      <c r="Q911" s="30" t="n">
        <v>47.98</v>
      </c>
      <c r="R911" s="30" t="n">
        <f aca="false">ROUND(O911*P911,2)</f>
        <v>4003.3</v>
      </c>
      <c r="S911" s="30" t="n">
        <f aca="false">ROUND(O911*Q911,2)</f>
        <v>2063.14</v>
      </c>
      <c r="T911" s="30" t="n">
        <f aca="false">ROUND(R911*SUMIFS(Parametros!$E$23:$E$38,Parametros!$B$23:$B$38,J911,Parametros!$C$23:$C$38,C911,Parametros!$D$23:$D$38,D911),2)</f>
        <v>192.16</v>
      </c>
      <c r="U911" s="30" t="n">
        <f aca="false">R911-S911-T911</f>
        <v>1748</v>
      </c>
    </row>
    <row r="912" customFormat="false" ht="15" hidden="false" customHeight="false" outlineLevel="0" collapsed="false">
      <c r="A912" s="0" t="n">
        <v>911</v>
      </c>
      <c r="B912" s="27" t="n">
        <v>45571</v>
      </c>
      <c r="C912" s="0" t="n">
        <v>2024</v>
      </c>
      <c r="D912" s="28" t="s">
        <v>122</v>
      </c>
      <c r="E912" s="0" t="n">
        <v>10</v>
      </c>
      <c r="F912" s="28" t="s">
        <v>123</v>
      </c>
      <c r="G912" s="28" t="s">
        <v>124</v>
      </c>
      <c r="H912" s="28" t="s">
        <v>64</v>
      </c>
      <c r="I912" s="28" t="s">
        <v>65</v>
      </c>
      <c r="J912" s="28" t="s">
        <v>66</v>
      </c>
      <c r="K912" s="28" t="s">
        <v>76</v>
      </c>
      <c r="L912" s="28" t="s">
        <v>77</v>
      </c>
      <c r="M912" s="28" t="s">
        <v>82</v>
      </c>
      <c r="N912" s="28" t="s">
        <v>83</v>
      </c>
      <c r="O912" s="29" t="n">
        <v>115</v>
      </c>
      <c r="P912" s="30" t="n">
        <v>63.7</v>
      </c>
      <c r="Q912" s="30" t="n">
        <v>35.43</v>
      </c>
      <c r="R912" s="30" t="n">
        <f aca="false">ROUND(O912*P912,2)</f>
        <v>7325.5</v>
      </c>
      <c r="S912" s="30" t="n">
        <f aca="false">ROUND(O912*Q912,2)</f>
        <v>4074.45</v>
      </c>
      <c r="T912" s="30" t="n">
        <f aca="false">ROUND(R912*SUMIFS(Parametros!$E$23:$E$38,Parametros!$B$23:$B$38,J912,Parametros!$C$23:$C$38,C912,Parametros!$D$23:$D$38,D912),2)</f>
        <v>95.23</v>
      </c>
      <c r="U912" s="30" t="n">
        <f aca="false">R912-S912-T912</f>
        <v>3155.82</v>
      </c>
    </row>
    <row r="913" customFormat="false" ht="15" hidden="false" customHeight="false" outlineLevel="0" collapsed="false">
      <c r="A913" s="0" t="n">
        <v>912</v>
      </c>
      <c r="B913" s="27" t="n">
        <v>45578</v>
      </c>
      <c r="C913" s="0" t="n">
        <v>2024</v>
      </c>
      <c r="D913" s="28" t="s">
        <v>122</v>
      </c>
      <c r="E913" s="0" t="n">
        <v>10</v>
      </c>
      <c r="F913" s="28" t="s">
        <v>123</v>
      </c>
      <c r="G913" s="28" t="s">
        <v>124</v>
      </c>
      <c r="H913" s="28" t="s">
        <v>64</v>
      </c>
      <c r="I913" s="28" t="s">
        <v>65</v>
      </c>
      <c r="J913" s="28" t="s">
        <v>71</v>
      </c>
      <c r="K913" s="28" t="s">
        <v>76</v>
      </c>
      <c r="L913" s="28" t="s">
        <v>77</v>
      </c>
      <c r="M913" s="28" t="s">
        <v>82</v>
      </c>
      <c r="N913" s="28" t="s">
        <v>83</v>
      </c>
      <c r="O913" s="29" t="n">
        <v>38</v>
      </c>
      <c r="P913" s="30" t="n">
        <v>63.7</v>
      </c>
      <c r="Q913" s="30" t="n">
        <v>35.43</v>
      </c>
      <c r="R913" s="30" t="n">
        <f aca="false">ROUND(O913*P913,2)</f>
        <v>2420.6</v>
      </c>
      <c r="S913" s="30" t="n">
        <f aca="false">ROUND(O913*Q913,2)</f>
        <v>1346.34</v>
      </c>
      <c r="T913" s="30" t="n">
        <f aca="false">ROUND(R913*SUMIFS(Parametros!$E$23:$E$38,Parametros!$B$23:$B$38,J913,Parametros!$C$23:$C$38,C913,Parametros!$D$23:$D$38,D913),2)</f>
        <v>116.19</v>
      </c>
      <c r="U913" s="30" t="n">
        <f aca="false">R913-S913-T913</f>
        <v>958.07</v>
      </c>
    </row>
    <row r="914" customFormat="false" ht="15" hidden="false" customHeight="false" outlineLevel="0" collapsed="false">
      <c r="A914" s="0" t="n">
        <v>913</v>
      </c>
      <c r="B914" s="27" t="n">
        <v>45585</v>
      </c>
      <c r="C914" s="0" t="n">
        <v>2024</v>
      </c>
      <c r="D914" s="28" t="s">
        <v>122</v>
      </c>
      <c r="E914" s="0" t="n">
        <v>10</v>
      </c>
      <c r="F914" s="28" t="s">
        <v>123</v>
      </c>
      <c r="G914" s="28" t="s">
        <v>124</v>
      </c>
      <c r="H914" s="28" t="s">
        <v>64</v>
      </c>
      <c r="I914" s="28" t="s">
        <v>65</v>
      </c>
      <c r="J914" s="28" t="s">
        <v>66</v>
      </c>
      <c r="K914" s="28" t="s">
        <v>84</v>
      </c>
      <c r="L914" s="28" t="s">
        <v>85</v>
      </c>
      <c r="M914" s="28" t="s">
        <v>86</v>
      </c>
      <c r="N914" s="28" t="s">
        <v>87</v>
      </c>
      <c r="O914" s="29" t="n">
        <v>43</v>
      </c>
      <c r="P914" s="30" t="n">
        <v>117.6</v>
      </c>
      <c r="Q914" s="30" t="n">
        <v>63.6</v>
      </c>
      <c r="R914" s="30" t="n">
        <f aca="false">ROUND(O914*P914,2)</f>
        <v>5056.8</v>
      </c>
      <c r="S914" s="30" t="n">
        <f aca="false">ROUND(O914*Q914,2)</f>
        <v>2734.8</v>
      </c>
      <c r="T914" s="30" t="n">
        <f aca="false">ROUND(R914*SUMIFS(Parametros!$E$23:$E$38,Parametros!$B$23:$B$38,J914,Parametros!$C$23:$C$38,C914,Parametros!$D$23:$D$38,D914),2)</f>
        <v>65.74</v>
      </c>
      <c r="U914" s="30" t="n">
        <f aca="false">R914-S914-T914</f>
        <v>2256.26</v>
      </c>
    </row>
    <row r="915" customFormat="false" ht="15" hidden="false" customHeight="false" outlineLevel="0" collapsed="false">
      <c r="A915" s="0" t="n">
        <v>914</v>
      </c>
      <c r="B915" s="27" t="n">
        <v>45592</v>
      </c>
      <c r="C915" s="0" t="n">
        <v>2024</v>
      </c>
      <c r="D915" s="28" t="s">
        <v>122</v>
      </c>
      <c r="E915" s="0" t="n">
        <v>10</v>
      </c>
      <c r="F915" s="28" t="s">
        <v>123</v>
      </c>
      <c r="G915" s="28" t="s">
        <v>124</v>
      </c>
      <c r="H915" s="28" t="s">
        <v>64</v>
      </c>
      <c r="I915" s="28" t="s">
        <v>65</v>
      </c>
      <c r="J915" s="28" t="s">
        <v>71</v>
      </c>
      <c r="K915" s="28" t="s">
        <v>84</v>
      </c>
      <c r="L915" s="28" t="s">
        <v>85</v>
      </c>
      <c r="M915" s="28" t="s">
        <v>86</v>
      </c>
      <c r="N915" s="28" t="s">
        <v>87</v>
      </c>
      <c r="O915" s="29" t="n">
        <v>17</v>
      </c>
      <c r="P915" s="30" t="n">
        <v>117.6</v>
      </c>
      <c r="Q915" s="30" t="n">
        <v>63.6</v>
      </c>
      <c r="R915" s="30" t="n">
        <f aca="false">ROUND(O915*P915,2)</f>
        <v>1999.2</v>
      </c>
      <c r="S915" s="30" t="n">
        <f aca="false">ROUND(O915*Q915,2)</f>
        <v>1081.2</v>
      </c>
      <c r="T915" s="30" t="n">
        <f aca="false">ROUND(R915*SUMIFS(Parametros!$E$23:$E$38,Parametros!$B$23:$B$38,J915,Parametros!$C$23:$C$38,C915,Parametros!$D$23:$D$38,D915),2)</f>
        <v>95.96</v>
      </c>
      <c r="U915" s="30" t="n">
        <f aca="false">R915-S915-T915</f>
        <v>822.04</v>
      </c>
    </row>
    <row r="916" customFormat="false" ht="15" hidden="false" customHeight="false" outlineLevel="0" collapsed="false">
      <c r="A916" s="0" t="n">
        <v>915</v>
      </c>
      <c r="B916" s="27" t="n">
        <v>45572</v>
      </c>
      <c r="C916" s="0" t="n">
        <v>2024</v>
      </c>
      <c r="D916" s="28" t="s">
        <v>122</v>
      </c>
      <c r="E916" s="0" t="n">
        <v>10</v>
      </c>
      <c r="F916" s="28" t="s">
        <v>123</v>
      </c>
      <c r="G916" s="28" t="s">
        <v>124</v>
      </c>
      <c r="H916" s="28" t="s">
        <v>64</v>
      </c>
      <c r="I916" s="28" t="s">
        <v>65</v>
      </c>
      <c r="J916" s="28" t="s">
        <v>66</v>
      </c>
      <c r="K916" s="28" t="s">
        <v>84</v>
      </c>
      <c r="L916" s="28" t="s">
        <v>85</v>
      </c>
      <c r="M916" s="28" t="s">
        <v>88</v>
      </c>
      <c r="N916" s="28" t="s">
        <v>89</v>
      </c>
      <c r="O916" s="29" t="n">
        <v>43</v>
      </c>
      <c r="P916" s="30" t="n">
        <v>83.3</v>
      </c>
      <c r="Q916" s="30" t="n">
        <v>48.02</v>
      </c>
      <c r="R916" s="30" t="n">
        <f aca="false">ROUND(O916*P916,2)</f>
        <v>3581.9</v>
      </c>
      <c r="S916" s="30" t="n">
        <f aca="false">ROUND(O916*Q916,2)</f>
        <v>2064.86</v>
      </c>
      <c r="T916" s="30" t="n">
        <f aca="false">ROUND(R916*SUMIFS(Parametros!$E$23:$E$38,Parametros!$B$23:$B$38,J916,Parametros!$C$23:$C$38,C916,Parametros!$D$23:$D$38,D916),2)</f>
        <v>46.56</v>
      </c>
      <c r="U916" s="30" t="n">
        <f aca="false">R916-S916-T916</f>
        <v>1470.48</v>
      </c>
    </row>
    <row r="917" customFormat="false" ht="15" hidden="false" customHeight="false" outlineLevel="0" collapsed="false">
      <c r="A917" s="0" t="n">
        <v>916</v>
      </c>
      <c r="B917" s="27" t="n">
        <v>45579</v>
      </c>
      <c r="C917" s="0" t="n">
        <v>2024</v>
      </c>
      <c r="D917" s="28" t="s">
        <v>122</v>
      </c>
      <c r="E917" s="0" t="n">
        <v>10</v>
      </c>
      <c r="F917" s="28" t="s">
        <v>123</v>
      </c>
      <c r="G917" s="28" t="s">
        <v>124</v>
      </c>
      <c r="H917" s="28" t="s">
        <v>64</v>
      </c>
      <c r="I917" s="28" t="s">
        <v>65</v>
      </c>
      <c r="J917" s="28" t="s">
        <v>71</v>
      </c>
      <c r="K917" s="28" t="s">
        <v>84</v>
      </c>
      <c r="L917" s="28" t="s">
        <v>85</v>
      </c>
      <c r="M917" s="28" t="s">
        <v>88</v>
      </c>
      <c r="N917" s="28" t="s">
        <v>89</v>
      </c>
      <c r="O917" s="29" t="n">
        <v>17</v>
      </c>
      <c r="P917" s="30" t="n">
        <v>83.3</v>
      </c>
      <c r="Q917" s="30" t="n">
        <v>48.02</v>
      </c>
      <c r="R917" s="30" t="n">
        <f aca="false">ROUND(O917*P917,2)</f>
        <v>1416.1</v>
      </c>
      <c r="S917" s="30" t="n">
        <f aca="false">ROUND(O917*Q917,2)</f>
        <v>816.34</v>
      </c>
      <c r="T917" s="30" t="n">
        <f aca="false">ROUND(R917*SUMIFS(Parametros!$E$23:$E$38,Parametros!$B$23:$B$38,J917,Parametros!$C$23:$C$38,C917,Parametros!$D$23:$D$38,D917),2)</f>
        <v>67.97</v>
      </c>
      <c r="U917" s="30" t="n">
        <f aca="false">R917-S917-T917</f>
        <v>531.79</v>
      </c>
    </row>
    <row r="918" customFormat="false" ht="15" hidden="false" customHeight="false" outlineLevel="0" collapsed="false">
      <c r="A918" s="0" t="n">
        <v>917</v>
      </c>
      <c r="B918" s="27" t="n">
        <v>45586</v>
      </c>
      <c r="C918" s="0" t="n">
        <v>2024</v>
      </c>
      <c r="D918" s="28" t="s">
        <v>122</v>
      </c>
      <c r="E918" s="0" t="n">
        <v>10</v>
      </c>
      <c r="F918" s="28" t="s">
        <v>123</v>
      </c>
      <c r="G918" s="28" t="s">
        <v>124</v>
      </c>
      <c r="H918" s="28" t="s">
        <v>64</v>
      </c>
      <c r="I918" s="28" t="s">
        <v>65</v>
      </c>
      <c r="J918" s="28" t="s">
        <v>66</v>
      </c>
      <c r="K918" s="28" t="s">
        <v>90</v>
      </c>
      <c r="L918" s="28" t="s">
        <v>91</v>
      </c>
      <c r="M918" s="28" t="s">
        <v>92</v>
      </c>
      <c r="N918" s="28" t="s">
        <v>93</v>
      </c>
      <c r="O918" s="29" t="n">
        <v>67</v>
      </c>
      <c r="P918" s="30" t="n">
        <v>127.4</v>
      </c>
      <c r="Q918" s="30" t="n">
        <v>76.05</v>
      </c>
      <c r="R918" s="30" t="n">
        <f aca="false">ROUND(O918*P918,2)</f>
        <v>8535.8</v>
      </c>
      <c r="S918" s="30" t="n">
        <f aca="false">ROUND(O918*Q918,2)</f>
        <v>5095.35</v>
      </c>
      <c r="T918" s="30" t="n">
        <f aca="false">ROUND(R918*SUMIFS(Parametros!$E$23:$E$38,Parametros!$B$23:$B$38,J918,Parametros!$C$23:$C$38,C918,Parametros!$D$23:$D$38,D918),2)</f>
        <v>110.97</v>
      </c>
      <c r="U918" s="30" t="n">
        <f aca="false">R918-S918-T918</f>
        <v>3329.48</v>
      </c>
    </row>
    <row r="919" customFormat="false" ht="15" hidden="false" customHeight="false" outlineLevel="0" collapsed="false">
      <c r="A919" s="0" t="n">
        <v>918</v>
      </c>
      <c r="B919" s="27" t="n">
        <v>45566</v>
      </c>
      <c r="C919" s="0" t="n">
        <v>2024</v>
      </c>
      <c r="D919" s="28" t="s">
        <v>122</v>
      </c>
      <c r="E919" s="0" t="n">
        <v>10</v>
      </c>
      <c r="F919" s="28" t="s">
        <v>123</v>
      </c>
      <c r="G919" s="28" t="s">
        <v>124</v>
      </c>
      <c r="H919" s="28" t="s">
        <v>64</v>
      </c>
      <c r="I919" s="28" t="s">
        <v>65</v>
      </c>
      <c r="J919" s="28" t="s">
        <v>71</v>
      </c>
      <c r="K919" s="28" t="s">
        <v>90</v>
      </c>
      <c r="L919" s="28" t="s">
        <v>91</v>
      </c>
      <c r="M919" s="28" t="s">
        <v>92</v>
      </c>
      <c r="N919" s="28" t="s">
        <v>93</v>
      </c>
      <c r="O919" s="29" t="n">
        <v>25</v>
      </c>
      <c r="P919" s="30" t="n">
        <v>127.4</v>
      </c>
      <c r="Q919" s="30" t="n">
        <v>76.05</v>
      </c>
      <c r="R919" s="30" t="n">
        <f aca="false">ROUND(O919*P919,2)</f>
        <v>3185</v>
      </c>
      <c r="S919" s="30" t="n">
        <f aca="false">ROUND(O919*Q919,2)</f>
        <v>1901.25</v>
      </c>
      <c r="T919" s="30" t="n">
        <f aca="false">ROUND(R919*SUMIFS(Parametros!$E$23:$E$38,Parametros!$B$23:$B$38,J919,Parametros!$C$23:$C$38,C919,Parametros!$D$23:$D$38,D919),2)</f>
        <v>152.88</v>
      </c>
      <c r="U919" s="30" t="n">
        <f aca="false">R919-S919-T919</f>
        <v>1130.87</v>
      </c>
    </row>
    <row r="920" customFormat="false" ht="15" hidden="false" customHeight="false" outlineLevel="0" collapsed="false">
      <c r="A920" s="0" t="n">
        <v>919</v>
      </c>
      <c r="B920" s="27" t="n">
        <v>45573</v>
      </c>
      <c r="C920" s="0" t="n">
        <v>2024</v>
      </c>
      <c r="D920" s="28" t="s">
        <v>122</v>
      </c>
      <c r="E920" s="0" t="n">
        <v>10</v>
      </c>
      <c r="F920" s="28" t="s">
        <v>123</v>
      </c>
      <c r="G920" s="28" t="s">
        <v>124</v>
      </c>
      <c r="H920" s="28" t="s">
        <v>64</v>
      </c>
      <c r="I920" s="28" t="s">
        <v>65</v>
      </c>
      <c r="J920" s="28" t="s">
        <v>66</v>
      </c>
      <c r="K920" s="28" t="s">
        <v>90</v>
      </c>
      <c r="L920" s="28" t="s">
        <v>91</v>
      </c>
      <c r="M920" s="28" t="s">
        <v>94</v>
      </c>
      <c r="N920" s="28" t="s">
        <v>95</v>
      </c>
      <c r="O920" s="29" t="n">
        <v>66</v>
      </c>
      <c r="P920" s="30" t="n">
        <v>34.3</v>
      </c>
      <c r="Q920" s="30" t="n">
        <v>17.85</v>
      </c>
      <c r="R920" s="30" t="n">
        <f aca="false">ROUND(O920*P920,2)</f>
        <v>2263.8</v>
      </c>
      <c r="S920" s="30" t="n">
        <f aca="false">ROUND(O920*Q920,2)</f>
        <v>1178.1</v>
      </c>
      <c r="T920" s="30" t="n">
        <f aca="false">ROUND(R920*SUMIFS(Parametros!$E$23:$E$38,Parametros!$B$23:$B$38,J920,Parametros!$C$23:$C$38,C920,Parametros!$D$23:$D$38,D920),2)</f>
        <v>29.43</v>
      </c>
      <c r="U920" s="30" t="n">
        <f aca="false">R920-S920-T920</f>
        <v>1056.27</v>
      </c>
    </row>
    <row r="921" customFormat="false" ht="15" hidden="false" customHeight="false" outlineLevel="0" collapsed="false">
      <c r="A921" s="0" t="n">
        <v>920</v>
      </c>
      <c r="B921" s="27" t="n">
        <v>45580</v>
      </c>
      <c r="C921" s="0" t="n">
        <v>2024</v>
      </c>
      <c r="D921" s="28" t="s">
        <v>122</v>
      </c>
      <c r="E921" s="0" t="n">
        <v>10</v>
      </c>
      <c r="F921" s="28" t="s">
        <v>123</v>
      </c>
      <c r="G921" s="28" t="s">
        <v>124</v>
      </c>
      <c r="H921" s="28" t="s">
        <v>64</v>
      </c>
      <c r="I921" s="28" t="s">
        <v>65</v>
      </c>
      <c r="J921" s="28" t="s">
        <v>71</v>
      </c>
      <c r="K921" s="28" t="s">
        <v>90</v>
      </c>
      <c r="L921" s="28" t="s">
        <v>91</v>
      </c>
      <c r="M921" s="28" t="s">
        <v>94</v>
      </c>
      <c r="N921" s="28" t="s">
        <v>95</v>
      </c>
      <c r="O921" s="29" t="n">
        <v>25</v>
      </c>
      <c r="P921" s="30" t="n">
        <v>34.3</v>
      </c>
      <c r="Q921" s="30" t="n">
        <v>17.85</v>
      </c>
      <c r="R921" s="30" t="n">
        <f aca="false">ROUND(O921*P921,2)</f>
        <v>857.5</v>
      </c>
      <c r="S921" s="30" t="n">
        <f aca="false">ROUND(O921*Q921,2)</f>
        <v>446.25</v>
      </c>
      <c r="T921" s="30" t="n">
        <f aca="false">ROUND(R921*SUMIFS(Parametros!$E$23:$E$38,Parametros!$B$23:$B$38,J921,Parametros!$C$23:$C$38,C921,Parametros!$D$23:$D$38,D921),2)</f>
        <v>41.16</v>
      </c>
      <c r="U921" s="30" t="n">
        <f aca="false">R921-S921-T921</f>
        <v>370.09</v>
      </c>
    </row>
    <row r="922" customFormat="false" ht="15" hidden="false" customHeight="false" outlineLevel="0" collapsed="false">
      <c r="A922" s="0" t="n">
        <v>921</v>
      </c>
      <c r="B922" s="27" t="n">
        <v>45587</v>
      </c>
      <c r="C922" s="0" t="n">
        <v>2024</v>
      </c>
      <c r="D922" s="28" t="s">
        <v>122</v>
      </c>
      <c r="E922" s="0" t="n">
        <v>10</v>
      </c>
      <c r="F922" s="28" t="s">
        <v>123</v>
      </c>
      <c r="G922" s="28" t="s">
        <v>124</v>
      </c>
      <c r="H922" s="28" t="s">
        <v>96</v>
      </c>
      <c r="I922" s="28" t="s">
        <v>97</v>
      </c>
      <c r="J922" s="28" t="s">
        <v>66</v>
      </c>
      <c r="K922" s="28" t="s">
        <v>67</v>
      </c>
      <c r="L922" s="28" t="s">
        <v>68</v>
      </c>
      <c r="M922" s="28" t="s">
        <v>69</v>
      </c>
      <c r="N922" s="28" t="s">
        <v>70</v>
      </c>
      <c r="O922" s="29" t="n">
        <v>11</v>
      </c>
      <c r="P922" s="30" t="n">
        <v>1176</v>
      </c>
      <c r="Q922" s="30" t="n">
        <v>744</v>
      </c>
      <c r="R922" s="30" t="n">
        <f aca="false">ROUND(O922*P922,2)</f>
        <v>12936</v>
      </c>
      <c r="S922" s="30" t="n">
        <f aca="false">ROUND(O922*Q922,2)</f>
        <v>8184</v>
      </c>
      <c r="T922" s="30" t="n">
        <f aca="false">ROUND(R922*SUMIFS(Parametros!$E$23:$E$38,Parametros!$B$23:$B$38,J922,Parametros!$C$23:$C$38,C922,Parametros!$D$23:$D$38,D922),2)</f>
        <v>168.17</v>
      </c>
      <c r="U922" s="30" t="n">
        <f aca="false">R922-S922-T922</f>
        <v>4583.83</v>
      </c>
    </row>
    <row r="923" customFormat="false" ht="15" hidden="false" customHeight="false" outlineLevel="0" collapsed="false">
      <c r="A923" s="0" t="n">
        <v>922</v>
      </c>
      <c r="B923" s="27" t="n">
        <v>45567</v>
      </c>
      <c r="C923" s="0" t="n">
        <v>2024</v>
      </c>
      <c r="D923" s="28" t="s">
        <v>122</v>
      </c>
      <c r="E923" s="0" t="n">
        <v>10</v>
      </c>
      <c r="F923" s="28" t="s">
        <v>123</v>
      </c>
      <c r="G923" s="28" t="s">
        <v>124</v>
      </c>
      <c r="H923" s="28" t="s">
        <v>96</v>
      </c>
      <c r="I923" s="28" t="s">
        <v>97</v>
      </c>
      <c r="J923" s="28" t="s">
        <v>71</v>
      </c>
      <c r="K923" s="28" t="s">
        <v>67</v>
      </c>
      <c r="L923" s="28" t="s">
        <v>68</v>
      </c>
      <c r="M923" s="28" t="s">
        <v>69</v>
      </c>
      <c r="N923" s="28" t="s">
        <v>70</v>
      </c>
      <c r="O923" s="29" t="n">
        <v>5</v>
      </c>
      <c r="P923" s="30" t="n">
        <v>1176</v>
      </c>
      <c r="Q923" s="30" t="n">
        <v>744</v>
      </c>
      <c r="R923" s="30" t="n">
        <f aca="false">ROUND(O923*P923,2)</f>
        <v>5880</v>
      </c>
      <c r="S923" s="30" t="n">
        <f aca="false">ROUND(O923*Q923,2)</f>
        <v>3720</v>
      </c>
      <c r="T923" s="30" t="n">
        <f aca="false">ROUND(R923*SUMIFS(Parametros!$E$23:$E$38,Parametros!$B$23:$B$38,J923,Parametros!$C$23:$C$38,C923,Parametros!$D$23:$D$38,D923),2)</f>
        <v>282.24</v>
      </c>
      <c r="U923" s="30" t="n">
        <f aca="false">R923-S923-T923</f>
        <v>1877.76</v>
      </c>
    </row>
    <row r="924" customFormat="false" ht="15" hidden="false" customHeight="false" outlineLevel="0" collapsed="false">
      <c r="A924" s="0" t="n">
        <v>923</v>
      </c>
      <c r="B924" s="27" t="n">
        <v>45574</v>
      </c>
      <c r="C924" s="0" t="n">
        <v>2024</v>
      </c>
      <c r="D924" s="28" t="s">
        <v>122</v>
      </c>
      <c r="E924" s="0" t="n">
        <v>10</v>
      </c>
      <c r="F924" s="28" t="s">
        <v>123</v>
      </c>
      <c r="G924" s="28" t="s">
        <v>124</v>
      </c>
      <c r="H924" s="28" t="s">
        <v>96</v>
      </c>
      <c r="I924" s="28" t="s">
        <v>97</v>
      </c>
      <c r="J924" s="28" t="s">
        <v>66</v>
      </c>
      <c r="K924" s="28" t="s">
        <v>67</v>
      </c>
      <c r="L924" s="28" t="s">
        <v>68</v>
      </c>
      <c r="M924" s="28" t="s">
        <v>72</v>
      </c>
      <c r="N924" s="28" t="s">
        <v>73</v>
      </c>
      <c r="O924" s="29" t="n">
        <v>14</v>
      </c>
      <c r="P924" s="30" t="n">
        <v>441</v>
      </c>
      <c r="Q924" s="30" t="n">
        <v>272.25</v>
      </c>
      <c r="R924" s="30" t="n">
        <f aca="false">ROUND(O924*P924,2)</f>
        <v>6174</v>
      </c>
      <c r="S924" s="30" t="n">
        <f aca="false">ROUND(O924*Q924,2)</f>
        <v>3811.5</v>
      </c>
      <c r="T924" s="30" t="n">
        <f aca="false">ROUND(R924*SUMIFS(Parametros!$E$23:$E$38,Parametros!$B$23:$B$38,J924,Parametros!$C$23:$C$38,C924,Parametros!$D$23:$D$38,D924),2)</f>
        <v>80.26</v>
      </c>
      <c r="U924" s="30" t="n">
        <f aca="false">R924-S924-T924</f>
        <v>2282.24</v>
      </c>
    </row>
    <row r="925" customFormat="false" ht="15" hidden="false" customHeight="false" outlineLevel="0" collapsed="false">
      <c r="A925" s="0" t="n">
        <v>924</v>
      </c>
      <c r="B925" s="27" t="n">
        <v>45581</v>
      </c>
      <c r="C925" s="0" t="n">
        <v>2024</v>
      </c>
      <c r="D925" s="28" t="s">
        <v>122</v>
      </c>
      <c r="E925" s="0" t="n">
        <v>10</v>
      </c>
      <c r="F925" s="28" t="s">
        <v>123</v>
      </c>
      <c r="G925" s="28" t="s">
        <v>124</v>
      </c>
      <c r="H925" s="28" t="s">
        <v>96</v>
      </c>
      <c r="I925" s="28" t="s">
        <v>97</v>
      </c>
      <c r="J925" s="28" t="s">
        <v>71</v>
      </c>
      <c r="K925" s="28" t="s">
        <v>67</v>
      </c>
      <c r="L925" s="28" t="s">
        <v>68</v>
      </c>
      <c r="M925" s="28" t="s">
        <v>72</v>
      </c>
      <c r="N925" s="28" t="s">
        <v>73</v>
      </c>
      <c r="O925" s="29" t="n">
        <v>5</v>
      </c>
      <c r="P925" s="30" t="n">
        <v>441</v>
      </c>
      <c r="Q925" s="30" t="n">
        <v>272.25</v>
      </c>
      <c r="R925" s="30" t="n">
        <f aca="false">ROUND(O925*P925,2)</f>
        <v>2205</v>
      </c>
      <c r="S925" s="30" t="n">
        <f aca="false">ROUND(O925*Q925,2)</f>
        <v>1361.25</v>
      </c>
      <c r="T925" s="30" t="n">
        <f aca="false">ROUND(R925*SUMIFS(Parametros!$E$23:$E$38,Parametros!$B$23:$B$38,J925,Parametros!$C$23:$C$38,C925,Parametros!$D$23:$D$38,D925),2)</f>
        <v>105.84</v>
      </c>
      <c r="U925" s="30" t="n">
        <f aca="false">R925-S925-T925</f>
        <v>737.91</v>
      </c>
    </row>
    <row r="926" customFormat="false" ht="15" hidden="false" customHeight="false" outlineLevel="0" collapsed="false">
      <c r="A926" s="0" t="n">
        <v>925</v>
      </c>
      <c r="B926" s="27" t="n">
        <v>45588</v>
      </c>
      <c r="C926" s="0" t="n">
        <v>2024</v>
      </c>
      <c r="D926" s="28" t="s">
        <v>122</v>
      </c>
      <c r="E926" s="0" t="n">
        <v>10</v>
      </c>
      <c r="F926" s="28" t="s">
        <v>123</v>
      </c>
      <c r="G926" s="28" t="s">
        <v>124</v>
      </c>
      <c r="H926" s="28" t="s">
        <v>96</v>
      </c>
      <c r="I926" s="28" t="s">
        <v>97</v>
      </c>
      <c r="J926" s="28" t="s">
        <v>66</v>
      </c>
      <c r="K926" s="28" t="s">
        <v>67</v>
      </c>
      <c r="L926" s="28" t="s">
        <v>68</v>
      </c>
      <c r="M926" s="28" t="s">
        <v>74</v>
      </c>
      <c r="N926" s="28" t="s">
        <v>75</v>
      </c>
      <c r="O926" s="29" t="n">
        <v>12</v>
      </c>
      <c r="P926" s="30" t="n">
        <v>1617</v>
      </c>
      <c r="Q926" s="30" t="n">
        <v>1122</v>
      </c>
      <c r="R926" s="30" t="n">
        <f aca="false">ROUND(O926*P926,2)</f>
        <v>19404</v>
      </c>
      <c r="S926" s="30" t="n">
        <f aca="false">ROUND(O926*Q926,2)</f>
        <v>13464</v>
      </c>
      <c r="T926" s="30" t="n">
        <f aca="false">ROUND(R926*SUMIFS(Parametros!$E$23:$E$38,Parametros!$B$23:$B$38,J926,Parametros!$C$23:$C$38,C926,Parametros!$D$23:$D$38,D926),2)</f>
        <v>252.25</v>
      </c>
      <c r="U926" s="30" t="n">
        <f aca="false">R926-S926-T926</f>
        <v>5687.75</v>
      </c>
    </row>
    <row r="927" customFormat="false" ht="15" hidden="false" customHeight="false" outlineLevel="0" collapsed="false">
      <c r="A927" s="0" t="n">
        <v>926</v>
      </c>
      <c r="B927" s="27" t="n">
        <v>45568</v>
      </c>
      <c r="C927" s="0" t="n">
        <v>2024</v>
      </c>
      <c r="D927" s="28" t="s">
        <v>122</v>
      </c>
      <c r="E927" s="0" t="n">
        <v>10</v>
      </c>
      <c r="F927" s="28" t="s">
        <v>123</v>
      </c>
      <c r="G927" s="28" t="s">
        <v>124</v>
      </c>
      <c r="H927" s="28" t="s">
        <v>96</v>
      </c>
      <c r="I927" s="28" t="s">
        <v>97</v>
      </c>
      <c r="J927" s="28" t="s">
        <v>71</v>
      </c>
      <c r="K927" s="28" t="s">
        <v>67</v>
      </c>
      <c r="L927" s="28" t="s">
        <v>68</v>
      </c>
      <c r="M927" s="28" t="s">
        <v>74</v>
      </c>
      <c r="N927" s="28" t="s">
        <v>75</v>
      </c>
      <c r="O927" s="29" t="n">
        <v>5</v>
      </c>
      <c r="P927" s="30" t="n">
        <v>1617</v>
      </c>
      <c r="Q927" s="30" t="n">
        <v>1122</v>
      </c>
      <c r="R927" s="30" t="n">
        <f aca="false">ROUND(O927*P927,2)</f>
        <v>8085</v>
      </c>
      <c r="S927" s="30" t="n">
        <f aca="false">ROUND(O927*Q927,2)</f>
        <v>5610</v>
      </c>
      <c r="T927" s="30" t="n">
        <f aca="false">ROUND(R927*SUMIFS(Parametros!$E$23:$E$38,Parametros!$B$23:$B$38,J927,Parametros!$C$23:$C$38,C927,Parametros!$D$23:$D$38,D927),2)</f>
        <v>388.08</v>
      </c>
      <c r="U927" s="30" t="n">
        <f aca="false">R927-S927-T927</f>
        <v>2086.92</v>
      </c>
    </row>
    <row r="928" customFormat="false" ht="15" hidden="false" customHeight="false" outlineLevel="0" collapsed="false">
      <c r="A928" s="0" t="n">
        <v>927</v>
      </c>
      <c r="B928" s="27" t="n">
        <v>45575</v>
      </c>
      <c r="C928" s="0" t="n">
        <v>2024</v>
      </c>
      <c r="D928" s="28" t="s">
        <v>122</v>
      </c>
      <c r="E928" s="0" t="n">
        <v>10</v>
      </c>
      <c r="F928" s="28" t="s">
        <v>123</v>
      </c>
      <c r="G928" s="28" t="s">
        <v>124</v>
      </c>
      <c r="H928" s="28" t="s">
        <v>96</v>
      </c>
      <c r="I928" s="28" t="s">
        <v>97</v>
      </c>
      <c r="J928" s="28" t="s">
        <v>66</v>
      </c>
      <c r="K928" s="28" t="s">
        <v>76</v>
      </c>
      <c r="L928" s="28" t="s">
        <v>77</v>
      </c>
      <c r="M928" s="28" t="s">
        <v>78</v>
      </c>
      <c r="N928" s="28" t="s">
        <v>79</v>
      </c>
      <c r="O928" s="29" t="n">
        <v>51</v>
      </c>
      <c r="P928" s="30" t="n">
        <v>27.44</v>
      </c>
      <c r="Q928" s="30" t="n">
        <v>13.44</v>
      </c>
      <c r="R928" s="30" t="n">
        <f aca="false">ROUND(O928*P928,2)</f>
        <v>1399.44</v>
      </c>
      <c r="S928" s="30" t="n">
        <f aca="false">ROUND(O928*Q928,2)</f>
        <v>685.44</v>
      </c>
      <c r="T928" s="30" t="n">
        <f aca="false">ROUND(R928*SUMIFS(Parametros!$E$23:$E$38,Parametros!$B$23:$B$38,J928,Parametros!$C$23:$C$38,C928,Parametros!$D$23:$D$38,D928),2)</f>
        <v>18.19</v>
      </c>
      <c r="U928" s="30" t="n">
        <f aca="false">R928-S928-T928</f>
        <v>695.81</v>
      </c>
    </row>
    <row r="929" customFormat="false" ht="15" hidden="false" customHeight="false" outlineLevel="0" collapsed="false">
      <c r="A929" s="0" t="n">
        <v>928</v>
      </c>
      <c r="B929" s="27" t="n">
        <v>45582</v>
      </c>
      <c r="C929" s="0" t="n">
        <v>2024</v>
      </c>
      <c r="D929" s="28" t="s">
        <v>122</v>
      </c>
      <c r="E929" s="0" t="n">
        <v>10</v>
      </c>
      <c r="F929" s="28" t="s">
        <v>123</v>
      </c>
      <c r="G929" s="28" t="s">
        <v>124</v>
      </c>
      <c r="H929" s="28" t="s">
        <v>96</v>
      </c>
      <c r="I929" s="28" t="s">
        <v>97</v>
      </c>
      <c r="J929" s="28" t="s">
        <v>71</v>
      </c>
      <c r="K929" s="28" t="s">
        <v>76</v>
      </c>
      <c r="L929" s="28" t="s">
        <v>77</v>
      </c>
      <c r="M929" s="28" t="s">
        <v>78</v>
      </c>
      <c r="N929" s="28" t="s">
        <v>79</v>
      </c>
      <c r="O929" s="29" t="n">
        <v>23</v>
      </c>
      <c r="P929" s="30" t="n">
        <v>27.44</v>
      </c>
      <c r="Q929" s="30" t="n">
        <v>13.44</v>
      </c>
      <c r="R929" s="30" t="n">
        <f aca="false">ROUND(O929*P929,2)</f>
        <v>631.12</v>
      </c>
      <c r="S929" s="30" t="n">
        <f aca="false">ROUND(O929*Q929,2)</f>
        <v>309.12</v>
      </c>
      <c r="T929" s="30" t="n">
        <f aca="false">ROUND(R929*SUMIFS(Parametros!$E$23:$E$38,Parametros!$B$23:$B$38,J929,Parametros!$C$23:$C$38,C929,Parametros!$D$23:$D$38,D929),2)</f>
        <v>30.29</v>
      </c>
      <c r="U929" s="30" t="n">
        <f aca="false">R929-S929-T929</f>
        <v>291.71</v>
      </c>
    </row>
    <row r="930" customFormat="false" ht="15" hidden="false" customHeight="false" outlineLevel="0" collapsed="false">
      <c r="A930" s="0" t="n">
        <v>929</v>
      </c>
      <c r="B930" s="27" t="n">
        <v>45589</v>
      </c>
      <c r="C930" s="0" t="n">
        <v>2024</v>
      </c>
      <c r="D930" s="28" t="s">
        <v>122</v>
      </c>
      <c r="E930" s="0" t="n">
        <v>10</v>
      </c>
      <c r="F930" s="28" t="s">
        <v>123</v>
      </c>
      <c r="G930" s="28" t="s">
        <v>124</v>
      </c>
      <c r="H930" s="28" t="s">
        <v>96</v>
      </c>
      <c r="I930" s="28" t="s">
        <v>97</v>
      </c>
      <c r="J930" s="28" t="s">
        <v>66</v>
      </c>
      <c r="K930" s="28" t="s">
        <v>76</v>
      </c>
      <c r="L930" s="28" t="s">
        <v>77</v>
      </c>
      <c r="M930" s="28" t="s">
        <v>80</v>
      </c>
      <c r="N930" s="28" t="s">
        <v>81</v>
      </c>
      <c r="O930" s="29" t="n">
        <v>56</v>
      </c>
      <c r="P930" s="30" t="n">
        <v>93.1</v>
      </c>
      <c r="Q930" s="30" t="n">
        <v>47.98</v>
      </c>
      <c r="R930" s="30" t="n">
        <f aca="false">ROUND(O930*P930,2)</f>
        <v>5213.6</v>
      </c>
      <c r="S930" s="30" t="n">
        <f aca="false">ROUND(O930*Q930,2)</f>
        <v>2686.88</v>
      </c>
      <c r="T930" s="30" t="n">
        <f aca="false">ROUND(R930*SUMIFS(Parametros!$E$23:$E$38,Parametros!$B$23:$B$38,J930,Parametros!$C$23:$C$38,C930,Parametros!$D$23:$D$38,D930),2)</f>
        <v>67.78</v>
      </c>
      <c r="U930" s="30" t="n">
        <f aca="false">R930-S930-T930</f>
        <v>2458.94</v>
      </c>
    </row>
    <row r="931" customFormat="false" ht="15" hidden="false" customHeight="false" outlineLevel="0" collapsed="false">
      <c r="A931" s="0" t="n">
        <v>930</v>
      </c>
      <c r="B931" s="27" t="n">
        <v>45569</v>
      </c>
      <c r="C931" s="0" t="n">
        <v>2024</v>
      </c>
      <c r="D931" s="28" t="s">
        <v>122</v>
      </c>
      <c r="E931" s="0" t="n">
        <v>10</v>
      </c>
      <c r="F931" s="28" t="s">
        <v>123</v>
      </c>
      <c r="G931" s="28" t="s">
        <v>124</v>
      </c>
      <c r="H931" s="28" t="s">
        <v>96</v>
      </c>
      <c r="I931" s="28" t="s">
        <v>97</v>
      </c>
      <c r="J931" s="28" t="s">
        <v>71</v>
      </c>
      <c r="K931" s="28" t="s">
        <v>76</v>
      </c>
      <c r="L931" s="28" t="s">
        <v>77</v>
      </c>
      <c r="M931" s="28" t="s">
        <v>80</v>
      </c>
      <c r="N931" s="28" t="s">
        <v>81</v>
      </c>
      <c r="O931" s="29" t="n">
        <v>27</v>
      </c>
      <c r="P931" s="30" t="n">
        <v>93.1</v>
      </c>
      <c r="Q931" s="30" t="n">
        <v>47.98</v>
      </c>
      <c r="R931" s="30" t="n">
        <f aca="false">ROUND(O931*P931,2)</f>
        <v>2513.7</v>
      </c>
      <c r="S931" s="30" t="n">
        <f aca="false">ROUND(O931*Q931,2)</f>
        <v>1295.46</v>
      </c>
      <c r="T931" s="30" t="n">
        <f aca="false">ROUND(R931*SUMIFS(Parametros!$E$23:$E$38,Parametros!$B$23:$B$38,J931,Parametros!$C$23:$C$38,C931,Parametros!$D$23:$D$38,D931),2)</f>
        <v>120.66</v>
      </c>
      <c r="U931" s="30" t="n">
        <f aca="false">R931-S931-T931</f>
        <v>1097.58</v>
      </c>
    </row>
    <row r="932" customFormat="false" ht="15" hidden="false" customHeight="false" outlineLevel="0" collapsed="false">
      <c r="A932" s="0" t="n">
        <v>931</v>
      </c>
      <c r="B932" s="27" t="n">
        <v>45576</v>
      </c>
      <c r="C932" s="0" t="n">
        <v>2024</v>
      </c>
      <c r="D932" s="28" t="s">
        <v>122</v>
      </c>
      <c r="E932" s="0" t="n">
        <v>10</v>
      </c>
      <c r="F932" s="28" t="s">
        <v>123</v>
      </c>
      <c r="G932" s="28" t="s">
        <v>124</v>
      </c>
      <c r="H932" s="28" t="s">
        <v>96</v>
      </c>
      <c r="I932" s="28" t="s">
        <v>97</v>
      </c>
      <c r="J932" s="28" t="s">
        <v>66</v>
      </c>
      <c r="K932" s="28" t="s">
        <v>76</v>
      </c>
      <c r="L932" s="28" t="s">
        <v>77</v>
      </c>
      <c r="M932" s="28" t="s">
        <v>82</v>
      </c>
      <c r="N932" s="28" t="s">
        <v>83</v>
      </c>
      <c r="O932" s="29" t="n">
        <v>65</v>
      </c>
      <c r="P932" s="30" t="n">
        <v>63.7</v>
      </c>
      <c r="Q932" s="30" t="n">
        <v>35.43</v>
      </c>
      <c r="R932" s="30" t="n">
        <f aca="false">ROUND(O932*P932,2)</f>
        <v>4140.5</v>
      </c>
      <c r="S932" s="30" t="n">
        <f aca="false">ROUND(O932*Q932,2)</f>
        <v>2302.95</v>
      </c>
      <c r="T932" s="30" t="n">
        <f aca="false">ROUND(R932*SUMIFS(Parametros!$E$23:$E$38,Parametros!$B$23:$B$38,J932,Parametros!$C$23:$C$38,C932,Parametros!$D$23:$D$38,D932),2)</f>
        <v>53.83</v>
      </c>
      <c r="U932" s="30" t="n">
        <f aca="false">R932-S932-T932</f>
        <v>1783.72</v>
      </c>
    </row>
    <row r="933" customFormat="false" ht="15" hidden="false" customHeight="false" outlineLevel="0" collapsed="false">
      <c r="A933" s="0" t="n">
        <v>932</v>
      </c>
      <c r="B933" s="27" t="n">
        <v>45583</v>
      </c>
      <c r="C933" s="0" t="n">
        <v>2024</v>
      </c>
      <c r="D933" s="28" t="s">
        <v>122</v>
      </c>
      <c r="E933" s="0" t="n">
        <v>10</v>
      </c>
      <c r="F933" s="28" t="s">
        <v>123</v>
      </c>
      <c r="G933" s="28" t="s">
        <v>124</v>
      </c>
      <c r="H933" s="28" t="s">
        <v>96</v>
      </c>
      <c r="I933" s="28" t="s">
        <v>97</v>
      </c>
      <c r="J933" s="28" t="s">
        <v>71</v>
      </c>
      <c r="K933" s="28" t="s">
        <v>76</v>
      </c>
      <c r="L933" s="28" t="s">
        <v>77</v>
      </c>
      <c r="M933" s="28" t="s">
        <v>82</v>
      </c>
      <c r="N933" s="28" t="s">
        <v>83</v>
      </c>
      <c r="O933" s="29" t="n">
        <v>21</v>
      </c>
      <c r="P933" s="30" t="n">
        <v>63.7</v>
      </c>
      <c r="Q933" s="30" t="n">
        <v>35.43</v>
      </c>
      <c r="R933" s="30" t="n">
        <f aca="false">ROUND(O933*P933,2)</f>
        <v>1337.7</v>
      </c>
      <c r="S933" s="30" t="n">
        <f aca="false">ROUND(O933*Q933,2)</f>
        <v>744.03</v>
      </c>
      <c r="T933" s="30" t="n">
        <f aca="false">ROUND(R933*SUMIFS(Parametros!$E$23:$E$38,Parametros!$B$23:$B$38,J933,Parametros!$C$23:$C$38,C933,Parametros!$D$23:$D$38,D933),2)</f>
        <v>64.21</v>
      </c>
      <c r="U933" s="30" t="n">
        <f aca="false">R933-S933-T933</f>
        <v>529.46</v>
      </c>
    </row>
    <row r="934" customFormat="false" ht="15" hidden="false" customHeight="false" outlineLevel="0" collapsed="false">
      <c r="A934" s="0" t="n">
        <v>933</v>
      </c>
      <c r="B934" s="27" t="n">
        <v>45590</v>
      </c>
      <c r="C934" s="0" t="n">
        <v>2024</v>
      </c>
      <c r="D934" s="28" t="s">
        <v>122</v>
      </c>
      <c r="E934" s="0" t="n">
        <v>10</v>
      </c>
      <c r="F934" s="28" t="s">
        <v>123</v>
      </c>
      <c r="G934" s="28" t="s">
        <v>124</v>
      </c>
      <c r="H934" s="28" t="s">
        <v>96</v>
      </c>
      <c r="I934" s="28" t="s">
        <v>97</v>
      </c>
      <c r="J934" s="28" t="s">
        <v>66</v>
      </c>
      <c r="K934" s="28" t="s">
        <v>84</v>
      </c>
      <c r="L934" s="28" t="s">
        <v>85</v>
      </c>
      <c r="M934" s="28" t="s">
        <v>86</v>
      </c>
      <c r="N934" s="28" t="s">
        <v>87</v>
      </c>
      <c r="O934" s="29" t="n">
        <v>27</v>
      </c>
      <c r="P934" s="30" t="n">
        <v>117.6</v>
      </c>
      <c r="Q934" s="30" t="n">
        <v>63.6</v>
      </c>
      <c r="R934" s="30" t="n">
        <f aca="false">ROUND(O934*P934,2)</f>
        <v>3175.2</v>
      </c>
      <c r="S934" s="30" t="n">
        <f aca="false">ROUND(O934*Q934,2)</f>
        <v>1717.2</v>
      </c>
      <c r="T934" s="30" t="n">
        <f aca="false">ROUND(R934*SUMIFS(Parametros!$E$23:$E$38,Parametros!$B$23:$B$38,J934,Parametros!$C$23:$C$38,C934,Parametros!$D$23:$D$38,D934),2)</f>
        <v>41.28</v>
      </c>
      <c r="U934" s="30" t="n">
        <f aca="false">R934-S934-T934</f>
        <v>1416.72</v>
      </c>
    </row>
    <row r="935" customFormat="false" ht="15" hidden="false" customHeight="false" outlineLevel="0" collapsed="false">
      <c r="A935" s="0" t="n">
        <v>934</v>
      </c>
      <c r="B935" s="27" t="n">
        <v>45570</v>
      </c>
      <c r="C935" s="0" t="n">
        <v>2024</v>
      </c>
      <c r="D935" s="28" t="s">
        <v>122</v>
      </c>
      <c r="E935" s="0" t="n">
        <v>10</v>
      </c>
      <c r="F935" s="28" t="s">
        <v>123</v>
      </c>
      <c r="G935" s="28" t="s">
        <v>124</v>
      </c>
      <c r="H935" s="28" t="s">
        <v>96</v>
      </c>
      <c r="I935" s="28" t="s">
        <v>97</v>
      </c>
      <c r="J935" s="28" t="s">
        <v>71</v>
      </c>
      <c r="K935" s="28" t="s">
        <v>84</v>
      </c>
      <c r="L935" s="28" t="s">
        <v>85</v>
      </c>
      <c r="M935" s="28" t="s">
        <v>86</v>
      </c>
      <c r="N935" s="28" t="s">
        <v>87</v>
      </c>
      <c r="O935" s="29" t="n">
        <v>12</v>
      </c>
      <c r="P935" s="30" t="n">
        <v>117.6</v>
      </c>
      <c r="Q935" s="30" t="n">
        <v>63.6</v>
      </c>
      <c r="R935" s="30" t="n">
        <f aca="false">ROUND(O935*P935,2)</f>
        <v>1411.2</v>
      </c>
      <c r="S935" s="30" t="n">
        <f aca="false">ROUND(O935*Q935,2)</f>
        <v>763.2</v>
      </c>
      <c r="T935" s="30" t="n">
        <f aca="false">ROUND(R935*SUMIFS(Parametros!$E$23:$E$38,Parametros!$B$23:$B$38,J935,Parametros!$C$23:$C$38,C935,Parametros!$D$23:$D$38,D935),2)</f>
        <v>67.74</v>
      </c>
      <c r="U935" s="30" t="n">
        <f aca="false">R935-S935-T935</f>
        <v>580.26</v>
      </c>
    </row>
    <row r="936" customFormat="false" ht="15" hidden="false" customHeight="false" outlineLevel="0" collapsed="false">
      <c r="A936" s="0" t="n">
        <v>935</v>
      </c>
      <c r="B936" s="27" t="n">
        <v>45577</v>
      </c>
      <c r="C936" s="0" t="n">
        <v>2024</v>
      </c>
      <c r="D936" s="28" t="s">
        <v>122</v>
      </c>
      <c r="E936" s="0" t="n">
        <v>10</v>
      </c>
      <c r="F936" s="28" t="s">
        <v>123</v>
      </c>
      <c r="G936" s="28" t="s">
        <v>124</v>
      </c>
      <c r="H936" s="28" t="s">
        <v>96</v>
      </c>
      <c r="I936" s="28" t="s">
        <v>97</v>
      </c>
      <c r="J936" s="28" t="s">
        <v>66</v>
      </c>
      <c r="K936" s="28" t="s">
        <v>84</v>
      </c>
      <c r="L936" s="28" t="s">
        <v>85</v>
      </c>
      <c r="M936" s="28" t="s">
        <v>88</v>
      </c>
      <c r="N936" s="28" t="s">
        <v>89</v>
      </c>
      <c r="O936" s="29" t="n">
        <v>26</v>
      </c>
      <c r="P936" s="30" t="n">
        <v>83.3</v>
      </c>
      <c r="Q936" s="30" t="n">
        <v>48.02</v>
      </c>
      <c r="R936" s="30" t="n">
        <f aca="false">ROUND(O936*P936,2)</f>
        <v>2165.8</v>
      </c>
      <c r="S936" s="30" t="n">
        <f aca="false">ROUND(O936*Q936,2)</f>
        <v>1248.52</v>
      </c>
      <c r="T936" s="30" t="n">
        <f aca="false">ROUND(R936*SUMIFS(Parametros!$E$23:$E$38,Parametros!$B$23:$B$38,J936,Parametros!$C$23:$C$38,C936,Parametros!$D$23:$D$38,D936),2)</f>
        <v>28.16</v>
      </c>
      <c r="U936" s="30" t="n">
        <f aca="false">R936-S936-T936</f>
        <v>889.12</v>
      </c>
    </row>
    <row r="937" customFormat="false" ht="15" hidden="false" customHeight="false" outlineLevel="0" collapsed="false">
      <c r="A937" s="0" t="n">
        <v>936</v>
      </c>
      <c r="B937" s="27" t="n">
        <v>45584</v>
      </c>
      <c r="C937" s="0" t="n">
        <v>2024</v>
      </c>
      <c r="D937" s="28" t="s">
        <v>122</v>
      </c>
      <c r="E937" s="0" t="n">
        <v>10</v>
      </c>
      <c r="F937" s="28" t="s">
        <v>123</v>
      </c>
      <c r="G937" s="28" t="s">
        <v>124</v>
      </c>
      <c r="H937" s="28" t="s">
        <v>96</v>
      </c>
      <c r="I937" s="28" t="s">
        <v>97</v>
      </c>
      <c r="J937" s="28" t="s">
        <v>71</v>
      </c>
      <c r="K937" s="28" t="s">
        <v>84</v>
      </c>
      <c r="L937" s="28" t="s">
        <v>85</v>
      </c>
      <c r="M937" s="28" t="s">
        <v>88</v>
      </c>
      <c r="N937" s="28" t="s">
        <v>89</v>
      </c>
      <c r="O937" s="29" t="n">
        <v>10</v>
      </c>
      <c r="P937" s="30" t="n">
        <v>83.3</v>
      </c>
      <c r="Q937" s="30" t="n">
        <v>48.02</v>
      </c>
      <c r="R937" s="30" t="n">
        <f aca="false">ROUND(O937*P937,2)</f>
        <v>833</v>
      </c>
      <c r="S937" s="30" t="n">
        <f aca="false">ROUND(O937*Q937,2)</f>
        <v>480.2</v>
      </c>
      <c r="T937" s="30" t="n">
        <f aca="false">ROUND(R937*SUMIFS(Parametros!$E$23:$E$38,Parametros!$B$23:$B$38,J937,Parametros!$C$23:$C$38,C937,Parametros!$D$23:$D$38,D937),2)</f>
        <v>39.98</v>
      </c>
      <c r="U937" s="30" t="n">
        <f aca="false">R937-S937-T937</f>
        <v>312.82</v>
      </c>
    </row>
    <row r="938" customFormat="false" ht="15" hidden="false" customHeight="false" outlineLevel="0" collapsed="false">
      <c r="A938" s="0" t="n">
        <v>937</v>
      </c>
      <c r="B938" s="27" t="n">
        <v>45591</v>
      </c>
      <c r="C938" s="0" t="n">
        <v>2024</v>
      </c>
      <c r="D938" s="28" t="s">
        <v>122</v>
      </c>
      <c r="E938" s="0" t="n">
        <v>10</v>
      </c>
      <c r="F938" s="28" t="s">
        <v>123</v>
      </c>
      <c r="G938" s="28" t="s">
        <v>124</v>
      </c>
      <c r="H938" s="28" t="s">
        <v>96</v>
      </c>
      <c r="I938" s="28" t="s">
        <v>97</v>
      </c>
      <c r="J938" s="28" t="s">
        <v>66</v>
      </c>
      <c r="K938" s="28" t="s">
        <v>90</v>
      </c>
      <c r="L938" s="28" t="s">
        <v>91</v>
      </c>
      <c r="M938" s="28" t="s">
        <v>92</v>
      </c>
      <c r="N938" s="28" t="s">
        <v>93</v>
      </c>
      <c r="O938" s="29" t="n">
        <v>37</v>
      </c>
      <c r="P938" s="30" t="n">
        <v>127.4</v>
      </c>
      <c r="Q938" s="30" t="n">
        <v>76.05</v>
      </c>
      <c r="R938" s="30" t="n">
        <f aca="false">ROUND(O938*P938,2)</f>
        <v>4713.8</v>
      </c>
      <c r="S938" s="30" t="n">
        <f aca="false">ROUND(O938*Q938,2)</f>
        <v>2813.85</v>
      </c>
      <c r="T938" s="30" t="n">
        <f aca="false">ROUND(R938*SUMIFS(Parametros!$E$23:$E$38,Parametros!$B$23:$B$38,J938,Parametros!$C$23:$C$38,C938,Parametros!$D$23:$D$38,D938),2)</f>
        <v>61.28</v>
      </c>
      <c r="U938" s="30" t="n">
        <f aca="false">R938-S938-T938</f>
        <v>1838.67</v>
      </c>
    </row>
    <row r="939" customFormat="false" ht="15" hidden="false" customHeight="false" outlineLevel="0" collapsed="false">
      <c r="A939" s="0" t="n">
        <v>938</v>
      </c>
      <c r="B939" s="27" t="n">
        <v>45571</v>
      </c>
      <c r="C939" s="0" t="n">
        <v>2024</v>
      </c>
      <c r="D939" s="28" t="s">
        <v>122</v>
      </c>
      <c r="E939" s="0" t="n">
        <v>10</v>
      </c>
      <c r="F939" s="28" t="s">
        <v>123</v>
      </c>
      <c r="G939" s="28" t="s">
        <v>124</v>
      </c>
      <c r="H939" s="28" t="s">
        <v>96</v>
      </c>
      <c r="I939" s="28" t="s">
        <v>97</v>
      </c>
      <c r="J939" s="28" t="s">
        <v>71</v>
      </c>
      <c r="K939" s="28" t="s">
        <v>90</v>
      </c>
      <c r="L939" s="28" t="s">
        <v>91</v>
      </c>
      <c r="M939" s="28" t="s">
        <v>92</v>
      </c>
      <c r="N939" s="28" t="s">
        <v>93</v>
      </c>
      <c r="O939" s="29" t="n">
        <v>15</v>
      </c>
      <c r="P939" s="30" t="n">
        <v>127.4</v>
      </c>
      <c r="Q939" s="30" t="n">
        <v>76.05</v>
      </c>
      <c r="R939" s="30" t="n">
        <f aca="false">ROUND(O939*P939,2)</f>
        <v>1911</v>
      </c>
      <c r="S939" s="30" t="n">
        <f aca="false">ROUND(O939*Q939,2)</f>
        <v>1140.75</v>
      </c>
      <c r="T939" s="30" t="n">
        <f aca="false">ROUND(R939*SUMIFS(Parametros!$E$23:$E$38,Parametros!$B$23:$B$38,J939,Parametros!$C$23:$C$38,C939,Parametros!$D$23:$D$38,D939),2)</f>
        <v>91.73</v>
      </c>
      <c r="U939" s="30" t="n">
        <f aca="false">R939-S939-T939</f>
        <v>678.52</v>
      </c>
    </row>
    <row r="940" customFormat="false" ht="15" hidden="false" customHeight="false" outlineLevel="0" collapsed="false">
      <c r="A940" s="0" t="n">
        <v>939</v>
      </c>
      <c r="B940" s="27" t="n">
        <v>45578</v>
      </c>
      <c r="C940" s="0" t="n">
        <v>2024</v>
      </c>
      <c r="D940" s="28" t="s">
        <v>122</v>
      </c>
      <c r="E940" s="0" t="n">
        <v>10</v>
      </c>
      <c r="F940" s="28" t="s">
        <v>123</v>
      </c>
      <c r="G940" s="28" t="s">
        <v>124</v>
      </c>
      <c r="H940" s="28" t="s">
        <v>96</v>
      </c>
      <c r="I940" s="28" t="s">
        <v>97</v>
      </c>
      <c r="J940" s="28" t="s">
        <v>66</v>
      </c>
      <c r="K940" s="28" t="s">
        <v>90</v>
      </c>
      <c r="L940" s="28" t="s">
        <v>91</v>
      </c>
      <c r="M940" s="28" t="s">
        <v>94</v>
      </c>
      <c r="N940" s="28" t="s">
        <v>95</v>
      </c>
      <c r="O940" s="29" t="n">
        <v>33</v>
      </c>
      <c r="P940" s="30" t="n">
        <v>34.3</v>
      </c>
      <c r="Q940" s="30" t="n">
        <v>17.85</v>
      </c>
      <c r="R940" s="30" t="n">
        <f aca="false">ROUND(O940*P940,2)</f>
        <v>1131.9</v>
      </c>
      <c r="S940" s="30" t="n">
        <f aca="false">ROUND(O940*Q940,2)</f>
        <v>589.05</v>
      </c>
      <c r="T940" s="30" t="n">
        <f aca="false">ROUND(R940*SUMIFS(Parametros!$E$23:$E$38,Parametros!$B$23:$B$38,J940,Parametros!$C$23:$C$38,C940,Parametros!$D$23:$D$38,D940),2)</f>
        <v>14.71</v>
      </c>
      <c r="U940" s="30" t="n">
        <f aca="false">R940-S940-T940</f>
        <v>528.14</v>
      </c>
    </row>
    <row r="941" customFormat="false" ht="15" hidden="false" customHeight="false" outlineLevel="0" collapsed="false">
      <c r="A941" s="0" t="n">
        <v>940</v>
      </c>
      <c r="B941" s="27" t="n">
        <v>45585</v>
      </c>
      <c r="C941" s="0" t="n">
        <v>2024</v>
      </c>
      <c r="D941" s="28" t="s">
        <v>122</v>
      </c>
      <c r="E941" s="0" t="n">
        <v>10</v>
      </c>
      <c r="F941" s="28" t="s">
        <v>123</v>
      </c>
      <c r="G941" s="28" t="s">
        <v>124</v>
      </c>
      <c r="H941" s="28" t="s">
        <v>96</v>
      </c>
      <c r="I941" s="28" t="s">
        <v>97</v>
      </c>
      <c r="J941" s="28" t="s">
        <v>71</v>
      </c>
      <c r="K941" s="28" t="s">
        <v>90</v>
      </c>
      <c r="L941" s="28" t="s">
        <v>91</v>
      </c>
      <c r="M941" s="28" t="s">
        <v>94</v>
      </c>
      <c r="N941" s="28" t="s">
        <v>95</v>
      </c>
      <c r="O941" s="29" t="n">
        <v>13</v>
      </c>
      <c r="P941" s="30" t="n">
        <v>34.3</v>
      </c>
      <c r="Q941" s="30" t="n">
        <v>17.85</v>
      </c>
      <c r="R941" s="30" t="n">
        <f aca="false">ROUND(O941*P941,2)</f>
        <v>445.9</v>
      </c>
      <c r="S941" s="30" t="n">
        <f aca="false">ROUND(O941*Q941,2)</f>
        <v>232.05</v>
      </c>
      <c r="T941" s="30" t="n">
        <f aca="false">ROUND(R941*SUMIFS(Parametros!$E$23:$E$38,Parametros!$B$23:$B$38,J941,Parametros!$C$23:$C$38,C941,Parametros!$D$23:$D$38,D941),2)</f>
        <v>21.4</v>
      </c>
      <c r="U941" s="30" t="n">
        <f aca="false">R941-S941-T941</f>
        <v>192.45</v>
      </c>
    </row>
    <row r="942" customFormat="false" ht="15" hidden="false" customHeight="false" outlineLevel="0" collapsed="false">
      <c r="A942" s="0" t="n">
        <v>941</v>
      </c>
      <c r="B942" s="27" t="n">
        <v>45592</v>
      </c>
      <c r="C942" s="0" t="n">
        <v>2024</v>
      </c>
      <c r="D942" s="28" t="s">
        <v>122</v>
      </c>
      <c r="E942" s="0" t="n">
        <v>10</v>
      </c>
      <c r="F942" s="28" t="s">
        <v>123</v>
      </c>
      <c r="G942" s="28" t="s">
        <v>124</v>
      </c>
      <c r="H942" s="28" t="s">
        <v>98</v>
      </c>
      <c r="I942" s="28" t="s">
        <v>99</v>
      </c>
      <c r="J942" s="28" t="s">
        <v>66</v>
      </c>
      <c r="K942" s="28" t="s">
        <v>67</v>
      </c>
      <c r="L942" s="28" t="s">
        <v>68</v>
      </c>
      <c r="M942" s="28" t="s">
        <v>69</v>
      </c>
      <c r="N942" s="28" t="s">
        <v>70</v>
      </c>
      <c r="O942" s="29" t="n">
        <v>9</v>
      </c>
      <c r="P942" s="30" t="n">
        <v>1176</v>
      </c>
      <c r="Q942" s="30" t="n">
        <v>744</v>
      </c>
      <c r="R942" s="30" t="n">
        <f aca="false">ROUND(O942*P942,2)</f>
        <v>10584</v>
      </c>
      <c r="S942" s="30" t="n">
        <f aca="false">ROUND(O942*Q942,2)</f>
        <v>6696</v>
      </c>
      <c r="T942" s="30" t="n">
        <f aca="false">ROUND(R942*SUMIFS(Parametros!$E$23:$E$38,Parametros!$B$23:$B$38,J942,Parametros!$C$23:$C$38,C942,Parametros!$D$23:$D$38,D942),2)</f>
        <v>137.59</v>
      </c>
      <c r="U942" s="30" t="n">
        <f aca="false">R942-S942-T942</f>
        <v>3750.41</v>
      </c>
    </row>
    <row r="943" customFormat="false" ht="15" hidden="false" customHeight="false" outlineLevel="0" collapsed="false">
      <c r="A943" s="0" t="n">
        <v>942</v>
      </c>
      <c r="B943" s="27" t="n">
        <v>45572</v>
      </c>
      <c r="C943" s="0" t="n">
        <v>2024</v>
      </c>
      <c r="D943" s="28" t="s">
        <v>122</v>
      </c>
      <c r="E943" s="0" t="n">
        <v>10</v>
      </c>
      <c r="F943" s="28" t="s">
        <v>123</v>
      </c>
      <c r="G943" s="28" t="s">
        <v>124</v>
      </c>
      <c r="H943" s="28" t="s">
        <v>98</v>
      </c>
      <c r="I943" s="28" t="s">
        <v>99</v>
      </c>
      <c r="J943" s="28" t="s">
        <v>71</v>
      </c>
      <c r="K943" s="28" t="s">
        <v>67</v>
      </c>
      <c r="L943" s="28" t="s">
        <v>68</v>
      </c>
      <c r="M943" s="28" t="s">
        <v>69</v>
      </c>
      <c r="N943" s="28" t="s">
        <v>70</v>
      </c>
      <c r="O943" s="29" t="n">
        <v>3</v>
      </c>
      <c r="P943" s="30" t="n">
        <v>1176</v>
      </c>
      <c r="Q943" s="30" t="n">
        <v>744</v>
      </c>
      <c r="R943" s="30" t="n">
        <f aca="false">ROUND(O943*P943,2)</f>
        <v>3528</v>
      </c>
      <c r="S943" s="30" t="n">
        <f aca="false">ROUND(O943*Q943,2)</f>
        <v>2232</v>
      </c>
      <c r="T943" s="30" t="n">
        <f aca="false">ROUND(R943*SUMIFS(Parametros!$E$23:$E$38,Parametros!$B$23:$B$38,J943,Parametros!$C$23:$C$38,C943,Parametros!$D$23:$D$38,D943),2)</f>
        <v>169.34</v>
      </c>
      <c r="U943" s="30" t="n">
        <f aca="false">R943-S943-T943</f>
        <v>1126.66</v>
      </c>
    </row>
    <row r="944" customFormat="false" ht="15" hidden="false" customHeight="false" outlineLevel="0" collapsed="false">
      <c r="A944" s="0" t="n">
        <v>943</v>
      </c>
      <c r="B944" s="27" t="n">
        <v>45579</v>
      </c>
      <c r="C944" s="0" t="n">
        <v>2024</v>
      </c>
      <c r="D944" s="28" t="s">
        <v>122</v>
      </c>
      <c r="E944" s="0" t="n">
        <v>10</v>
      </c>
      <c r="F944" s="28" t="s">
        <v>123</v>
      </c>
      <c r="G944" s="28" t="s">
        <v>124</v>
      </c>
      <c r="H944" s="28" t="s">
        <v>98</v>
      </c>
      <c r="I944" s="28" t="s">
        <v>99</v>
      </c>
      <c r="J944" s="28" t="s">
        <v>66</v>
      </c>
      <c r="K944" s="28" t="s">
        <v>67</v>
      </c>
      <c r="L944" s="28" t="s">
        <v>68</v>
      </c>
      <c r="M944" s="28" t="s">
        <v>72</v>
      </c>
      <c r="N944" s="28" t="s">
        <v>73</v>
      </c>
      <c r="O944" s="29" t="n">
        <v>8</v>
      </c>
      <c r="P944" s="30" t="n">
        <v>441</v>
      </c>
      <c r="Q944" s="30" t="n">
        <v>272.25</v>
      </c>
      <c r="R944" s="30" t="n">
        <f aca="false">ROUND(O944*P944,2)</f>
        <v>3528</v>
      </c>
      <c r="S944" s="30" t="n">
        <f aca="false">ROUND(O944*Q944,2)</f>
        <v>2178</v>
      </c>
      <c r="T944" s="30" t="n">
        <f aca="false">ROUND(R944*SUMIFS(Parametros!$E$23:$E$38,Parametros!$B$23:$B$38,J944,Parametros!$C$23:$C$38,C944,Parametros!$D$23:$D$38,D944),2)</f>
        <v>45.86</v>
      </c>
      <c r="U944" s="30" t="n">
        <f aca="false">R944-S944-T944</f>
        <v>1304.14</v>
      </c>
    </row>
    <row r="945" customFormat="false" ht="15" hidden="false" customHeight="false" outlineLevel="0" collapsed="false">
      <c r="A945" s="0" t="n">
        <v>944</v>
      </c>
      <c r="B945" s="27" t="n">
        <v>45586</v>
      </c>
      <c r="C945" s="0" t="n">
        <v>2024</v>
      </c>
      <c r="D945" s="28" t="s">
        <v>122</v>
      </c>
      <c r="E945" s="0" t="n">
        <v>10</v>
      </c>
      <c r="F945" s="28" t="s">
        <v>123</v>
      </c>
      <c r="G945" s="28" t="s">
        <v>124</v>
      </c>
      <c r="H945" s="28" t="s">
        <v>98</v>
      </c>
      <c r="I945" s="28" t="s">
        <v>99</v>
      </c>
      <c r="J945" s="28" t="s">
        <v>71</v>
      </c>
      <c r="K945" s="28" t="s">
        <v>67</v>
      </c>
      <c r="L945" s="28" t="s">
        <v>68</v>
      </c>
      <c r="M945" s="28" t="s">
        <v>72</v>
      </c>
      <c r="N945" s="28" t="s">
        <v>73</v>
      </c>
      <c r="O945" s="29" t="n">
        <v>3</v>
      </c>
      <c r="P945" s="30" t="n">
        <v>441</v>
      </c>
      <c r="Q945" s="30" t="n">
        <v>272.25</v>
      </c>
      <c r="R945" s="30" t="n">
        <f aca="false">ROUND(O945*P945,2)</f>
        <v>1323</v>
      </c>
      <c r="S945" s="30" t="n">
        <f aca="false">ROUND(O945*Q945,2)</f>
        <v>816.75</v>
      </c>
      <c r="T945" s="30" t="n">
        <f aca="false">ROUND(R945*SUMIFS(Parametros!$E$23:$E$38,Parametros!$B$23:$B$38,J945,Parametros!$C$23:$C$38,C945,Parametros!$D$23:$D$38,D945),2)</f>
        <v>63.5</v>
      </c>
      <c r="U945" s="30" t="n">
        <f aca="false">R945-S945-T945</f>
        <v>442.75</v>
      </c>
    </row>
    <row r="946" customFormat="false" ht="15" hidden="false" customHeight="false" outlineLevel="0" collapsed="false">
      <c r="A946" s="0" t="n">
        <v>945</v>
      </c>
      <c r="B946" s="27" t="n">
        <v>45566</v>
      </c>
      <c r="C946" s="0" t="n">
        <v>2024</v>
      </c>
      <c r="D946" s="28" t="s">
        <v>122</v>
      </c>
      <c r="E946" s="0" t="n">
        <v>10</v>
      </c>
      <c r="F946" s="28" t="s">
        <v>123</v>
      </c>
      <c r="G946" s="28" t="s">
        <v>124</v>
      </c>
      <c r="H946" s="28" t="s">
        <v>98</v>
      </c>
      <c r="I946" s="28" t="s">
        <v>99</v>
      </c>
      <c r="J946" s="28" t="s">
        <v>66</v>
      </c>
      <c r="K946" s="28" t="s">
        <v>67</v>
      </c>
      <c r="L946" s="28" t="s">
        <v>68</v>
      </c>
      <c r="M946" s="28" t="s">
        <v>74</v>
      </c>
      <c r="N946" s="28" t="s">
        <v>75</v>
      </c>
      <c r="O946" s="29" t="n">
        <v>9</v>
      </c>
      <c r="P946" s="30" t="n">
        <v>1617</v>
      </c>
      <c r="Q946" s="30" t="n">
        <v>1122</v>
      </c>
      <c r="R946" s="30" t="n">
        <f aca="false">ROUND(O946*P946,2)</f>
        <v>14553</v>
      </c>
      <c r="S946" s="30" t="n">
        <f aca="false">ROUND(O946*Q946,2)</f>
        <v>10098</v>
      </c>
      <c r="T946" s="30" t="n">
        <f aca="false">ROUND(R946*SUMIFS(Parametros!$E$23:$E$38,Parametros!$B$23:$B$38,J946,Parametros!$C$23:$C$38,C946,Parametros!$D$23:$D$38,D946),2)</f>
        <v>189.19</v>
      </c>
      <c r="U946" s="30" t="n">
        <f aca="false">R946-S946-T946</f>
        <v>4265.81</v>
      </c>
    </row>
    <row r="947" customFormat="false" ht="15" hidden="false" customHeight="false" outlineLevel="0" collapsed="false">
      <c r="A947" s="0" t="n">
        <v>946</v>
      </c>
      <c r="B947" s="27" t="n">
        <v>45573</v>
      </c>
      <c r="C947" s="0" t="n">
        <v>2024</v>
      </c>
      <c r="D947" s="28" t="s">
        <v>122</v>
      </c>
      <c r="E947" s="0" t="n">
        <v>10</v>
      </c>
      <c r="F947" s="28" t="s">
        <v>123</v>
      </c>
      <c r="G947" s="28" t="s">
        <v>124</v>
      </c>
      <c r="H947" s="28" t="s">
        <v>98</v>
      </c>
      <c r="I947" s="28" t="s">
        <v>99</v>
      </c>
      <c r="J947" s="28" t="s">
        <v>71</v>
      </c>
      <c r="K947" s="28" t="s">
        <v>67</v>
      </c>
      <c r="L947" s="28" t="s">
        <v>68</v>
      </c>
      <c r="M947" s="28" t="s">
        <v>74</v>
      </c>
      <c r="N947" s="28" t="s">
        <v>75</v>
      </c>
      <c r="O947" s="29" t="n">
        <v>3</v>
      </c>
      <c r="P947" s="30" t="n">
        <v>1617</v>
      </c>
      <c r="Q947" s="30" t="n">
        <v>1122</v>
      </c>
      <c r="R947" s="30" t="n">
        <f aca="false">ROUND(O947*P947,2)</f>
        <v>4851</v>
      </c>
      <c r="S947" s="30" t="n">
        <f aca="false">ROUND(O947*Q947,2)</f>
        <v>3366</v>
      </c>
      <c r="T947" s="30" t="n">
        <f aca="false">ROUND(R947*SUMIFS(Parametros!$E$23:$E$38,Parametros!$B$23:$B$38,J947,Parametros!$C$23:$C$38,C947,Parametros!$D$23:$D$38,D947),2)</f>
        <v>232.85</v>
      </c>
      <c r="U947" s="30" t="n">
        <f aca="false">R947-S947-T947</f>
        <v>1252.15</v>
      </c>
    </row>
    <row r="948" customFormat="false" ht="15" hidden="false" customHeight="false" outlineLevel="0" collapsed="false">
      <c r="A948" s="0" t="n">
        <v>947</v>
      </c>
      <c r="B948" s="27" t="n">
        <v>45580</v>
      </c>
      <c r="C948" s="0" t="n">
        <v>2024</v>
      </c>
      <c r="D948" s="28" t="s">
        <v>122</v>
      </c>
      <c r="E948" s="0" t="n">
        <v>10</v>
      </c>
      <c r="F948" s="28" t="s">
        <v>123</v>
      </c>
      <c r="G948" s="28" t="s">
        <v>124</v>
      </c>
      <c r="H948" s="28" t="s">
        <v>98</v>
      </c>
      <c r="I948" s="28" t="s">
        <v>99</v>
      </c>
      <c r="J948" s="28" t="s">
        <v>66</v>
      </c>
      <c r="K948" s="28" t="s">
        <v>76</v>
      </c>
      <c r="L948" s="28" t="s">
        <v>77</v>
      </c>
      <c r="M948" s="28" t="s">
        <v>78</v>
      </c>
      <c r="N948" s="28" t="s">
        <v>79</v>
      </c>
      <c r="O948" s="29" t="n">
        <v>43</v>
      </c>
      <c r="P948" s="30" t="n">
        <v>27.44</v>
      </c>
      <c r="Q948" s="30" t="n">
        <v>13.44</v>
      </c>
      <c r="R948" s="30" t="n">
        <f aca="false">ROUND(O948*P948,2)</f>
        <v>1179.92</v>
      </c>
      <c r="S948" s="30" t="n">
        <f aca="false">ROUND(O948*Q948,2)</f>
        <v>577.92</v>
      </c>
      <c r="T948" s="30" t="n">
        <f aca="false">ROUND(R948*SUMIFS(Parametros!$E$23:$E$38,Parametros!$B$23:$B$38,J948,Parametros!$C$23:$C$38,C948,Parametros!$D$23:$D$38,D948),2)</f>
        <v>15.34</v>
      </c>
      <c r="U948" s="30" t="n">
        <f aca="false">R948-S948-T948</f>
        <v>586.66</v>
      </c>
    </row>
    <row r="949" customFormat="false" ht="15" hidden="false" customHeight="false" outlineLevel="0" collapsed="false">
      <c r="A949" s="0" t="n">
        <v>948</v>
      </c>
      <c r="B949" s="27" t="n">
        <v>45587</v>
      </c>
      <c r="C949" s="0" t="n">
        <v>2024</v>
      </c>
      <c r="D949" s="28" t="s">
        <v>122</v>
      </c>
      <c r="E949" s="0" t="n">
        <v>10</v>
      </c>
      <c r="F949" s="28" t="s">
        <v>123</v>
      </c>
      <c r="G949" s="28" t="s">
        <v>124</v>
      </c>
      <c r="H949" s="28" t="s">
        <v>98</v>
      </c>
      <c r="I949" s="28" t="s">
        <v>99</v>
      </c>
      <c r="J949" s="28" t="s">
        <v>71</v>
      </c>
      <c r="K949" s="28" t="s">
        <v>76</v>
      </c>
      <c r="L949" s="28" t="s">
        <v>77</v>
      </c>
      <c r="M949" s="28" t="s">
        <v>78</v>
      </c>
      <c r="N949" s="28" t="s">
        <v>79</v>
      </c>
      <c r="O949" s="29" t="n">
        <v>19</v>
      </c>
      <c r="P949" s="30" t="n">
        <v>27.44</v>
      </c>
      <c r="Q949" s="30" t="n">
        <v>13.44</v>
      </c>
      <c r="R949" s="30" t="n">
        <f aca="false">ROUND(O949*P949,2)</f>
        <v>521.36</v>
      </c>
      <c r="S949" s="30" t="n">
        <f aca="false">ROUND(O949*Q949,2)</f>
        <v>255.36</v>
      </c>
      <c r="T949" s="30" t="n">
        <f aca="false">ROUND(R949*SUMIFS(Parametros!$E$23:$E$38,Parametros!$B$23:$B$38,J949,Parametros!$C$23:$C$38,C949,Parametros!$D$23:$D$38,D949),2)</f>
        <v>25.03</v>
      </c>
      <c r="U949" s="30" t="n">
        <f aca="false">R949-S949-T949</f>
        <v>240.97</v>
      </c>
    </row>
    <row r="950" customFormat="false" ht="15" hidden="false" customHeight="false" outlineLevel="0" collapsed="false">
      <c r="A950" s="0" t="n">
        <v>949</v>
      </c>
      <c r="B950" s="27" t="n">
        <v>45567</v>
      </c>
      <c r="C950" s="0" t="n">
        <v>2024</v>
      </c>
      <c r="D950" s="28" t="s">
        <v>122</v>
      </c>
      <c r="E950" s="0" t="n">
        <v>10</v>
      </c>
      <c r="F950" s="28" t="s">
        <v>123</v>
      </c>
      <c r="G950" s="28" t="s">
        <v>124</v>
      </c>
      <c r="H950" s="28" t="s">
        <v>98</v>
      </c>
      <c r="I950" s="28" t="s">
        <v>99</v>
      </c>
      <c r="J950" s="28" t="s">
        <v>66</v>
      </c>
      <c r="K950" s="28" t="s">
        <v>76</v>
      </c>
      <c r="L950" s="28" t="s">
        <v>77</v>
      </c>
      <c r="M950" s="28" t="s">
        <v>80</v>
      </c>
      <c r="N950" s="28" t="s">
        <v>81</v>
      </c>
      <c r="O950" s="29" t="n">
        <v>47</v>
      </c>
      <c r="P950" s="30" t="n">
        <v>93.1</v>
      </c>
      <c r="Q950" s="30" t="n">
        <v>47.98</v>
      </c>
      <c r="R950" s="30" t="n">
        <f aca="false">ROUND(O950*P950,2)</f>
        <v>4375.7</v>
      </c>
      <c r="S950" s="30" t="n">
        <f aca="false">ROUND(O950*Q950,2)</f>
        <v>2255.06</v>
      </c>
      <c r="T950" s="30" t="n">
        <f aca="false">ROUND(R950*SUMIFS(Parametros!$E$23:$E$38,Parametros!$B$23:$B$38,J950,Parametros!$C$23:$C$38,C950,Parametros!$D$23:$D$38,D950),2)</f>
        <v>56.88</v>
      </c>
      <c r="U950" s="30" t="n">
        <f aca="false">R950-S950-T950</f>
        <v>2063.76</v>
      </c>
    </row>
    <row r="951" customFormat="false" ht="15" hidden="false" customHeight="false" outlineLevel="0" collapsed="false">
      <c r="A951" s="0" t="n">
        <v>950</v>
      </c>
      <c r="B951" s="27" t="n">
        <v>45574</v>
      </c>
      <c r="C951" s="0" t="n">
        <v>2024</v>
      </c>
      <c r="D951" s="28" t="s">
        <v>122</v>
      </c>
      <c r="E951" s="0" t="n">
        <v>10</v>
      </c>
      <c r="F951" s="28" t="s">
        <v>123</v>
      </c>
      <c r="G951" s="28" t="s">
        <v>124</v>
      </c>
      <c r="H951" s="28" t="s">
        <v>98</v>
      </c>
      <c r="I951" s="28" t="s">
        <v>99</v>
      </c>
      <c r="J951" s="28" t="s">
        <v>71</v>
      </c>
      <c r="K951" s="28" t="s">
        <v>76</v>
      </c>
      <c r="L951" s="28" t="s">
        <v>77</v>
      </c>
      <c r="M951" s="28" t="s">
        <v>80</v>
      </c>
      <c r="N951" s="28" t="s">
        <v>81</v>
      </c>
      <c r="O951" s="29" t="n">
        <v>19</v>
      </c>
      <c r="P951" s="30" t="n">
        <v>93.1</v>
      </c>
      <c r="Q951" s="30" t="n">
        <v>47.98</v>
      </c>
      <c r="R951" s="30" t="n">
        <f aca="false">ROUND(O951*P951,2)</f>
        <v>1768.9</v>
      </c>
      <c r="S951" s="30" t="n">
        <f aca="false">ROUND(O951*Q951,2)</f>
        <v>911.62</v>
      </c>
      <c r="T951" s="30" t="n">
        <f aca="false">ROUND(R951*SUMIFS(Parametros!$E$23:$E$38,Parametros!$B$23:$B$38,J951,Parametros!$C$23:$C$38,C951,Parametros!$D$23:$D$38,D951),2)</f>
        <v>84.91</v>
      </c>
      <c r="U951" s="30" t="n">
        <f aca="false">R951-S951-T951</f>
        <v>772.37</v>
      </c>
    </row>
    <row r="952" customFormat="false" ht="15" hidden="false" customHeight="false" outlineLevel="0" collapsed="false">
      <c r="A952" s="0" t="n">
        <v>951</v>
      </c>
      <c r="B952" s="27" t="n">
        <v>45581</v>
      </c>
      <c r="C952" s="0" t="n">
        <v>2024</v>
      </c>
      <c r="D952" s="28" t="s">
        <v>122</v>
      </c>
      <c r="E952" s="0" t="n">
        <v>10</v>
      </c>
      <c r="F952" s="28" t="s">
        <v>123</v>
      </c>
      <c r="G952" s="28" t="s">
        <v>124</v>
      </c>
      <c r="H952" s="28" t="s">
        <v>98</v>
      </c>
      <c r="I952" s="28" t="s">
        <v>99</v>
      </c>
      <c r="J952" s="28" t="s">
        <v>66</v>
      </c>
      <c r="K952" s="28" t="s">
        <v>76</v>
      </c>
      <c r="L952" s="28" t="s">
        <v>77</v>
      </c>
      <c r="M952" s="28" t="s">
        <v>82</v>
      </c>
      <c r="N952" s="28" t="s">
        <v>83</v>
      </c>
      <c r="O952" s="29" t="n">
        <v>48</v>
      </c>
      <c r="P952" s="30" t="n">
        <v>63.7</v>
      </c>
      <c r="Q952" s="30" t="n">
        <v>35.43</v>
      </c>
      <c r="R952" s="30" t="n">
        <f aca="false">ROUND(O952*P952,2)</f>
        <v>3057.6</v>
      </c>
      <c r="S952" s="30" t="n">
        <f aca="false">ROUND(O952*Q952,2)</f>
        <v>1700.64</v>
      </c>
      <c r="T952" s="30" t="n">
        <f aca="false">ROUND(R952*SUMIFS(Parametros!$E$23:$E$38,Parametros!$B$23:$B$38,J952,Parametros!$C$23:$C$38,C952,Parametros!$D$23:$D$38,D952),2)</f>
        <v>39.75</v>
      </c>
      <c r="U952" s="30" t="n">
        <f aca="false">R952-S952-T952</f>
        <v>1317.21</v>
      </c>
    </row>
    <row r="953" customFormat="false" ht="15" hidden="false" customHeight="false" outlineLevel="0" collapsed="false">
      <c r="A953" s="0" t="n">
        <v>952</v>
      </c>
      <c r="B953" s="27" t="n">
        <v>45588</v>
      </c>
      <c r="C953" s="0" t="n">
        <v>2024</v>
      </c>
      <c r="D953" s="28" t="s">
        <v>122</v>
      </c>
      <c r="E953" s="0" t="n">
        <v>10</v>
      </c>
      <c r="F953" s="28" t="s">
        <v>123</v>
      </c>
      <c r="G953" s="28" t="s">
        <v>124</v>
      </c>
      <c r="H953" s="28" t="s">
        <v>98</v>
      </c>
      <c r="I953" s="28" t="s">
        <v>99</v>
      </c>
      <c r="J953" s="28" t="s">
        <v>71</v>
      </c>
      <c r="K953" s="28" t="s">
        <v>76</v>
      </c>
      <c r="L953" s="28" t="s">
        <v>77</v>
      </c>
      <c r="M953" s="28" t="s">
        <v>82</v>
      </c>
      <c r="N953" s="28" t="s">
        <v>83</v>
      </c>
      <c r="O953" s="29" t="n">
        <v>17</v>
      </c>
      <c r="P953" s="30" t="n">
        <v>63.7</v>
      </c>
      <c r="Q953" s="30" t="n">
        <v>35.43</v>
      </c>
      <c r="R953" s="30" t="n">
        <f aca="false">ROUND(O953*P953,2)</f>
        <v>1082.9</v>
      </c>
      <c r="S953" s="30" t="n">
        <f aca="false">ROUND(O953*Q953,2)</f>
        <v>602.31</v>
      </c>
      <c r="T953" s="30" t="n">
        <f aca="false">ROUND(R953*SUMIFS(Parametros!$E$23:$E$38,Parametros!$B$23:$B$38,J953,Parametros!$C$23:$C$38,C953,Parametros!$D$23:$D$38,D953),2)</f>
        <v>51.98</v>
      </c>
      <c r="U953" s="30" t="n">
        <f aca="false">R953-S953-T953</f>
        <v>428.61</v>
      </c>
    </row>
    <row r="954" customFormat="false" ht="15" hidden="false" customHeight="false" outlineLevel="0" collapsed="false">
      <c r="A954" s="0" t="n">
        <v>953</v>
      </c>
      <c r="B954" s="27" t="n">
        <v>45568</v>
      </c>
      <c r="C954" s="0" t="n">
        <v>2024</v>
      </c>
      <c r="D954" s="28" t="s">
        <v>122</v>
      </c>
      <c r="E954" s="0" t="n">
        <v>10</v>
      </c>
      <c r="F954" s="28" t="s">
        <v>123</v>
      </c>
      <c r="G954" s="28" t="s">
        <v>124</v>
      </c>
      <c r="H954" s="28" t="s">
        <v>98</v>
      </c>
      <c r="I954" s="28" t="s">
        <v>99</v>
      </c>
      <c r="J954" s="28" t="s">
        <v>66</v>
      </c>
      <c r="K954" s="28" t="s">
        <v>84</v>
      </c>
      <c r="L954" s="28" t="s">
        <v>85</v>
      </c>
      <c r="M954" s="28" t="s">
        <v>86</v>
      </c>
      <c r="N954" s="28" t="s">
        <v>87</v>
      </c>
      <c r="O954" s="29" t="n">
        <v>18</v>
      </c>
      <c r="P954" s="30" t="n">
        <v>117.6</v>
      </c>
      <c r="Q954" s="30" t="n">
        <v>63.6</v>
      </c>
      <c r="R954" s="30" t="n">
        <f aca="false">ROUND(O954*P954,2)</f>
        <v>2116.8</v>
      </c>
      <c r="S954" s="30" t="n">
        <f aca="false">ROUND(O954*Q954,2)</f>
        <v>1144.8</v>
      </c>
      <c r="T954" s="30" t="n">
        <f aca="false">ROUND(R954*SUMIFS(Parametros!$E$23:$E$38,Parametros!$B$23:$B$38,J954,Parametros!$C$23:$C$38,C954,Parametros!$D$23:$D$38,D954),2)</f>
        <v>27.52</v>
      </c>
      <c r="U954" s="30" t="n">
        <f aca="false">R954-S954-T954</f>
        <v>944.48</v>
      </c>
    </row>
    <row r="955" customFormat="false" ht="15" hidden="false" customHeight="false" outlineLevel="0" collapsed="false">
      <c r="A955" s="0" t="n">
        <v>954</v>
      </c>
      <c r="B955" s="27" t="n">
        <v>45575</v>
      </c>
      <c r="C955" s="0" t="n">
        <v>2024</v>
      </c>
      <c r="D955" s="28" t="s">
        <v>122</v>
      </c>
      <c r="E955" s="0" t="n">
        <v>10</v>
      </c>
      <c r="F955" s="28" t="s">
        <v>123</v>
      </c>
      <c r="G955" s="28" t="s">
        <v>124</v>
      </c>
      <c r="H955" s="28" t="s">
        <v>98</v>
      </c>
      <c r="I955" s="28" t="s">
        <v>99</v>
      </c>
      <c r="J955" s="28" t="s">
        <v>71</v>
      </c>
      <c r="K955" s="28" t="s">
        <v>84</v>
      </c>
      <c r="L955" s="28" t="s">
        <v>85</v>
      </c>
      <c r="M955" s="28" t="s">
        <v>86</v>
      </c>
      <c r="N955" s="28" t="s">
        <v>87</v>
      </c>
      <c r="O955" s="29" t="n">
        <v>7</v>
      </c>
      <c r="P955" s="30" t="n">
        <v>117.6</v>
      </c>
      <c r="Q955" s="30" t="n">
        <v>63.6</v>
      </c>
      <c r="R955" s="30" t="n">
        <f aca="false">ROUND(O955*P955,2)</f>
        <v>823.2</v>
      </c>
      <c r="S955" s="30" t="n">
        <f aca="false">ROUND(O955*Q955,2)</f>
        <v>445.2</v>
      </c>
      <c r="T955" s="30" t="n">
        <f aca="false">ROUND(R955*SUMIFS(Parametros!$E$23:$E$38,Parametros!$B$23:$B$38,J955,Parametros!$C$23:$C$38,C955,Parametros!$D$23:$D$38,D955),2)</f>
        <v>39.51</v>
      </c>
      <c r="U955" s="30" t="n">
        <f aca="false">R955-S955-T955</f>
        <v>338.49</v>
      </c>
    </row>
    <row r="956" customFormat="false" ht="15" hidden="false" customHeight="false" outlineLevel="0" collapsed="false">
      <c r="A956" s="0" t="n">
        <v>955</v>
      </c>
      <c r="B956" s="27" t="n">
        <v>45582</v>
      </c>
      <c r="C956" s="0" t="n">
        <v>2024</v>
      </c>
      <c r="D956" s="28" t="s">
        <v>122</v>
      </c>
      <c r="E956" s="0" t="n">
        <v>10</v>
      </c>
      <c r="F956" s="28" t="s">
        <v>123</v>
      </c>
      <c r="G956" s="28" t="s">
        <v>124</v>
      </c>
      <c r="H956" s="28" t="s">
        <v>98</v>
      </c>
      <c r="I956" s="28" t="s">
        <v>99</v>
      </c>
      <c r="J956" s="28" t="s">
        <v>66</v>
      </c>
      <c r="K956" s="28" t="s">
        <v>84</v>
      </c>
      <c r="L956" s="28" t="s">
        <v>85</v>
      </c>
      <c r="M956" s="28" t="s">
        <v>88</v>
      </c>
      <c r="N956" s="28" t="s">
        <v>89</v>
      </c>
      <c r="O956" s="29" t="n">
        <v>23</v>
      </c>
      <c r="P956" s="30" t="n">
        <v>83.3</v>
      </c>
      <c r="Q956" s="30" t="n">
        <v>48.02</v>
      </c>
      <c r="R956" s="30" t="n">
        <f aca="false">ROUND(O956*P956,2)</f>
        <v>1915.9</v>
      </c>
      <c r="S956" s="30" t="n">
        <f aca="false">ROUND(O956*Q956,2)</f>
        <v>1104.46</v>
      </c>
      <c r="T956" s="30" t="n">
        <f aca="false">ROUND(R956*SUMIFS(Parametros!$E$23:$E$38,Parametros!$B$23:$B$38,J956,Parametros!$C$23:$C$38,C956,Parametros!$D$23:$D$38,D956),2)</f>
        <v>24.91</v>
      </c>
      <c r="U956" s="30" t="n">
        <f aca="false">R956-S956-T956</f>
        <v>786.53</v>
      </c>
    </row>
    <row r="957" customFormat="false" ht="15" hidden="false" customHeight="false" outlineLevel="0" collapsed="false">
      <c r="A957" s="0" t="n">
        <v>956</v>
      </c>
      <c r="B957" s="27" t="n">
        <v>45589</v>
      </c>
      <c r="C957" s="0" t="n">
        <v>2024</v>
      </c>
      <c r="D957" s="28" t="s">
        <v>122</v>
      </c>
      <c r="E957" s="0" t="n">
        <v>10</v>
      </c>
      <c r="F957" s="28" t="s">
        <v>123</v>
      </c>
      <c r="G957" s="28" t="s">
        <v>124</v>
      </c>
      <c r="H957" s="28" t="s">
        <v>98</v>
      </c>
      <c r="I957" s="28" t="s">
        <v>99</v>
      </c>
      <c r="J957" s="28" t="s">
        <v>71</v>
      </c>
      <c r="K957" s="28" t="s">
        <v>84</v>
      </c>
      <c r="L957" s="28" t="s">
        <v>85</v>
      </c>
      <c r="M957" s="28" t="s">
        <v>88</v>
      </c>
      <c r="N957" s="28" t="s">
        <v>89</v>
      </c>
      <c r="O957" s="29" t="n">
        <v>8</v>
      </c>
      <c r="P957" s="30" t="n">
        <v>83.3</v>
      </c>
      <c r="Q957" s="30" t="n">
        <v>48.02</v>
      </c>
      <c r="R957" s="30" t="n">
        <f aca="false">ROUND(O957*P957,2)</f>
        <v>666.4</v>
      </c>
      <c r="S957" s="30" t="n">
        <f aca="false">ROUND(O957*Q957,2)</f>
        <v>384.16</v>
      </c>
      <c r="T957" s="30" t="n">
        <f aca="false">ROUND(R957*SUMIFS(Parametros!$E$23:$E$38,Parametros!$B$23:$B$38,J957,Parametros!$C$23:$C$38,C957,Parametros!$D$23:$D$38,D957),2)</f>
        <v>31.99</v>
      </c>
      <c r="U957" s="30" t="n">
        <f aca="false">R957-S957-T957</f>
        <v>250.25</v>
      </c>
    </row>
    <row r="958" customFormat="false" ht="15" hidden="false" customHeight="false" outlineLevel="0" collapsed="false">
      <c r="A958" s="0" t="n">
        <v>957</v>
      </c>
      <c r="B958" s="27" t="n">
        <v>45569</v>
      </c>
      <c r="C958" s="0" t="n">
        <v>2024</v>
      </c>
      <c r="D958" s="28" t="s">
        <v>122</v>
      </c>
      <c r="E958" s="0" t="n">
        <v>10</v>
      </c>
      <c r="F958" s="28" t="s">
        <v>123</v>
      </c>
      <c r="G958" s="28" t="s">
        <v>124</v>
      </c>
      <c r="H958" s="28" t="s">
        <v>98</v>
      </c>
      <c r="I958" s="28" t="s">
        <v>99</v>
      </c>
      <c r="J958" s="28" t="s">
        <v>66</v>
      </c>
      <c r="K958" s="28" t="s">
        <v>90</v>
      </c>
      <c r="L958" s="28" t="s">
        <v>91</v>
      </c>
      <c r="M958" s="28" t="s">
        <v>92</v>
      </c>
      <c r="N958" s="28" t="s">
        <v>93</v>
      </c>
      <c r="O958" s="29" t="n">
        <v>26</v>
      </c>
      <c r="P958" s="30" t="n">
        <v>127.4</v>
      </c>
      <c r="Q958" s="30" t="n">
        <v>76.05</v>
      </c>
      <c r="R958" s="30" t="n">
        <f aca="false">ROUND(O958*P958,2)</f>
        <v>3312.4</v>
      </c>
      <c r="S958" s="30" t="n">
        <f aca="false">ROUND(O958*Q958,2)</f>
        <v>1977.3</v>
      </c>
      <c r="T958" s="30" t="n">
        <f aca="false">ROUND(R958*SUMIFS(Parametros!$E$23:$E$38,Parametros!$B$23:$B$38,J958,Parametros!$C$23:$C$38,C958,Parametros!$D$23:$D$38,D958),2)</f>
        <v>43.06</v>
      </c>
      <c r="U958" s="30" t="n">
        <f aca="false">R958-S958-T958</f>
        <v>1292.04</v>
      </c>
    </row>
    <row r="959" customFormat="false" ht="15" hidden="false" customHeight="false" outlineLevel="0" collapsed="false">
      <c r="A959" s="0" t="n">
        <v>958</v>
      </c>
      <c r="B959" s="27" t="n">
        <v>45576</v>
      </c>
      <c r="C959" s="0" t="n">
        <v>2024</v>
      </c>
      <c r="D959" s="28" t="s">
        <v>122</v>
      </c>
      <c r="E959" s="0" t="n">
        <v>10</v>
      </c>
      <c r="F959" s="28" t="s">
        <v>123</v>
      </c>
      <c r="G959" s="28" t="s">
        <v>124</v>
      </c>
      <c r="H959" s="28" t="s">
        <v>98</v>
      </c>
      <c r="I959" s="28" t="s">
        <v>99</v>
      </c>
      <c r="J959" s="28" t="s">
        <v>71</v>
      </c>
      <c r="K959" s="28" t="s">
        <v>90</v>
      </c>
      <c r="L959" s="28" t="s">
        <v>91</v>
      </c>
      <c r="M959" s="28" t="s">
        <v>92</v>
      </c>
      <c r="N959" s="28" t="s">
        <v>93</v>
      </c>
      <c r="O959" s="29" t="n">
        <v>9</v>
      </c>
      <c r="P959" s="30" t="n">
        <v>127.4</v>
      </c>
      <c r="Q959" s="30" t="n">
        <v>76.05</v>
      </c>
      <c r="R959" s="30" t="n">
        <f aca="false">ROUND(O959*P959,2)</f>
        <v>1146.6</v>
      </c>
      <c r="S959" s="30" t="n">
        <f aca="false">ROUND(O959*Q959,2)</f>
        <v>684.45</v>
      </c>
      <c r="T959" s="30" t="n">
        <f aca="false">ROUND(R959*SUMIFS(Parametros!$E$23:$E$38,Parametros!$B$23:$B$38,J959,Parametros!$C$23:$C$38,C959,Parametros!$D$23:$D$38,D959),2)</f>
        <v>55.04</v>
      </c>
      <c r="U959" s="30" t="n">
        <f aca="false">R959-S959-T959</f>
        <v>407.11</v>
      </c>
    </row>
    <row r="960" customFormat="false" ht="15" hidden="false" customHeight="false" outlineLevel="0" collapsed="false">
      <c r="A960" s="0" t="n">
        <v>959</v>
      </c>
      <c r="B960" s="27" t="n">
        <v>45583</v>
      </c>
      <c r="C960" s="0" t="n">
        <v>2024</v>
      </c>
      <c r="D960" s="28" t="s">
        <v>122</v>
      </c>
      <c r="E960" s="0" t="n">
        <v>10</v>
      </c>
      <c r="F960" s="28" t="s">
        <v>123</v>
      </c>
      <c r="G960" s="28" t="s">
        <v>124</v>
      </c>
      <c r="H960" s="28" t="s">
        <v>98</v>
      </c>
      <c r="I960" s="28" t="s">
        <v>99</v>
      </c>
      <c r="J960" s="28" t="s">
        <v>66</v>
      </c>
      <c r="K960" s="28" t="s">
        <v>90</v>
      </c>
      <c r="L960" s="28" t="s">
        <v>91</v>
      </c>
      <c r="M960" s="28" t="s">
        <v>94</v>
      </c>
      <c r="N960" s="28" t="s">
        <v>95</v>
      </c>
      <c r="O960" s="29" t="n">
        <v>24</v>
      </c>
      <c r="P960" s="30" t="n">
        <v>34.3</v>
      </c>
      <c r="Q960" s="30" t="n">
        <v>17.85</v>
      </c>
      <c r="R960" s="30" t="n">
        <f aca="false">ROUND(O960*P960,2)</f>
        <v>823.2</v>
      </c>
      <c r="S960" s="30" t="n">
        <f aca="false">ROUND(O960*Q960,2)</f>
        <v>428.4</v>
      </c>
      <c r="T960" s="30" t="n">
        <f aca="false">ROUND(R960*SUMIFS(Parametros!$E$23:$E$38,Parametros!$B$23:$B$38,J960,Parametros!$C$23:$C$38,C960,Parametros!$D$23:$D$38,D960),2)</f>
        <v>10.7</v>
      </c>
      <c r="U960" s="30" t="n">
        <f aca="false">R960-S960-T960</f>
        <v>384.1</v>
      </c>
    </row>
    <row r="961" customFormat="false" ht="15" hidden="false" customHeight="false" outlineLevel="0" collapsed="false">
      <c r="A961" s="0" t="n">
        <v>960</v>
      </c>
      <c r="B961" s="27" t="n">
        <v>45590</v>
      </c>
      <c r="C961" s="0" t="n">
        <v>2024</v>
      </c>
      <c r="D961" s="28" t="s">
        <v>122</v>
      </c>
      <c r="E961" s="0" t="n">
        <v>10</v>
      </c>
      <c r="F961" s="28" t="s">
        <v>123</v>
      </c>
      <c r="G961" s="28" t="s">
        <v>124</v>
      </c>
      <c r="H961" s="28" t="s">
        <v>98</v>
      </c>
      <c r="I961" s="28" t="s">
        <v>99</v>
      </c>
      <c r="J961" s="28" t="s">
        <v>71</v>
      </c>
      <c r="K961" s="28" t="s">
        <v>90</v>
      </c>
      <c r="L961" s="28" t="s">
        <v>91</v>
      </c>
      <c r="M961" s="28" t="s">
        <v>94</v>
      </c>
      <c r="N961" s="28" t="s">
        <v>95</v>
      </c>
      <c r="O961" s="29" t="n">
        <v>9</v>
      </c>
      <c r="P961" s="30" t="n">
        <v>34.3</v>
      </c>
      <c r="Q961" s="30" t="n">
        <v>17.85</v>
      </c>
      <c r="R961" s="30" t="n">
        <f aca="false">ROUND(O961*P961,2)</f>
        <v>308.7</v>
      </c>
      <c r="S961" s="30" t="n">
        <f aca="false">ROUND(O961*Q961,2)</f>
        <v>160.65</v>
      </c>
      <c r="T961" s="30" t="n">
        <f aca="false">ROUND(R961*SUMIFS(Parametros!$E$23:$E$38,Parametros!$B$23:$B$38,J961,Parametros!$C$23:$C$38,C961,Parametros!$D$23:$D$38,D961),2)</f>
        <v>14.82</v>
      </c>
      <c r="U961" s="30" t="n">
        <f aca="false">R961-S961-T961</f>
        <v>133.23</v>
      </c>
    </row>
    <row r="962" customFormat="false" ht="15" hidden="false" customHeight="false" outlineLevel="0" collapsed="false">
      <c r="A962" s="0" t="n">
        <v>961</v>
      </c>
      <c r="B962" s="27" t="n">
        <v>45570</v>
      </c>
      <c r="C962" s="0" t="n">
        <v>2024</v>
      </c>
      <c r="D962" s="28" t="s">
        <v>122</v>
      </c>
      <c r="E962" s="0" t="n">
        <v>10</v>
      </c>
      <c r="F962" s="28" t="s">
        <v>123</v>
      </c>
      <c r="G962" s="28" t="s">
        <v>124</v>
      </c>
      <c r="H962" s="28" t="s">
        <v>100</v>
      </c>
      <c r="I962" s="28" t="s">
        <v>101</v>
      </c>
      <c r="J962" s="28" t="s">
        <v>66</v>
      </c>
      <c r="K962" s="28" t="s">
        <v>67</v>
      </c>
      <c r="L962" s="28" t="s">
        <v>68</v>
      </c>
      <c r="M962" s="28" t="s">
        <v>69</v>
      </c>
      <c r="N962" s="28" t="s">
        <v>70</v>
      </c>
      <c r="O962" s="29" t="n">
        <v>7</v>
      </c>
      <c r="P962" s="30" t="n">
        <v>1176</v>
      </c>
      <c r="Q962" s="30" t="n">
        <v>744</v>
      </c>
      <c r="R962" s="30" t="n">
        <f aca="false">ROUND(O962*P962,2)</f>
        <v>8232</v>
      </c>
      <c r="S962" s="30" t="n">
        <f aca="false">ROUND(O962*Q962,2)</f>
        <v>5208</v>
      </c>
      <c r="T962" s="30" t="n">
        <f aca="false">ROUND(R962*SUMIFS(Parametros!$E$23:$E$38,Parametros!$B$23:$B$38,J962,Parametros!$C$23:$C$38,C962,Parametros!$D$23:$D$38,D962),2)</f>
        <v>107.02</v>
      </c>
      <c r="U962" s="30" t="n">
        <f aca="false">R962-S962-T962</f>
        <v>2916.98</v>
      </c>
    </row>
    <row r="963" customFormat="false" ht="15" hidden="false" customHeight="false" outlineLevel="0" collapsed="false">
      <c r="A963" s="0" t="n">
        <v>962</v>
      </c>
      <c r="B963" s="27" t="n">
        <v>45577</v>
      </c>
      <c r="C963" s="0" t="n">
        <v>2024</v>
      </c>
      <c r="D963" s="28" t="s">
        <v>122</v>
      </c>
      <c r="E963" s="0" t="n">
        <v>10</v>
      </c>
      <c r="F963" s="28" t="s">
        <v>123</v>
      </c>
      <c r="G963" s="28" t="s">
        <v>124</v>
      </c>
      <c r="H963" s="28" t="s">
        <v>100</v>
      </c>
      <c r="I963" s="28" t="s">
        <v>101</v>
      </c>
      <c r="J963" s="28" t="s">
        <v>71</v>
      </c>
      <c r="K963" s="28" t="s">
        <v>67</v>
      </c>
      <c r="L963" s="28" t="s">
        <v>68</v>
      </c>
      <c r="M963" s="28" t="s">
        <v>69</v>
      </c>
      <c r="N963" s="28" t="s">
        <v>70</v>
      </c>
      <c r="O963" s="29" t="n">
        <v>2</v>
      </c>
      <c r="P963" s="30" t="n">
        <v>1176</v>
      </c>
      <c r="Q963" s="30" t="n">
        <v>744</v>
      </c>
      <c r="R963" s="30" t="n">
        <f aca="false">ROUND(O963*P963,2)</f>
        <v>2352</v>
      </c>
      <c r="S963" s="30" t="n">
        <f aca="false">ROUND(O963*Q963,2)</f>
        <v>1488</v>
      </c>
      <c r="T963" s="30" t="n">
        <f aca="false">ROUND(R963*SUMIFS(Parametros!$E$23:$E$38,Parametros!$B$23:$B$38,J963,Parametros!$C$23:$C$38,C963,Parametros!$D$23:$D$38,D963),2)</f>
        <v>112.9</v>
      </c>
      <c r="U963" s="30" t="n">
        <f aca="false">R963-S963-T963</f>
        <v>751.1</v>
      </c>
    </row>
    <row r="964" customFormat="false" ht="15" hidden="false" customHeight="false" outlineLevel="0" collapsed="false">
      <c r="A964" s="0" t="n">
        <v>963</v>
      </c>
      <c r="B964" s="27" t="n">
        <v>45584</v>
      </c>
      <c r="C964" s="0" t="n">
        <v>2024</v>
      </c>
      <c r="D964" s="28" t="s">
        <v>122</v>
      </c>
      <c r="E964" s="0" t="n">
        <v>10</v>
      </c>
      <c r="F964" s="28" t="s">
        <v>123</v>
      </c>
      <c r="G964" s="28" t="s">
        <v>124</v>
      </c>
      <c r="H964" s="28" t="s">
        <v>100</v>
      </c>
      <c r="I964" s="28" t="s">
        <v>101</v>
      </c>
      <c r="J964" s="28" t="s">
        <v>66</v>
      </c>
      <c r="K964" s="28" t="s">
        <v>67</v>
      </c>
      <c r="L964" s="28" t="s">
        <v>68</v>
      </c>
      <c r="M964" s="28" t="s">
        <v>72</v>
      </c>
      <c r="N964" s="28" t="s">
        <v>73</v>
      </c>
      <c r="O964" s="29" t="n">
        <v>6</v>
      </c>
      <c r="P964" s="30" t="n">
        <v>441</v>
      </c>
      <c r="Q964" s="30" t="n">
        <v>272.25</v>
      </c>
      <c r="R964" s="30" t="n">
        <f aca="false">ROUND(O964*P964,2)</f>
        <v>2646</v>
      </c>
      <c r="S964" s="30" t="n">
        <f aca="false">ROUND(O964*Q964,2)</f>
        <v>1633.5</v>
      </c>
      <c r="T964" s="30" t="n">
        <f aca="false">ROUND(R964*SUMIFS(Parametros!$E$23:$E$38,Parametros!$B$23:$B$38,J964,Parametros!$C$23:$C$38,C964,Parametros!$D$23:$D$38,D964),2)</f>
        <v>34.4</v>
      </c>
      <c r="U964" s="30" t="n">
        <f aca="false">R964-S964-T964</f>
        <v>978.1</v>
      </c>
    </row>
    <row r="965" customFormat="false" ht="15" hidden="false" customHeight="false" outlineLevel="0" collapsed="false">
      <c r="A965" s="0" t="n">
        <v>964</v>
      </c>
      <c r="B965" s="27" t="n">
        <v>45591</v>
      </c>
      <c r="C965" s="0" t="n">
        <v>2024</v>
      </c>
      <c r="D965" s="28" t="s">
        <v>122</v>
      </c>
      <c r="E965" s="0" t="n">
        <v>10</v>
      </c>
      <c r="F965" s="28" t="s">
        <v>123</v>
      </c>
      <c r="G965" s="28" t="s">
        <v>124</v>
      </c>
      <c r="H965" s="28" t="s">
        <v>100</v>
      </c>
      <c r="I965" s="28" t="s">
        <v>101</v>
      </c>
      <c r="J965" s="28" t="s">
        <v>71</v>
      </c>
      <c r="K965" s="28" t="s">
        <v>67</v>
      </c>
      <c r="L965" s="28" t="s">
        <v>68</v>
      </c>
      <c r="M965" s="28" t="s">
        <v>72</v>
      </c>
      <c r="N965" s="28" t="s">
        <v>73</v>
      </c>
      <c r="O965" s="29" t="n">
        <v>3</v>
      </c>
      <c r="P965" s="30" t="n">
        <v>441</v>
      </c>
      <c r="Q965" s="30" t="n">
        <v>272.25</v>
      </c>
      <c r="R965" s="30" t="n">
        <f aca="false">ROUND(O965*P965,2)</f>
        <v>1323</v>
      </c>
      <c r="S965" s="30" t="n">
        <f aca="false">ROUND(O965*Q965,2)</f>
        <v>816.75</v>
      </c>
      <c r="T965" s="30" t="n">
        <f aca="false">ROUND(R965*SUMIFS(Parametros!$E$23:$E$38,Parametros!$B$23:$B$38,J965,Parametros!$C$23:$C$38,C965,Parametros!$D$23:$D$38,D965),2)</f>
        <v>63.5</v>
      </c>
      <c r="U965" s="30" t="n">
        <f aca="false">R965-S965-T965</f>
        <v>442.75</v>
      </c>
    </row>
    <row r="966" customFormat="false" ht="15" hidden="false" customHeight="false" outlineLevel="0" collapsed="false">
      <c r="A966" s="0" t="n">
        <v>965</v>
      </c>
      <c r="B966" s="27" t="n">
        <v>45571</v>
      </c>
      <c r="C966" s="0" t="n">
        <v>2024</v>
      </c>
      <c r="D966" s="28" t="s">
        <v>122</v>
      </c>
      <c r="E966" s="0" t="n">
        <v>10</v>
      </c>
      <c r="F966" s="28" t="s">
        <v>123</v>
      </c>
      <c r="G966" s="28" t="s">
        <v>124</v>
      </c>
      <c r="H966" s="28" t="s">
        <v>100</v>
      </c>
      <c r="I966" s="28" t="s">
        <v>101</v>
      </c>
      <c r="J966" s="28" t="s">
        <v>66</v>
      </c>
      <c r="K966" s="28" t="s">
        <v>67</v>
      </c>
      <c r="L966" s="28" t="s">
        <v>68</v>
      </c>
      <c r="M966" s="28" t="s">
        <v>74</v>
      </c>
      <c r="N966" s="28" t="s">
        <v>75</v>
      </c>
      <c r="O966" s="29" t="n">
        <v>8</v>
      </c>
      <c r="P966" s="30" t="n">
        <v>1617</v>
      </c>
      <c r="Q966" s="30" t="n">
        <v>1122</v>
      </c>
      <c r="R966" s="30" t="n">
        <f aca="false">ROUND(O966*P966,2)</f>
        <v>12936</v>
      </c>
      <c r="S966" s="30" t="n">
        <f aca="false">ROUND(O966*Q966,2)</f>
        <v>8976</v>
      </c>
      <c r="T966" s="30" t="n">
        <f aca="false">ROUND(R966*SUMIFS(Parametros!$E$23:$E$38,Parametros!$B$23:$B$38,J966,Parametros!$C$23:$C$38,C966,Parametros!$D$23:$D$38,D966),2)</f>
        <v>168.17</v>
      </c>
      <c r="U966" s="30" t="n">
        <f aca="false">R966-S966-T966</f>
        <v>3791.83</v>
      </c>
    </row>
    <row r="967" customFormat="false" ht="15" hidden="false" customHeight="false" outlineLevel="0" collapsed="false">
      <c r="A967" s="0" t="n">
        <v>966</v>
      </c>
      <c r="B967" s="27" t="n">
        <v>45578</v>
      </c>
      <c r="C967" s="0" t="n">
        <v>2024</v>
      </c>
      <c r="D967" s="28" t="s">
        <v>122</v>
      </c>
      <c r="E967" s="0" t="n">
        <v>10</v>
      </c>
      <c r="F967" s="28" t="s">
        <v>123</v>
      </c>
      <c r="G967" s="28" t="s">
        <v>124</v>
      </c>
      <c r="H967" s="28" t="s">
        <v>100</v>
      </c>
      <c r="I967" s="28" t="s">
        <v>101</v>
      </c>
      <c r="J967" s="28" t="s">
        <v>71</v>
      </c>
      <c r="K967" s="28" t="s">
        <v>67</v>
      </c>
      <c r="L967" s="28" t="s">
        <v>68</v>
      </c>
      <c r="M967" s="28" t="s">
        <v>74</v>
      </c>
      <c r="N967" s="28" t="s">
        <v>75</v>
      </c>
      <c r="O967" s="29" t="n">
        <v>3</v>
      </c>
      <c r="P967" s="30" t="n">
        <v>1617</v>
      </c>
      <c r="Q967" s="30" t="n">
        <v>1122</v>
      </c>
      <c r="R967" s="30" t="n">
        <f aca="false">ROUND(O967*P967,2)</f>
        <v>4851</v>
      </c>
      <c r="S967" s="30" t="n">
        <f aca="false">ROUND(O967*Q967,2)</f>
        <v>3366</v>
      </c>
      <c r="T967" s="30" t="n">
        <f aca="false">ROUND(R967*SUMIFS(Parametros!$E$23:$E$38,Parametros!$B$23:$B$38,J967,Parametros!$C$23:$C$38,C967,Parametros!$D$23:$D$38,D967),2)</f>
        <v>232.85</v>
      </c>
      <c r="U967" s="30" t="n">
        <f aca="false">R967-S967-T967</f>
        <v>1252.15</v>
      </c>
    </row>
    <row r="968" customFormat="false" ht="15" hidden="false" customHeight="false" outlineLevel="0" collapsed="false">
      <c r="A968" s="0" t="n">
        <v>967</v>
      </c>
      <c r="B968" s="27" t="n">
        <v>45585</v>
      </c>
      <c r="C968" s="0" t="n">
        <v>2024</v>
      </c>
      <c r="D968" s="28" t="s">
        <v>122</v>
      </c>
      <c r="E968" s="0" t="n">
        <v>10</v>
      </c>
      <c r="F968" s="28" t="s">
        <v>123</v>
      </c>
      <c r="G968" s="28" t="s">
        <v>124</v>
      </c>
      <c r="H968" s="28" t="s">
        <v>100</v>
      </c>
      <c r="I968" s="28" t="s">
        <v>101</v>
      </c>
      <c r="J968" s="28" t="s">
        <v>66</v>
      </c>
      <c r="K968" s="28" t="s">
        <v>76</v>
      </c>
      <c r="L968" s="28" t="s">
        <v>77</v>
      </c>
      <c r="M968" s="28" t="s">
        <v>78</v>
      </c>
      <c r="N968" s="28" t="s">
        <v>79</v>
      </c>
      <c r="O968" s="29" t="n">
        <v>32</v>
      </c>
      <c r="P968" s="30" t="n">
        <v>27.44</v>
      </c>
      <c r="Q968" s="30" t="n">
        <v>13.44</v>
      </c>
      <c r="R968" s="30" t="n">
        <f aca="false">ROUND(O968*P968,2)</f>
        <v>878.08</v>
      </c>
      <c r="S968" s="30" t="n">
        <f aca="false">ROUND(O968*Q968,2)</f>
        <v>430.08</v>
      </c>
      <c r="T968" s="30" t="n">
        <f aca="false">ROUND(R968*SUMIFS(Parametros!$E$23:$E$38,Parametros!$B$23:$B$38,J968,Parametros!$C$23:$C$38,C968,Parametros!$D$23:$D$38,D968),2)</f>
        <v>11.42</v>
      </c>
      <c r="U968" s="30" t="n">
        <f aca="false">R968-S968-T968</f>
        <v>436.58</v>
      </c>
    </row>
    <row r="969" customFormat="false" ht="15" hidden="false" customHeight="false" outlineLevel="0" collapsed="false">
      <c r="A969" s="0" t="n">
        <v>968</v>
      </c>
      <c r="B969" s="27" t="n">
        <v>45592</v>
      </c>
      <c r="C969" s="0" t="n">
        <v>2024</v>
      </c>
      <c r="D969" s="28" t="s">
        <v>122</v>
      </c>
      <c r="E969" s="0" t="n">
        <v>10</v>
      </c>
      <c r="F969" s="28" t="s">
        <v>123</v>
      </c>
      <c r="G969" s="28" t="s">
        <v>124</v>
      </c>
      <c r="H969" s="28" t="s">
        <v>100</v>
      </c>
      <c r="I969" s="28" t="s">
        <v>101</v>
      </c>
      <c r="J969" s="28" t="s">
        <v>71</v>
      </c>
      <c r="K969" s="28" t="s">
        <v>76</v>
      </c>
      <c r="L969" s="28" t="s">
        <v>77</v>
      </c>
      <c r="M969" s="28" t="s">
        <v>78</v>
      </c>
      <c r="N969" s="28" t="s">
        <v>79</v>
      </c>
      <c r="O969" s="29" t="n">
        <v>11</v>
      </c>
      <c r="P969" s="30" t="n">
        <v>27.44</v>
      </c>
      <c r="Q969" s="30" t="n">
        <v>13.44</v>
      </c>
      <c r="R969" s="30" t="n">
        <f aca="false">ROUND(O969*P969,2)</f>
        <v>301.84</v>
      </c>
      <c r="S969" s="30" t="n">
        <f aca="false">ROUND(O969*Q969,2)</f>
        <v>147.84</v>
      </c>
      <c r="T969" s="30" t="n">
        <f aca="false">ROUND(R969*SUMIFS(Parametros!$E$23:$E$38,Parametros!$B$23:$B$38,J969,Parametros!$C$23:$C$38,C969,Parametros!$D$23:$D$38,D969),2)</f>
        <v>14.49</v>
      </c>
      <c r="U969" s="30" t="n">
        <f aca="false">R969-S969-T969</f>
        <v>139.51</v>
      </c>
    </row>
    <row r="970" customFormat="false" ht="15" hidden="false" customHeight="false" outlineLevel="0" collapsed="false">
      <c r="A970" s="0" t="n">
        <v>969</v>
      </c>
      <c r="B970" s="27" t="n">
        <v>45572</v>
      </c>
      <c r="C970" s="0" t="n">
        <v>2024</v>
      </c>
      <c r="D970" s="28" t="s">
        <v>122</v>
      </c>
      <c r="E970" s="0" t="n">
        <v>10</v>
      </c>
      <c r="F970" s="28" t="s">
        <v>123</v>
      </c>
      <c r="G970" s="28" t="s">
        <v>124</v>
      </c>
      <c r="H970" s="28" t="s">
        <v>100</v>
      </c>
      <c r="I970" s="28" t="s">
        <v>101</v>
      </c>
      <c r="J970" s="28" t="s">
        <v>66</v>
      </c>
      <c r="K970" s="28" t="s">
        <v>76</v>
      </c>
      <c r="L970" s="28" t="s">
        <v>77</v>
      </c>
      <c r="M970" s="28" t="s">
        <v>80</v>
      </c>
      <c r="N970" s="28" t="s">
        <v>81</v>
      </c>
      <c r="O970" s="29" t="n">
        <v>34</v>
      </c>
      <c r="P970" s="30" t="n">
        <v>93.1</v>
      </c>
      <c r="Q970" s="30" t="n">
        <v>47.98</v>
      </c>
      <c r="R970" s="30" t="n">
        <f aca="false">ROUND(O970*P970,2)</f>
        <v>3165.4</v>
      </c>
      <c r="S970" s="30" t="n">
        <f aca="false">ROUND(O970*Q970,2)</f>
        <v>1631.32</v>
      </c>
      <c r="T970" s="30" t="n">
        <f aca="false">ROUND(R970*SUMIFS(Parametros!$E$23:$E$38,Parametros!$B$23:$B$38,J970,Parametros!$C$23:$C$38,C970,Parametros!$D$23:$D$38,D970),2)</f>
        <v>41.15</v>
      </c>
      <c r="U970" s="30" t="n">
        <f aca="false">R970-S970-T970</f>
        <v>1492.93</v>
      </c>
    </row>
    <row r="971" customFormat="false" ht="15" hidden="false" customHeight="false" outlineLevel="0" collapsed="false">
      <c r="A971" s="0" t="n">
        <v>970</v>
      </c>
      <c r="B971" s="27" t="n">
        <v>45579</v>
      </c>
      <c r="C971" s="0" t="n">
        <v>2024</v>
      </c>
      <c r="D971" s="28" t="s">
        <v>122</v>
      </c>
      <c r="E971" s="0" t="n">
        <v>10</v>
      </c>
      <c r="F971" s="28" t="s">
        <v>123</v>
      </c>
      <c r="G971" s="28" t="s">
        <v>124</v>
      </c>
      <c r="H971" s="28" t="s">
        <v>100</v>
      </c>
      <c r="I971" s="28" t="s">
        <v>101</v>
      </c>
      <c r="J971" s="28" t="s">
        <v>71</v>
      </c>
      <c r="K971" s="28" t="s">
        <v>76</v>
      </c>
      <c r="L971" s="28" t="s">
        <v>77</v>
      </c>
      <c r="M971" s="28" t="s">
        <v>80</v>
      </c>
      <c r="N971" s="28" t="s">
        <v>81</v>
      </c>
      <c r="O971" s="29" t="n">
        <v>13</v>
      </c>
      <c r="P971" s="30" t="n">
        <v>93.1</v>
      </c>
      <c r="Q971" s="30" t="n">
        <v>47.98</v>
      </c>
      <c r="R971" s="30" t="n">
        <f aca="false">ROUND(O971*P971,2)</f>
        <v>1210.3</v>
      </c>
      <c r="S971" s="30" t="n">
        <f aca="false">ROUND(O971*Q971,2)</f>
        <v>623.74</v>
      </c>
      <c r="T971" s="30" t="n">
        <f aca="false">ROUND(R971*SUMIFS(Parametros!$E$23:$E$38,Parametros!$B$23:$B$38,J971,Parametros!$C$23:$C$38,C971,Parametros!$D$23:$D$38,D971),2)</f>
        <v>58.09</v>
      </c>
      <c r="U971" s="30" t="n">
        <f aca="false">R971-S971-T971</f>
        <v>528.47</v>
      </c>
    </row>
    <row r="972" customFormat="false" ht="15" hidden="false" customHeight="false" outlineLevel="0" collapsed="false">
      <c r="A972" s="0" t="n">
        <v>971</v>
      </c>
      <c r="B972" s="27" t="n">
        <v>45586</v>
      </c>
      <c r="C972" s="0" t="n">
        <v>2024</v>
      </c>
      <c r="D972" s="28" t="s">
        <v>122</v>
      </c>
      <c r="E972" s="0" t="n">
        <v>10</v>
      </c>
      <c r="F972" s="28" t="s">
        <v>123</v>
      </c>
      <c r="G972" s="28" t="s">
        <v>124</v>
      </c>
      <c r="H972" s="28" t="s">
        <v>100</v>
      </c>
      <c r="I972" s="28" t="s">
        <v>101</v>
      </c>
      <c r="J972" s="28" t="s">
        <v>66</v>
      </c>
      <c r="K972" s="28" t="s">
        <v>76</v>
      </c>
      <c r="L972" s="28" t="s">
        <v>77</v>
      </c>
      <c r="M972" s="28" t="s">
        <v>82</v>
      </c>
      <c r="N972" s="28" t="s">
        <v>83</v>
      </c>
      <c r="O972" s="29" t="n">
        <v>34</v>
      </c>
      <c r="P972" s="30" t="n">
        <v>63.7</v>
      </c>
      <c r="Q972" s="30" t="n">
        <v>35.43</v>
      </c>
      <c r="R972" s="30" t="n">
        <f aca="false">ROUND(O972*P972,2)</f>
        <v>2165.8</v>
      </c>
      <c r="S972" s="30" t="n">
        <f aca="false">ROUND(O972*Q972,2)</f>
        <v>1204.62</v>
      </c>
      <c r="T972" s="30" t="n">
        <f aca="false">ROUND(R972*SUMIFS(Parametros!$E$23:$E$38,Parametros!$B$23:$B$38,J972,Parametros!$C$23:$C$38,C972,Parametros!$D$23:$D$38,D972),2)</f>
        <v>28.16</v>
      </c>
      <c r="U972" s="30" t="n">
        <f aca="false">R972-S972-T972</f>
        <v>933.02</v>
      </c>
    </row>
    <row r="973" customFormat="false" ht="15" hidden="false" customHeight="false" outlineLevel="0" collapsed="false">
      <c r="A973" s="0" t="n">
        <v>972</v>
      </c>
      <c r="B973" s="27" t="n">
        <v>45566</v>
      </c>
      <c r="C973" s="0" t="n">
        <v>2024</v>
      </c>
      <c r="D973" s="28" t="s">
        <v>122</v>
      </c>
      <c r="E973" s="0" t="n">
        <v>10</v>
      </c>
      <c r="F973" s="28" t="s">
        <v>123</v>
      </c>
      <c r="G973" s="28" t="s">
        <v>124</v>
      </c>
      <c r="H973" s="28" t="s">
        <v>100</v>
      </c>
      <c r="I973" s="28" t="s">
        <v>101</v>
      </c>
      <c r="J973" s="28" t="s">
        <v>71</v>
      </c>
      <c r="K973" s="28" t="s">
        <v>76</v>
      </c>
      <c r="L973" s="28" t="s">
        <v>77</v>
      </c>
      <c r="M973" s="28" t="s">
        <v>82</v>
      </c>
      <c r="N973" s="28" t="s">
        <v>83</v>
      </c>
      <c r="O973" s="29" t="n">
        <v>13</v>
      </c>
      <c r="P973" s="30" t="n">
        <v>63.7</v>
      </c>
      <c r="Q973" s="30" t="n">
        <v>35.43</v>
      </c>
      <c r="R973" s="30" t="n">
        <f aca="false">ROUND(O973*P973,2)</f>
        <v>828.1</v>
      </c>
      <c r="S973" s="30" t="n">
        <f aca="false">ROUND(O973*Q973,2)</f>
        <v>460.59</v>
      </c>
      <c r="T973" s="30" t="n">
        <f aca="false">ROUND(R973*SUMIFS(Parametros!$E$23:$E$38,Parametros!$B$23:$B$38,J973,Parametros!$C$23:$C$38,C973,Parametros!$D$23:$D$38,D973),2)</f>
        <v>39.75</v>
      </c>
      <c r="U973" s="30" t="n">
        <f aca="false">R973-S973-T973</f>
        <v>327.76</v>
      </c>
    </row>
    <row r="974" customFormat="false" ht="15" hidden="false" customHeight="false" outlineLevel="0" collapsed="false">
      <c r="A974" s="0" t="n">
        <v>973</v>
      </c>
      <c r="B974" s="27" t="n">
        <v>45573</v>
      </c>
      <c r="C974" s="0" t="n">
        <v>2024</v>
      </c>
      <c r="D974" s="28" t="s">
        <v>122</v>
      </c>
      <c r="E974" s="0" t="n">
        <v>10</v>
      </c>
      <c r="F974" s="28" t="s">
        <v>123</v>
      </c>
      <c r="G974" s="28" t="s">
        <v>124</v>
      </c>
      <c r="H974" s="28" t="s">
        <v>100</v>
      </c>
      <c r="I974" s="28" t="s">
        <v>101</v>
      </c>
      <c r="J974" s="28" t="s">
        <v>66</v>
      </c>
      <c r="K974" s="28" t="s">
        <v>84</v>
      </c>
      <c r="L974" s="28" t="s">
        <v>85</v>
      </c>
      <c r="M974" s="28" t="s">
        <v>86</v>
      </c>
      <c r="N974" s="28" t="s">
        <v>87</v>
      </c>
      <c r="O974" s="29" t="n">
        <v>13</v>
      </c>
      <c r="P974" s="30" t="n">
        <v>117.6</v>
      </c>
      <c r="Q974" s="30" t="n">
        <v>63.6</v>
      </c>
      <c r="R974" s="30" t="n">
        <f aca="false">ROUND(O974*P974,2)</f>
        <v>1528.8</v>
      </c>
      <c r="S974" s="30" t="n">
        <f aca="false">ROUND(O974*Q974,2)</f>
        <v>826.8</v>
      </c>
      <c r="T974" s="30" t="n">
        <f aca="false">ROUND(R974*SUMIFS(Parametros!$E$23:$E$38,Parametros!$B$23:$B$38,J974,Parametros!$C$23:$C$38,C974,Parametros!$D$23:$D$38,D974),2)</f>
        <v>19.87</v>
      </c>
      <c r="U974" s="30" t="n">
        <f aca="false">R974-S974-T974</f>
        <v>682.13</v>
      </c>
    </row>
    <row r="975" customFormat="false" ht="15" hidden="false" customHeight="false" outlineLevel="0" collapsed="false">
      <c r="A975" s="0" t="n">
        <v>974</v>
      </c>
      <c r="B975" s="27" t="n">
        <v>45580</v>
      </c>
      <c r="C975" s="0" t="n">
        <v>2024</v>
      </c>
      <c r="D975" s="28" t="s">
        <v>122</v>
      </c>
      <c r="E975" s="0" t="n">
        <v>10</v>
      </c>
      <c r="F975" s="28" t="s">
        <v>123</v>
      </c>
      <c r="G975" s="28" t="s">
        <v>124</v>
      </c>
      <c r="H975" s="28" t="s">
        <v>100</v>
      </c>
      <c r="I975" s="28" t="s">
        <v>101</v>
      </c>
      <c r="J975" s="28" t="s">
        <v>71</v>
      </c>
      <c r="K975" s="28" t="s">
        <v>84</v>
      </c>
      <c r="L975" s="28" t="s">
        <v>85</v>
      </c>
      <c r="M975" s="28" t="s">
        <v>86</v>
      </c>
      <c r="N975" s="28" t="s">
        <v>87</v>
      </c>
      <c r="O975" s="29" t="n">
        <v>6</v>
      </c>
      <c r="P975" s="30" t="n">
        <v>117.6</v>
      </c>
      <c r="Q975" s="30" t="n">
        <v>63.6</v>
      </c>
      <c r="R975" s="30" t="n">
        <f aca="false">ROUND(O975*P975,2)</f>
        <v>705.6</v>
      </c>
      <c r="S975" s="30" t="n">
        <f aca="false">ROUND(O975*Q975,2)</f>
        <v>381.6</v>
      </c>
      <c r="T975" s="30" t="n">
        <f aca="false">ROUND(R975*SUMIFS(Parametros!$E$23:$E$38,Parametros!$B$23:$B$38,J975,Parametros!$C$23:$C$38,C975,Parametros!$D$23:$D$38,D975),2)</f>
        <v>33.87</v>
      </c>
      <c r="U975" s="30" t="n">
        <f aca="false">R975-S975-T975</f>
        <v>290.13</v>
      </c>
    </row>
    <row r="976" customFormat="false" ht="15" hidden="false" customHeight="false" outlineLevel="0" collapsed="false">
      <c r="A976" s="0" t="n">
        <v>975</v>
      </c>
      <c r="B976" s="27" t="n">
        <v>45587</v>
      </c>
      <c r="C976" s="0" t="n">
        <v>2024</v>
      </c>
      <c r="D976" s="28" t="s">
        <v>122</v>
      </c>
      <c r="E976" s="0" t="n">
        <v>10</v>
      </c>
      <c r="F976" s="28" t="s">
        <v>123</v>
      </c>
      <c r="G976" s="28" t="s">
        <v>124</v>
      </c>
      <c r="H976" s="28" t="s">
        <v>100</v>
      </c>
      <c r="I976" s="28" t="s">
        <v>101</v>
      </c>
      <c r="J976" s="28" t="s">
        <v>66</v>
      </c>
      <c r="K976" s="28" t="s">
        <v>84</v>
      </c>
      <c r="L976" s="28" t="s">
        <v>85</v>
      </c>
      <c r="M976" s="28" t="s">
        <v>88</v>
      </c>
      <c r="N976" s="28" t="s">
        <v>89</v>
      </c>
      <c r="O976" s="29" t="n">
        <v>14</v>
      </c>
      <c r="P976" s="30" t="n">
        <v>83.3</v>
      </c>
      <c r="Q976" s="30" t="n">
        <v>48.02</v>
      </c>
      <c r="R976" s="30" t="n">
        <f aca="false">ROUND(O976*P976,2)</f>
        <v>1166.2</v>
      </c>
      <c r="S976" s="30" t="n">
        <f aca="false">ROUND(O976*Q976,2)</f>
        <v>672.28</v>
      </c>
      <c r="T976" s="30" t="n">
        <f aca="false">ROUND(R976*SUMIFS(Parametros!$E$23:$E$38,Parametros!$B$23:$B$38,J976,Parametros!$C$23:$C$38,C976,Parametros!$D$23:$D$38,D976),2)</f>
        <v>15.16</v>
      </c>
      <c r="U976" s="30" t="n">
        <f aca="false">R976-S976-T976</f>
        <v>478.76</v>
      </c>
    </row>
    <row r="977" customFormat="false" ht="15" hidden="false" customHeight="false" outlineLevel="0" collapsed="false">
      <c r="A977" s="0" t="n">
        <v>976</v>
      </c>
      <c r="B977" s="27" t="n">
        <v>45567</v>
      </c>
      <c r="C977" s="0" t="n">
        <v>2024</v>
      </c>
      <c r="D977" s="28" t="s">
        <v>122</v>
      </c>
      <c r="E977" s="0" t="n">
        <v>10</v>
      </c>
      <c r="F977" s="28" t="s">
        <v>123</v>
      </c>
      <c r="G977" s="28" t="s">
        <v>124</v>
      </c>
      <c r="H977" s="28" t="s">
        <v>100</v>
      </c>
      <c r="I977" s="28" t="s">
        <v>101</v>
      </c>
      <c r="J977" s="28" t="s">
        <v>71</v>
      </c>
      <c r="K977" s="28" t="s">
        <v>84</v>
      </c>
      <c r="L977" s="28" t="s">
        <v>85</v>
      </c>
      <c r="M977" s="28" t="s">
        <v>88</v>
      </c>
      <c r="N977" s="28" t="s">
        <v>89</v>
      </c>
      <c r="O977" s="29" t="n">
        <v>5</v>
      </c>
      <c r="P977" s="30" t="n">
        <v>83.3</v>
      </c>
      <c r="Q977" s="30" t="n">
        <v>48.02</v>
      </c>
      <c r="R977" s="30" t="n">
        <f aca="false">ROUND(O977*P977,2)</f>
        <v>416.5</v>
      </c>
      <c r="S977" s="30" t="n">
        <f aca="false">ROUND(O977*Q977,2)</f>
        <v>240.1</v>
      </c>
      <c r="T977" s="30" t="n">
        <f aca="false">ROUND(R977*SUMIFS(Parametros!$E$23:$E$38,Parametros!$B$23:$B$38,J977,Parametros!$C$23:$C$38,C977,Parametros!$D$23:$D$38,D977),2)</f>
        <v>19.99</v>
      </c>
      <c r="U977" s="30" t="n">
        <f aca="false">R977-S977-T977</f>
        <v>156.41</v>
      </c>
    </row>
    <row r="978" customFormat="false" ht="15" hidden="false" customHeight="false" outlineLevel="0" collapsed="false">
      <c r="A978" s="0" t="n">
        <v>977</v>
      </c>
      <c r="B978" s="27" t="n">
        <v>45574</v>
      </c>
      <c r="C978" s="0" t="n">
        <v>2024</v>
      </c>
      <c r="D978" s="28" t="s">
        <v>122</v>
      </c>
      <c r="E978" s="0" t="n">
        <v>10</v>
      </c>
      <c r="F978" s="28" t="s">
        <v>123</v>
      </c>
      <c r="G978" s="28" t="s">
        <v>124</v>
      </c>
      <c r="H978" s="28" t="s">
        <v>100</v>
      </c>
      <c r="I978" s="28" t="s">
        <v>101</v>
      </c>
      <c r="J978" s="28" t="s">
        <v>66</v>
      </c>
      <c r="K978" s="28" t="s">
        <v>90</v>
      </c>
      <c r="L978" s="28" t="s">
        <v>91</v>
      </c>
      <c r="M978" s="28" t="s">
        <v>92</v>
      </c>
      <c r="N978" s="28" t="s">
        <v>93</v>
      </c>
      <c r="O978" s="29" t="n">
        <v>22</v>
      </c>
      <c r="P978" s="30" t="n">
        <v>127.4</v>
      </c>
      <c r="Q978" s="30" t="n">
        <v>76.05</v>
      </c>
      <c r="R978" s="30" t="n">
        <f aca="false">ROUND(O978*P978,2)</f>
        <v>2802.8</v>
      </c>
      <c r="S978" s="30" t="n">
        <f aca="false">ROUND(O978*Q978,2)</f>
        <v>1673.1</v>
      </c>
      <c r="T978" s="30" t="n">
        <f aca="false">ROUND(R978*SUMIFS(Parametros!$E$23:$E$38,Parametros!$B$23:$B$38,J978,Parametros!$C$23:$C$38,C978,Parametros!$D$23:$D$38,D978),2)</f>
        <v>36.44</v>
      </c>
      <c r="U978" s="30" t="n">
        <f aca="false">R978-S978-T978</f>
        <v>1093.26</v>
      </c>
    </row>
    <row r="979" customFormat="false" ht="15" hidden="false" customHeight="false" outlineLevel="0" collapsed="false">
      <c r="A979" s="0" t="n">
        <v>978</v>
      </c>
      <c r="B979" s="27" t="n">
        <v>45581</v>
      </c>
      <c r="C979" s="0" t="n">
        <v>2024</v>
      </c>
      <c r="D979" s="28" t="s">
        <v>122</v>
      </c>
      <c r="E979" s="0" t="n">
        <v>10</v>
      </c>
      <c r="F979" s="28" t="s">
        <v>123</v>
      </c>
      <c r="G979" s="28" t="s">
        <v>124</v>
      </c>
      <c r="H979" s="28" t="s">
        <v>100</v>
      </c>
      <c r="I979" s="28" t="s">
        <v>101</v>
      </c>
      <c r="J979" s="28" t="s">
        <v>71</v>
      </c>
      <c r="K979" s="28" t="s">
        <v>90</v>
      </c>
      <c r="L979" s="28" t="s">
        <v>91</v>
      </c>
      <c r="M979" s="28" t="s">
        <v>92</v>
      </c>
      <c r="N979" s="28" t="s">
        <v>93</v>
      </c>
      <c r="O979" s="29" t="n">
        <v>7</v>
      </c>
      <c r="P979" s="30" t="n">
        <v>127.4</v>
      </c>
      <c r="Q979" s="30" t="n">
        <v>76.05</v>
      </c>
      <c r="R979" s="30" t="n">
        <f aca="false">ROUND(O979*P979,2)</f>
        <v>891.8</v>
      </c>
      <c r="S979" s="30" t="n">
        <f aca="false">ROUND(O979*Q979,2)</f>
        <v>532.35</v>
      </c>
      <c r="T979" s="30" t="n">
        <f aca="false">ROUND(R979*SUMIFS(Parametros!$E$23:$E$38,Parametros!$B$23:$B$38,J979,Parametros!$C$23:$C$38,C979,Parametros!$D$23:$D$38,D979),2)</f>
        <v>42.81</v>
      </c>
      <c r="U979" s="30" t="n">
        <f aca="false">R979-S979-T979</f>
        <v>316.64</v>
      </c>
    </row>
    <row r="980" customFormat="false" ht="15" hidden="false" customHeight="false" outlineLevel="0" collapsed="false">
      <c r="A980" s="0" t="n">
        <v>979</v>
      </c>
      <c r="B980" s="27" t="n">
        <v>45588</v>
      </c>
      <c r="C980" s="0" t="n">
        <v>2024</v>
      </c>
      <c r="D980" s="28" t="s">
        <v>122</v>
      </c>
      <c r="E980" s="0" t="n">
        <v>10</v>
      </c>
      <c r="F980" s="28" t="s">
        <v>123</v>
      </c>
      <c r="G980" s="28" t="s">
        <v>124</v>
      </c>
      <c r="H980" s="28" t="s">
        <v>100</v>
      </c>
      <c r="I980" s="28" t="s">
        <v>101</v>
      </c>
      <c r="J980" s="28" t="s">
        <v>66</v>
      </c>
      <c r="K980" s="28" t="s">
        <v>90</v>
      </c>
      <c r="L980" s="28" t="s">
        <v>91</v>
      </c>
      <c r="M980" s="28" t="s">
        <v>94</v>
      </c>
      <c r="N980" s="28" t="s">
        <v>95</v>
      </c>
      <c r="O980" s="29" t="n">
        <v>21</v>
      </c>
      <c r="P980" s="30" t="n">
        <v>34.3</v>
      </c>
      <c r="Q980" s="30" t="n">
        <v>17.85</v>
      </c>
      <c r="R980" s="30" t="n">
        <f aca="false">ROUND(O980*P980,2)</f>
        <v>720.3</v>
      </c>
      <c r="S980" s="30" t="n">
        <f aca="false">ROUND(O980*Q980,2)</f>
        <v>374.85</v>
      </c>
      <c r="T980" s="30" t="n">
        <f aca="false">ROUND(R980*SUMIFS(Parametros!$E$23:$E$38,Parametros!$B$23:$B$38,J980,Parametros!$C$23:$C$38,C980,Parametros!$D$23:$D$38,D980),2)</f>
        <v>9.36</v>
      </c>
      <c r="U980" s="30" t="n">
        <f aca="false">R980-S980-T980</f>
        <v>336.09</v>
      </c>
    </row>
    <row r="981" customFormat="false" ht="15" hidden="false" customHeight="false" outlineLevel="0" collapsed="false">
      <c r="A981" s="0" t="n">
        <v>980</v>
      </c>
      <c r="B981" s="27" t="n">
        <v>45568</v>
      </c>
      <c r="C981" s="0" t="n">
        <v>2024</v>
      </c>
      <c r="D981" s="28" t="s">
        <v>122</v>
      </c>
      <c r="E981" s="0" t="n">
        <v>10</v>
      </c>
      <c r="F981" s="28" t="s">
        <v>123</v>
      </c>
      <c r="G981" s="28" t="s">
        <v>124</v>
      </c>
      <c r="H981" s="28" t="s">
        <v>100</v>
      </c>
      <c r="I981" s="28" t="s">
        <v>101</v>
      </c>
      <c r="J981" s="28" t="s">
        <v>71</v>
      </c>
      <c r="K981" s="28" t="s">
        <v>90</v>
      </c>
      <c r="L981" s="28" t="s">
        <v>91</v>
      </c>
      <c r="M981" s="28" t="s">
        <v>94</v>
      </c>
      <c r="N981" s="28" t="s">
        <v>95</v>
      </c>
      <c r="O981" s="29" t="n">
        <v>8</v>
      </c>
      <c r="P981" s="30" t="n">
        <v>34.3</v>
      </c>
      <c r="Q981" s="30" t="n">
        <v>17.85</v>
      </c>
      <c r="R981" s="30" t="n">
        <f aca="false">ROUND(O981*P981,2)</f>
        <v>274.4</v>
      </c>
      <c r="S981" s="30" t="n">
        <f aca="false">ROUND(O981*Q981,2)</f>
        <v>142.8</v>
      </c>
      <c r="T981" s="30" t="n">
        <f aca="false">ROUND(R981*SUMIFS(Parametros!$E$23:$E$38,Parametros!$B$23:$B$38,J981,Parametros!$C$23:$C$38,C981,Parametros!$D$23:$D$38,D981),2)</f>
        <v>13.17</v>
      </c>
      <c r="U981" s="30" t="n">
        <f aca="false">R981-S981-T981</f>
        <v>118.43</v>
      </c>
    </row>
    <row r="982" customFormat="false" ht="15" hidden="false" customHeight="false" outlineLevel="0" collapsed="false">
      <c r="A982" s="0" t="n">
        <v>981</v>
      </c>
      <c r="B982" s="27" t="n">
        <v>45575</v>
      </c>
      <c r="C982" s="0" t="n">
        <v>2024</v>
      </c>
      <c r="D982" s="28" t="s">
        <v>122</v>
      </c>
      <c r="E982" s="0" t="n">
        <v>10</v>
      </c>
      <c r="F982" s="28" t="s">
        <v>123</v>
      </c>
      <c r="G982" s="28" t="s">
        <v>124</v>
      </c>
      <c r="H982" s="28" t="s">
        <v>102</v>
      </c>
      <c r="I982" s="28" t="s">
        <v>103</v>
      </c>
      <c r="J982" s="28" t="s">
        <v>66</v>
      </c>
      <c r="K982" s="28" t="s">
        <v>67</v>
      </c>
      <c r="L982" s="28" t="s">
        <v>68</v>
      </c>
      <c r="M982" s="28" t="s">
        <v>69</v>
      </c>
      <c r="N982" s="28" t="s">
        <v>70</v>
      </c>
      <c r="O982" s="29" t="n">
        <v>8</v>
      </c>
      <c r="P982" s="30" t="n">
        <v>1176</v>
      </c>
      <c r="Q982" s="30" t="n">
        <v>744</v>
      </c>
      <c r="R982" s="30" t="n">
        <f aca="false">ROUND(O982*P982,2)</f>
        <v>9408</v>
      </c>
      <c r="S982" s="30" t="n">
        <f aca="false">ROUND(O982*Q982,2)</f>
        <v>5952</v>
      </c>
      <c r="T982" s="30" t="n">
        <f aca="false">ROUND(R982*SUMIFS(Parametros!$E$23:$E$38,Parametros!$B$23:$B$38,J982,Parametros!$C$23:$C$38,C982,Parametros!$D$23:$D$38,D982),2)</f>
        <v>122.3</v>
      </c>
      <c r="U982" s="30" t="n">
        <f aca="false">R982-S982-T982</f>
        <v>3333.7</v>
      </c>
    </row>
    <row r="983" customFormat="false" ht="15" hidden="false" customHeight="false" outlineLevel="0" collapsed="false">
      <c r="A983" s="0" t="n">
        <v>982</v>
      </c>
      <c r="B983" s="27" t="n">
        <v>45582</v>
      </c>
      <c r="C983" s="0" t="n">
        <v>2024</v>
      </c>
      <c r="D983" s="28" t="s">
        <v>122</v>
      </c>
      <c r="E983" s="0" t="n">
        <v>10</v>
      </c>
      <c r="F983" s="28" t="s">
        <v>123</v>
      </c>
      <c r="G983" s="28" t="s">
        <v>124</v>
      </c>
      <c r="H983" s="28" t="s">
        <v>102</v>
      </c>
      <c r="I983" s="28" t="s">
        <v>103</v>
      </c>
      <c r="J983" s="28" t="s">
        <v>71</v>
      </c>
      <c r="K983" s="28" t="s">
        <v>67</v>
      </c>
      <c r="L983" s="28" t="s">
        <v>68</v>
      </c>
      <c r="M983" s="28" t="s">
        <v>69</v>
      </c>
      <c r="N983" s="28" t="s">
        <v>70</v>
      </c>
      <c r="O983" s="29" t="n">
        <v>3</v>
      </c>
      <c r="P983" s="30" t="n">
        <v>1176</v>
      </c>
      <c r="Q983" s="30" t="n">
        <v>744</v>
      </c>
      <c r="R983" s="30" t="n">
        <f aca="false">ROUND(O983*P983,2)</f>
        <v>3528</v>
      </c>
      <c r="S983" s="30" t="n">
        <f aca="false">ROUND(O983*Q983,2)</f>
        <v>2232</v>
      </c>
      <c r="T983" s="30" t="n">
        <f aca="false">ROUND(R983*SUMIFS(Parametros!$E$23:$E$38,Parametros!$B$23:$B$38,J983,Parametros!$C$23:$C$38,C983,Parametros!$D$23:$D$38,D983),2)</f>
        <v>169.34</v>
      </c>
      <c r="U983" s="30" t="n">
        <f aca="false">R983-S983-T983</f>
        <v>1126.66</v>
      </c>
    </row>
    <row r="984" customFormat="false" ht="15" hidden="false" customHeight="false" outlineLevel="0" collapsed="false">
      <c r="A984" s="0" t="n">
        <v>983</v>
      </c>
      <c r="B984" s="27" t="n">
        <v>45589</v>
      </c>
      <c r="C984" s="0" t="n">
        <v>2024</v>
      </c>
      <c r="D984" s="28" t="s">
        <v>122</v>
      </c>
      <c r="E984" s="0" t="n">
        <v>10</v>
      </c>
      <c r="F984" s="28" t="s">
        <v>123</v>
      </c>
      <c r="G984" s="28" t="s">
        <v>124</v>
      </c>
      <c r="H984" s="28" t="s">
        <v>102</v>
      </c>
      <c r="I984" s="28" t="s">
        <v>103</v>
      </c>
      <c r="J984" s="28" t="s">
        <v>66</v>
      </c>
      <c r="K984" s="28" t="s">
        <v>67</v>
      </c>
      <c r="L984" s="28" t="s">
        <v>68</v>
      </c>
      <c r="M984" s="28" t="s">
        <v>72</v>
      </c>
      <c r="N984" s="28" t="s">
        <v>73</v>
      </c>
      <c r="O984" s="29" t="n">
        <v>7</v>
      </c>
      <c r="P984" s="30" t="n">
        <v>441</v>
      </c>
      <c r="Q984" s="30" t="n">
        <v>272.25</v>
      </c>
      <c r="R984" s="30" t="n">
        <f aca="false">ROUND(O984*P984,2)</f>
        <v>3087</v>
      </c>
      <c r="S984" s="30" t="n">
        <f aca="false">ROUND(O984*Q984,2)</f>
        <v>1905.75</v>
      </c>
      <c r="T984" s="30" t="n">
        <f aca="false">ROUND(R984*SUMIFS(Parametros!$E$23:$E$38,Parametros!$B$23:$B$38,J984,Parametros!$C$23:$C$38,C984,Parametros!$D$23:$D$38,D984),2)</f>
        <v>40.13</v>
      </c>
      <c r="U984" s="30" t="n">
        <f aca="false">R984-S984-T984</f>
        <v>1141.12</v>
      </c>
    </row>
    <row r="985" customFormat="false" ht="15" hidden="false" customHeight="false" outlineLevel="0" collapsed="false">
      <c r="A985" s="0" t="n">
        <v>984</v>
      </c>
      <c r="B985" s="27" t="n">
        <v>45569</v>
      </c>
      <c r="C985" s="0" t="n">
        <v>2024</v>
      </c>
      <c r="D985" s="28" t="s">
        <v>122</v>
      </c>
      <c r="E985" s="0" t="n">
        <v>10</v>
      </c>
      <c r="F985" s="28" t="s">
        <v>123</v>
      </c>
      <c r="G985" s="28" t="s">
        <v>124</v>
      </c>
      <c r="H985" s="28" t="s">
        <v>102</v>
      </c>
      <c r="I985" s="28" t="s">
        <v>103</v>
      </c>
      <c r="J985" s="28" t="s">
        <v>71</v>
      </c>
      <c r="K985" s="28" t="s">
        <v>67</v>
      </c>
      <c r="L985" s="28" t="s">
        <v>68</v>
      </c>
      <c r="M985" s="28" t="s">
        <v>72</v>
      </c>
      <c r="N985" s="28" t="s">
        <v>73</v>
      </c>
      <c r="O985" s="29" t="n">
        <v>3</v>
      </c>
      <c r="P985" s="30" t="n">
        <v>441</v>
      </c>
      <c r="Q985" s="30" t="n">
        <v>272.25</v>
      </c>
      <c r="R985" s="30" t="n">
        <f aca="false">ROUND(O985*P985,2)</f>
        <v>1323</v>
      </c>
      <c r="S985" s="30" t="n">
        <f aca="false">ROUND(O985*Q985,2)</f>
        <v>816.75</v>
      </c>
      <c r="T985" s="30" t="n">
        <f aca="false">ROUND(R985*SUMIFS(Parametros!$E$23:$E$38,Parametros!$B$23:$B$38,J985,Parametros!$C$23:$C$38,C985,Parametros!$D$23:$D$38,D985),2)</f>
        <v>63.5</v>
      </c>
      <c r="U985" s="30" t="n">
        <f aca="false">R985-S985-T985</f>
        <v>442.75</v>
      </c>
    </row>
    <row r="986" customFormat="false" ht="15" hidden="false" customHeight="false" outlineLevel="0" collapsed="false">
      <c r="A986" s="0" t="n">
        <v>985</v>
      </c>
      <c r="B986" s="27" t="n">
        <v>45576</v>
      </c>
      <c r="C986" s="0" t="n">
        <v>2024</v>
      </c>
      <c r="D986" s="28" t="s">
        <v>122</v>
      </c>
      <c r="E986" s="0" t="n">
        <v>10</v>
      </c>
      <c r="F986" s="28" t="s">
        <v>123</v>
      </c>
      <c r="G986" s="28" t="s">
        <v>124</v>
      </c>
      <c r="H986" s="28" t="s">
        <v>102</v>
      </c>
      <c r="I986" s="28" t="s">
        <v>103</v>
      </c>
      <c r="J986" s="28" t="s">
        <v>66</v>
      </c>
      <c r="K986" s="28" t="s">
        <v>67</v>
      </c>
      <c r="L986" s="28" t="s">
        <v>68</v>
      </c>
      <c r="M986" s="28" t="s">
        <v>74</v>
      </c>
      <c r="N986" s="28" t="s">
        <v>75</v>
      </c>
      <c r="O986" s="29" t="n">
        <v>7</v>
      </c>
      <c r="P986" s="30" t="n">
        <v>1617</v>
      </c>
      <c r="Q986" s="30" t="n">
        <v>1122</v>
      </c>
      <c r="R986" s="30" t="n">
        <f aca="false">ROUND(O986*P986,2)</f>
        <v>11319</v>
      </c>
      <c r="S986" s="30" t="n">
        <f aca="false">ROUND(O986*Q986,2)</f>
        <v>7854</v>
      </c>
      <c r="T986" s="30" t="n">
        <f aca="false">ROUND(R986*SUMIFS(Parametros!$E$23:$E$38,Parametros!$B$23:$B$38,J986,Parametros!$C$23:$C$38,C986,Parametros!$D$23:$D$38,D986),2)</f>
        <v>147.15</v>
      </c>
      <c r="U986" s="30" t="n">
        <f aca="false">R986-S986-T986</f>
        <v>3317.85</v>
      </c>
    </row>
    <row r="987" customFormat="false" ht="15" hidden="false" customHeight="false" outlineLevel="0" collapsed="false">
      <c r="A987" s="0" t="n">
        <v>986</v>
      </c>
      <c r="B987" s="27" t="n">
        <v>45583</v>
      </c>
      <c r="C987" s="0" t="n">
        <v>2024</v>
      </c>
      <c r="D987" s="28" t="s">
        <v>122</v>
      </c>
      <c r="E987" s="0" t="n">
        <v>10</v>
      </c>
      <c r="F987" s="28" t="s">
        <v>123</v>
      </c>
      <c r="G987" s="28" t="s">
        <v>124</v>
      </c>
      <c r="H987" s="28" t="s">
        <v>102</v>
      </c>
      <c r="I987" s="28" t="s">
        <v>103</v>
      </c>
      <c r="J987" s="28" t="s">
        <v>71</v>
      </c>
      <c r="K987" s="28" t="s">
        <v>67</v>
      </c>
      <c r="L987" s="28" t="s">
        <v>68</v>
      </c>
      <c r="M987" s="28" t="s">
        <v>74</v>
      </c>
      <c r="N987" s="28" t="s">
        <v>75</v>
      </c>
      <c r="O987" s="29" t="n">
        <v>3</v>
      </c>
      <c r="P987" s="30" t="n">
        <v>1617</v>
      </c>
      <c r="Q987" s="30" t="n">
        <v>1122</v>
      </c>
      <c r="R987" s="30" t="n">
        <f aca="false">ROUND(O987*P987,2)</f>
        <v>4851</v>
      </c>
      <c r="S987" s="30" t="n">
        <f aca="false">ROUND(O987*Q987,2)</f>
        <v>3366</v>
      </c>
      <c r="T987" s="30" t="n">
        <f aca="false">ROUND(R987*SUMIFS(Parametros!$E$23:$E$38,Parametros!$B$23:$B$38,J987,Parametros!$C$23:$C$38,C987,Parametros!$D$23:$D$38,D987),2)</f>
        <v>232.85</v>
      </c>
      <c r="U987" s="30" t="n">
        <f aca="false">R987-S987-T987</f>
        <v>1252.15</v>
      </c>
    </row>
    <row r="988" customFormat="false" ht="15" hidden="false" customHeight="false" outlineLevel="0" collapsed="false">
      <c r="A988" s="0" t="n">
        <v>987</v>
      </c>
      <c r="B988" s="27" t="n">
        <v>45590</v>
      </c>
      <c r="C988" s="0" t="n">
        <v>2024</v>
      </c>
      <c r="D988" s="28" t="s">
        <v>122</v>
      </c>
      <c r="E988" s="0" t="n">
        <v>10</v>
      </c>
      <c r="F988" s="28" t="s">
        <v>123</v>
      </c>
      <c r="G988" s="28" t="s">
        <v>124</v>
      </c>
      <c r="H988" s="28" t="s">
        <v>102</v>
      </c>
      <c r="I988" s="28" t="s">
        <v>103</v>
      </c>
      <c r="J988" s="28" t="s">
        <v>66</v>
      </c>
      <c r="K988" s="28" t="s">
        <v>76</v>
      </c>
      <c r="L988" s="28" t="s">
        <v>77</v>
      </c>
      <c r="M988" s="28" t="s">
        <v>78</v>
      </c>
      <c r="N988" s="28" t="s">
        <v>79</v>
      </c>
      <c r="O988" s="29" t="n">
        <v>28</v>
      </c>
      <c r="P988" s="30" t="n">
        <v>27.44</v>
      </c>
      <c r="Q988" s="30" t="n">
        <v>13.44</v>
      </c>
      <c r="R988" s="30" t="n">
        <f aca="false">ROUND(O988*P988,2)</f>
        <v>768.32</v>
      </c>
      <c r="S988" s="30" t="n">
        <f aca="false">ROUND(O988*Q988,2)</f>
        <v>376.32</v>
      </c>
      <c r="T988" s="30" t="n">
        <f aca="false">ROUND(R988*SUMIFS(Parametros!$E$23:$E$38,Parametros!$B$23:$B$38,J988,Parametros!$C$23:$C$38,C988,Parametros!$D$23:$D$38,D988),2)</f>
        <v>9.99</v>
      </c>
      <c r="U988" s="30" t="n">
        <f aca="false">R988-S988-T988</f>
        <v>382.01</v>
      </c>
    </row>
    <row r="989" customFormat="false" ht="15" hidden="false" customHeight="false" outlineLevel="0" collapsed="false">
      <c r="A989" s="0" t="n">
        <v>988</v>
      </c>
      <c r="B989" s="27" t="n">
        <v>45570</v>
      </c>
      <c r="C989" s="0" t="n">
        <v>2024</v>
      </c>
      <c r="D989" s="28" t="s">
        <v>122</v>
      </c>
      <c r="E989" s="0" t="n">
        <v>10</v>
      </c>
      <c r="F989" s="28" t="s">
        <v>123</v>
      </c>
      <c r="G989" s="28" t="s">
        <v>124</v>
      </c>
      <c r="H989" s="28" t="s">
        <v>102</v>
      </c>
      <c r="I989" s="28" t="s">
        <v>103</v>
      </c>
      <c r="J989" s="28" t="s">
        <v>71</v>
      </c>
      <c r="K989" s="28" t="s">
        <v>76</v>
      </c>
      <c r="L989" s="28" t="s">
        <v>77</v>
      </c>
      <c r="M989" s="28" t="s">
        <v>78</v>
      </c>
      <c r="N989" s="28" t="s">
        <v>79</v>
      </c>
      <c r="O989" s="29" t="n">
        <v>12</v>
      </c>
      <c r="P989" s="30" t="n">
        <v>27.44</v>
      </c>
      <c r="Q989" s="30" t="n">
        <v>13.44</v>
      </c>
      <c r="R989" s="30" t="n">
        <f aca="false">ROUND(O989*P989,2)</f>
        <v>329.28</v>
      </c>
      <c r="S989" s="30" t="n">
        <f aca="false">ROUND(O989*Q989,2)</f>
        <v>161.28</v>
      </c>
      <c r="T989" s="30" t="n">
        <f aca="false">ROUND(R989*SUMIFS(Parametros!$E$23:$E$38,Parametros!$B$23:$B$38,J989,Parametros!$C$23:$C$38,C989,Parametros!$D$23:$D$38,D989),2)</f>
        <v>15.81</v>
      </c>
      <c r="U989" s="30" t="n">
        <f aca="false">R989-S989-T989</f>
        <v>152.19</v>
      </c>
    </row>
    <row r="990" customFormat="false" ht="15" hidden="false" customHeight="false" outlineLevel="0" collapsed="false">
      <c r="A990" s="0" t="n">
        <v>989</v>
      </c>
      <c r="B990" s="27" t="n">
        <v>45577</v>
      </c>
      <c r="C990" s="0" t="n">
        <v>2024</v>
      </c>
      <c r="D990" s="28" t="s">
        <v>122</v>
      </c>
      <c r="E990" s="0" t="n">
        <v>10</v>
      </c>
      <c r="F990" s="28" t="s">
        <v>123</v>
      </c>
      <c r="G990" s="28" t="s">
        <v>124</v>
      </c>
      <c r="H990" s="28" t="s">
        <v>102</v>
      </c>
      <c r="I990" s="28" t="s">
        <v>103</v>
      </c>
      <c r="J990" s="28" t="s">
        <v>66</v>
      </c>
      <c r="K990" s="28" t="s">
        <v>76</v>
      </c>
      <c r="L990" s="28" t="s">
        <v>77</v>
      </c>
      <c r="M990" s="28" t="s">
        <v>80</v>
      </c>
      <c r="N990" s="28" t="s">
        <v>81</v>
      </c>
      <c r="O990" s="29" t="n">
        <v>34</v>
      </c>
      <c r="P990" s="30" t="n">
        <v>93.1</v>
      </c>
      <c r="Q990" s="30" t="n">
        <v>47.98</v>
      </c>
      <c r="R990" s="30" t="n">
        <f aca="false">ROUND(O990*P990,2)</f>
        <v>3165.4</v>
      </c>
      <c r="S990" s="30" t="n">
        <f aca="false">ROUND(O990*Q990,2)</f>
        <v>1631.32</v>
      </c>
      <c r="T990" s="30" t="n">
        <f aca="false">ROUND(R990*SUMIFS(Parametros!$E$23:$E$38,Parametros!$B$23:$B$38,J990,Parametros!$C$23:$C$38,C990,Parametros!$D$23:$D$38,D990),2)</f>
        <v>41.15</v>
      </c>
      <c r="U990" s="30" t="n">
        <f aca="false">R990-S990-T990</f>
        <v>1492.93</v>
      </c>
    </row>
    <row r="991" customFormat="false" ht="15" hidden="false" customHeight="false" outlineLevel="0" collapsed="false">
      <c r="A991" s="0" t="n">
        <v>990</v>
      </c>
      <c r="B991" s="27" t="n">
        <v>45584</v>
      </c>
      <c r="C991" s="0" t="n">
        <v>2024</v>
      </c>
      <c r="D991" s="28" t="s">
        <v>122</v>
      </c>
      <c r="E991" s="0" t="n">
        <v>10</v>
      </c>
      <c r="F991" s="28" t="s">
        <v>123</v>
      </c>
      <c r="G991" s="28" t="s">
        <v>124</v>
      </c>
      <c r="H991" s="28" t="s">
        <v>102</v>
      </c>
      <c r="I991" s="28" t="s">
        <v>103</v>
      </c>
      <c r="J991" s="28" t="s">
        <v>71</v>
      </c>
      <c r="K991" s="28" t="s">
        <v>76</v>
      </c>
      <c r="L991" s="28" t="s">
        <v>77</v>
      </c>
      <c r="M991" s="28" t="s">
        <v>80</v>
      </c>
      <c r="N991" s="28" t="s">
        <v>81</v>
      </c>
      <c r="O991" s="29" t="n">
        <v>13</v>
      </c>
      <c r="P991" s="30" t="n">
        <v>93.1</v>
      </c>
      <c r="Q991" s="30" t="n">
        <v>47.98</v>
      </c>
      <c r="R991" s="30" t="n">
        <f aca="false">ROUND(O991*P991,2)</f>
        <v>1210.3</v>
      </c>
      <c r="S991" s="30" t="n">
        <f aca="false">ROUND(O991*Q991,2)</f>
        <v>623.74</v>
      </c>
      <c r="T991" s="30" t="n">
        <f aca="false">ROUND(R991*SUMIFS(Parametros!$E$23:$E$38,Parametros!$B$23:$B$38,J991,Parametros!$C$23:$C$38,C991,Parametros!$D$23:$D$38,D991),2)</f>
        <v>58.09</v>
      </c>
      <c r="U991" s="30" t="n">
        <f aca="false">R991-S991-T991</f>
        <v>528.47</v>
      </c>
    </row>
    <row r="992" customFormat="false" ht="15" hidden="false" customHeight="false" outlineLevel="0" collapsed="false">
      <c r="A992" s="0" t="n">
        <v>991</v>
      </c>
      <c r="B992" s="27" t="n">
        <v>45591</v>
      </c>
      <c r="C992" s="0" t="n">
        <v>2024</v>
      </c>
      <c r="D992" s="28" t="s">
        <v>122</v>
      </c>
      <c r="E992" s="0" t="n">
        <v>10</v>
      </c>
      <c r="F992" s="28" t="s">
        <v>123</v>
      </c>
      <c r="G992" s="28" t="s">
        <v>124</v>
      </c>
      <c r="H992" s="28" t="s">
        <v>102</v>
      </c>
      <c r="I992" s="28" t="s">
        <v>103</v>
      </c>
      <c r="J992" s="28" t="s">
        <v>66</v>
      </c>
      <c r="K992" s="28" t="s">
        <v>76</v>
      </c>
      <c r="L992" s="28" t="s">
        <v>77</v>
      </c>
      <c r="M992" s="28" t="s">
        <v>82</v>
      </c>
      <c r="N992" s="28" t="s">
        <v>83</v>
      </c>
      <c r="O992" s="29" t="n">
        <v>32</v>
      </c>
      <c r="P992" s="30" t="n">
        <v>63.7</v>
      </c>
      <c r="Q992" s="30" t="n">
        <v>35.43</v>
      </c>
      <c r="R992" s="30" t="n">
        <f aca="false">ROUND(O992*P992,2)</f>
        <v>2038.4</v>
      </c>
      <c r="S992" s="30" t="n">
        <f aca="false">ROUND(O992*Q992,2)</f>
        <v>1133.76</v>
      </c>
      <c r="T992" s="30" t="n">
        <f aca="false">ROUND(R992*SUMIFS(Parametros!$E$23:$E$38,Parametros!$B$23:$B$38,J992,Parametros!$C$23:$C$38,C992,Parametros!$D$23:$D$38,D992),2)</f>
        <v>26.5</v>
      </c>
      <c r="U992" s="30" t="n">
        <f aca="false">R992-S992-T992</f>
        <v>878.14</v>
      </c>
    </row>
    <row r="993" customFormat="false" ht="15" hidden="false" customHeight="false" outlineLevel="0" collapsed="false">
      <c r="A993" s="0" t="n">
        <v>992</v>
      </c>
      <c r="B993" s="27" t="n">
        <v>45571</v>
      </c>
      <c r="C993" s="0" t="n">
        <v>2024</v>
      </c>
      <c r="D993" s="28" t="s">
        <v>122</v>
      </c>
      <c r="E993" s="0" t="n">
        <v>10</v>
      </c>
      <c r="F993" s="28" t="s">
        <v>123</v>
      </c>
      <c r="G993" s="28" t="s">
        <v>124</v>
      </c>
      <c r="H993" s="28" t="s">
        <v>102</v>
      </c>
      <c r="I993" s="28" t="s">
        <v>103</v>
      </c>
      <c r="J993" s="28" t="s">
        <v>71</v>
      </c>
      <c r="K993" s="28" t="s">
        <v>76</v>
      </c>
      <c r="L993" s="28" t="s">
        <v>77</v>
      </c>
      <c r="M993" s="28" t="s">
        <v>82</v>
      </c>
      <c r="N993" s="28" t="s">
        <v>83</v>
      </c>
      <c r="O993" s="29" t="n">
        <v>14</v>
      </c>
      <c r="P993" s="30" t="n">
        <v>63.7</v>
      </c>
      <c r="Q993" s="30" t="n">
        <v>35.43</v>
      </c>
      <c r="R993" s="30" t="n">
        <f aca="false">ROUND(O993*P993,2)</f>
        <v>891.8</v>
      </c>
      <c r="S993" s="30" t="n">
        <f aca="false">ROUND(O993*Q993,2)</f>
        <v>496.02</v>
      </c>
      <c r="T993" s="30" t="n">
        <f aca="false">ROUND(R993*SUMIFS(Parametros!$E$23:$E$38,Parametros!$B$23:$B$38,J993,Parametros!$C$23:$C$38,C993,Parametros!$D$23:$D$38,D993),2)</f>
        <v>42.81</v>
      </c>
      <c r="U993" s="30" t="n">
        <f aca="false">R993-S993-T993</f>
        <v>352.97</v>
      </c>
    </row>
    <row r="994" customFormat="false" ht="15" hidden="false" customHeight="false" outlineLevel="0" collapsed="false">
      <c r="A994" s="0" t="n">
        <v>993</v>
      </c>
      <c r="B994" s="27" t="n">
        <v>45578</v>
      </c>
      <c r="C994" s="0" t="n">
        <v>2024</v>
      </c>
      <c r="D994" s="28" t="s">
        <v>122</v>
      </c>
      <c r="E994" s="0" t="n">
        <v>10</v>
      </c>
      <c r="F994" s="28" t="s">
        <v>123</v>
      </c>
      <c r="G994" s="28" t="s">
        <v>124</v>
      </c>
      <c r="H994" s="28" t="s">
        <v>102</v>
      </c>
      <c r="I994" s="28" t="s">
        <v>103</v>
      </c>
      <c r="J994" s="28" t="s">
        <v>66</v>
      </c>
      <c r="K994" s="28" t="s">
        <v>84</v>
      </c>
      <c r="L994" s="28" t="s">
        <v>85</v>
      </c>
      <c r="M994" s="28" t="s">
        <v>86</v>
      </c>
      <c r="N994" s="28" t="s">
        <v>87</v>
      </c>
      <c r="O994" s="29" t="n">
        <v>12</v>
      </c>
      <c r="P994" s="30" t="n">
        <v>117.6</v>
      </c>
      <c r="Q994" s="30" t="n">
        <v>63.6</v>
      </c>
      <c r="R994" s="30" t="n">
        <f aca="false">ROUND(O994*P994,2)</f>
        <v>1411.2</v>
      </c>
      <c r="S994" s="30" t="n">
        <f aca="false">ROUND(O994*Q994,2)</f>
        <v>763.2</v>
      </c>
      <c r="T994" s="30" t="n">
        <f aca="false">ROUND(R994*SUMIFS(Parametros!$E$23:$E$38,Parametros!$B$23:$B$38,J994,Parametros!$C$23:$C$38,C994,Parametros!$D$23:$D$38,D994),2)</f>
        <v>18.35</v>
      </c>
      <c r="U994" s="30" t="n">
        <f aca="false">R994-S994-T994</f>
        <v>629.65</v>
      </c>
    </row>
    <row r="995" customFormat="false" ht="15" hidden="false" customHeight="false" outlineLevel="0" collapsed="false">
      <c r="A995" s="0" t="n">
        <v>994</v>
      </c>
      <c r="B995" s="27" t="n">
        <v>45585</v>
      </c>
      <c r="C995" s="0" t="n">
        <v>2024</v>
      </c>
      <c r="D995" s="28" t="s">
        <v>122</v>
      </c>
      <c r="E995" s="0" t="n">
        <v>10</v>
      </c>
      <c r="F995" s="28" t="s">
        <v>123</v>
      </c>
      <c r="G995" s="28" t="s">
        <v>124</v>
      </c>
      <c r="H995" s="28" t="s">
        <v>102</v>
      </c>
      <c r="I995" s="28" t="s">
        <v>103</v>
      </c>
      <c r="J995" s="28" t="s">
        <v>71</v>
      </c>
      <c r="K995" s="28" t="s">
        <v>84</v>
      </c>
      <c r="L995" s="28" t="s">
        <v>85</v>
      </c>
      <c r="M995" s="28" t="s">
        <v>86</v>
      </c>
      <c r="N995" s="28" t="s">
        <v>87</v>
      </c>
      <c r="O995" s="29" t="n">
        <v>7</v>
      </c>
      <c r="P995" s="30" t="n">
        <v>117.6</v>
      </c>
      <c r="Q995" s="30" t="n">
        <v>63.6</v>
      </c>
      <c r="R995" s="30" t="n">
        <f aca="false">ROUND(O995*P995,2)</f>
        <v>823.2</v>
      </c>
      <c r="S995" s="30" t="n">
        <f aca="false">ROUND(O995*Q995,2)</f>
        <v>445.2</v>
      </c>
      <c r="T995" s="30" t="n">
        <f aca="false">ROUND(R995*SUMIFS(Parametros!$E$23:$E$38,Parametros!$B$23:$B$38,J995,Parametros!$C$23:$C$38,C995,Parametros!$D$23:$D$38,D995),2)</f>
        <v>39.51</v>
      </c>
      <c r="U995" s="30" t="n">
        <f aca="false">R995-S995-T995</f>
        <v>338.49</v>
      </c>
    </row>
    <row r="996" customFormat="false" ht="15" hidden="false" customHeight="false" outlineLevel="0" collapsed="false">
      <c r="A996" s="0" t="n">
        <v>995</v>
      </c>
      <c r="B996" s="27" t="n">
        <v>45592</v>
      </c>
      <c r="C996" s="0" t="n">
        <v>2024</v>
      </c>
      <c r="D996" s="28" t="s">
        <v>122</v>
      </c>
      <c r="E996" s="0" t="n">
        <v>10</v>
      </c>
      <c r="F996" s="28" t="s">
        <v>123</v>
      </c>
      <c r="G996" s="28" t="s">
        <v>124</v>
      </c>
      <c r="H996" s="28" t="s">
        <v>102</v>
      </c>
      <c r="I996" s="28" t="s">
        <v>103</v>
      </c>
      <c r="J996" s="28" t="s">
        <v>66</v>
      </c>
      <c r="K996" s="28" t="s">
        <v>84</v>
      </c>
      <c r="L996" s="28" t="s">
        <v>85</v>
      </c>
      <c r="M996" s="28" t="s">
        <v>88</v>
      </c>
      <c r="N996" s="28" t="s">
        <v>89</v>
      </c>
      <c r="O996" s="29" t="n">
        <v>17</v>
      </c>
      <c r="P996" s="30" t="n">
        <v>83.3</v>
      </c>
      <c r="Q996" s="30" t="n">
        <v>48.02</v>
      </c>
      <c r="R996" s="30" t="n">
        <f aca="false">ROUND(O996*P996,2)</f>
        <v>1416.1</v>
      </c>
      <c r="S996" s="30" t="n">
        <f aca="false">ROUND(O996*Q996,2)</f>
        <v>816.34</v>
      </c>
      <c r="T996" s="30" t="n">
        <f aca="false">ROUND(R996*SUMIFS(Parametros!$E$23:$E$38,Parametros!$B$23:$B$38,J996,Parametros!$C$23:$C$38,C996,Parametros!$D$23:$D$38,D996),2)</f>
        <v>18.41</v>
      </c>
      <c r="U996" s="30" t="n">
        <f aca="false">R996-S996-T996</f>
        <v>581.35</v>
      </c>
    </row>
    <row r="997" customFormat="false" ht="15" hidden="false" customHeight="false" outlineLevel="0" collapsed="false">
      <c r="A997" s="0" t="n">
        <v>996</v>
      </c>
      <c r="B997" s="27" t="n">
        <v>45572</v>
      </c>
      <c r="C997" s="0" t="n">
        <v>2024</v>
      </c>
      <c r="D997" s="28" t="s">
        <v>122</v>
      </c>
      <c r="E997" s="0" t="n">
        <v>10</v>
      </c>
      <c r="F997" s="28" t="s">
        <v>123</v>
      </c>
      <c r="G997" s="28" t="s">
        <v>124</v>
      </c>
      <c r="H997" s="28" t="s">
        <v>102</v>
      </c>
      <c r="I997" s="28" t="s">
        <v>103</v>
      </c>
      <c r="J997" s="28" t="s">
        <v>71</v>
      </c>
      <c r="K997" s="28" t="s">
        <v>84</v>
      </c>
      <c r="L997" s="28" t="s">
        <v>85</v>
      </c>
      <c r="M997" s="28" t="s">
        <v>88</v>
      </c>
      <c r="N997" s="28" t="s">
        <v>89</v>
      </c>
      <c r="O997" s="29" t="n">
        <v>7</v>
      </c>
      <c r="P997" s="30" t="n">
        <v>83.3</v>
      </c>
      <c r="Q997" s="30" t="n">
        <v>48.02</v>
      </c>
      <c r="R997" s="30" t="n">
        <f aca="false">ROUND(O997*P997,2)</f>
        <v>583.1</v>
      </c>
      <c r="S997" s="30" t="n">
        <f aca="false">ROUND(O997*Q997,2)</f>
        <v>336.14</v>
      </c>
      <c r="T997" s="30" t="n">
        <f aca="false">ROUND(R997*SUMIFS(Parametros!$E$23:$E$38,Parametros!$B$23:$B$38,J997,Parametros!$C$23:$C$38,C997,Parametros!$D$23:$D$38,D997),2)</f>
        <v>27.99</v>
      </c>
      <c r="U997" s="30" t="n">
        <f aca="false">R997-S997-T997</f>
        <v>218.97</v>
      </c>
    </row>
    <row r="998" customFormat="false" ht="15" hidden="false" customHeight="false" outlineLevel="0" collapsed="false">
      <c r="A998" s="0" t="n">
        <v>997</v>
      </c>
      <c r="B998" s="27" t="n">
        <v>45579</v>
      </c>
      <c r="C998" s="0" t="n">
        <v>2024</v>
      </c>
      <c r="D998" s="28" t="s">
        <v>122</v>
      </c>
      <c r="E998" s="0" t="n">
        <v>10</v>
      </c>
      <c r="F998" s="28" t="s">
        <v>123</v>
      </c>
      <c r="G998" s="28" t="s">
        <v>124</v>
      </c>
      <c r="H998" s="28" t="s">
        <v>102</v>
      </c>
      <c r="I998" s="28" t="s">
        <v>103</v>
      </c>
      <c r="J998" s="28" t="s">
        <v>66</v>
      </c>
      <c r="K998" s="28" t="s">
        <v>90</v>
      </c>
      <c r="L998" s="28" t="s">
        <v>91</v>
      </c>
      <c r="M998" s="28" t="s">
        <v>92</v>
      </c>
      <c r="N998" s="28" t="s">
        <v>93</v>
      </c>
      <c r="O998" s="29" t="n">
        <v>21</v>
      </c>
      <c r="P998" s="30" t="n">
        <v>127.4</v>
      </c>
      <c r="Q998" s="30" t="n">
        <v>76.05</v>
      </c>
      <c r="R998" s="30" t="n">
        <f aca="false">ROUND(O998*P998,2)</f>
        <v>2675.4</v>
      </c>
      <c r="S998" s="30" t="n">
        <f aca="false">ROUND(O998*Q998,2)</f>
        <v>1597.05</v>
      </c>
      <c r="T998" s="30" t="n">
        <f aca="false">ROUND(R998*SUMIFS(Parametros!$E$23:$E$38,Parametros!$B$23:$B$38,J998,Parametros!$C$23:$C$38,C998,Parametros!$D$23:$D$38,D998),2)</f>
        <v>34.78</v>
      </c>
      <c r="U998" s="30" t="n">
        <f aca="false">R998-S998-T998</f>
        <v>1043.57</v>
      </c>
    </row>
    <row r="999" customFormat="false" ht="15" hidden="false" customHeight="false" outlineLevel="0" collapsed="false">
      <c r="A999" s="0" t="n">
        <v>998</v>
      </c>
      <c r="B999" s="27" t="n">
        <v>45586</v>
      </c>
      <c r="C999" s="0" t="n">
        <v>2024</v>
      </c>
      <c r="D999" s="28" t="s">
        <v>122</v>
      </c>
      <c r="E999" s="0" t="n">
        <v>10</v>
      </c>
      <c r="F999" s="28" t="s">
        <v>123</v>
      </c>
      <c r="G999" s="28" t="s">
        <v>124</v>
      </c>
      <c r="H999" s="28" t="s">
        <v>102</v>
      </c>
      <c r="I999" s="28" t="s">
        <v>103</v>
      </c>
      <c r="J999" s="28" t="s">
        <v>71</v>
      </c>
      <c r="K999" s="28" t="s">
        <v>90</v>
      </c>
      <c r="L999" s="28" t="s">
        <v>91</v>
      </c>
      <c r="M999" s="28" t="s">
        <v>92</v>
      </c>
      <c r="N999" s="28" t="s">
        <v>93</v>
      </c>
      <c r="O999" s="29" t="n">
        <v>8</v>
      </c>
      <c r="P999" s="30" t="n">
        <v>127.4</v>
      </c>
      <c r="Q999" s="30" t="n">
        <v>76.05</v>
      </c>
      <c r="R999" s="30" t="n">
        <f aca="false">ROUND(O999*P999,2)</f>
        <v>1019.2</v>
      </c>
      <c r="S999" s="30" t="n">
        <f aca="false">ROUND(O999*Q999,2)</f>
        <v>608.4</v>
      </c>
      <c r="T999" s="30" t="n">
        <f aca="false">ROUND(R999*SUMIFS(Parametros!$E$23:$E$38,Parametros!$B$23:$B$38,J999,Parametros!$C$23:$C$38,C999,Parametros!$D$23:$D$38,D999),2)</f>
        <v>48.92</v>
      </c>
      <c r="U999" s="30" t="n">
        <f aca="false">R999-S999-T999</f>
        <v>361.88</v>
      </c>
    </row>
    <row r="1000" customFormat="false" ht="15" hidden="false" customHeight="false" outlineLevel="0" collapsed="false">
      <c r="A1000" s="0" t="n">
        <v>999</v>
      </c>
      <c r="B1000" s="27" t="n">
        <v>45566</v>
      </c>
      <c r="C1000" s="0" t="n">
        <v>2024</v>
      </c>
      <c r="D1000" s="28" t="s">
        <v>122</v>
      </c>
      <c r="E1000" s="0" t="n">
        <v>10</v>
      </c>
      <c r="F1000" s="28" t="s">
        <v>123</v>
      </c>
      <c r="G1000" s="28" t="s">
        <v>124</v>
      </c>
      <c r="H1000" s="28" t="s">
        <v>102</v>
      </c>
      <c r="I1000" s="28" t="s">
        <v>103</v>
      </c>
      <c r="J1000" s="28" t="s">
        <v>66</v>
      </c>
      <c r="K1000" s="28" t="s">
        <v>90</v>
      </c>
      <c r="L1000" s="28" t="s">
        <v>91</v>
      </c>
      <c r="M1000" s="28" t="s">
        <v>94</v>
      </c>
      <c r="N1000" s="28" t="s">
        <v>95</v>
      </c>
      <c r="O1000" s="29" t="n">
        <v>20</v>
      </c>
      <c r="P1000" s="30" t="n">
        <v>34.3</v>
      </c>
      <c r="Q1000" s="30" t="n">
        <v>17.85</v>
      </c>
      <c r="R1000" s="30" t="n">
        <f aca="false">ROUND(O1000*P1000,2)</f>
        <v>686</v>
      </c>
      <c r="S1000" s="30" t="n">
        <f aca="false">ROUND(O1000*Q1000,2)</f>
        <v>357</v>
      </c>
      <c r="T1000" s="30" t="n">
        <f aca="false">ROUND(R1000*SUMIFS(Parametros!$E$23:$E$38,Parametros!$B$23:$B$38,J1000,Parametros!$C$23:$C$38,C1000,Parametros!$D$23:$D$38,D1000),2)</f>
        <v>8.92</v>
      </c>
      <c r="U1000" s="30" t="n">
        <f aca="false">R1000-S1000-T1000</f>
        <v>320.08</v>
      </c>
    </row>
    <row r="1001" customFormat="false" ht="15" hidden="false" customHeight="false" outlineLevel="0" collapsed="false">
      <c r="A1001" s="0" t="n">
        <v>1000</v>
      </c>
      <c r="B1001" s="27" t="n">
        <v>45573</v>
      </c>
      <c r="C1001" s="0" t="n">
        <v>2024</v>
      </c>
      <c r="D1001" s="28" t="s">
        <v>122</v>
      </c>
      <c r="E1001" s="0" t="n">
        <v>10</v>
      </c>
      <c r="F1001" s="28" t="s">
        <v>123</v>
      </c>
      <c r="G1001" s="28" t="s">
        <v>124</v>
      </c>
      <c r="H1001" s="28" t="s">
        <v>102</v>
      </c>
      <c r="I1001" s="28" t="s">
        <v>103</v>
      </c>
      <c r="J1001" s="28" t="s">
        <v>71</v>
      </c>
      <c r="K1001" s="28" t="s">
        <v>90</v>
      </c>
      <c r="L1001" s="28" t="s">
        <v>91</v>
      </c>
      <c r="M1001" s="28" t="s">
        <v>94</v>
      </c>
      <c r="N1001" s="28" t="s">
        <v>95</v>
      </c>
      <c r="O1001" s="29" t="n">
        <v>8</v>
      </c>
      <c r="P1001" s="30" t="n">
        <v>34.3</v>
      </c>
      <c r="Q1001" s="30" t="n">
        <v>17.85</v>
      </c>
      <c r="R1001" s="30" t="n">
        <f aca="false">ROUND(O1001*P1001,2)</f>
        <v>274.4</v>
      </c>
      <c r="S1001" s="30" t="n">
        <f aca="false">ROUND(O1001*Q1001,2)</f>
        <v>142.8</v>
      </c>
      <c r="T1001" s="30" t="n">
        <f aca="false">ROUND(R1001*SUMIFS(Parametros!$E$23:$E$38,Parametros!$B$23:$B$38,J1001,Parametros!$C$23:$C$38,C1001,Parametros!$D$23:$D$38,D1001),2)</f>
        <v>13.17</v>
      </c>
      <c r="U1001" s="30" t="n">
        <f aca="false">R1001-S1001-T1001</f>
        <v>118.43</v>
      </c>
    </row>
    <row r="1002" customFormat="false" ht="15" hidden="false" customHeight="false" outlineLevel="0" collapsed="false">
      <c r="A1002" s="0" t="n">
        <v>1001</v>
      </c>
      <c r="B1002" s="27" t="n">
        <v>45611</v>
      </c>
      <c r="C1002" s="0" t="n">
        <v>2024</v>
      </c>
      <c r="D1002" s="28" t="s">
        <v>122</v>
      </c>
      <c r="E1002" s="0" t="n">
        <v>11</v>
      </c>
      <c r="F1002" s="28" t="s">
        <v>125</v>
      </c>
      <c r="G1002" s="28" t="s">
        <v>126</v>
      </c>
      <c r="H1002" s="28" t="s">
        <v>64</v>
      </c>
      <c r="I1002" s="28" t="s">
        <v>65</v>
      </c>
      <c r="J1002" s="28" t="s">
        <v>66</v>
      </c>
      <c r="K1002" s="28" t="s">
        <v>67</v>
      </c>
      <c r="L1002" s="28" t="s">
        <v>68</v>
      </c>
      <c r="M1002" s="28" t="s">
        <v>69</v>
      </c>
      <c r="N1002" s="28" t="s">
        <v>70</v>
      </c>
      <c r="O1002" s="29" t="n">
        <v>26</v>
      </c>
      <c r="P1002" s="30" t="n">
        <v>1176</v>
      </c>
      <c r="Q1002" s="30" t="n">
        <v>744</v>
      </c>
      <c r="R1002" s="30" t="n">
        <f aca="false">ROUND(O1002*P1002,2)</f>
        <v>30576</v>
      </c>
      <c r="S1002" s="30" t="n">
        <f aca="false">ROUND(O1002*Q1002,2)</f>
        <v>19344</v>
      </c>
      <c r="T1002" s="30" t="n">
        <f aca="false">ROUND(R1002*SUMIFS(Parametros!$E$23:$E$38,Parametros!$B$23:$B$38,J1002,Parametros!$C$23:$C$38,C1002,Parametros!$D$23:$D$38,D1002),2)</f>
        <v>397.49</v>
      </c>
      <c r="U1002" s="30" t="n">
        <f aca="false">R1002-S1002-T1002</f>
        <v>10834.51</v>
      </c>
    </row>
    <row r="1003" customFormat="false" ht="15" hidden="false" customHeight="false" outlineLevel="0" collapsed="false">
      <c r="A1003" s="0" t="n">
        <v>1002</v>
      </c>
      <c r="B1003" s="27" t="n">
        <v>45618</v>
      </c>
      <c r="C1003" s="0" t="n">
        <v>2024</v>
      </c>
      <c r="D1003" s="28" t="s">
        <v>122</v>
      </c>
      <c r="E1003" s="0" t="n">
        <v>11</v>
      </c>
      <c r="F1003" s="28" t="s">
        <v>125</v>
      </c>
      <c r="G1003" s="28" t="s">
        <v>126</v>
      </c>
      <c r="H1003" s="28" t="s">
        <v>64</v>
      </c>
      <c r="I1003" s="28" t="s">
        <v>65</v>
      </c>
      <c r="J1003" s="28" t="s">
        <v>71</v>
      </c>
      <c r="K1003" s="28" t="s">
        <v>67</v>
      </c>
      <c r="L1003" s="28" t="s">
        <v>68</v>
      </c>
      <c r="M1003" s="28" t="s">
        <v>69</v>
      </c>
      <c r="N1003" s="28" t="s">
        <v>70</v>
      </c>
      <c r="O1003" s="29" t="n">
        <v>10</v>
      </c>
      <c r="P1003" s="30" t="n">
        <v>1176</v>
      </c>
      <c r="Q1003" s="30" t="n">
        <v>744</v>
      </c>
      <c r="R1003" s="30" t="n">
        <f aca="false">ROUND(O1003*P1003,2)</f>
        <v>11760</v>
      </c>
      <c r="S1003" s="30" t="n">
        <f aca="false">ROUND(O1003*Q1003,2)</f>
        <v>7440</v>
      </c>
      <c r="T1003" s="30" t="n">
        <f aca="false">ROUND(R1003*SUMIFS(Parametros!$E$23:$E$38,Parametros!$B$23:$B$38,J1003,Parametros!$C$23:$C$38,C1003,Parametros!$D$23:$D$38,D1003),2)</f>
        <v>564.48</v>
      </c>
      <c r="U1003" s="30" t="n">
        <f aca="false">R1003-S1003-T1003</f>
        <v>3755.52</v>
      </c>
    </row>
    <row r="1004" customFormat="false" ht="15" hidden="false" customHeight="false" outlineLevel="0" collapsed="false">
      <c r="A1004" s="0" t="n">
        <v>1003</v>
      </c>
      <c r="B1004" s="27" t="n">
        <v>45598</v>
      </c>
      <c r="C1004" s="0" t="n">
        <v>2024</v>
      </c>
      <c r="D1004" s="28" t="s">
        <v>122</v>
      </c>
      <c r="E1004" s="0" t="n">
        <v>11</v>
      </c>
      <c r="F1004" s="28" t="s">
        <v>125</v>
      </c>
      <c r="G1004" s="28" t="s">
        <v>126</v>
      </c>
      <c r="H1004" s="28" t="s">
        <v>64</v>
      </c>
      <c r="I1004" s="28" t="s">
        <v>65</v>
      </c>
      <c r="J1004" s="28" t="s">
        <v>66</v>
      </c>
      <c r="K1004" s="28" t="s">
        <v>67</v>
      </c>
      <c r="L1004" s="28" t="s">
        <v>68</v>
      </c>
      <c r="M1004" s="28" t="s">
        <v>72</v>
      </c>
      <c r="N1004" s="28" t="s">
        <v>73</v>
      </c>
      <c r="O1004" s="29" t="n">
        <v>31</v>
      </c>
      <c r="P1004" s="30" t="n">
        <v>441</v>
      </c>
      <c r="Q1004" s="30" t="n">
        <v>272.25</v>
      </c>
      <c r="R1004" s="30" t="n">
        <f aca="false">ROUND(O1004*P1004,2)</f>
        <v>13671</v>
      </c>
      <c r="S1004" s="30" t="n">
        <f aca="false">ROUND(O1004*Q1004,2)</f>
        <v>8439.75</v>
      </c>
      <c r="T1004" s="30" t="n">
        <f aca="false">ROUND(R1004*SUMIFS(Parametros!$E$23:$E$38,Parametros!$B$23:$B$38,J1004,Parametros!$C$23:$C$38,C1004,Parametros!$D$23:$D$38,D1004),2)</f>
        <v>177.72</v>
      </c>
      <c r="U1004" s="30" t="n">
        <f aca="false">R1004-S1004-T1004</f>
        <v>5053.53</v>
      </c>
    </row>
    <row r="1005" customFormat="false" ht="15" hidden="false" customHeight="false" outlineLevel="0" collapsed="false">
      <c r="A1005" s="0" t="n">
        <v>1004</v>
      </c>
      <c r="B1005" s="27" t="n">
        <v>45605</v>
      </c>
      <c r="C1005" s="0" t="n">
        <v>2024</v>
      </c>
      <c r="D1005" s="28" t="s">
        <v>122</v>
      </c>
      <c r="E1005" s="0" t="n">
        <v>11</v>
      </c>
      <c r="F1005" s="28" t="s">
        <v>125</v>
      </c>
      <c r="G1005" s="28" t="s">
        <v>126</v>
      </c>
      <c r="H1005" s="28" t="s">
        <v>64</v>
      </c>
      <c r="I1005" s="28" t="s">
        <v>65</v>
      </c>
      <c r="J1005" s="28" t="s">
        <v>71</v>
      </c>
      <c r="K1005" s="28" t="s">
        <v>67</v>
      </c>
      <c r="L1005" s="28" t="s">
        <v>68</v>
      </c>
      <c r="M1005" s="28" t="s">
        <v>72</v>
      </c>
      <c r="N1005" s="28" t="s">
        <v>73</v>
      </c>
      <c r="O1005" s="29" t="n">
        <v>9</v>
      </c>
      <c r="P1005" s="30" t="n">
        <v>441</v>
      </c>
      <c r="Q1005" s="30" t="n">
        <v>272.25</v>
      </c>
      <c r="R1005" s="30" t="n">
        <f aca="false">ROUND(O1005*P1005,2)</f>
        <v>3969</v>
      </c>
      <c r="S1005" s="30" t="n">
        <f aca="false">ROUND(O1005*Q1005,2)</f>
        <v>2450.25</v>
      </c>
      <c r="T1005" s="30" t="n">
        <f aca="false">ROUND(R1005*SUMIFS(Parametros!$E$23:$E$38,Parametros!$B$23:$B$38,J1005,Parametros!$C$23:$C$38,C1005,Parametros!$D$23:$D$38,D1005),2)</f>
        <v>190.51</v>
      </c>
      <c r="U1005" s="30" t="n">
        <f aca="false">R1005-S1005-T1005</f>
        <v>1328.24</v>
      </c>
    </row>
    <row r="1006" customFormat="false" ht="15" hidden="false" customHeight="false" outlineLevel="0" collapsed="false">
      <c r="A1006" s="0" t="n">
        <v>1005</v>
      </c>
      <c r="B1006" s="27" t="n">
        <v>45612</v>
      </c>
      <c r="C1006" s="0" t="n">
        <v>2024</v>
      </c>
      <c r="D1006" s="28" t="s">
        <v>122</v>
      </c>
      <c r="E1006" s="0" t="n">
        <v>11</v>
      </c>
      <c r="F1006" s="28" t="s">
        <v>125</v>
      </c>
      <c r="G1006" s="28" t="s">
        <v>126</v>
      </c>
      <c r="H1006" s="28" t="s">
        <v>64</v>
      </c>
      <c r="I1006" s="28" t="s">
        <v>65</v>
      </c>
      <c r="J1006" s="28" t="s">
        <v>66</v>
      </c>
      <c r="K1006" s="28" t="s">
        <v>67</v>
      </c>
      <c r="L1006" s="28" t="s">
        <v>68</v>
      </c>
      <c r="M1006" s="28" t="s">
        <v>74</v>
      </c>
      <c r="N1006" s="28" t="s">
        <v>75</v>
      </c>
      <c r="O1006" s="29" t="n">
        <v>23</v>
      </c>
      <c r="P1006" s="30" t="n">
        <v>1617</v>
      </c>
      <c r="Q1006" s="30" t="n">
        <v>1122</v>
      </c>
      <c r="R1006" s="30" t="n">
        <f aca="false">ROUND(O1006*P1006,2)</f>
        <v>37191</v>
      </c>
      <c r="S1006" s="30" t="n">
        <f aca="false">ROUND(O1006*Q1006,2)</f>
        <v>25806</v>
      </c>
      <c r="T1006" s="30" t="n">
        <f aca="false">ROUND(R1006*SUMIFS(Parametros!$E$23:$E$38,Parametros!$B$23:$B$38,J1006,Parametros!$C$23:$C$38,C1006,Parametros!$D$23:$D$38,D1006),2)</f>
        <v>483.48</v>
      </c>
      <c r="U1006" s="30" t="n">
        <f aca="false">R1006-S1006-T1006</f>
        <v>10901.52</v>
      </c>
    </row>
    <row r="1007" customFormat="false" ht="15" hidden="false" customHeight="false" outlineLevel="0" collapsed="false">
      <c r="A1007" s="0" t="n">
        <v>1006</v>
      </c>
      <c r="B1007" s="27" t="n">
        <v>45619</v>
      </c>
      <c r="C1007" s="0" t="n">
        <v>2024</v>
      </c>
      <c r="D1007" s="28" t="s">
        <v>122</v>
      </c>
      <c r="E1007" s="0" t="n">
        <v>11</v>
      </c>
      <c r="F1007" s="28" t="s">
        <v>125</v>
      </c>
      <c r="G1007" s="28" t="s">
        <v>126</v>
      </c>
      <c r="H1007" s="28" t="s">
        <v>64</v>
      </c>
      <c r="I1007" s="28" t="s">
        <v>65</v>
      </c>
      <c r="J1007" s="28" t="s">
        <v>71</v>
      </c>
      <c r="K1007" s="28" t="s">
        <v>67</v>
      </c>
      <c r="L1007" s="28" t="s">
        <v>68</v>
      </c>
      <c r="M1007" s="28" t="s">
        <v>74</v>
      </c>
      <c r="N1007" s="28" t="s">
        <v>75</v>
      </c>
      <c r="O1007" s="29" t="n">
        <v>11</v>
      </c>
      <c r="P1007" s="30" t="n">
        <v>1617</v>
      </c>
      <c r="Q1007" s="30" t="n">
        <v>1122</v>
      </c>
      <c r="R1007" s="30" t="n">
        <f aca="false">ROUND(O1007*P1007,2)</f>
        <v>17787</v>
      </c>
      <c r="S1007" s="30" t="n">
        <f aca="false">ROUND(O1007*Q1007,2)</f>
        <v>12342</v>
      </c>
      <c r="T1007" s="30" t="n">
        <f aca="false">ROUND(R1007*SUMIFS(Parametros!$E$23:$E$38,Parametros!$B$23:$B$38,J1007,Parametros!$C$23:$C$38,C1007,Parametros!$D$23:$D$38,D1007),2)</f>
        <v>853.78</v>
      </c>
      <c r="U1007" s="30" t="n">
        <f aca="false">R1007-S1007-T1007</f>
        <v>4591.22</v>
      </c>
    </row>
    <row r="1008" customFormat="false" ht="15" hidden="false" customHeight="false" outlineLevel="0" collapsed="false">
      <c r="A1008" s="0" t="n">
        <v>1007</v>
      </c>
      <c r="B1008" s="27" t="n">
        <v>45599</v>
      </c>
      <c r="C1008" s="0" t="n">
        <v>2024</v>
      </c>
      <c r="D1008" s="28" t="s">
        <v>122</v>
      </c>
      <c r="E1008" s="0" t="n">
        <v>11</v>
      </c>
      <c r="F1008" s="28" t="s">
        <v>125</v>
      </c>
      <c r="G1008" s="28" t="s">
        <v>126</v>
      </c>
      <c r="H1008" s="28" t="s">
        <v>64</v>
      </c>
      <c r="I1008" s="28" t="s">
        <v>65</v>
      </c>
      <c r="J1008" s="28" t="s">
        <v>66</v>
      </c>
      <c r="K1008" s="28" t="s">
        <v>76</v>
      </c>
      <c r="L1008" s="28" t="s">
        <v>77</v>
      </c>
      <c r="M1008" s="28" t="s">
        <v>78</v>
      </c>
      <c r="N1008" s="28" t="s">
        <v>79</v>
      </c>
      <c r="O1008" s="29" t="n">
        <v>103</v>
      </c>
      <c r="P1008" s="30" t="n">
        <v>27.44</v>
      </c>
      <c r="Q1008" s="30" t="n">
        <v>13.44</v>
      </c>
      <c r="R1008" s="30" t="n">
        <f aca="false">ROUND(O1008*P1008,2)</f>
        <v>2826.32</v>
      </c>
      <c r="S1008" s="30" t="n">
        <f aca="false">ROUND(O1008*Q1008,2)</f>
        <v>1384.32</v>
      </c>
      <c r="T1008" s="30" t="n">
        <f aca="false">ROUND(R1008*SUMIFS(Parametros!$E$23:$E$38,Parametros!$B$23:$B$38,J1008,Parametros!$C$23:$C$38,C1008,Parametros!$D$23:$D$38,D1008),2)</f>
        <v>36.74</v>
      </c>
      <c r="U1008" s="30" t="n">
        <f aca="false">R1008-S1008-T1008</f>
        <v>1405.26</v>
      </c>
    </row>
    <row r="1009" customFormat="false" ht="15" hidden="false" customHeight="false" outlineLevel="0" collapsed="false">
      <c r="A1009" s="0" t="n">
        <v>1008</v>
      </c>
      <c r="B1009" s="27" t="n">
        <v>45606</v>
      </c>
      <c r="C1009" s="0" t="n">
        <v>2024</v>
      </c>
      <c r="D1009" s="28" t="s">
        <v>122</v>
      </c>
      <c r="E1009" s="0" t="n">
        <v>11</v>
      </c>
      <c r="F1009" s="28" t="s">
        <v>125</v>
      </c>
      <c r="G1009" s="28" t="s">
        <v>126</v>
      </c>
      <c r="H1009" s="28" t="s">
        <v>64</v>
      </c>
      <c r="I1009" s="28" t="s">
        <v>65</v>
      </c>
      <c r="J1009" s="28" t="s">
        <v>71</v>
      </c>
      <c r="K1009" s="28" t="s">
        <v>76</v>
      </c>
      <c r="L1009" s="28" t="s">
        <v>77</v>
      </c>
      <c r="M1009" s="28" t="s">
        <v>78</v>
      </c>
      <c r="N1009" s="28" t="s">
        <v>79</v>
      </c>
      <c r="O1009" s="29" t="n">
        <v>44</v>
      </c>
      <c r="P1009" s="30" t="n">
        <v>27.44</v>
      </c>
      <c r="Q1009" s="30" t="n">
        <v>13.44</v>
      </c>
      <c r="R1009" s="30" t="n">
        <f aca="false">ROUND(O1009*P1009,2)</f>
        <v>1207.36</v>
      </c>
      <c r="S1009" s="30" t="n">
        <f aca="false">ROUND(O1009*Q1009,2)</f>
        <v>591.36</v>
      </c>
      <c r="T1009" s="30" t="n">
        <f aca="false">ROUND(R1009*SUMIFS(Parametros!$E$23:$E$38,Parametros!$B$23:$B$38,J1009,Parametros!$C$23:$C$38,C1009,Parametros!$D$23:$D$38,D1009),2)</f>
        <v>57.95</v>
      </c>
      <c r="U1009" s="30" t="n">
        <f aca="false">R1009-S1009-T1009</f>
        <v>558.05</v>
      </c>
    </row>
    <row r="1010" customFormat="false" ht="15" hidden="false" customHeight="false" outlineLevel="0" collapsed="false">
      <c r="A1010" s="0" t="n">
        <v>1009</v>
      </c>
      <c r="B1010" s="27" t="n">
        <v>45613</v>
      </c>
      <c r="C1010" s="0" t="n">
        <v>2024</v>
      </c>
      <c r="D1010" s="28" t="s">
        <v>122</v>
      </c>
      <c r="E1010" s="0" t="n">
        <v>11</v>
      </c>
      <c r="F1010" s="28" t="s">
        <v>125</v>
      </c>
      <c r="G1010" s="28" t="s">
        <v>126</v>
      </c>
      <c r="H1010" s="28" t="s">
        <v>64</v>
      </c>
      <c r="I1010" s="28" t="s">
        <v>65</v>
      </c>
      <c r="J1010" s="28" t="s">
        <v>66</v>
      </c>
      <c r="K1010" s="28" t="s">
        <v>76</v>
      </c>
      <c r="L1010" s="28" t="s">
        <v>77</v>
      </c>
      <c r="M1010" s="28" t="s">
        <v>80</v>
      </c>
      <c r="N1010" s="28" t="s">
        <v>81</v>
      </c>
      <c r="O1010" s="29" t="n">
        <v>113</v>
      </c>
      <c r="P1010" s="30" t="n">
        <v>93.1</v>
      </c>
      <c r="Q1010" s="30" t="n">
        <v>47.98</v>
      </c>
      <c r="R1010" s="30" t="n">
        <f aca="false">ROUND(O1010*P1010,2)</f>
        <v>10520.3</v>
      </c>
      <c r="S1010" s="30" t="n">
        <f aca="false">ROUND(O1010*Q1010,2)</f>
        <v>5421.74</v>
      </c>
      <c r="T1010" s="30" t="n">
        <f aca="false">ROUND(R1010*SUMIFS(Parametros!$E$23:$E$38,Parametros!$B$23:$B$38,J1010,Parametros!$C$23:$C$38,C1010,Parametros!$D$23:$D$38,D1010),2)</f>
        <v>136.76</v>
      </c>
      <c r="U1010" s="30" t="n">
        <f aca="false">R1010-S1010-T1010</f>
        <v>4961.8</v>
      </c>
    </row>
    <row r="1011" customFormat="false" ht="15" hidden="false" customHeight="false" outlineLevel="0" collapsed="false">
      <c r="A1011" s="0" t="n">
        <v>1010</v>
      </c>
      <c r="B1011" s="27" t="n">
        <v>45620</v>
      </c>
      <c r="C1011" s="0" t="n">
        <v>2024</v>
      </c>
      <c r="D1011" s="28" t="s">
        <v>122</v>
      </c>
      <c r="E1011" s="0" t="n">
        <v>11</v>
      </c>
      <c r="F1011" s="28" t="s">
        <v>125</v>
      </c>
      <c r="G1011" s="28" t="s">
        <v>126</v>
      </c>
      <c r="H1011" s="28" t="s">
        <v>64</v>
      </c>
      <c r="I1011" s="28" t="s">
        <v>65</v>
      </c>
      <c r="J1011" s="28" t="s">
        <v>71</v>
      </c>
      <c r="K1011" s="28" t="s">
        <v>76</v>
      </c>
      <c r="L1011" s="28" t="s">
        <v>77</v>
      </c>
      <c r="M1011" s="28" t="s">
        <v>80</v>
      </c>
      <c r="N1011" s="28" t="s">
        <v>81</v>
      </c>
      <c r="O1011" s="29" t="n">
        <v>46</v>
      </c>
      <c r="P1011" s="30" t="n">
        <v>93.1</v>
      </c>
      <c r="Q1011" s="30" t="n">
        <v>47.98</v>
      </c>
      <c r="R1011" s="30" t="n">
        <f aca="false">ROUND(O1011*P1011,2)</f>
        <v>4282.6</v>
      </c>
      <c r="S1011" s="30" t="n">
        <f aca="false">ROUND(O1011*Q1011,2)</f>
        <v>2207.08</v>
      </c>
      <c r="T1011" s="30" t="n">
        <f aca="false">ROUND(R1011*SUMIFS(Parametros!$E$23:$E$38,Parametros!$B$23:$B$38,J1011,Parametros!$C$23:$C$38,C1011,Parametros!$D$23:$D$38,D1011),2)</f>
        <v>205.56</v>
      </c>
      <c r="U1011" s="30" t="n">
        <f aca="false">R1011-S1011-T1011</f>
        <v>1869.96</v>
      </c>
    </row>
    <row r="1012" customFormat="false" ht="15" hidden="false" customHeight="false" outlineLevel="0" collapsed="false">
      <c r="A1012" s="0" t="n">
        <v>1011</v>
      </c>
      <c r="B1012" s="27" t="n">
        <v>45600</v>
      </c>
      <c r="C1012" s="0" t="n">
        <v>2024</v>
      </c>
      <c r="D1012" s="28" t="s">
        <v>122</v>
      </c>
      <c r="E1012" s="0" t="n">
        <v>11</v>
      </c>
      <c r="F1012" s="28" t="s">
        <v>125</v>
      </c>
      <c r="G1012" s="28" t="s">
        <v>126</v>
      </c>
      <c r="H1012" s="28" t="s">
        <v>64</v>
      </c>
      <c r="I1012" s="28" t="s">
        <v>65</v>
      </c>
      <c r="J1012" s="28" t="s">
        <v>66</v>
      </c>
      <c r="K1012" s="28" t="s">
        <v>76</v>
      </c>
      <c r="L1012" s="28" t="s">
        <v>77</v>
      </c>
      <c r="M1012" s="28" t="s">
        <v>82</v>
      </c>
      <c r="N1012" s="28" t="s">
        <v>83</v>
      </c>
      <c r="O1012" s="29" t="n">
        <v>127</v>
      </c>
      <c r="P1012" s="30" t="n">
        <v>63.7</v>
      </c>
      <c r="Q1012" s="30" t="n">
        <v>35.43</v>
      </c>
      <c r="R1012" s="30" t="n">
        <f aca="false">ROUND(O1012*P1012,2)</f>
        <v>8089.9</v>
      </c>
      <c r="S1012" s="30" t="n">
        <f aca="false">ROUND(O1012*Q1012,2)</f>
        <v>4499.61</v>
      </c>
      <c r="T1012" s="30" t="n">
        <f aca="false">ROUND(R1012*SUMIFS(Parametros!$E$23:$E$38,Parametros!$B$23:$B$38,J1012,Parametros!$C$23:$C$38,C1012,Parametros!$D$23:$D$38,D1012),2)</f>
        <v>105.17</v>
      </c>
      <c r="U1012" s="30" t="n">
        <f aca="false">R1012-S1012-T1012</f>
        <v>3485.12</v>
      </c>
    </row>
    <row r="1013" customFormat="false" ht="15" hidden="false" customHeight="false" outlineLevel="0" collapsed="false">
      <c r="A1013" s="0" t="n">
        <v>1012</v>
      </c>
      <c r="B1013" s="27" t="n">
        <v>45607</v>
      </c>
      <c r="C1013" s="0" t="n">
        <v>2024</v>
      </c>
      <c r="D1013" s="28" t="s">
        <v>122</v>
      </c>
      <c r="E1013" s="0" t="n">
        <v>11</v>
      </c>
      <c r="F1013" s="28" t="s">
        <v>125</v>
      </c>
      <c r="G1013" s="28" t="s">
        <v>126</v>
      </c>
      <c r="H1013" s="28" t="s">
        <v>64</v>
      </c>
      <c r="I1013" s="28" t="s">
        <v>65</v>
      </c>
      <c r="J1013" s="28" t="s">
        <v>71</v>
      </c>
      <c r="K1013" s="28" t="s">
        <v>76</v>
      </c>
      <c r="L1013" s="28" t="s">
        <v>77</v>
      </c>
      <c r="M1013" s="28" t="s">
        <v>82</v>
      </c>
      <c r="N1013" s="28" t="s">
        <v>83</v>
      </c>
      <c r="O1013" s="29" t="n">
        <v>48</v>
      </c>
      <c r="P1013" s="30" t="n">
        <v>63.7</v>
      </c>
      <c r="Q1013" s="30" t="n">
        <v>35.43</v>
      </c>
      <c r="R1013" s="30" t="n">
        <f aca="false">ROUND(O1013*P1013,2)</f>
        <v>3057.6</v>
      </c>
      <c r="S1013" s="30" t="n">
        <f aca="false">ROUND(O1013*Q1013,2)</f>
        <v>1700.64</v>
      </c>
      <c r="T1013" s="30" t="n">
        <f aca="false">ROUND(R1013*SUMIFS(Parametros!$E$23:$E$38,Parametros!$B$23:$B$38,J1013,Parametros!$C$23:$C$38,C1013,Parametros!$D$23:$D$38,D1013),2)</f>
        <v>146.76</v>
      </c>
      <c r="U1013" s="30" t="n">
        <f aca="false">R1013-S1013-T1013</f>
        <v>1210.2</v>
      </c>
    </row>
    <row r="1014" customFormat="false" ht="15" hidden="false" customHeight="false" outlineLevel="0" collapsed="false">
      <c r="A1014" s="0" t="n">
        <v>1013</v>
      </c>
      <c r="B1014" s="27" t="n">
        <v>45614</v>
      </c>
      <c r="C1014" s="0" t="n">
        <v>2024</v>
      </c>
      <c r="D1014" s="28" t="s">
        <v>122</v>
      </c>
      <c r="E1014" s="0" t="n">
        <v>11</v>
      </c>
      <c r="F1014" s="28" t="s">
        <v>125</v>
      </c>
      <c r="G1014" s="28" t="s">
        <v>126</v>
      </c>
      <c r="H1014" s="28" t="s">
        <v>64</v>
      </c>
      <c r="I1014" s="28" t="s">
        <v>65</v>
      </c>
      <c r="J1014" s="28" t="s">
        <v>66</v>
      </c>
      <c r="K1014" s="28" t="s">
        <v>84</v>
      </c>
      <c r="L1014" s="28" t="s">
        <v>85</v>
      </c>
      <c r="M1014" s="28" t="s">
        <v>86</v>
      </c>
      <c r="N1014" s="28" t="s">
        <v>87</v>
      </c>
      <c r="O1014" s="29" t="n">
        <v>57</v>
      </c>
      <c r="P1014" s="30" t="n">
        <v>117.6</v>
      </c>
      <c r="Q1014" s="30" t="n">
        <v>63.6</v>
      </c>
      <c r="R1014" s="30" t="n">
        <f aca="false">ROUND(O1014*P1014,2)</f>
        <v>6703.2</v>
      </c>
      <c r="S1014" s="30" t="n">
        <f aca="false">ROUND(O1014*Q1014,2)</f>
        <v>3625.2</v>
      </c>
      <c r="T1014" s="30" t="n">
        <f aca="false">ROUND(R1014*SUMIFS(Parametros!$E$23:$E$38,Parametros!$B$23:$B$38,J1014,Parametros!$C$23:$C$38,C1014,Parametros!$D$23:$D$38,D1014),2)</f>
        <v>87.14</v>
      </c>
      <c r="U1014" s="30" t="n">
        <f aca="false">R1014-S1014-T1014</f>
        <v>2990.86</v>
      </c>
    </row>
    <row r="1015" customFormat="false" ht="15" hidden="false" customHeight="false" outlineLevel="0" collapsed="false">
      <c r="A1015" s="0" t="n">
        <v>1014</v>
      </c>
      <c r="B1015" s="27" t="n">
        <v>45621</v>
      </c>
      <c r="C1015" s="0" t="n">
        <v>2024</v>
      </c>
      <c r="D1015" s="28" t="s">
        <v>122</v>
      </c>
      <c r="E1015" s="0" t="n">
        <v>11</v>
      </c>
      <c r="F1015" s="28" t="s">
        <v>125</v>
      </c>
      <c r="G1015" s="28" t="s">
        <v>126</v>
      </c>
      <c r="H1015" s="28" t="s">
        <v>64</v>
      </c>
      <c r="I1015" s="28" t="s">
        <v>65</v>
      </c>
      <c r="J1015" s="28" t="s">
        <v>71</v>
      </c>
      <c r="K1015" s="28" t="s">
        <v>84</v>
      </c>
      <c r="L1015" s="28" t="s">
        <v>85</v>
      </c>
      <c r="M1015" s="28" t="s">
        <v>86</v>
      </c>
      <c r="N1015" s="28" t="s">
        <v>87</v>
      </c>
      <c r="O1015" s="29" t="n">
        <v>23</v>
      </c>
      <c r="P1015" s="30" t="n">
        <v>117.6</v>
      </c>
      <c r="Q1015" s="30" t="n">
        <v>63.6</v>
      </c>
      <c r="R1015" s="30" t="n">
        <f aca="false">ROUND(O1015*P1015,2)</f>
        <v>2704.8</v>
      </c>
      <c r="S1015" s="30" t="n">
        <f aca="false">ROUND(O1015*Q1015,2)</f>
        <v>1462.8</v>
      </c>
      <c r="T1015" s="30" t="n">
        <f aca="false">ROUND(R1015*SUMIFS(Parametros!$E$23:$E$38,Parametros!$B$23:$B$38,J1015,Parametros!$C$23:$C$38,C1015,Parametros!$D$23:$D$38,D1015),2)</f>
        <v>129.83</v>
      </c>
      <c r="U1015" s="30" t="n">
        <f aca="false">R1015-S1015-T1015</f>
        <v>1112.17</v>
      </c>
    </row>
    <row r="1016" customFormat="false" ht="15" hidden="false" customHeight="false" outlineLevel="0" collapsed="false">
      <c r="A1016" s="0" t="n">
        <v>1015</v>
      </c>
      <c r="B1016" s="27" t="n">
        <v>45601</v>
      </c>
      <c r="C1016" s="0" t="n">
        <v>2024</v>
      </c>
      <c r="D1016" s="28" t="s">
        <v>122</v>
      </c>
      <c r="E1016" s="0" t="n">
        <v>11</v>
      </c>
      <c r="F1016" s="28" t="s">
        <v>125</v>
      </c>
      <c r="G1016" s="28" t="s">
        <v>126</v>
      </c>
      <c r="H1016" s="28" t="s">
        <v>64</v>
      </c>
      <c r="I1016" s="28" t="s">
        <v>65</v>
      </c>
      <c r="J1016" s="28" t="s">
        <v>66</v>
      </c>
      <c r="K1016" s="28" t="s">
        <v>84</v>
      </c>
      <c r="L1016" s="28" t="s">
        <v>85</v>
      </c>
      <c r="M1016" s="28" t="s">
        <v>88</v>
      </c>
      <c r="N1016" s="28" t="s">
        <v>89</v>
      </c>
      <c r="O1016" s="29" t="n">
        <v>65</v>
      </c>
      <c r="P1016" s="30" t="n">
        <v>83.3</v>
      </c>
      <c r="Q1016" s="30" t="n">
        <v>48.02</v>
      </c>
      <c r="R1016" s="30" t="n">
        <f aca="false">ROUND(O1016*P1016,2)</f>
        <v>5414.5</v>
      </c>
      <c r="S1016" s="30" t="n">
        <f aca="false">ROUND(O1016*Q1016,2)</f>
        <v>3121.3</v>
      </c>
      <c r="T1016" s="30" t="n">
        <f aca="false">ROUND(R1016*SUMIFS(Parametros!$E$23:$E$38,Parametros!$B$23:$B$38,J1016,Parametros!$C$23:$C$38,C1016,Parametros!$D$23:$D$38,D1016),2)</f>
        <v>70.39</v>
      </c>
      <c r="U1016" s="30" t="n">
        <f aca="false">R1016-S1016-T1016</f>
        <v>2222.81</v>
      </c>
    </row>
    <row r="1017" customFormat="false" ht="15" hidden="false" customHeight="false" outlineLevel="0" collapsed="false">
      <c r="A1017" s="0" t="n">
        <v>1016</v>
      </c>
      <c r="B1017" s="27" t="n">
        <v>45608</v>
      </c>
      <c r="C1017" s="0" t="n">
        <v>2024</v>
      </c>
      <c r="D1017" s="28" t="s">
        <v>122</v>
      </c>
      <c r="E1017" s="0" t="n">
        <v>11</v>
      </c>
      <c r="F1017" s="28" t="s">
        <v>125</v>
      </c>
      <c r="G1017" s="28" t="s">
        <v>126</v>
      </c>
      <c r="H1017" s="28" t="s">
        <v>64</v>
      </c>
      <c r="I1017" s="28" t="s">
        <v>65</v>
      </c>
      <c r="J1017" s="28" t="s">
        <v>71</v>
      </c>
      <c r="K1017" s="28" t="s">
        <v>84</v>
      </c>
      <c r="L1017" s="28" t="s">
        <v>85</v>
      </c>
      <c r="M1017" s="28" t="s">
        <v>88</v>
      </c>
      <c r="N1017" s="28" t="s">
        <v>89</v>
      </c>
      <c r="O1017" s="29" t="n">
        <v>21</v>
      </c>
      <c r="P1017" s="30" t="n">
        <v>83.3</v>
      </c>
      <c r="Q1017" s="30" t="n">
        <v>48.02</v>
      </c>
      <c r="R1017" s="30" t="n">
        <f aca="false">ROUND(O1017*P1017,2)</f>
        <v>1749.3</v>
      </c>
      <c r="S1017" s="30" t="n">
        <f aca="false">ROUND(O1017*Q1017,2)</f>
        <v>1008.42</v>
      </c>
      <c r="T1017" s="30" t="n">
        <f aca="false">ROUND(R1017*SUMIFS(Parametros!$E$23:$E$38,Parametros!$B$23:$B$38,J1017,Parametros!$C$23:$C$38,C1017,Parametros!$D$23:$D$38,D1017),2)</f>
        <v>83.97</v>
      </c>
      <c r="U1017" s="30" t="n">
        <f aca="false">R1017-S1017-T1017</f>
        <v>656.91</v>
      </c>
    </row>
    <row r="1018" customFormat="false" ht="15" hidden="false" customHeight="false" outlineLevel="0" collapsed="false">
      <c r="A1018" s="0" t="n">
        <v>1017</v>
      </c>
      <c r="B1018" s="27" t="n">
        <v>45615</v>
      </c>
      <c r="C1018" s="0" t="n">
        <v>2024</v>
      </c>
      <c r="D1018" s="28" t="s">
        <v>122</v>
      </c>
      <c r="E1018" s="0" t="n">
        <v>11</v>
      </c>
      <c r="F1018" s="28" t="s">
        <v>125</v>
      </c>
      <c r="G1018" s="28" t="s">
        <v>126</v>
      </c>
      <c r="H1018" s="28" t="s">
        <v>64</v>
      </c>
      <c r="I1018" s="28" t="s">
        <v>65</v>
      </c>
      <c r="J1018" s="28" t="s">
        <v>66</v>
      </c>
      <c r="K1018" s="28" t="s">
        <v>90</v>
      </c>
      <c r="L1018" s="28" t="s">
        <v>91</v>
      </c>
      <c r="M1018" s="28" t="s">
        <v>92</v>
      </c>
      <c r="N1018" s="28" t="s">
        <v>93</v>
      </c>
      <c r="O1018" s="29" t="n">
        <v>68</v>
      </c>
      <c r="P1018" s="30" t="n">
        <v>127.4</v>
      </c>
      <c r="Q1018" s="30" t="n">
        <v>76.05</v>
      </c>
      <c r="R1018" s="30" t="n">
        <f aca="false">ROUND(O1018*P1018,2)</f>
        <v>8663.2</v>
      </c>
      <c r="S1018" s="30" t="n">
        <f aca="false">ROUND(O1018*Q1018,2)</f>
        <v>5171.4</v>
      </c>
      <c r="T1018" s="30" t="n">
        <f aca="false">ROUND(R1018*SUMIFS(Parametros!$E$23:$E$38,Parametros!$B$23:$B$38,J1018,Parametros!$C$23:$C$38,C1018,Parametros!$D$23:$D$38,D1018),2)</f>
        <v>112.62</v>
      </c>
      <c r="U1018" s="30" t="n">
        <f aca="false">R1018-S1018-T1018</f>
        <v>3379.18</v>
      </c>
    </row>
    <row r="1019" customFormat="false" ht="15" hidden="false" customHeight="false" outlineLevel="0" collapsed="false">
      <c r="A1019" s="0" t="n">
        <v>1018</v>
      </c>
      <c r="B1019" s="27" t="n">
        <v>45622</v>
      </c>
      <c r="C1019" s="0" t="n">
        <v>2024</v>
      </c>
      <c r="D1019" s="28" t="s">
        <v>122</v>
      </c>
      <c r="E1019" s="0" t="n">
        <v>11</v>
      </c>
      <c r="F1019" s="28" t="s">
        <v>125</v>
      </c>
      <c r="G1019" s="28" t="s">
        <v>126</v>
      </c>
      <c r="H1019" s="28" t="s">
        <v>64</v>
      </c>
      <c r="I1019" s="28" t="s">
        <v>65</v>
      </c>
      <c r="J1019" s="28" t="s">
        <v>71</v>
      </c>
      <c r="K1019" s="28" t="s">
        <v>90</v>
      </c>
      <c r="L1019" s="28" t="s">
        <v>91</v>
      </c>
      <c r="M1019" s="28" t="s">
        <v>92</v>
      </c>
      <c r="N1019" s="28" t="s">
        <v>93</v>
      </c>
      <c r="O1019" s="29" t="n">
        <v>33</v>
      </c>
      <c r="P1019" s="30" t="n">
        <v>127.4</v>
      </c>
      <c r="Q1019" s="30" t="n">
        <v>76.05</v>
      </c>
      <c r="R1019" s="30" t="n">
        <f aca="false">ROUND(O1019*P1019,2)</f>
        <v>4204.2</v>
      </c>
      <c r="S1019" s="30" t="n">
        <f aca="false">ROUND(O1019*Q1019,2)</f>
        <v>2509.65</v>
      </c>
      <c r="T1019" s="30" t="n">
        <f aca="false">ROUND(R1019*SUMIFS(Parametros!$E$23:$E$38,Parametros!$B$23:$B$38,J1019,Parametros!$C$23:$C$38,C1019,Parametros!$D$23:$D$38,D1019),2)</f>
        <v>201.8</v>
      </c>
      <c r="U1019" s="30" t="n">
        <f aca="false">R1019-S1019-T1019</f>
        <v>1492.75</v>
      </c>
    </row>
    <row r="1020" customFormat="false" ht="15" hidden="false" customHeight="false" outlineLevel="0" collapsed="false">
      <c r="A1020" s="0" t="n">
        <v>1019</v>
      </c>
      <c r="B1020" s="27" t="n">
        <v>45602</v>
      </c>
      <c r="C1020" s="0" t="n">
        <v>2024</v>
      </c>
      <c r="D1020" s="28" t="s">
        <v>122</v>
      </c>
      <c r="E1020" s="0" t="n">
        <v>11</v>
      </c>
      <c r="F1020" s="28" t="s">
        <v>125</v>
      </c>
      <c r="G1020" s="28" t="s">
        <v>126</v>
      </c>
      <c r="H1020" s="28" t="s">
        <v>64</v>
      </c>
      <c r="I1020" s="28" t="s">
        <v>65</v>
      </c>
      <c r="J1020" s="28" t="s">
        <v>66</v>
      </c>
      <c r="K1020" s="28" t="s">
        <v>90</v>
      </c>
      <c r="L1020" s="28" t="s">
        <v>91</v>
      </c>
      <c r="M1020" s="28" t="s">
        <v>94</v>
      </c>
      <c r="N1020" s="28" t="s">
        <v>95</v>
      </c>
      <c r="O1020" s="29" t="n">
        <v>80</v>
      </c>
      <c r="P1020" s="30" t="n">
        <v>34.3</v>
      </c>
      <c r="Q1020" s="30" t="n">
        <v>17.85</v>
      </c>
      <c r="R1020" s="30" t="n">
        <f aca="false">ROUND(O1020*P1020,2)</f>
        <v>2744</v>
      </c>
      <c r="S1020" s="30" t="n">
        <f aca="false">ROUND(O1020*Q1020,2)</f>
        <v>1428</v>
      </c>
      <c r="T1020" s="30" t="n">
        <f aca="false">ROUND(R1020*SUMIFS(Parametros!$E$23:$E$38,Parametros!$B$23:$B$38,J1020,Parametros!$C$23:$C$38,C1020,Parametros!$D$23:$D$38,D1020),2)</f>
        <v>35.67</v>
      </c>
      <c r="U1020" s="30" t="n">
        <f aca="false">R1020-S1020-T1020</f>
        <v>1280.33</v>
      </c>
    </row>
    <row r="1021" customFormat="false" ht="15" hidden="false" customHeight="false" outlineLevel="0" collapsed="false">
      <c r="A1021" s="0" t="n">
        <v>1020</v>
      </c>
      <c r="B1021" s="27" t="n">
        <v>45609</v>
      </c>
      <c r="C1021" s="0" t="n">
        <v>2024</v>
      </c>
      <c r="D1021" s="28" t="s">
        <v>122</v>
      </c>
      <c r="E1021" s="0" t="n">
        <v>11</v>
      </c>
      <c r="F1021" s="28" t="s">
        <v>125</v>
      </c>
      <c r="G1021" s="28" t="s">
        <v>126</v>
      </c>
      <c r="H1021" s="28" t="s">
        <v>64</v>
      </c>
      <c r="I1021" s="28" t="s">
        <v>65</v>
      </c>
      <c r="J1021" s="28" t="s">
        <v>71</v>
      </c>
      <c r="K1021" s="28" t="s">
        <v>90</v>
      </c>
      <c r="L1021" s="28" t="s">
        <v>91</v>
      </c>
      <c r="M1021" s="28" t="s">
        <v>94</v>
      </c>
      <c r="N1021" s="28" t="s">
        <v>95</v>
      </c>
      <c r="O1021" s="29" t="n">
        <v>31</v>
      </c>
      <c r="P1021" s="30" t="n">
        <v>34.3</v>
      </c>
      <c r="Q1021" s="30" t="n">
        <v>17.85</v>
      </c>
      <c r="R1021" s="30" t="n">
        <f aca="false">ROUND(O1021*P1021,2)</f>
        <v>1063.3</v>
      </c>
      <c r="S1021" s="30" t="n">
        <f aca="false">ROUND(O1021*Q1021,2)</f>
        <v>553.35</v>
      </c>
      <c r="T1021" s="30" t="n">
        <f aca="false">ROUND(R1021*SUMIFS(Parametros!$E$23:$E$38,Parametros!$B$23:$B$38,J1021,Parametros!$C$23:$C$38,C1021,Parametros!$D$23:$D$38,D1021),2)</f>
        <v>51.04</v>
      </c>
      <c r="U1021" s="30" t="n">
        <f aca="false">R1021-S1021-T1021</f>
        <v>458.91</v>
      </c>
    </row>
    <row r="1022" customFormat="false" ht="15" hidden="false" customHeight="false" outlineLevel="0" collapsed="false">
      <c r="A1022" s="0" t="n">
        <v>1021</v>
      </c>
      <c r="B1022" s="27" t="n">
        <v>45616</v>
      </c>
      <c r="C1022" s="0" t="n">
        <v>2024</v>
      </c>
      <c r="D1022" s="28" t="s">
        <v>122</v>
      </c>
      <c r="E1022" s="0" t="n">
        <v>11</v>
      </c>
      <c r="F1022" s="28" t="s">
        <v>125</v>
      </c>
      <c r="G1022" s="28" t="s">
        <v>126</v>
      </c>
      <c r="H1022" s="28" t="s">
        <v>96</v>
      </c>
      <c r="I1022" s="28" t="s">
        <v>97</v>
      </c>
      <c r="J1022" s="28" t="s">
        <v>66</v>
      </c>
      <c r="K1022" s="28" t="s">
        <v>67</v>
      </c>
      <c r="L1022" s="28" t="s">
        <v>68</v>
      </c>
      <c r="M1022" s="28" t="s">
        <v>69</v>
      </c>
      <c r="N1022" s="28" t="s">
        <v>70</v>
      </c>
      <c r="O1022" s="29" t="n">
        <v>17</v>
      </c>
      <c r="P1022" s="30" t="n">
        <v>1176</v>
      </c>
      <c r="Q1022" s="30" t="n">
        <v>744</v>
      </c>
      <c r="R1022" s="30" t="n">
        <f aca="false">ROUND(O1022*P1022,2)</f>
        <v>19992</v>
      </c>
      <c r="S1022" s="30" t="n">
        <f aca="false">ROUND(O1022*Q1022,2)</f>
        <v>12648</v>
      </c>
      <c r="T1022" s="30" t="n">
        <f aca="false">ROUND(R1022*SUMIFS(Parametros!$E$23:$E$38,Parametros!$B$23:$B$38,J1022,Parametros!$C$23:$C$38,C1022,Parametros!$D$23:$D$38,D1022),2)</f>
        <v>259.9</v>
      </c>
      <c r="U1022" s="30" t="n">
        <f aca="false">R1022-S1022-T1022</f>
        <v>7084.1</v>
      </c>
    </row>
    <row r="1023" customFormat="false" ht="15" hidden="false" customHeight="false" outlineLevel="0" collapsed="false">
      <c r="A1023" s="0" t="n">
        <v>1022</v>
      </c>
      <c r="B1023" s="27" t="n">
        <v>45623</v>
      </c>
      <c r="C1023" s="0" t="n">
        <v>2024</v>
      </c>
      <c r="D1023" s="28" t="s">
        <v>122</v>
      </c>
      <c r="E1023" s="0" t="n">
        <v>11</v>
      </c>
      <c r="F1023" s="28" t="s">
        <v>125</v>
      </c>
      <c r="G1023" s="28" t="s">
        <v>126</v>
      </c>
      <c r="H1023" s="28" t="s">
        <v>96</v>
      </c>
      <c r="I1023" s="28" t="s">
        <v>97</v>
      </c>
      <c r="J1023" s="28" t="s">
        <v>71</v>
      </c>
      <c r="K1023" s="28" t="s">
        <v>67</v>
      </c>
      <c r="L1023" s="28" t="s">
        <v>68</v>
      </c>
      <c r="M1023" s="28" t="s">
        <v>69</v>
      </c>
      <c r="N1023" s="28" t="s">
        <v>70</v>
      </c>
      <c r="O1023" s="29" t="n">
        <v>7</v>
      </c>
      <c r="P1023" s="30" t="n">
        <v>1176</v>
      </c>
      <c r="Q1023" s="30" t="n">
        <v>744</v>
      </c>
      <c r="R1023" s="30" t="n">
        <f aca="false">ROUND(O1023*P1023,2)</f>
        <v>8232</v>
      </c>
      <c r="S1023" s="30" t="n">
        <f aca="false">ROUND(O1023*Q1023,2)</f>
        <v>5208</v>
      </c>
      <c r="T1023" s="30" t="n">
        <f aca="false">ROUND(R1023*SUMIFS(Parametros!$E$23:$E$38,Parametros!$B$23:$B$38,J1023,Parametros!$C$23:$C$38,C1023,Parametros!$D$23:$D$38,D1023),2)</f>
        <v>395.14</v>
      </c>
      <c r="U1023" s="30" t="n">
        <f aca="false">R1023-S1023-T1023</f>
        <v>2628.86</v>
      </c>
    </row>
    <row r="1024" customFormat="false" ht="15" hidden="false" customHeight="false" outlineLevel="0" collapsed="false">
      <c r="A1024" s="0" t="n">
        <v>1023</v>
      </c>
      <c r="B1024" s="27" t="n">
        <v>45603</v>
      </c>
      <c r="C1024" s="0" t="n">
        <v>2024</v>
      </c>
      <c r="D1024" s="28" t="s">
        <v>122</v>
      </c>
      <c r="E1024" s="0" t="n">
        <v>11</v>
      </c>
      <c r="F1024" s="28" t="s">
        <v>125</v>
      </c>
      <c r="G1024" s="28" t="s">
        <v>126</v>
      </c>
      <c r="H1024" s="28" t="s">
        <v>96</v>
      </c>
      <c r="I1024" s="28" t="s">
        <v>97</v>
      </c>
      <c r="J1024" s="28" t="s">
        <v>66</v>
      </c>
      <c r="K1024" s="28" t="s">
        <v>67</v>
      </c>
      <c r="L1024" s="28" t="s">
        <v>68</v>
      </c>
      <c r="M1024" s="28" t="s">
        <v>72</v>
      </c>
      <c r="N1024" s="28" t="s">
        <v>73</v>
      </c>
      <c r="O1024" s="29" t="n">
        <v>14</v>
      </c>
      <c r="P1024" s="30" t="n">
        <v>441</v>
      </c>
      <c r="Q1024" s="30" t="n">
        <v>272.25</v>
      </c>
      <c r="R1024" s="30" t="n">
        <f aca="false">ROUND(O1024*P1024,2)</f>
        <v>6174</v>
      </c>
      <c r="S1024" s="30" t="n">
        <f aca="false">ROUND(O1024*Q1024,2)</f>
        <v>3811.5</v>
      </c>
      <c r="T1024" s="30" t="n">
        <f aca="false">ROUND(R1024*SUMIFS(Parametros!$E$23:$E$38,Parametros!$B$23:$B$38,J1024,Parametros!$C$23:$C$38,C1024,Parametros!$D$23:$D$38,D1024),2)</f>
        <v>80.26</v>
      </c>
      <c r="U1024" s="30" t="n">
        <f aca="false">R1024-S1024-T1024</f>
        <v>2282.24</v>
      </c>
    </row>
    <row r="1025" customFormat="false" ht="15" hidden="false" customHeight="false" outlineLevel="0" collapsed="false">
      <c r="A1025" s="0" t="n">
        <v>1024</v>
      </c>
      <c r="B1025" s="27" t="n">
        <v>45610</v>
      </c>
      <c r="C1025" s="0" t="n">
        <v>2024</v>
      </c>
      <c r="D1025" s="28" t="s">
        <v>122</v>
      </c>
      <c r="E1025" s="0" t="n">
        <v>11</v>
      </c>
      <c r="F1025" s="28" t="s">
        <v>125</v>
      </c>
      <c r="G1025" s="28" t="s">
        <v>126</v>
      </c>
      <c r="H1025" s="28" t="s">
        <v>96</v>
      </c>
      <c r="I1025" s="28" t="s">
        <v>97</v>
      </c>
      <c r="J1025" s="28" t="s">
        <v>71</v>
      </c>
      <c r="K1025" s="28" t="s">
        <v>67</v>
      </c>
      <c r="L1025" s="28" t="s">
        <v>68</v>
      </c>
      <c r="M1025" s="28" t="s">
        <v>72</v>
      </c>
      <c r="N1025" s="28" t="s">
        <v>73</v>
      </c>
      <c r="O1025" s="29" t="n">
        <v>6</v>
      </c>
      <c r="P1025" s="30" t="n">
        <v>441</v>
      </c>
      <c r="Q1025" s="30" t="n">
        <v>272.25</v>
      </c>
      <c r="R1025" s="30" t="n">
        <f aca="false">ROUND(O1025*P1025,2)</f>
        <v>2646</v>
      </c>
      <c r="S1025" s="30" t="n">
        <f aca="false">ROUND(O1025*Q1025,2)</f>
        <v>1633.5</v>
      </c>
      <c r="T1025" s="30" t="n">
        <f aca="false">ROUND(R1025*SUMIFS(Parametros!$E$23:$E$38,Parametros!$B$23:$B$38,J1025,Parametros!$C$23:$C$38,C1025,Parametros!$D$23:$D$38,D1025),2)</f>
        <v>127.01</v>
      </c>
      <c r="U1025" s="30" t="n">
        <f aca="false">R1025-S1025-T1025</f>
        <v>885.49</v>
      </c>
    </row>
    <row r="1026" customFormat="false" ht="15" hidden="false" customHeight="false" outlineLevel="0" collapsed="false">
      <c r="A1026" s="0" t="n">
        <v>1025</v>
      </c>
      <c r="B1026" s="27" t="n">
        <v>45617</v>
      </c>
      <c r="C1026" s="0" t="n">
        <v>2024</v>
      </c>
      <c r="D1026" s="28" t="s">
        <v>122</v>
      </c>
      <c r="E1026" s="0" t="n">
        <v>11</v>
      </c>
      <c r="F1026" s="28" t="s">
        <v>125</v>
      </c>
      <c r="G1026" s="28" t="s">
        <v>126</v>
      </c>
      <c r="H1026" s="28" t="s">
        <v>96</v>
      </c>
      <c r="I1026" s="28" t="s">
        <v>97</v>
      </c>
      <c r="J1026" s="28" t="s">
        <v>66</v>
      </c>
      <c r="K1026" s="28" t="s">
        <v>67</v>
      </c>
      <c r="L1026" s="28" t="s">
        <v>68</v>
      </c>
      <c r="M1026" s="28" t="s">
        <v>74</v>
      </c>
      <c r="N1026" s="28" t="s">
        <v>75</v>
      </c>
      <c r="O1026" s="29" t="n">
        <v>13</v>
      </c>
      <c r="P1026" s="30" t="n">
        <v>1617</v>
      </c>
      <c r="Q1026" s="30" t="n">
        <v>1122</v>
      </c>
      <c r="R1026" s="30" t="n">
        <f aca="false">ROUND(O1026*P1026,2)</f>
        <v>21021</v>
      </c>
      <c r="S1026" s="30" t="n">
        <f aca="false">ROUND(O1026*Q1026,2)</f>
        <v>14586</v>
      </c>
      <c r="T1026" s="30" t="n">
        <f aca="false">ROUND(R1026*SUMIFS(Parametros!$E$23:$E$38,Parametros!$B$23:$B$38,J1026,Parametros!$C$23:$C$38,C1026,Parametros!$D$23:$D$38,D1026),2)</f>
        <v>273.27</v>
      </c>
      <c r="U1026" s="30" t="n">
        <f aca="false">R1026-S1026-T1026</f>
        <v>6161.73</v>
      </c>
    </row>
    <row r="1027" customFormat="false" ht="15" hidden="false" customHeight="false" outlineLevel="0" collapsed="false">
      <c r="A1027" s="0" t="n">
        <v>1026</v>
      </c>
      <c r="B1027" s="27" t="n">
        <v>45597</v>
      </c>
      <c r="C1027" s="0" t="n">
        <v>2024</v>
      </c>
      <c r="D1027" s="28" t="s">
        <v>122</v>
      </c>
      <c r="E1027" s="0" t="n">
        <v>11</v>
      </c>
      <c r="F1027" s="28" t="s">
        <v>125</v>
      </c>
      <c r="G1027" s="28" t="s">
        <v>126</v>
      </c>
      <c r="H1027" s="28" t="s">
        <v>96</v>
      </c>
      <c r="I1027" s="28" t="s">
        <v>97</v>
      </c>
      <c r="J1027" s="28" t="s">
        <v>71</v>
      </c>
      <c r="K1027" s="28" t="s">
        <v>67</v>
      </c>
      <c r="L1027" s="28" t="s">
        <v>68</v>
      </c>
      <c r="M1027" s="28" t="s">
        <v>74</v>
      </c>
      <c r="N1027" s="28" t="s">
        <v>75</v>
      </c>
      <c r="O1027" s="29" t="n">
        <v>5</v>
      </c>
      <c r="P1027" s="30" t="n">
        <v>1617</v>
      </c>
      <c r="Q1027" s="30" t="n">
        <v>1122</v>
      </c>
      <c r="R1027" s="30" t="n">
        <f aca="false">ROUND(O1027*P1027,2)</f>
        <v>8085</v>
      </c>
      <c r="S1027" s="30" t="n">
        <f aca="false">ROUND(O1027*Q1027,2)</f>
        <v>5610</v>
      </c>
      <c r="T1027" s="30" t="n">
        <f aca="false">ROUND(R1027*SUMIFS(Parametros!$E$23:$E$38,Parametros!$B$23:$B$38,J1027,Parametros!$C$23:$C$38,C1027,Parametros!$D$23:$D$38,D1027),2)</f>
        <v>388.08</v>
      </c>
      <c r="U1027" s="30" t="n">
        <f aca="false">R1027-S1027-T1027</f>
        <v>2086.92</v>
      </c>
    </row>
    <row r="1028" customFormat="false" ht="15" hidden="false" customHeight="false" outlineLevel="0" collapsed="false">
      <c r="A1028" s="0" t="n">
        <v>1027</v>
      </c>
      <c r="B1028" s="27" t="n">
        <v>45604</v>
      </c>
      <c r="C1028" s="0" t="n">
        <v>2024</v>
      </c>
      <c r="D1028" s="28" t="s">
        <v>122</v>
      </c>
      <c r="E1028" s="0" t="n">
        <v>11</v>
      </c>
      <c r="F1028" s="28" t="s">
        <v>125</v>
      </c>
      <c r="G1028" s="28" t="s">
        <v>126</v>
      </c>
      <c r="H1028" s="28" t="s">
        <v>96</v>
      </c>
      <c r="I1028" s="28" t="s">
        <v>97</v>
      </c>
      <c r="J1028" s="28" t="s">
        <v>66</v>
      </c>
      <c r="K1028" s="28" t="s">
        <v>76</v>
      </c>
      <c r="L1028" s="28" t="s">
        <v>77</v>
      </c>
      <c r="M1028" s="28" t="s">
        <v>78</v>
      </c>
      <c r="N1028" s="28" t="s">
        <v>79</v>
      </c>
      <c r="O1028" s="29" t="n">
        <v>74</v>
      </c>
      <c r="P1028" s="30" t="n">
        <v>27.44</v>
      </c>
      <c r="Q1028" s="30" t="n">
        <v>13.44</v>
      </c>
      <c r="R1028" s="30" t="n">
        <f aca="false">ROUND(O1028*P1028,2)</f>
        <v>2030.56</v>
      </c>
      <c r="S1028" s="30" t="n">
        <f aca="false">ROUND(O1028*Q1028,2)</f>
        <v>994.56</v>
      </c>
      <c r="T1028" s="30" t="n">
        <f aca="false">ROUND(R1028*SUMIFS(Parametros!$E$23:$E$38,Parametros!$B$23:$B$38,J1028,Parametros!$C$23:$C$38,C1028,Parametros!$D$23:$D$38,D1028),2)</f>
        <v>26.4</v>
      </c>
      <c r="U1028" s="30" t="n">
        <f aca="false">R1028-S1028-T1028</f>
        <v>1009.6</v>
      </c>
    </row>
    <row r="1029" customFormat="false" ht="15" hidden="false" customHeight="false" outlineLevel="0" collapsed="false">
      <c r="A1029" s="0" t="n">
        <v>1028</v>
      </c>
      <c r="B1029" s="27" t="n">
        <v>45611</v>
      </c>
      <c r="C1029" s="0" t="n">
        <v>2024</v>
      </c>
      <c r="D1029" s="28" t="s">
        <v>122</v>
      </c>
      <c r="E1029" s="0" t="n">
        <v>11</v>
      </c>
      <c r="F1029" s="28" t="s">
        <v>125</v>
      </c>
      <c r="G1029" s="28" t="s">
        <v>126</v>
      </c>
      <c r="H1029" s="28" t="s">
        <v>96</v>
      </c>
      <c r="I1029" s="28" t="s">
        <v>97</v>
      </c>
      <c r="J1029" s="28" t="s">
        <v>71</v>
      </c>
      <c r="K1029" s="28" t="s">
        <v>76</v>
      </c>
      <c r="L1029" s="28" t="s">
        <v>77</v>
      </c>
      <c r="M1029" s="28" t="s">
        <v>78</v>
      </c>
      <c r="N1029" s="28" t="s">
        <v>79</v>
      </c>
      <c r="O1029" s="29" t="n">
        <v>27</v>
      </c>
      <c r="P1029" s="30" t="n">
        <v>27.44</v>
      </c>
      <c r="Q1029" s="30" t="n">
        <v>13.44</v>
      </c>
      <c r="R1029" s="30" t="n">
        <f aca="false">ROUND(O1029*P1029,2)</f>
        <v>740.88</v>
      </c>
      <c r="S1029" s="30" t="n">
        <f aca="false">ROUND(O1029*Q1029,2)</f>
        <v>362.88</v>
      </c>
      <c r="T1029" s="30" t="n">
        <f aca="false">ROUND(R1029*SUMIFS(Parametros!$E$23:$E$38,Parametros!$B$23:$B$38,J1029,Parametros!$C$23:$C$38,C1029,Parametros!$D$23:$D$38,D1029),2)</f>
        <v>35.56</v>
      </c>
      <c r="U1029" s="30" t="n">
        <f aca="false">R1029-S1029-T1029</f>
        <v>342.44</v>
      </c>
    </row>
    <row r="1030" customFormat="false" ht="15" hidden="false" customHeight="false" outlineLevel="0" collapsed="false">
      <c r="A1030" s="0" t="n">
        <v>1029</v>
      </c>
      <c r="B1030" s="27" t="n">
        <v>45618</v>
      </c>
      <c r="C1030" s="0" t="n">
        <v>2024</v>
      </c>
      <c r="D1030" s="28" t="s">
        <v>122</v>
      </c>
      <c r="E1030" s="0" t="n">
        <v>11</v>
      </c>
      <c r="F1030" s="28" t="s">
        <v>125</v>
      </c>
      <c r="G1030" s="28" t="s">
        <v>126</v>
      </c>
      <c r="H1030" s="28" t="s">
        <v>96</v>
      </c>
      <c r="I1030" s="28" t="s">
        <v>97</v>
      </c>
      <c r="J1030" s="28" t="s">
        <v>66</v>
      </c>
      <c r="K1030" s="28" t="s">
        <v>76</v>
      </c>
      <c r="L1030" s="28" t="s">
        <v>77</v>
      </c>
      <c r="M1030" s="28" t="s">
        <v>80</v>
      </c>
      <c r="N1030" s="28" t="s">
        <v>81</v>
      </c>
      <c r="O1030" s="29" t="n">
        <v>73</v>
      </c>
      <c r="P1030" s="30" t="n">
        <v>93.1</v>
      </c>
      <c r="Q1030" s="30" t="n">
        <v>47.98</v>
      </c>
      <c r="R1030" s="30" t="n">
        <f aca="false">ROUND(O1030*P1030,2)</f>
        <v>6796.3</v>
      </c>
      <c r="S1030" s="30" t="n">
        <f aca="false">ROUND(O1030*Q1030,2)</f>
        <v>3502.54</v>
      </c>
      <c r="T1030" s="30" t="n">
        <f aca="false">ROUND(R1030*SUMIFS(Parametros!$E$23:$E$38,Parametros!$B$23:$B$38,J1030,Parametros!$C$23:$C$38,C1030,Parametros!$D$23:$D$38,D1030),2)</f>
        <v>88.35</v>
      </c>
      <c r="U1030" s="30" t="n">
        <f aca="false">R1030-S1030-T1030</f>
        <v>3205.41</v>
      </c>
    </row>
    <row r="1031" customFormat="false" ht="15" hidden="false" customHeight="false" outlineLevel="0" collapsed="false">
      <c r="A1031" s="0" t="n">
        <v>1030</v>
      </c>
      <c r="B1031" s="27" t="n">
        <v>45598</v>
      </c>
      <c r="C1031" s="0" t="n">
        <v>2024</v>
      </c>
      <c r="D1031" s="28" t="s">
        <v>122</v>
      </c>
      <c r="E1031" s="0" t="n">
        <v>11</v>
      </c>
      <c r="F1031" s="28" t="s">
        <v>125</v>
      </c>
      <c r="G1031" s="28" t="s">
        <v>126</v>
      </c>
      <c r="H1031" s="28" t="s">
        <v>96</v>
      </c>
      <c r="I1031" s="28" t="s">
        <v>97</v>
      </c>
      <c r="J1031" s="28" t="s">
        <v>71</v>
      </c>
      <c r="K1031" s="28" t="s">
        <v>76</v>
      </c>
      <c r="L1031" s="28" t="s">
        <v>77</v>
      </c>
      <c r="M1031" s="28" t="s">
        <v>80</v>
      </c>
      <c r="N1031" s="28" t="s">
        <v>81</v>
      </c>
      <c r="O1031" s="29" t="n">
        <v>31</v>
      </c>
      <c r="P1031" s="30" t="n">
        <v>93.1</v>
      </c>
      <c r="Q1031" s="30" t="n">
        <v>47.98</v>
      </c>
      <c r="R1031" s="30" t="n">
        <f aca="false">ROUND(O1031*P1031,2)</f>
        <v>2886.1</v>
      </c>
      <c r="S1031" s="30" t="n">
        <f aca="false">ROUND(O1031*Q1031,2)</f>
        <v>1487.38</v>
      </c>
      <c r="T1031" s="30" t="n">
        <f aca="false">ROUND(R1031*SUMIFS(Parametros!$E$23:$E$38,Parametros!$B$23:$B$38,J1031,Parametros!$C$23:$C$38,C1031,Parametros!$D$23:$D$38,D1031),2)</f>
        <v>138.53</v>
      </c>
      <c r="U1031" s="30" t="n">
        <f aca="false">R1031-S1031-T1031</f>
        <v>1260.19</v>
      </c>
    </row>
    <row r="1032" customFormat="false" ht="15" hidden="false" customHeight="false" outlineLevel="0" collapsed="false">
      <c r="A1032" s="0" t="n">
        <v>1031</v>
      </c>
      <c r="B1032" s="27" t="n">
        <v>45605</v>
      </c>
      <c r="C1032" s="0" t="n">
        <v>2024</v>
      </c>
      <c r="D1032" s="28" t="s">
        <v>122</v>
      </c>
      <c r="E1032" s="0" t="n">
        <v>11</v>
      </c>
      <c r="F1032" s="28" t="s">
        <v>125</v>
      </c>
      <c r="G1032" s="28" t="s">
        <v>126</v>
      </c>
      <c r="H1032" s="28" t="s">
        <v>96</v>
      </c>
      <c r="I1032" s="28" t="s">
        <v>97</v>
      </c>
      <c r="J1032" s="28" t="s">
        <v>66</v>
      </c>
      <c r="K1032" s="28" t="s">
        <v>76</v>
      </c>
      <c r="L1032" s="28" t="s">
        <v>77</v>
      </c>
      <c r="M1032" s="28" t="s">
        <v>82</v>
      </c>
      <c r="N1032" s="28" t="s">
        <v>83</v>
      </c>
      <c r="O1032" s="29" t="n">
        <v>81</v>
      </c>
      <c r="P1032" s="30" t="n">
        <v>63.7</v>
      </c>
      <c r="Q1032" s="30" t="n">
        <v>35.43</v>
      </c>
      <c r="R1032" s="30" t="n">
        <f aca="false">ROUND(O1032*P1032,2)</f>
        <v>5159.7</v>
      </c>
      <c r="S1032" s="30" t="n">
        <f aca="false">ROUND(O1032*Q1032,2)</f>
        <v>2869.83</v>
      </c>
      <c r="T1032" s="30" t="n">
        <f aca="false">ROUND(R1032*SUMIFS(Parametros!$E$23:$E$38,Parametros!$B$23:$B$38,J1032,Parametros!$C$23:$C$38,C1032,Parametros!$D$23:$D$38,D1032),2)</f>
        <v>67.08</v>
      </c>
      <c r="U1032" s="30" t="n">
        <f aca="false">R1032-S1032-T1032</f>
        <v>2222.79</v>
      </c>
    </row>
    <row r="1033" customFormat="false" ht="15" hidden="false" customHeight="false" outlineLevel="0" collapsed="false">
      <c r="A1033" s="0" t="n">
        <v>1032</v>
      </c>
      <c r="B1033" s="27" t="n">
        <v>45612</v>
      </c>
      <c r="C1033" s="0" t="n">
        <v>2024</v>
      </c>
      <c r="D1033" s="28" t="s">
        <v>122</v>
      </c>
      <c r="E1033" s="0" t="n">
        <v>11</v>
      </c>
      <c r="F1033" s="28" t="s">
        <v>125</v>
      </c>
      <c r="G1033" s="28" t="s">
        <v>126</v>
      </c>
      <c r="H1033" s="28" t="s">
        <v>96</v>
      </c>
      <c r="I1033" s="28" t="s">
        <v>97</v>
      </c>
      <c r="J1033" s="28" t="s">
        <v>71</v>
      </c>
      <c r="K1033" s="28" t="s">
        <v>76</v>
      </c>
      <c r="L1033" s="28" t="s">
        <v>77</v>
      </c>
      <c r="M1033" s="28" t="s">
        <v>82</v>
      </c>
      <c r="N1033" s="28" t="s">
        <v>83</v>
      </c>
      <c r="O1033" s="29" t="n">
        <v>24</v>
      </c>
      <c r="P1033" s="30" t="n">
        <v>63.7</v>
      </c>
      <c r="Q1033" s="30" t="n">
        <v>35.43</v>
      </c>
      <c r="R1033" s="30" t="n">
        <f aca="false">ROUND(O1033*P1033,2)</f>
        <v>1528.8</v>
      </c>
      <c r="S1033" s="30" t="n">
        <f aca="false">ROUND(O1033*Q1033,2)</f>
        <v>850.32</v>
      </c>
      <c r="T1033" s="30" t="n">
        <f aca="false">ROUND(R1033*SUMIFS(Parametros!$E$23:$E$38,Parametros!$B$23:$B$38,J1033,Parametros!$C$23:$C$38,C1033,Parametros!$D$23:$D$38,D1033),2)</f>
        <v>73.38</v>
      </c>
      <c r="U1033" s="30" t="n">
        <f aca="false">R1033-S1033-T1033</f>
        <v>605.1</v>
      </c>
    </row>
    <row r="1034" customFormat="false" ht="15" hidden="false" customHeight="false" outlineLevel="0" collapsed="false">
      <c r="A1034" s="0" t="n">
        <v>1033</v>
      </c>
      <c r="B1034" s="27" t="n">
        <v>45619</v>
      </c>
      <c r="C1034" s="0" t="n">
        <v>2024</v>
      </c>
      <c r="D1034" s="28" t="s">
        <v>122</v>
      </c>
      <c r="E1034" s="0" t="n">
        <v>11</v>
      </c>
      <c r="F1034" s="28" t="s">
        <v>125</v>
      </c>
      <c r="G1034" s="28" t="s">
        <v>126</v>
      </c>
      <c r="H1034" s="28" t="s">
        <v>96</v>
      </c>
      <c r="I1034" s="28" t="s">
        <v>97</v>
      </c>
      <c r="J1034" s="28" t="s">
        <v>66</v>
      </c>
      <c r="K1034" s="28" t="s">
        <v>84</v>
      </c>
      <c r="L1034" s="28" t="s">
        <v>85</v>
      </c>
      <c r="M1034" s="28" t="s">
        <v>86</v>
      </c>
      <c r="N1034" s="28" t="s">
        <v>87</v>
      </c>
      <c r="O1034" s="29" t="n">
        <v>32</v>
      </c>
      <c r="P1034" s="30" t="n">
        <v>117.6</v>
      </c>
      <c r="Q1034" s="30" t="n">
        <v>63.6</v>
      </c>
      <c r="R1034" s="30" t="n">
        <f aca="false">ROUND(O1034*P1034,2)</f>
        <v>3763.2</v>
      </c>
      <c r="S1034" s="30" t="n">
        <f aca="false">ROUND(O1034*Q1034,2)</f>
        <v>2035.2</v>
      </c>
      <c r="T1034" s="30" t="n">
        <f aca="false">ROUND(R1034*SUMIFS(Parametros!$E$23:$E$38,Parametros!$B$23:$B$38,J1034,Parametros!$C$23:$C$38,C1034,Parametros!$D$23:$D$38,D1034),2)</f>
        <v>48.92</v>
      </c>
      <c r="U1034" s="30" t="n">
        <f aca="false">R1034-S1034-T1034</f>
        <v>1679.08</v>
      </c>
    </row>
    <row r="1035" customFormat="false" ht="15" hidden="false" customHeight="false" outlineLevel="0" collapsed="false">
      <c r="A1035" s="0" t="n">
        <v>1034</v>
      </c>
      <c r="B1035" s="27" t="n">
        <v>45599</v>
      </c>
      <c r="C1035" s="0" t="n">
        <v>2024</v>
      </c>
      <c r="D1035" s="28" t="s">
        <v>122</v>
      </c>
      <c r="E1035" s="0" t="n">
        <v>11</v>
      </c>
      <c r="F1035" s="28" t="s">
        <v>125</v>
      </c>
      <c r="G1035" s="28" t="s">
        <v>126</v>
      </c>
      <c r="H1035" s="28" t="s">
        <v>96</v>
      </c>
      <c r="I1035" s="28" t="s">
        <v>97</v>
      </c>
      <c r="J1035" s="28" t="s">
        <v>71</v>
      </c>
      <c r="K1035" s="28" t="s">
        <v>84</v>
      </c>
      <c r="L1035" s="28" t="s">
        <v>85</v>
      </c>
      <c r="M1035" s="28" t="s">
        <v>86</v>
      </c>
      <c r="N1035" s="28" t="s">
        <v>87</v>
      </c>
      <c r="O1035" s="29" t="n">
        <v>13</v>
      </c>
      <c r="P1035" s="30" t="n">
        <v>117.6</v>
      </c>
      <c r="Q1035" s="30" t="n">
        <v>63.6</v>
      </c>
      <c r="R1035" s="30" t="n">
        <f aca="false">ROUND(O1035*P1035,2)</f>
        <v>1528.8</v>
      </c>
      <c r="S1035" s="30" t="n">
        <f aca="false">ROUND(O1035*Q1035,2)</f>
        <v>826.8</v>
      </c>
      <c r="T1035" s="30" t="n">
        <f aca="false">ROUND(R1035*SUMIFS(Parametros!$E$23:$E$38,Parametros!$B$23:$B$38,J1035,Parametros!$C$23:$C$38,C1035,Parametros!$D$23:$D$38,D1035),2)</f>
        <v>73.38</v>
      </c>
      <c r="U1035" s="30" t="n">
        <f aca="false">R1035-S1035-T1035</f>
        <v>628.62</v>
      </c>
    </row>
    <row r="1036" customFormat="false" ht="15" hidden="false" customHeight="false" outlineLevel="0" collapsed="false">
      <c r="A1036" s="0" t="n">
        <v>1035</v>
      </c>
      <c r="B1036" s="27" t="n">
        <v>45606</v>
      </c>
      <c r="C1036" s="0" t="n">
        <v>2024</v>
      </c>
      <c r="D1036" s="28" t="s">
        <v>122</v>
      </c>
      <c r="E1036" s="0" t="n">
        <v>11</v>
      </c>
      <c r="F1036" s="28" t="s">
        <v>125</v>
      </c>
      <c r="G1036" s="28" t="s">
        <v>126</v>
      </c>
      <c r="H1036" s="28" t="s">
        <v>96</v>
      </c>
      <c r="I1036" s="28" t="s">
        <v>97</v>
      </c>
      <c r="J1036" s="28" t="s">
        <v>66</v>
      </c>
      <c r="K1036" s="28" t="s">
        <v>84</v>
      </c>
      <c r="L1036" s="28" t="s">
        <v>85</v>
      </c>
      <c r="M1036" s="28" t="s">
        <v>88</v>
      </c>
      <c r="N1036" s="28" t="s">
        <v>89</v>
      </c>
      <c r="O1036" s="29" t="n">
        <v>30</v>
      </c>
      <c r="P1036" s="30" t="n">
        <v>83.3</v>
      </c>
      <c r="Q1036" s="30" t="n">
        <v>48.02</v>
      </c>
      <c r="R1036" s="30" t="n">
        <f aca="false">ROUND(O1036*P1036,2)</f>
        <v>2499</v>
      </c>
      <c r="S1036" s="30" t="n">
        <f aca="false">ROUND(O1036*Q1036,2)</f>
        <v>1440.6</v>
      </c>
      <c r="T1036" s="30" t="n">
        <f aca="false">ROUND(R1036*SUMIFS(Parametros!$E$23:$E$38,Parametros!$B$23:$B$38,J1036,Parametros!$C$23:$C$38,C1036,Parametros!$D$23:$D$38,D1036),2)</f>
        <v>32.49</v>
      </c>
      <c r="U1036" s="30" t="n">
        <f aca="false">R1036-S1036-T1036</f>
        <v>1025.91</v>
      </c>
    </row>
    <row r="1037" customFormat="false" ht="15" hidden="false" customHeight="false" outlineLevel="0" collapsed="false">
      <c r="A1037" s="0" t="n">
        <v>1036</v>
      </c>
      <c r="B1037" s="27" t="n">
        <v>45613</v>
      </c>
      <c r="C1037" s="0" t="n">
        <v>2024</v>
      </c>
      <c r="D1037" s="28" t="s">
        <v>122</v>
      </c>
      <c r="E1037" s="0" t="n">
        <v>11</v>
      </c>
      <c r="F1037" s="28" t="s">
        <v>125</v>
      </c>
      <c r="G1037" s="28" t="s">
        <v>126</v>
      </c>
      <c r="H1037" s="28" t="s">
        <v>96</v>
      </c>
      <c r="I1037" s="28" t="s">
        <v>97</v>
      </c>
      <c r="J1037" s="28" t="s">
        <v>71</v>
      </c>
      <c r="K1037" s="28" t="s">
        <v>84</v>
      </c>
      <c r="L1037" s="28" t="s">
        <v>85</v>
      </c>
      <c r="M1037" s="28" t="s">
        <v>88</v>
      </c>
      <c r="N1037" s="28" t="s">
        <v>89</v>
      </c>
      <c r="O1037" s="29" t="n">
        <v>14</v>
      </c>
      <c r="P1037" s="30" t="n">
        <v>83.3</v>
      </c>
      <c r="Q1037" s="30" t="n">
        <v>48.02</v>
      </c>
      <c r="R1037" s="30" t="n">
        <f aca="false">ROUND(O1037*P1037,2)</f>
        <v>1166.2</v>
      </c>
      <c r="S1037" s="30" t="n">
        <f aca="false">ROUND(O1037*Q1037,2)</f>
        <v>672.28</v>
      </c>
      <c r="T1037" s="30" t="n">
        <f aca="false">ROUND(R1037*SUMIFS(Parametros!$E$23:$E$38,Parametros!$B$23:$B$38,J1037,Parametros!$C$23:$C$38,C1037,Parametros!$D$23:$D$38,D1037),2)</f>
        <v>55.98</v>
      </c>
      <c r="U1037" s="30" t="n">
        <f aca="false">R1037-S1037-T1037</f>
        <v>437.94</v>
      </c>
    </row>
    <row r="1038" customFormat="false" ht="15" hidden="false" customHeight="false" outlineLevel="0" collapsed="false">
      <c r="A1038" s="0" t="n">
        <v>1037</v>
      </c>
      <c r="B1038" s="27" t="n">
        <v>45620</v>
      </c>
      <c r="C1038" s="0" t="n">
        <v>2024</v>
      </c>
      <c r="D1038" s="28" t="s">
        <v>122</v>
      </c>
      <c r="E1038" s="0" t="n">
        <v>11</v>
      </c>
      <c r="F1038" s="28" t="s">
        <v>125</v>
      </c>
      <c r="G1038" s="28" t="s">
        <v>126</v>
      </c>
      <c r="H1038" s="28" t="s">
        <v>96</v>
      </c>
      <c r="I1038" s="28" t="s">
        <v>97</v>
      </c>
      <c r="J1038" s="28" t="s">
        <v>66</v>
      </c>
      <c r="K1038" s="28" t="s">
        <v>90</v>
      </c>
      <c r="L1038" s="28" t="s">
        <v>91</v>
      </c>
      <c r="M1038" s="28" t="s">
        <v>92</v>
      </c>
      <c r="N1038" s="28" t="s">
        <v>93</v>
      </c>
      <c r="O1038" s="29" t="n">
        <v>45</v>
      </c>
      <c r="P1038" s="30" t="n">
        <v>127.4</v>
      </c>
      <c r="Q1038" s="30" t="n">
        <v>76.05</v>
      </c>
      <c r="R1038" s="30" t="n">
        <f aca="false">ROUND(O1038*P1038,2)</f>
        <v>5733</v>
      </c>
      <c r="S1038" s="30" t="n">
        <f aca="false">ROUND(O1038*Q1038,2)</f>
        <v>3422.25</v>
      </c>
      <c r="T1038" s="30" t="n">
        <f aca="false">ROUND(R1038*SUMIFS(Parametros!$E$23:$E$38,Parametros!$B$23:$B$38,J1038,Parametros!$C$23:$C$38,C1038,Parametros!$D$23:$D$38,D1038),2)</f>
        <v>74.53</v>
      </c>
      <c r="U1038" s="30" t="n">
        <f aca="false">R1038-S1038-T1038</f>
        <v>2236.22</v>
      </c>
    </row>
    <row r="1039" customFormat="false" ht="15" hidden="false" customHeight="false" outlineLevel="0" collapsed="false">
      <c r="A1039" s="0" t="n">
        <v>1038</v>
      </c>
      <c r="B1039" s="27" t="n">
        <v>45600</v>
      </c>
      <c r="C1039" s="0" t="n">
        <v>2024</v>
      </c>
      <c r="D1039" s="28" t="s">
        <v>122</v>
      </c>
      <c r="E1039" s="0" t="n">
        <v>11</v>
      </c>
      <c r="F1039" s="28" t="s">
        <v>125</v>
      </c>
      <c r="G1039" s="28" t="s">
        <v>126</v>
      </c>
      <c r="H1039" s="28" t="s">
        <v>96</v>
      </c>
      <c r="I1039" s="28" t="s">
        <v>97</v>
      </c>
      <c r="J1039" s="28" t="s">
        <v>71</v>
      </c>
      <c r="K1039" s="28" t="s">
        <v>90</v>
      </c>
      <c r="L1039" s="28" t="s">
        <v>91</v>
      </c>
      <c r="M1039" s="28" t="s">
        <v>92</v>
      </c>
      <c r="N1039" s="28" t="s">
        <v>93</v>
      </c>
      <c r="O1039" s="29" t="n">
        <v>18</v>
      </c>
      <c r="P1039" s="30" t="n">
        <v>127.4</v>
      </c>
      <c r="Q1039" s="30" t="n">
        <v>76.05</v>
      </c>
      <c r="R1039" s="30" t="n">
        <f aca="false">ROUND(O1039*P1039,2)</f>
        <v>2293.2</v>
      </c>
      <c r="S1039" s="30" t="n">
        <f aca="false">ROUND(O1039*Q1039,2)</f>
        <v>1368.9</v>
      </c>
      <c r="T1039" s="30" t="n">
        <f aca="false">ROUND(R1039*SUMIFS(Parametros!$E$23:$E$38,Parametros!$B$23:$B$38,J1039,Parametros!$C$23:$C$38,C1039,Parametros!$D$23:$D$38,D1039),2)</f>
        <v>110.07</v>
      </c>
      <c r="U1039" s="30" t="n">
        <f aca="false">R1039-S1039-T1039</f>
        <v>814.23</v>
      </c>
    </row>
    <row r="1040" customFormat="false" ht="15" hidden="false" customHeight="false" outlineLevel="0" collapsed="false">
      <c r="A1040" s="0" t="n">
        <v>1039</v>
      </c>
      <c r="B1040" s="27" t="n">
        <v>45607</v>
      </c>
      <c r="C1040" s="0" t="n">
        <v>2024</v>
      </c>
      <c r="D1040" s="28" t="s">
        <v>122</v>
      </c>
      <c r="E1040" s="0" t="n">
        <v>11</v>
      </c>
      <c r="F1040" s="28" t="s">
        <v>125</v>
      </c>
      <c r="G1040" s="28" t="s">
        <v>126</v>
      </c>
      <c r="H1040" s="28" t="s">
        <v>96</v>
      </c>
      <c r="I1040" s="28" t="s">
        <v>97</v>
      </c>
      <c r="J1040" s="28" t="s">
        <v>66</v>
      </c>
      <c r="K1040" s="28" t="s">
        <v>90</v>
      </c>
      <c r="L1040" s="28" t="s">
        <v>91</v>
      </c>
      <c r="M1040" s="28" t="s">
        <v>94</v>
      </c>
      <c r="N1040" s="28" t="s">
        <v>95</v>
      </c>
      <c r="O1040" s="29" t="n">
        <v>43</v>
      </c>
      <c r="P1040" s="30" t="n">
        <v>34.3</v>
      </c>
      <c r="Q1040" s="30" t="n">
        <v>17.85</v>
      </c>
      <c r="R1040" s="30" t="n">
        <f aca="false">ROUND(O1040*P1040,2)</f>
        <v>1474.9</v>
      </c>
      <c r="S1040" s="30" t="n">
        <f aca="false">ROUND(O1040*Q1040,2)</f>
        <v>767.55</v>
      </c>
      <c r="T1040" s="30" t="n">
        <f aca="false">ROUND(R1040*SUMIFS(Parametros!$E$23:$E$38,Parametros!$B$23:$B$38,J1040,Parametros!$C$23:$C$38,C1040,Parametros!$D$23:$D$38,D1040),2)</f>
        <v>19.17</v>
      </c>
      <c r="U1040" s="30" t="n">
        <f aca="false">R1040-S1040-T1040</f>
        <v>688.18</v>
      </c>
    </row>
    <row r="1041" customFormat="false" ht="15" hidden="false" customHeight="false" outlineLevel="0" collapsed="false">
      <c r="A1041" s="0" t="n">
        <v>1040</v>
      </c>
      <c r="B1041" s="27" t="n">
        <v>45614</v>
      </c>
      <c r="C1041" s="0" t="n">
        <v>2024</v>
      </c>
      <c r="D1041" s="28" t="s">
        <v>122</v>
      </c>
      <c r="E1041" s="0" t="n">
        <v>11</v>
      </c>
      <c r="F1041" s="28" t="s">
        <v>125</v>
      </c>
      <c r="G1041" s="28" t="s">
        <v>126</v>
      </c>
      <c r="H1041" s="28" t="s">
        <v>96</v>
      </c>
      <c r="I1041" s="28" t="s">
        <v>97</v>
      </c>
      <c r="J1041" s="28" t="s">
        <v>71</v>
      </c>
      <c r="K1041" s="28" t="s">
        <v>90</v>
      </c>
      <c r="L1041" s="28" t="s">
        <v>91</v>
      </c>
      <c r="M1041" s="28" t="s">
        <v>94</v>
      </c>
      <c r="N1041" s="28" t="s">
        <v>95</v>
      </c>
      <c r="O1041" s="29" t="n">
        <v>17</v>
      </c>
      <c r="P1041" s="30" t="n">
        <v>34.3</v>
      </c>
      <c r="Q1041" s="30" t="n">
        <v>17.85</v>
      </c>
      <c r="R1041" s="30" t="n">
        <f aca="false">ROUND(O1041*P1041,2)</f>
        <v>583.1</v>
      </c>
      <c r="S1041" s="30" t="n">
        <f aca="false">ROUND(O1041*Q1041,2)</f>
        <v>303.45</v>
      </c>
      <c r="T1041" s="30" t="n">
        <f aca="false">ROUND(R1041*SUMIFS(Parametros!$E$23:$E$38,Parametros!$B$23:$B$38,J1041,Parametros!$C$23:$C$38,C1041,Parametros!$D$23:$D$38,D1041),2)</f>
        <v>27.99</v>
      </c>
      <c r="U1041" s="30" t="n">
        <f aca="false">R1041-S1041-T1041</f>
        <v>251.66</v>
      </c>
    </row>
    <row r="1042" customFormat="false" ht="15" hidden="false" customHeight="false" outlineLevel="0" collapsed="false">
      <c r="A1042" s="0" t="n">
        <v>1041</v>
      </c>
      <c r="B1042" s="27" t="n">
        <v>45621</v>
      </c>
      <c r="C1042" s="0" t="n">
        <v>2024</v>
      </c>
      <c r="D1042" s="28" t="s">
        <v>122</v>
      </c>
      <c r="E1042" s="0" t="n">
        <v>11</v>
      </c>
      <c r="F1042" s="28" t="s">
        <v>125</v>
      </c>
      <c r="G1042" s="28" t="s">
        <v>126</v>
      </c>
      <c r="H1042" s="28" t="s">
        <v>98</v>
      </c>
      <c r="I1042" s="28" t="s">
        <v>99</v>
      </c>
      <c r="J1042" s="28" t="s">
        <v>66</v>
      </c>
      <c r="K1042" s="28" t="s">
        <v>67</v>
      </c>
      <c r="L1042" s="28" t="s">
        <v>68</v>
      </c>
      <c r="M1042" s="28" t="s">
        <v>69</v>
      </c>
      <c r="N1042" s="28" t="s">
        <v>70</v>
      </c>
      <c r="O1042" s="29" t="n">
        <v>13</v>
      </c>
      <c r="P1042" s="30" t="n">
        <v>1176</v>
      </c>
      <c r="Q1042" s="30" t="n">
        <v>744</v>
      </c>
      <c r="R1042" s="30" t="n">
        <f aca="false">ROUND(O1042*P1042,2)</f>
        <v>15288</v>
      </c>
      <c r="S1042" s="30" t="n">
        <f aca="false">ROUND(O1042*Q1042,2)</f>
        <v>9672</v>
      </c>
      <c r="T1042" s="30" t="n">
        <f aca="false">ROUND(R1042*SUMIFS(Parametros!$E$23:$E$38,Parametros!$B$23:$B$38,J1042,Parametros!$C$23:$C$38,C1042,Parametros!$D$23:$D$38,D1042),2)</f>
        <v>198.74</v>
      </c>
      <c r="U1042" s="30" t="n">
        <f aca="false">R1042-S1042-T1042</f>
        <v>5417.26</v>
      </c>
    </row>
    <row r="1043" customFormat="false" ht="15" hidden="false" customHeight="false" outlineLevel="0" collapsed="false">
      <c r="A1043" s="0" t="n">
        <v>1042</v>
      </c>
      <c r="B1043" s="27" t="n">
        <v>45601</v>
      </c>
      <c r="C1043" s="0" t="n">
        <v>2024</v>
      </c>
      <c r="D1043" s="28" t="s">
        <v>122</v>
      </c>
      <c r="E1043" s="0" t="n">
        <v>11</v>
      </c>
      <c r="F1043" s="28" t="s">
        <v>125</v>
      </c>
      <c r="G1043" s="28" t="s">
        <v>126</v>
      </c>
      <c r="H1043" s="28" t="s">
        <v>98</v>
      </c>
      <c r="I1043" s="28" t="s">
        <v>99</v>
      </c>
      <c r="J1043" s="28" t="s">
        <v>71</v>
      </c>
      <c r="K1043" s="28" t="s">
        <v>67</v>
      </c>
      <c r="L1043" s="28" t="s">
        <v>68</v>
      </c>
      <c r="M1043" s="28" t="s">
        <v>69</v>
      </c>
      <c r="N1043" s="28" t="s">
        <v>70</v>
      </c>
      <c r="O1043" s="29" t="n">
        <v>4</v>
      </c>
      <c r="P1043" s="30" t="n">
        <v>1176</v>
      </c>
      <c r="Q1043" s="30" t="n">
        <v>744</v>
      </c>
      <c r="R1043" s="30" t="n">
        <f aca="false">ROUND(O1043*P1043,2)</f>
        <v>4704</v>
      </c>
      <c r="S1043" s="30" t="n">
        <f aca="false">ROUND(O1043*Q1043,2)</f>
        <v>2976</v>
      </c>
      <c r="T1043" s="30" t="n">
        <f aca="false">ROUND(R1043*SUMIFS(Parametros!$E$23:$E$38,Parametros!$B$23:$B$38,J1043,Parametros!$C$23:$C$38,C1043,Parametros!$D$23:$D$38,D1043),2)</f>
        <v>225.79</v>
      </c>
      <c r="U1043" s="30" t="n">
        <f aca="false">R1043-S1043-T1043</f>
        <v>1502.21</v>
      </c>
    </row>
    <row r="1044" customFormat="false" ht="15" hidden="false" customHeight="false" outlineLevel="0" collapsed="false">
      <c r="A1044" s="0" t="n">
        <v>1043</v>
      </c>
      <c r="B1044" s="27" t="n">
        <v>45608</v>
      </c>
      <c r="C1044" s="0" t="n">
        <v>2024</v>
      </c>
      <c r="D1044" s="28" t="s">
        <v>122</v>
      </c>
      <c r="E1044" s="0" t="n">
        <v>11</v>
      </c>
      <c r="F1044" s="28" t="s">
        <v>125</v>
      </c>
      <c r="G1044" s="28" t="s">
        <v>126</v>
      </c>
      <c r="H1044" s="28" t="s">
        <v>98</v>
      </c>
      <c r="I1044" s="28" t="s">
        <v>99</v>
      </c>
      <c r="J1044" s="28" t="s">
        <v>66</v>
      </c>
      <c r="K1044" s="28" t="s">
        <v>67</v>
      </c>
      <c r="L1044" s="28" t="s">
        <v>68</v>
      </c>
      <c r="M1044" s="28" t="s">
        <v>72</v>
      </c>
      <c r="N1044" s="28" t="s">
        <v>73</v>
      </c>
      <c r="O1044" s="29" t="n">
        <v>12</v>
      </c>
      <c r="P1044" s="30" t="n">
        <v>441</v>
      </c>
      <c r="Q1044" s="30" t="n">
        <v>272.25</v>
      </c>
      <c r="R1044" s="30" t="n">
        <f aca="false">ROUND(O1044*P1044,2)</f>
        <v>5292</v>
      </c>
      <c r="S1044" s="30" t="n">
        <f aca="false">ROUND(O1044*Q1044,2)</f>
        <v>3267</v>
      </c>
      <c r="T1044" s="30" t="n">
        <f aca="false">ROUND(R1044*SUMIFS(Parametros!$E$23:$E$38,Parametros!$B$23:$B$38,J1044,Parametros!$C$23:$C$38,C1044,Parametros!$D$23:$D$38,D1044),2)</f>
        <v>68.8</v>
      </c>
      <c r="U1044" s="30" t="n">
        <f aca="false">R1044-S1044-T1044</f>
        <v>1956.2</v>
      </c>
    </row>
    <row r="1045" customFormat="false" ht="15" hidden="false" customHeight="false" outlineLevel="0" collapsed="false">
      <c r="A1045" s="0" t="n">
        <v>1044</v>
      </c>
      <c r="B1045" s="27" t="n">
        <v>45615</v>
      </c>
      <c r="C1045" s="0" t="n">
        <v>2024</v>
      </c>
      <c r="D1045" s="28" t="s">
        <v>122</v>
      </c>
      <c r="E1045" s="0" t="n">
        <v>11</v>
      </c>
      <c r="F1045" s="28" t="s">
        <v>125</v>
      </c>
      <c r="G1045" s="28" t="s">
        <v>126</v>
      </c>
      <c r="H1045" s="28" t="s">
        <v>98</v>
      </c>
      <c r="I1045" s="28" t="s">
        <v>99</v>
      </c>
      <c r="J1045" s="28" t="s">
        <v>71</v>
      </c>
      <c r="K1045" s="28" t="s">
        <v>67</v>
      </c>
      <c r="L1045" s="28" t="s">
        <v>68</v>
      </c>
      <c r="M1045" s="28" t="s">
        <v>72</v>
      </c>
      <c r="N1045" s="28" t="s">
        <v>73</v>
      </c>
      <c r="O1045" s="29" t="n">
        <v>4</v>
      </c>
      <c r="P1045" s="30" t="n">
        <v>441</v>
      </c>
      <c r="Q1045" s="30" t="n">
        <v>272.25</v>
      </c>
      <c r="R1045" s="30" t="n">
        <f aca="false">ROUND(O1045*P1045,2)</f>
        <v>1764</v>
      </c>
      <c r="S1045" s="30" t="n">
        <f aca="false">ROUND(O1045*Q1045,2)</f>
        <v>1089</v>
      </c>
      <c r="T1045" s="30" t="n">
        <f aca="false">ROUND(R1045*SUMIFS(Parametros!$E$23:$E$38,Parametros!$B$23:$B$38,J1045,Parametros!$C$23:$C$38,C1045,Parametros!$D$23:$D$38,D1045),2)</f>
        <v>84.67</v>
      </c>
      <c r="U1045" s="30" t="n">
        <f aca="false">R1045-S1045-T1045</f>
        <v>590.33</v>
      </c>
    </row>
    <row r="1046" customFormat="false" ht="15" hidden="false" customHeight="false" outlineLevel="0" collapsed="false">
      <c r="A1046" s="0" t="n">
        <v>1045</v>
      </c>
      <c r="B1046" s="27" t="n">
        <v>45622</v>
      </c>
      <c r="C1046" s="0" t="n">
        <v>2024</v>
      </c>
      <c r="D1046" s="28" t="s">
        <v>122</v>
      </c>
      <c r="E1046" s="0" t="n">
        <v>11</v>
      </c>
      <c r="F1046" s="28" t="s">
        <v>125</v>
      </c>
      <c r="G1046" s="28" t="s">
        <v>126</v>
      </c>
      <c r="H1046" s="28" t="s">
        <v>98</v>
      </c>
      <c r="I1046" s="28" t="s">
        <v>99</v>
      </c>
      <c r="J1046" s="28" t="s">
        <v>66</v>
      </c>
      <c r="K1046" s="28" t="s">
        <v>67</v>
      </c>
      <c r="L1046" s="28" t="s">
        <v>68</v>
      </c>
      <c r="M1046" s="28" t="s">
        <v>74</v>
      </c>
      <c r="N1046" s="28" t="s">
        <v>75</v>
      </c>
      <c r="O1046" s="29" t="n">
        <v>13</v>
      </c>
      <c r="P1046" s="30" t="n">
        <v>1617</v>
      </c>
      <c r="Q1046" s="30" t="n">
        <v>1122</v>
      </c>
      <c r="R1046" s="30" t="n">
        <f aca="false">ROUND(O1046*P1046,2)</f>
        <v>21021</v>
      </c>
      <c r="S1046" s="30" t="n">
        <f aca="false">ROUND(O1046*Q1046,2)</f>
        <v>14586</v>
      </c>
      <c r="T1046" s="30" t="n">
        <f aca="false">ROUND(R1046*SUMIFS(Parametros!$E$23:$E$38,Parametros!$B$23:$B$38,J1046,Parametros!$C$23:$C$38,C1046,Parametros!$D$23:$D$38,D1046),2)</f>
        <v>273.27</v>
      </c>
      <c r="U1046" s="30" t="n">
        <f aca="false">R1046-S1046-T1046</f>
        <v>6161.73</v>
      </c>
    </row>
    <row r="1047" customFormat="false" ht="15" hidden="false" customHeight="false" outlineLevel="0" collapsed="false">
      <c r="A1047" s="0" t="n">
        <v>1046</v>
      </c>
      <c r="B1047" s="27" t="n">
        <v>45602</v>
      </c>
      <c r="C1047" s="0" t="n">
        <v>2024</v>
      </c>
      <c r="D1047" s="28" t="s">
        <v>122</v>
      </c>
      <c r="E1047" s="0" t="n">
        <v>11</v>
      </c>
      <c r="F1047" s="28" t="s">
        <v>125</v>
      </c>
      <c r="G1047" s="28" t="s">
        <v>126</v>
      </c>
      <c r="H1047" s="28" t="s">
        <v>98</v>
      </c>
      <c r="I1047" s="28" t="s">
        <v>99</v>
      </c>
      <c r="J1047" s="28" t="s">
        <v>71</v>
      </c>
      <c r="K1047" s="28" t="s">
        <v>67</v>
      </c>
      <c r="L1047" s="28" t="s">
        <v>68</v>
      </c>
      <c r="M1047" s="28" t="s">
        <v>74</v>
      </c>
      <c r="N1047" s="28" t="s">
        <v>75</v>
      </c>
      <c r="O1047" s="29" t="n">
        <v>4</v>
      </c>
      <c r="P1047" s="30" t="n">
        <v>1617</v>
      </c>
      <c r="Q1047" s="30" t="n">
        <v>1122</v>
      </c>
      <c r="R1047" s="30" t="n">
        <f aca="false">ROUND(O1047*P1047,2)</f>
        <v>6468</v>
      </c>
      <c r="S1047" s="30" t="n">
        <f aca="false">ROUND(O1047*Q1047,2)</f>
        <v>4488</v>
      </c>
      <c r="T1047" s="30" t="n">
        <f aca="false">ROUND(R1047*SUMIFS(Parametros!$E$23:$E$38,Parametros!$B$23:$B$38,J1047,Parametros!$C$23:$C$38,C1047,Parametros!$D$23:$D$38,D1047),2)</f>
        <v>310.46</v>
      </c>
      <c r="U1047" s="30" t="n">
        <f aca="false">R1047-S1047-T1047</f>
        <v>1669.54</v>
      </c>
    </row>
    <row r="1048" customFormat="false" ht="15" hidden="false" customHeight="false" outlineLevel="0" collapsed="false">
      <c r="A1048" s="0" t="n">
        <v>1047</v>
      </c>
      <c r="B1048" s="27" t="n">
        <v>45609</v>
      </c>
      <c r="C1048" s="0" t="n">
        <v>2024</v>
      </c>
      <c r="D1048" s="28" t="s">
        <v>122</v>
      </c>
      <c r="E1048" s="0" t="n">
        <v>11</v>
      </c>
      <c r="F1048" s="28" t="s">
        <v>125</v>
      </c>
      <c r="G1048" s="28" t="s">
        <v>126</v>
      </c>
      <c r="H1048" s="28" t="s">
        <v>98</v>
      </c>
      <c r="I1048" s="28" t="s">
        <v>99</v>
      </c>
      <c r="J1048" s="28" t="s">
        <v>66</v>
      </c>
      <c r="K1048" s="28" t="s">
        <v>76</v>
      </c>
      <c r="L1048" s="28" t="s">
        <v>77</v>
      </c>
      <c r="M1048" s="28" t="s">
        <v>78</v>
      </c>
      <c r="N1048" s="28" t="s">
        <v>79</v>
      </c>
      <c r="O1048" s="29" t="n">
        <v>49</v>
      </c>
      <c r="P1048" s="30" t="n">
        <v>27.44</v>
      </c>
      <c r="Q1048" s="30" t="n">
        <v>13.44</v>
      </c>
      <c r="R1048" s="30" t="n">
        <f aca="false">ROUND(O1048*P1048,2)</f>
        <v>1344.56</v>
      </c>
      <c r="S1048" s="30" t="n">
        <f aca="false">ROUND(O1048*Q1048,2)</f>
        <v>658.56</v>
      </c>
      <c r="T1048" s="30" t="n">
        <f aca="false">ROUND(R1048*SUMIFS(Parametros!$E$23:$E$38,Parametros!$B$23:$B$38,J1048,Parametros!$C$23:$C$38,C1048,Parametros!$D$23:$D$38,D1048),2)</f>
        <v>17.48</v>
      </c>
      <c r="U1048" s="30" t="n">
        <f aca="false">R1048-S1048-T1048</f>
        <v>668.52</v>
      </c>
    </row>
    <row r="1049" customFormat="false" ht="15" hidden="false" customHeight="false" outlineLevel="0" collapsed="false">
      <c r="A1049" s="0" t="n">
        <v>1048</v>
      </c>
      <c r="B1049" s="27" t="n">
        <v>45616</v>
      </c>
      <c r="C1049" s="0" t="n">
        <v>2024</v>
      </c>
      <c r="D1049" s="28" t="s">
        <v>122</v>
      </c>
      <c r="E1049" s="0" t="n">
        <v>11</v>
      </c>
      <c r="F1049" s="28" t="s">
        <v>125</v>
      </c>
      <c r="G1049" s="28" t="s">
        <v>126</v>
      </c>
      <c r="H1049" s="28" t="s">
        <v>98</v>
      </c>
      <c r="I1049" s="28" t="s">
        <v>99</v>
      </c>
      <c r="J1049" s="28" t="s">
        <v>71</v>
      </c>
      <c r="K1049" s="28" t="s">
        <v>76</v>
      </c>
      <c r="L1049" s="28" t="s">
        <v>77</v>
      </c>
      <c r="M1049" s="28" t="s">
        <v>78</v>
      </c>
      <c r="N1049" s="28" t="s">
        <v>79</v>
      </c>
      <c r="O1049" s="29" t="n">
        <v>19</v>
      </c>
      <c r="P1049" s="30" t="n">
        <v>27.44</v>
      </c>
      <c r="Q1049" s="30" t="n">
        <v>13.44</v>
      </c>
      <c r="R1049" s="30" t="n">
        <f aca="false">ROUND(O1049*P1049,2)</f>
        <v>521.36</v>
      </c>
      <c r="S1049" s="30" t="n">
        <f aca="false">ROUND(O1049*Q1049,2)</f>
        <v>255.36</v>
      </c>
      <c r="T1049" s="30" t="n">
        <f aca="false">ROUND(R1049*SUMIFS(Parametros!$E$23:$E$38,Parametros!$B$23:$B$38,J1049,Parametros!$C$23:$C$38,C1049,Parametros!$D$23:$D$38,D1049),2)</f>
        <v>25.03</v>
      </c>
      <c r="U1049" s="30" t="n">
        <f aca="false">R1049-S1049-T1049</f>
        <v>240.97</v>
      </c>
    </row>
    <row r="1050" customFormat="false" ht="15" hidden="false" customHeight="false" outlineLevel="0" collapsed="false">
      <c r="A1050" s="0" t="n">
        <v>1049</v>
      </c>
      <c r="B1050" s="27" t="n">
        <v>45623</v>
      </c>
      <c r="C1050" s="0" t="n">
        <v>2024</v>
      </c>
      <c r="D1050" s="28" t="s">
        <v>122</v>
      </c>
      <c r="E1050" s="0" t="n">
        <v>11</v>
      </c>
      <c r="F1050" s="28" t="s">
        <v>125</v>
      </c>
      <c r="G1050" s="28" t="s">
        <v>126</v>
      </c>
      <c r="H1050" s="28" t="s">
        <v>98</v>
      </c>
      <c r="I1050" s="28" t="s">
        <v>99</v>
      </c>
      <c r="J1050" s="28" t="s">
        <v>66</v>
      </c>
      <c r="K1050" s="28" t="s">
        <v>76</v>
      </c>
      <c r="L1050" s="28" t="s">
        <v>77</v>
      </c>
      <c r="M1050" s="28" t="s">
        <v>80</v>
      </c>
      <c r="N1050" s="28" t="s">
        <v>81</v>
      </c>
      <c r="O1050" s="29" t="n">
        <v>45</v>
      </c>
      <c r="P1050" s="30" t="n">
        <v>93.1</v>
      </c>
      <c r="Q1050" s="30" t="n">
        <v>47.98</v>
      </c>
      <c r="R1050" s="30" t="n">
        <f aca="false">ROUND(O1050*P1050,2)</f>
        <v>4189.5</v>
      </c>
      <c r="S1050" s="30" t="n">
        <f aca="false">ROUND(O1050*Q1050,2)</f>
        <v>2159.1</v>
      </c>
      <c r="T1050" s="30" t="n">
        <f aca="false">ROUND(R1050*SUMIFS(Parametros!$E$23:$E$38,Parametros!$B$23:$B$38,J1050,Parametros!$C$23:$C$38,C1050,Parametros!$D$23:$D$38,D1050),2)</f>
        <v>54.46</v>
      </c>
      <c r="U1050" s="30" t="n">
        <f aca="false">R1050-S1050-T1050</f>
        <v>1975.94</v>
      </c>
    </row>
    <row r="1051" customFormat="false" ht="15" hidden="false" customHeight="false" outlineLevel="0" collapsed="false">
      <c r="A1051" s="0" t="n">
        <v>1050</v>
      </c>
      <c r="B1051" s="27" t="n">
        <v>45603</v>
      </c>
      <c r="C1051" s="0" t="n">
        <v>2024</v>
      </c>
      <c r="D1051" s="28" t="s">
        <v>122</v>
      </c>
      <c r="E1051" s="0" t="n">
        <v>11</v>
      </c>
      <c r="F1051" s="28" t="s">
        <v>125</v>
      </c>
      <c r="G1051" s="28" t="s">
        <v>126</v>
      </c>
      <c r="H1051" s="28" t="s">
        <v>98</v>
      </c>
      <c r="I1051" s="28" t="s">
        <v>99</v>
      </c>
      <c r="J1051" s="28" t="s">
        <v>71</v>
      </c>
      <c r="K1051" s="28" t="s">
        <v>76</v>
      </c>
      <c r="L1051" s="28" t="s">
        <v>77</v>
      </c>
      <c r="M1051" s="28" t="s">
        <v>80</v>
      </c>
      <c r="N1051" s="28" t="s">
        <v>81</v>
      </c>
      <c r="O1051" s="29" t="n">
        <v>22</v>
      </c>
      <c r="P1051" s="30" t="n">
        <v>93.1</v>
      </c>
      <c r="Q1051" s="30" t="n">
        <v>47.98</v>
      </c>
      <c r="R1051" s="30" t="n">
        <f aca="false">ROUND(O1051*P1051,2)</f>
        <v>2048.2</v>
      </c>
      <c r="S1051" s="30" t="n">
        <f aca="false">ROUND(O1051*Q1051,2)</f>
        <v>1055.56</v>
      </c>
      <c r="T1051" s="30" t="n">
        <f aca="false">ROUND(R1051*SUMIFS(Parametros!$E$23:$E$38,Parametros!$B$23:$B$38,J1051,Parametros!$C$23:$C$38,C1051,Parametros!$D$23:$D$38,D1051),2)</f>
        <v>98.31</v>
      </c>
      <c r="U1051" s="30" t="n">
        <f aca="false">R1051-S1051-T1051</f>
        <v>894.33</v>
      </c>
    </row>
    <row r="1052" customFormat="false" ht="15" hidden="false" customHeight="false" outlineLevel="0" collapsed="false">
      <c r="A1052" s="0" t="n">
        <v>1051</v>
      </c>
      <c r="B1052" s="27" t="n">
        <v>45610</v>
      </c>
      <c r="C1052" s="0" t="n">
        <v>2024</v>
      </c>
      <c r="D1052" s="28" t="s">
        <v>122</v>
      </c>
      <c r="E1052" s="0" t="n">
        <v>11</v>
      </c>
      <c r="F1052" s="28" t="s">
        <v>125</v>
      </c>
      <c r="G1052" s="28" t="s">
        <v>126</v>
      </c>
      <c r="H1052" s="28" t="s">
        <v>98</v>
      </c>
      <c r="I1052" s="28" t="s">
        <v>99</v>
      </c>
      <c r="J1052" s="28" t="s">
        <v>66</v>
      </c>
      <c r="K1052" s="28" t="s">
        <v>76</v>
      </c>
      <c r="L1052" s="28" t="s">
        <v>77</v>
      </c>
      <c r="M1052" s="28" t="s">
        <v>82</v>
      </c>
      <c r="N1052" s="28" t="s">
        <v>83</v>
      </c>
      <c r="O1052" s="29" t="n">
        <v>59</v>
      </c>
      <c r="P1052" s="30" t="n">
        <v>63.7</v>
      </c>
      <c r="Q1052" s="30" t="n">
        <v>35.43</v>
      </c>
      <c r="R1052" s="30" t="n">
        <f aca="false">ROUND(O1052*P1052,2)</f>
        <v>3758.3</v>
      </c>
      <c r="S1052" s="30" t="n">
        <f aca="false">ROUND(O1052*Q1052,2)</f>
        <v>2090.37</v>
      </c>
      <c r="T1052" s="30" t="n">
        <f aca="false">ROUND(R1052*SUMIFS(Parametros!$E$23:$E$38,Parametros!$B$23:$B$38,J1052,Parametros!$C$23:$C$38,C1052,Parametros!$D$23:$D$38,D1052),2)</f>
        <v>48.86</v>
      </c>
      <c r="U1052" s="30" t="n">
        <f aca="false">R1052-S1052-T1052</f>
        <v>1619.07</v>
      </c>
    </row>
    <row r="1053" customFormat="false" ht="15" hidden="false" customHeight="false" outlineLevel="0" collapsed="false">
      <c r="A1053" s="0" t="n">
        <v>1052</v>
      </c>
      <c r="B1053" s="27" t="n">
        <v>45617</v>
      </c>
      <c r="C1053" s="0" t="n">
        <v>2024</v>
      </c>
      <c r="D1053" s="28" t="s">
        <v>122</v>
      </c>
      <c r="E1053" s="0" t="n">
        <v>11</v>
      </c>
      <c r="F1053" s="28" t="s">
        <v>125</v>
      </c>
      <c r="G1053" s="28" t="s">
        <v>126</v>
      </c>
      <c r="H1053" s="28" t="s">
        <v>98</v>
      </c>
      <c r="I1053" s="28" t="s">
        <v>99</v>
      </c>
      <c r="J1053" s="28" t="s">
        <v>71</v>
      </c>
      <c r="K1053" s="28" t="s">
        <v>76</v>
      </c>
      <c r="L1053" s="28" t="s">
        <v>77</v>
      </c>
      <c r="M1053" s="28" t="s">
        <v>82</v>
      </c>
      <c r="N1053" s="28" t="s">
        <v>83</v>
      </c>
      <c r="O1053" s="29" t="n">
        <v>19</v>
      </c>
      <c r="P1053" s="30" t="n">
        <v>63.7</v>
      </c>
      <c r="Q1053" s="30" t="n">
        <v>35.43</v>
      </c>
      <c r="R1053" s="30" t="n">
        <f aca="false">ROUND(O1053*P1053,2)</f>
        <v>1210.3</v>
      </c>
      <c r="S1053" s="30" t="n">
        <f aca="false">ROUND(O1053*Q1053,2)</f>
        <v>673.17</v>
      </c>
      <c r="T1053" s="30" t="n">
        <f aca="false">ROUND(R1053*SUMIFS(Parametros!$E$23:$E$38,Parametros!$B$23:$B$38,J1053,Parametros!$C$23:$C$38,C1053,Parametros!$D$23:$D$38,D1053),2)</f>
        <v>58.09</v>
      </c>
      <c r="U1053" s="30" t="n">
        <f aca="false">R1053-S1053-T1053</f>
        <v>479.04</v>
      </c>
    </row>
    <row r="1054" customFormat="false" ht="15" hidden="false" customHeight="false" outlineLevel="0" collapsed="false">
      <c r="A1054" s="0" t="n">
        <v>1053</v>
      </c>
      <c r="B1054" s="27" t="n">
        <v>45597</v>
      </c>
      <c r="C1054" s="0" t="n">
        <v>2024</v>
      </c>
      <c r="D1054" s="28" t="s">
        <v>122</v>
      </c>
      <c r="E1054" s="0" t="n">
        <v>11</v>
      </c>
      <c r="F1054" s="28" t="s">
        <v>125</v>
      </c>
      <c r="G1054" s="28" t="s">
        <v>126</v>
      </c>
      <c r="H1054" s="28" t="s">
        <v>98</v>
      </c>
      <c r="I1054" s="28" t="s">
        <v>99</v>
      </c>
      <c r="J1054" s="28" t="s">
        <v>66</v>
      </c>
      <c r="K1054" s="28" t="s">
        <v>84</v>
      </c>
      <c r="L1054" s="28" t="s">
        <v>85</v>
      </c>
      <c r="M1054" s="28" t="s">
        <v>86</v>
      </c>
      <c r="N1054" s="28" t="s">
        <v>87</v>
      </c>
      <c r="O1054" s="29" t="n">
        <v>25</v>
      </c>
      <c r="P1054" s="30" t="n">
        <v>117.6</v>
      </c>
      <c r="Q1054" s="30" t="n">
        <v>63.6</v>
      </c>
      <c r="R1054" s="30" t="n">
        <f aca="false">ROUND(O1054*P1054,2)</f>
        <v>2940</v>
      </c>
      <c r="S1054" s="30" t="n">
        <f aca="false">ROUND(O1054*Q1054,2)</f>
        <v>1590</v>
      </c>
      <c r="T1054" s="30" t="n">
        <f aca="false">ROUND(R1054*SUMIFS(Parametros!$E$23:$E$38,Parametros!$B$23:$B$38,J1054,Parametros!$C$23:$C$38,C1054,Parametros!$D$23:$D$38,D1054),2)</f>
        <v>38.22</v>
      </c>
      <c r="U1054" s="30" t="n">
        <f aca="false">R1054-S1054-T1054</f>
        <v>1311.78</v>
      </c>
    </row>
    <row r="1055" customFormat="false" ht="15" hidden="false" customHeight="false" outlineLevel="0" collapsed="false">
      <c r="A1055" s="0" t="n">
        <v>1054</v>
      </c>
      <c r="B1055" s="27" t="n">
        <v>45604</v>
      </c>
      <c r="C1055" s="0" t="n">
        <v>2024</v>
      </c>
      <c r="D1055" s="28" t="s">
        <v>122</v>
      </c>
      <c r="E1055" s="0" t="n">
        <v>11</v>
      </c>
      <c r="F1055" s="28" t="s">
        <v>125</v>
      </c>
      <c r="G1055" s="28" t="s">
        <v>126</v>
      </c>
      <c r="H1055" s="28" t="s">
        <v>98</v>
      </c>
      <c r="I1055" s="28" t="s">
        <v>99</v>
      </c>
      <c r="J1055" s="28" t="s">
        <v>71</v>
      </c>
      <c r="K1055" s="28" t="s">
        <v>84</v>
      </c>
      <c r="L1055" s="28" t="s">
        <v>85</v>
      </c>
      <c r="M1055" s="28" t="s">
        <v>86</v>
      </c>
      <c r="N1055" s="28" t="s">
        <v>87</v>
      </c>
      <c r="O1055" s="29" t="n">
        <v>8</v>
      </c>
      <c r="P1055" s="30" t="n">
        <v>117.6</v>
      </c>
      <c r="Q1055" s="30" t="n">
        <v>63.6</v>
      </c>
      <c r="R1055" s="30" t="n">
        <f aca="false">ROUND(O1055*P1055,2)</f>
        <v>940.8</v>
      </c>
      <c r="S1055" s="30" t="n">
        <f aca="false">ROUND(O1055*Q1055,2)</f>
        <v>508.8</v>
      </c>
      <c r="T1055" s="30" t="n">
        <f aca="false">ROUND(R1055*SUMIFS(Parametros!$E$23:$E$38,Parametros!$B$23:$B$38,J1055,Parametros!$C$23:$C$38,C1055,Parametros!$D$23:$D$38,D1055),2)</f>
        <v>45.16</v>
      </c>
      <c r="U1055" s="30" t="n">
        <f aca="false">R1055-S1055-T1055</f>
        <v>386.84</v>
      </c>
    </row>
    <row r="1056" customFormat="false" ht="15" hidden="false" customHeight="false" outlineLevel="0" collapsed="false">
      <c r="A1056" s="0" t="n">
        <v>1055</v>
      </c>
      <c r="B1056" s="27" t="n">
        <v>45611</v>
      </c>
      <c r="C1056" s="0" t="n">
        <v>2024</v>
      </c>
      <c r="D1056" s="28" t="s">
        <v>122</v>
      </c>
      <c r="E1056" s="0" t="n">
        <v>11</v>
      </c>
      <c r="F1056" s="28" t="s">
        <v>125</v>
      </c>
      <c r="G1056" s="28" t="s">
        <v>126</v>
      </c>
      <c r="H1056" s="28" t="s">
        <v>98</v>
      </c>
      <c r="I1056" s="28" t="s">
        <v>99</v>
      </c>
      <c r="J1056" s="28" t="s">
        <v>66</v>
      </c>
      <c r="K1056" s="28" t="s">
        <v>84</v>
      </c>
      <c r="L1056" s="28" t="s">
        <v>85</v>
      </c>
      <c r="M1056" s="28" t="s">
        <v>88</v>
      </c>
      <c r="N1056" s="28" t="s">
        <v>89</v>
      </c>
      <c r="O1056" s="29" t="n">
        <v>27</v>
      </c>
      <c r="P1056" s="30" t="n">
        <v>83.3</v>
      </c>
      <c r="Q1056" s="30" t="n">
        <v>48.02</v>
      </c>
      <c r="R1056" s="30" t="n">
        <f aca="false">ROUND(O1056*P1056,2)</f>
        <v>2249.1</v>
      </c>
      <c r="S1056" s="30" t="n">
        <f aca="false">ROUND(O1056*Q1056,2)</f>
        <v>1296.54</v>
      </c>
      <c r="T1056" s="30" t="n">
        <f aca="false">ROUND(R1056*SUMIFS(Parametros!$E$23:$E$38,Parametros!$B$23:$B$38,J1056,Parametros!$C$23:$C$38,C1056,Parametros!$D$23:$D$38,D1056),2)</f>
        <v>29.24</v>
      </c>
      <c r="U1056" s="30" t="n">
        <f aca="false">R1056-S1056-T1056</f>
        <v>923.32</v>
      </c>
    </row>
    <row r="1057" customFormat="false" ht="15" hidden="false" customHeight="false" outlineLevel="0" collapsed="false">
      <c r="A1057" s="0" t="n">
        <v>1056</v>
      </c>
      <c r="B1057" s="27" t="n">
        <v>45618</v>
      </c>
      <c r="C1057" s="0" t="n">
        <v>2024</v>
      </c>
      <c r="D1057" s="28" t="s">
        <v>122</v>
      </c>
      <c r="E1057" s="0" t="n">
        <v>11</v>
      </c>
      <c r="F1057" s="28" t="s">
        <v>125</v>
      </c>
      <c r="G1057" s="28" t="s">
        <v>126</v>
      </c>
      <c r="H1057" s="28" t="s">
        <v>98</v>
      </c>
      <c r="I1057" s="28" t="s">
        <v>99</v>
      </c>
      <c r="J1057" s="28" t="s">
        <v>71</v>
      </c>
      <c r="K1057" s="28" t="s">
        <v>84</v>
      </c>
      <c r="L1057" s="28" t="s">
        <v>85</v>
      </c>
      <c r="M1057" s="28" t="s">
        <v>88</v>
      </c>
      <c r="N1057" s="28" t="s">
        <v>89</v>
      </c>
      <c r="O1057" s="29" t="n">
        <v>9</v>
      </c>
      <c r="P1057" s="30" t="n">
        <v>83.3</v>
      </c>
      <c r="Q1057" s="30" t="n">
        <v>48.02</v>
      </c>
      <c r="R1057" s="30" t="n">
        <f aca="false">ROUND(O1057*P1057,2)</f>
        <v>749.7</v>
      </c>
      <c r="S1057" s="30" t="n">
        <f aca="false">ROUND(O1057*Q1057,2)</f>
        <v>432.18</v>
      </c>
      <c r="T1057" s="30" t="n">
        <f aca="false">ROUND(R1057*SUMIFS(Parametros!$E$23:$E$38,Parametros!$B$23:$B$38,J1057,Parametros!$C$23:$C$38,C1057,Parametros!$D$23:$D$38,D1057),2)</f>
        <v>35.99</v>
      </c>
      <c r="U1057" s="30" t="n">
        <f aca="false">R1057-S1057-T1057</f>
        <v>281.53</v>
      </c>
    </row>
    <row r="1058" customFormat="false" ht="15" hidden="false" customHeight="false" outlineLevel="0" collapsed="false">
      <c r="A1058" s="0" t="n">
        <v>1057</v>
      </c>
      <c r="B1058" s="27" t="n">
        <v>45598</v>
      </c>
      <c r="C1058" s="0" t="n">
        <v>2024</v>
      </c>
      <c r="D1058" s="28" t="s">
        <v>122</v>
      </c>
      <c r="E1058" s="0" t="n">
        <v>11</v>
      </c>
      <c r="F1058" s="28" t="s">
        <v>125</v>
      </c>
      <c r="G1058" s="28" t="s">
        <v>126</v>
      </c>
      <c r="H1058" s="28" t="s">
        <v>98</v>
      </c>
      <c r="I1058" s="28" t="s">
        <v>99</v>
      </c>
      <c r="J1058" s="28" t="s">
        <v>66</v>
      </c>
      <c r="K1058" s="28" t="s">
        <v>90</v>
      </c>
      <c r="L1058" s="28" t="s">
        <v>91</v>
      </c>
      <c r="M1058" s="28" t="s">
        <v>92</v>
      </c>
      <c r="N1058" s="28" t="s">
        <v>93</v>
      </c>
      <c r="O1058" s="29" t="n">
        <v>34</v>
      </c>
      <c r="P1058" s="30" t="n">
        <v>127.4</v>
      </c>
      <c r="Q1058" s="30" t="n">
        <v>76.05</v>
      </c>
      <c r="R1058" s="30" t="n">
        <f aca="false">ROUND(O1058*P1058,2)</f>
        <v>4331.6</v>
      </c>
      <c r="S1058" s="30" t="n">
        <f aca="false">ROUND(O1058*Q1058,2)</f>
        <v>2585.7</v>
      </c>
      <c r="T1058" s="30" t="n">
        <f aca="false">ROUND(R1058*SUMIFS(Parametros!$E$23:$E$38,Parametros!$B$23:$B$38,J1058,Parametros!$C$23:$C$38,C1058,Parametros!$D$23:$D$38,D1058),2)</f>
        <v>56.31</v>
      </c>
      <c r="U1058" s="30" t="n">
        <f aca="false">R1058-S1058-T1058</f>
        <v>1689.59</v>
      </c>
    </row>
    <row r="1059" customFormat="false" ht="15" hidden="false" customHeight="false" outlineLevel="0" collapsed="false">
      <c r="A1059" s="0" t="n">
        <v>1058</v>
      </c>
      <c r="B1059" s="27" t="n">
        <v>45605</v>
      </c>
      <c r="C1059" s="0" t="n">
        <v>2024</v>
      </c>
      <c r="D1059" s="28" t="s">
        <v>122</v>
      </c>
      <c r="E1059" s="0" t="n">
        <v>11</v>
      </c>
      <c r="F1059" s="28" t="s">
        <v>125</v>
      </c>
      <c r="G1059" s="28" t="s">
        <v>126</v>
      </c>
      <c r="H1059" s="28" t="s">
        <v>98</v>
      </c>
      <c r="I1059" s="28" t="s">
        <v>99</v>
      </c>
      <c r="J1059" s="28" t="s">
        <v>71</v>
      </c>
      <c r="K1059" s="28" t="s">
        <v>90</v>
      </c>
      <c r="L1059" s="28" t="s">
        <v>91</v>
      </c>
      <c r="M1059" s="28" t="s">
        <v>92</v>
      </c>
      <c r="N1059" s="28" t="s">
        <v>93</v>
      </c>
      <c r="O1059" s="29" t="n">
        <v>13</v>
      </c>
      <c r="P1059" s="30" t="n">
        <v>127.4</v>
      </c>
      <c r="Q1059" s="30" t="n">
        <v>76.05</v>
      </c>
      <c r="R1059" s="30" t="n">
        <f aca="false">ROUND(O1059*P1059,2)</f>
        <v>1656.2</v>
      </c>
      <c r="S1059" s="30" t="n">
        <f aca="false">ROUND(O1059*Q1059,2)</f>
        <v>988.65</v>
      </c>
      <c r="T1059" s="30" t="n">
        <f aca="false">ROUND(R1059*SUMIFS(Parametros!$E$23:$E$38,Parametros!$B$23:$B$38,J1059,Parametros!$C$23:$C$38,C1059,Parametros!$D$23:$D$38,D1059),2)</f>
        <v>79.5</v>
      </c>
      <c r="U1059" s="30" t="n">
        <f aca="false">R1059-S1059-T1059</f>
        <v>588.05</v>
      </c>
    </row>
    <row r="1060" customFormat="false" ht="15" hidden="false" customHeight="false" outlineLevel="0" collapsed="false">
      <c r="A1060" s="0" t="n">
        <v>1059</v>
      </c>
      <c r="B1060" s="27" t="n">
        <v>45612</v>
      </c>
      <c r="C1060" s="0" t="n">
        <v>2024</v>
      </c>
      <c r="D1060" s="28" t="s">
        <v>122</v>
      </c>
      <c r="E1060" s="0" t="n">
        <v>11</v>
      </c>
      <c r="F1060" s="28" t="s">
        <v>125</v>
      </c>
      <c r="G1060" s="28" t="s">
        <v>126</v>
      </c>
      <c r="H1060" s="28" t="s">
        <v>98</v>
      </c>
      <c r="I1060" s="28" t="s">
        <v>99</v>
      </c>
      <c r="J1060" s="28" t="s">
        <v>66</v>
      </c>
      <c r="K1060" s="28" t="s">
        <v>90</v>
      </c>
      <c r="L1060" s="28" t="s">
        <v>91</v>
      </c>
      <c r="M1060" s="28" t="s">
        <v>94</v>
      </c>
      <c r="N1060" s="28" t="s">
        <v>95</v>
      </c>
      <c r="O1060" s="29" t="n">
        <v>28</v>
      </c>
      <c r="P1060" s="30" t="n">
        <v>34.3</v>
      </c>
      <c r="Q1060" s="30" t="n">
        <v>17.85</v>
      </c>
      <c r="R1060" s="30" t="n">
        <f aca="false">ROUND(O1060*P1060,2)</f>
        <v>960.4</v>
      </c>
      <c r="S1060" s="30" t="n">
        <f aca="false">ROUND(O1060*Q1060,2)</f>
        <v>499.8</v>
      </c>
      <c r="T1060" s="30" t="n">
        <f aca="false">ROUND(R1060*SUMIFS(Parametros!$E$23:$E$38,Parametros!$B$23:$B$38,J1060,Parametros!$C$23:$C$38,C1060,Parametros!$D$23:$D$38,D1060),2)</f>
        <v>12.49</v>
      </c>
      <c r="U1060" s="30" t="n">
        <f aca="false">R1060-S1060-T1060</f>
        <v>448.11</v>
      </c>
    </row>
    <row r="1061" customFormat="false" ht="15" hidden="false" customHeight="false" outlineLevel="0" collapsed="false">
      <c r="A1061" s="0" t="n">
        <v>1060</v>
      </c>
      <c r="B1061" s="27" t="n">
        <v>45619</v>
      </c>
      <c r="C1061" s="0" t="n">
        <v>2024</v>
      </c>
      <c r="D1061" s="28" t="s">
        <v>122</v>
      </c>
      <c r="E1061" s="0" t="n">
        <v>11</v>
      </c>
      <c r="F1061" s="28" t="s">
        <v>125</v>
      </c>
      <c r="G1061" s="28" t="s">
        <v>126</v>
      </c>
      <c r="H1061" s="28" t="s">
        <v>98</v>
      </c>
      <c r="I1061" s="28" t="s">
        <v>99</v>
      </c>
      <c r="J1061" s="28" t="s">
        <v>71</v>
      </c>
      <c r="K1061" s="28" t="s">
        <v>90</v>
      </c>
      <c r="L1061" s="28" t="s">
        <v>91</v>
      </c>
      <c r="M1061" s="28" t="s">
        <v>94</v>
      </c>
      <c r="N1061" s="28" t="s">
        <v>95</v>
      </c>
      <c r="O1061" s="29" t="n">
        <v>11</v>
      </c>
      <c r="P1061" s="30" t="n">
        <v>34.3</v>
      </c>
      <c r="Q1061" s="30" t="n">
        <v>17.85</v>
      </c>
      <c r="R1061" s="30" t="n">
        <f aca="false">ROUND(O1061*P1061,2)</f>
        <v>377.3</v>
      </c>
      <c r="S1061" s="30" t="n">
        <f aca="false">ROUND(O1061*Q1061,2)</f>
        <v>196.35</v>
      </c>
      <c r="T1061" s="30" t="n">
        <f aca="false">ROUND(R1061*SUMIFS(Parametros!$E$23:$E$38,Parametros!$B$23:$B$38,J1061,Parametros!$C$23:$C$38,C1061,Parametros!$D$23:$D$38,D1061),2)</f>
        <v>18.11</v>
      </c>
      <c r="U1061" s="30" t="n">
        <f aca="false">R1061-S1061-T1061</f>
        <v>162.84</v>
      </c>
    </row>
    <row r="1062" customFormat="false" ht="15" hidden="false" customHeight="false" outlineLevel="0" collapsed="false">
      <c r="A1062" s="0" t="n">
        <v>1061</v>
      </c>
      <c r="B1062" s="27" t="n">
        <v>45599</v>
      </c>
      <c r="C1062" s="0" t="n">
        <v>2024</v>
      </c>
      <c r="D1062" s="28" t="s">
        <v>122</v>
      </c>
      <c r="E1062" s="0" t="n">
        <v>11</v>
      </c>
      <c r="F1062" s="28" t="s">
        <v>125</v>
      </c>
      <c r="G1062" s="28" t="s">
        <v>126</v>
      </c>
      <c r="H1062" s="28" t="s">
        <v>100</v>
      </c>
      <c r="I1062" s="28" t="s">
        <v>101</v>
      </c>
      <c r="J1062" s="28" t="s">
        <v>66</v>
      </c>
      <c r="K1062" s="28" t="s">
        <v>67</v>
      </c>
      <c r="L1062" s="28" t="s">
        <v>68</v>
      </c>
      <c r="M1062" s="28" t="s">
        <v>69</v>
      </c>
      <c r="N1062" s="28" t="s">
        <v>70</v>
      </c>
      <c r="O1062" s="29" t="n">
        <v>8</v>
      </c>
      <c r="P1062" s="30" t="n">
        <v>1176</v>
      </c>
      <c r="Q1062" s="30" t="n">
        <v>744</v>
      </c>
      <c r="R1062" s="30" t="n">
        <f aca="false">ROUND(O1062*P1062,2)</f>
        <v>9408</v>
      </c>
      <c r="S1062" s="30" t="n">
        <f aca="false">ROUND(O1062*Q1062,2)</f>
        <v>5952</v>
      </c>
      <c r="T1062" s="30" t="n">
        <f aca="false">ROUND(R1062*SUMIFS(Parametros!$E$23:$E$38,Parametros!$B$23:$B$38,J1062,Parametros!$C$23:$C$38,C1062,Parametros!$D$23:$D$38,D1062),2)</f>
        <v>122.3</v>
      </c>
      <c r="U1062" s="30" t="n">
        <f aca="false">R1062-S1062-T1062</f>
        <v>3333.7</v>
      </c>
    </row>
    <row r="1063" customFormat="false" ht="15" hidden="false" customHeight="false" outlineLevel="0" collapsed="false">
      <c r="A1063" s="0" t="n">
        <v>1062</v>
      </c>
      <c r="B1063" s="27" t="n">
        <v>45606</v>
      </c>
      <c r="C1063" s="0" t="n">
        <v>2024</v>
      </c>
      <c r="D1063" s="28" t="s">
        <v>122</v>
      </c>
      <c r="E1063" s="0" t="n">
        <v>11</v>
      </c>
      <c r="F1063" s="28" t="s">
        <v>125</v>
      </c>
      <c r="G1063" s="28" t="s">
        <v>126</v>
      </c>
      <c r="H1063" s="28" t="s">
        <v>100</v>
      </c>
      <c r="I1063" s="28" t="s">
        <v>101</v>
      </c>
      <c r="J1063" s="28" t="s">
        <v>71</v>
      </c>
      <c r="K1063" s="28" t="s">
        <v>67</v>
      </c>
      <c r="L1063" s="28" t="s">
        <v>68</v>
      </c>
      <c r="M1063" s="28" t="s">
        <v>69</v>
      </c>
      <c r="N1063" s="28" t="s">
        <v>70</v>
      </c>
      <c r="O1063" s="29" t="n">
        <v>4</v>
      </c>
      <c r="P1063" s="30" t="n">
        <v>1176</v>
      </c>
      <c r="Q1063" s="30" t="n">
        <v>744</v>
      </c>
      <c r="R1063" s="30" t="n">
        <f aca="false">ROUND(O1063*P1063,2)</f>
        <v>4704</v>
      </c>
      <c r="S1063" s="30" t="n">
        <f aca="false">ROUND(O1063*Q1063,2)</f>
        <v>2976</v>
      </c>
      <c r="T1063" s="30" t="n">
        <f aca="false">ROUND(R1063*SUMIFS(Parametros!$E$23:$E$38,Parametros!$B$23:$B$38,J1063,Parametros!$C$23:$C$38,C1063,Parametros!$D$23:$D$38,D1063),2)</f>
        <v>225.79</v>
      </c>
      <c r="U1063" s="30" t="n">
        <f aca="false">R1063-S1063-T1063</f>
        <v>1502.21</v>
      </c>
    </row>
    <row r="1064" customFormat="false" ht="15" hidden="false" customHeight="false" outlineLevel="0" collapsed="false">
      <c r="A1064" s="0" t="n">
        <v>1063</v>
      </c>
      <c r="B1064" s="27" t="n">
        <v>45613</v>
      </c>
      <c r="C1064" s="0" t="n">
        <v>2024</v>
      </c>
      <c r="D1064" s="28" t="s">
        <v>122</v>
      </c>
      <c r="E1064" s="0" t="n">
        <v>11</v>
      </c>
      <c r="F1064" s="28" t="s">
        <v>125</v>
      </c>
      <c r="G1064" s="28" t="s">
        <v>126</v>
      </c>
      <c r="H1064" s="28" t="s">
        <v>100</v>
      </c>
      <c r="I1064" s="28" t="s">
        <v>101</v>
      </c>
      <c r="J1064" s="28" t="s">
        <v>66</v>
      </c>
      <c r="K1064" s="28" t="s">
        <v>67</v>
      </c>
      <c r="L1064" s="28" t="s">
        <v>68</v>
      </c>
      <c r="M1064" s="28" t="s">
        <v>72</v>
      </c>
      <c r="N1064" s="28" t="s">
        <v>73</v>
      </c>
      <c r="O1064" s="29" t="n">
        <v>8</v>
      </c>
      <c r="P1064" s="30" t="n">
        <v>441</v>
      </c>
      <c r="Q1064" s="30" t="n">
        <v>272.25</v>
      </c>
      <c r="R1064" s="30" t="n">
        <f aca="false">ROUND(O1064*P1064,2)</f>
        <v>3528</v>
      </c>
      <c r="S1064" s="30" t="n">
        <f aca="false">ROUND(O1064*Q1064,2)</f>
        <v>2178</v>
      </c>
      <c r="T1064" s="30" t="n">
        <f aca="false">ROUND(R1064*SUMIFS(Parametros!$E$23:$E$38,Parametros!$B$23:$B$38,J1064,Parametros!$C$23:$C$38,C1064,Parametros!$D$23:$D$38,D1064),2)</f>
        <v>45.86</v>
      </c>
      <c r="U1064" s="30" t="n">
        <f aca="false">R1064-S1064-T1064</f>
        <v>1304.14</v>
      </c>
    </row>
    <row r="1065" customFormat="false" ht="15" hidden="false" customHeight="false" outlineLevel="0" collapsed="false">
      <c r="A1065" s="0" t="n">
        <v>1064</v>
      </c>
      <c r="B1065" s="27" t="n">
        <v>45620</v>
      </c>
      <c r="C1065" s="0" t="n">
        <v>2024</v>
      </c>
      <c r="D1065" s="28" t="s">
        <v>122</v>
      </c>
      <c r="E1065" s="0" t="n">
        <v>11</v>
      </c>
      <c r="F1065" s="28" t="s">
        <v>125</v>
      </c>
      <c r="G1065" s="28" t="s">
        <v>126</v>
      </c>
      <c r="H1065" s="28" t="s">
        <v>100</v>
      </c>
      <c r="I1065" s="28" t="s">
        <v>101</v>
      </c>
      <c r="J1065" s="28" t="s">
        <v>71</v>
      </c>
      <c r="K1065" s="28" t="s">
        <v>67</v>
      </c>
      <c r="L1065" s="28" t="s">
        <v>68</v>
      </c>
      <c r="M1065" s="28" t="s">
        <v>72</v>
      </c>
      <c r="N1065" s="28" t="s">
        <v>73</v>
      </c>
      <c r="O1065" s="29" t="n">
        <v>3</v>
      </c>
      <c r="P1065" s="30" t="n">
        <v>441</v>
      </c>
      <c r="Q1065" s="30" t="n">
        <v>272.25</v>
      </c>
      <c r="R1065" s="30" t="n">
        <f aca="false">ROUND(O1065*P1065,2)</f>
        <v>1323</v>
      </c>
      <c r="S1065" s="30" t="n">
        <f aca="false">ROUND(O1065*Q1065,2)</f>
        <v>816.75</v>
      </c>
      <c r="T1065" s="30" t="n">
        <f aca="false">ROUND(R1065*SUMIFS(Parametros!$E$23:$E$38,Parametros!$B$23:$B$38,J1065,Parametros!$C$23:$C$38,C1065,Parametros!$D$23:$D$38,D1065),2)</f>
        <v>63.5</v>
      </c>
      <c r="U1065" s="30" t="n">
        <f aca="false">R1065-S1065-T1065</f>
        <v>442.75</v>
      </c>
    </row>
    <row r="1066" customFormat="false" ht="15" hidden="false" customHeight="false" outlineLevel="0" collapsed="false">
      <c r="A1066" s="0" t="n">
        <v>1065</v>
      </c>
      <c r="B1066" s="27" t="n">
        <v>45600</v>
      </c>
      <c r="C1066" s="0" t="n">
        <v>2024</v>
      </c>
      <c r="D1066" s="28" t="s">
        <v>122</v>
      </c>
      <c r="E1066" s="0" t="n">
        <v>11</v>
      </c>
      <c r="F1066" s="28" t="s">
        <v>125</v>
      </c>
      <c r="G1066" s="28" t="s">
        <v>126</v>
      </c>
      <c r="H1066" s="28" t="s">
        <v>100</v>
      </c>
      <c r="I1066" s="28" t="s">
        <v>101</v>
      </c>
      <c r="J1066" s="28" t="s">
        <v>66</v>
      </c>
      <c r="K1066" s="28" t="s">
        <v>67</v>
      </c>
      <c r="L1066" s="28" t="s">
        <v>68</v>
      </c>
      <c r="M1066" s="28" t="s">
        <v>74</v>
      </c>
      <c r="N1066" s="28" t="s">
        <v>75</v>
      </c>
      <c r="O1066" s="29" t="n">
        <v>7</v>
      </c>
      <c r="P1066" s="30" t="n">
        <v>1617</v>
      </c>
      <c r="Q1066" s="30" t="n">
        <v>1122</v>
      </c>
      <c r="R1066" s="30" t="n">
        <f aca="false">ROUND(O1066*P1066,2)</f>
        <v>11319</v>
      </c>
      <c r="S1066" s="30" t="n">
        <f aca="false">ROUND(O1066*Q1066,2)</f>
        <v>7854</v>
      </c>
      <c r="T1066" s="30" t="n">
        <f aca="false">ROUND(R1066*SUMIFS(Parametros!$E$23:$E$38,Parametros!$B$23:$B$38,J1066,Parametros!$C$23:$C$38,C1066,Parametros!$D$23:$D$38,D1066),2)</f>
        <v>147.15</v>
      </c>
      <c r="U1066" s="30" t="n">
        <f aca="false">R1066-S1066-T1066</f>
        <v>3317.85</v>
      </c>
    </row>
    <row r="1067" customFormat="false" ht="15" hidden="false" customHeight="false" outlineLevel="0" collapsed="false">
      <c r="A1067" s="0" t="n">
        <v>1066</v>
      </c>
      <c r="B1067" s="27" t="n">
        <v>45607</v>
      </c>
      <c r="C1067" s="0" t="n">
        <v>2024</v>
      </c>
      <c r="D1067" s="28" t="s">
        <v>122</v>
      </c>
      <c r="E1067" s="0" t="n">
        <v>11</v>
      </c>
      <c r="F1067" s="28" t="s">
        <v>125</v>
      </c>
      <c r="G1067" s="28" t="s">
        <v>126</v>
      </c>
      <c r="H1067" s="28" t="s">
        <v>100</v>
      </c>
      <c r="I1067" s="28" t="s">
        <v>101</v>
      </c>
      <c r="J1067" s="28" t="s">
        <v>71</v>
      </c>
      <c r="K1067" s="28" t="s">
        <v>67</v>
      </c>
      <c r="L1067" s="28" t="s">
        <v>68</v>
      </c>
      <c r="M1067" s="28" t="s">
        <v>74</v>
      </c>
      <c r="N1067" s="28" t="s">
        <v>75</v>
      </c>
      <c r="O1067" s="29" t="n">
        <v>3</v>
      </c>
      <c r="P1067" s="30" t="n">
        <v>1617</v>
      </c>
      <c r="Q1067" s="30" t="n">
        <v>1122</v>
      </c>
      <c r="R1067" s="30" t="n">
        <f aca="false">ROUND(O1067*P1067,2)</f>
        <v>4851</v>
      </c>
      <c r="S1067" s="30" t="n">
        <f aca="false">ROUND(O1067*Q1067,2)</f>
        <v>3366</v>
      </c>
      <c r="T1067" s="30" t="n">
        <f aca="false">ROUND(R1067*SUMIFS(Parametros!$E$23:$E$38,Parametros!$B$23:$B$38,J1067,Parametros!$C$23:$C$38,C1067,Parametros!$D$23:$D$38,D1067),2)</f>
        <v>232.85</v>
      </c>
      <c r="U1067" s="30" t="n">
        <f aca="false">R1067-S1067-T1067</f>
        <v>1252.15</v>
      </c>
    </row>
    <row r="1068" customFormat="false" ht="15" hidden="false" customHeight="false" outlineLevel="0" collapsed="false">
      <c r="A1068" s="0" t="n">
        <v>1067</v>
      </c>
      <c r="B1068" s="27" t="n">
        <v>45614</v>
      </c>
      <c r="C1068" s="0" t="n">
        <v>2024</v>
      </c>
      <c r="D1068" s="28" t="s">
        <v>122</v>
      </c>
      <c r="E1068" s="0" t="n">
        <v>11</v>
      </c>
      <c r="F1068" s="28" t="s">
        <v>125</v>
      </c>
      <c r="G1068" s="28" t="s">
        <v>126</v>
      </c>
      <c r="H1068" s="28" t="s">
        <v>100</v>
      </c>
      <c r="I1068" s="28" t="s">
        <v>101</v>
      </c>
      <c r="J1068" s="28" t="s">
        <v>66</v>
      </c>
      <c r="K1068" s="28" t="s">
        <v>76</v>
      </c>
      <c r="L1068" s="28" t="s">
        <v>77</v>
      </c>
      <c r="M1068" s="28" t="s">
        <v>78</v>
      </c>
      <c r="N1068" s="28" t="s">
        <v>79</v>
      </c>
      <c r="O1068" s="29" t="n">
        <v>43</v>
      </c>
      <c r="P1068" s="30" t="n">
        <v>27.44</v>
      </c>
      <c r="Q1068" s="30" t="n">
        <v>13.44</v>
      </c>
      <c r="R1068" s="30" t="n">
        <f aca="false">ROUND(O1068*P1068,2)</f>
        <v>1179.92</v>
      </c>
      <c r="S1068" s="30" t="n">
        <f aca="false">ROUND(O1068*Q1068,2)</f>
        <v>577.92</v>
      </c>
      <c r="T1068" s="30" t="n">
        <f aca="false">ROUND(R1068*SUMIFS(Parametros!$E$23:$E$38,Parametros!$B$23:$B$38,J1068,Parametros!$C$23:$C$38,C1068,Parametros!$D$23:$D$38,D1068),2)</f>
        <v>15.34</v>
      </c>
      <c r="U1068" s="30" t="n">
        <f aca="false">R1068-S1068-T1068</f>
        <v>586.66</v>
      </c>
    </row>
    <row r="1069" customFormat="false" ht="15" hidden="false" customHeight="false" outlineLevel="0" collapsed="false">
      <c r="A1069" s="0" t="n">
        <v>1068</v>
      </c>
      <c r="B1069" s="27" t="n">
        <v>45621</v>
      </c>
      <c r="C1069" s="0" t="n">
        <v>2024</v>
      </c>
      <c r="D1069" s="28" t="s">
        <v>122</v>
      </c>
      <c r="E1069" s="0" t="n">
        <v>11</v>
      </c>
      <c r="F1069" s="28" t="s">
        <v>125</v>
      </c>
      <c r="G1069" s="28" t="s">
        <v>126</v>
      </c>
      <c r="H1069" s="28" t="s">
        <v>100</v>
      </c>
      <c r="I1069" s="28" t="s">
        <v>101</v>
      </c>
      <c r="J1069" s="28" t="s">
        <v>71</v>
      </c>
      <c r="K1069" s="28" t="s">
        <v>76</v>
      </c>
      <c r="L1069" s="28" t="s">
        <v>77</v>
      </c>
      <c r="M1069" s="28" t="s">
        <v>78</v>
      </c>
      <c r="N1069" s="28" t="s">
        <v>79</v>
      </c>
      <c r="O1069" s="29" t="n">
        <v>15</v>
      </c>
      <c r="P1069" s="30" t="n">
        <v>27.44</v>
      </c>
      <c r="Q1069" s="30" t="n">
        <v>13.44</v>
      </c>
      <c r="R1069" s="30" t="n">
        <f aca="false">ROUND(O1069*P1069,2)</f>
        <v>411.6</v>
      </c>
      <c r="S1069" s="30" t="n">
        <f aca="false">ROUND(O1069*Q1069,2)</f>
        <v>201.6</v>
      </c>
      <c r="T1069" s="30" t="n">
        <f aca="false">ROUND(R1069*SUMIFS(Parametros!$E$23:$E$38,Parametros!$B$23:$B$38,J1069,Parametros!$C$23:$C$38,C1069,Parametros!$D$23:$D$38,D1069),2)</f>
        <v>19.76</v>
      </c>
      <c r="U1069" s="30" t="n">
        <f aca="false">R1069-S1069-T1069</f>
        <v>190.24</v>
      </c>
    </row>
    <row r="1070" customFormat="false" ht="15" hidden="false" customHeight="false" outlineLevel="0" collapsed="false">
      <c r="A1070" s="0" t="n">
        <v>1069</v>
      </c>
      <c r="B1070" s="27" t="n">
        <v>45601</v>
      </c>
      <c r="C1070" s="0" t="n">
        <v>2024</v>
      </c>
      <c r="D1070" s="28" t="s">
        <v>122</v>
      </c>
      <c r="E1070" s="0" t="n">
        <v>11</v>
      </c>
      <c r="F1070" s="28" t="s">
        <v>125</v>
      </c>
      <c r="G1070" s="28" t="s">
        <v>126</v>
      </c>
      <c r="H1070" s="28" t="s">
        <v>100</v>
      </c>
      <c r="I1070" s="28" t="s">
        <v>101</v>
      </c>
      <c r="J1070" s="28" t="s">
        <v>66</v>
      </c>
      <c r="K1070" s="28" t="s">
        <v>76</v>
      </c>
      <c r="L1070" s="28" t="s">
        <v>77</v>
      </c>
      <c r="M1070" s="28" t="s">
        <v>80</v>
      </c>
      <c r="N1070" s="28" t="s">
        <v>81</v>
      </c>
      <c r="O1070" s="29" t="n">
        <v>41</v>
      </c>
      <c r="P1070" s="30" t="n">
        <v>93.1</v>
      </c>
      <c r="Q1070" s="30" t="n">
        <v>47.98</v>
      </c>
      <c r="R1070" s="30" t="n">
        <f aca="false">ROUND(O1070*P1070,2)</f>
        <v>3817.1</v>
      </c>
      <c r="S1070" s="30" t="n">
        <f aca="false">ROUND(O1070*Q1070,2)</f>
        <v>1967.18</v>
      </c>
      <c r="T1070" s="30" t="n">
        <f aca="false">ROUND(R1070*SUMIFS(Parametros!$E$23:$E$38,Parametros!$B$23:$B$38,J1070,Parametros!$C$23:$C$38,C1070,Parametros!$D$23:$D$38,D1070),2)</f>
        <v>49.62</v>
      </c>
      <c r="U1070" s="30" t="n">
        <f aca="false">R1070-S1070-T1070</f>
        <v>1800.3</v>
      </c>
    </row>
    <row r="1071" customFormat="false" ht="15" hidden="false" customHeight="false" outlineLevel="0" collapsed="false">
      <c r="A1071" s="0" t="n">
        <v>1070</v>
      </c>
      <c r="B1071" s="27" t="n">
        <v>45608</v>
      </c>
      <c r="C1071" s="0" t="n">
        <v>2024</v>
      </c>
      <c r="D1071" s="28" t="s">
        <v>122</v>
      </c>
      <c r="E1071" s="0" t="n">
        <v>11</v>
      </c>
      <c r="F1071" s="28" t="s">
        <v>125</v>
      </c>
      <c r="G1071" s="28" t="s">
        <v>126</v>
      </c>
      <c r="H1071" s="28" t="s">
        <v>100</v>
      </c>
      <c r="I1071" s="28" t="s">
        <v>101</v>
      </c>
      <c r="J1071" s="28" t="s">
        <v>71</v>
      </c>
      <c r="K1071" s="28" t="s">
        <v>76</v>
      </c>
      <c r="L1071" s="28" t="s">
        <v>77</v>
      </c>
      <c r="M1071" s="28" t="s">
        <v>80</v>
      </c>
      <c r="N1071" s="28" t="s">
        <v>81</v>
      </c>
      <c r="O1071" s="29" t="n">
        <v>16</v>
      </c>
      <c r="P1071" s="30" t="n">
        <v>93.1</v>
      </c>
      <c r="Q1071" s="30" t="n">
        <v>47.98</v>
      </c>
      <c r="R1071" s="30" t="n">
        <f aca="false">ROUND(O1071*P1071,2)</f>
        <v>1489.6</v>
      </c>
      <c r="S1071" s="30" t="n">
        <f aca="false">ROUND(O1071*Q1071,2)</f>
        <v>767.68</v>
      </c>
      <c r="T1071" s="30" t="n">
        <f aca="false">ROUND(R1071*SUMIFS(Parametros!$E$23:$E$38,Parametros!$B$23:$B$38,J1071,Parametros!$C$23:$C$38,C1071,Parametros!$D$23:$D$38,D1071),2)</f>
        <v>71.5</v>
      </c>
      <c r="U1071" s="30" t="n">
        <f aca="false">R1071-S1071-T1071</f>
        <v>650.42</v>
      </c>
    </row>
    <row r="1072" customFormat="false" ht="15" hidden="false" customHeight="false" outlineLevel="0" collapsed="false">
      <c r="A1072" s="0" t="n">
        <v>1071</v>
      </c>
      <c r="B1072" s="27" t="n">
        <v>45615</v>
      </c>
      <c r="C1072" s="0" t="n">
        <v>2024</v>
      </c>
      <c r="D1072" s="28" t="s">
        <v>122</v>
      </c>
      <c r="E1072" s="0" t="n">
        <v>11</v>
      </c>
      <c r="F1072" s="28" t="s">
        <v>125</v>
      </c>
      <c r="G1072" s="28" t="s">
        <v>126</v>
      </c>
      <c r="H1072" s="28" t="s">
        <v>100</v>
      </c>
      <c r="I1072" s="28" t="s">
        <v>101</v>
      </c>
      <c r="J1072" s="28" t="s">
        <v>66</v>
      </c>
      <c r="K1072" s="28" t="s">
        <v>76</v>
      </c>
      <c r="L1072" s="28" t="s">
        <v>77</v>
      </c>
      <c r="M1072" s="28" t="s">
        <v>82</v>
      </c>
      <c r="N1072" s="28" t="s">
        <v>83</v>
      </c>
      <c r="O1072" s="29" t="n">
        <v>43</v>
      </c>
      <c r="P1072" s="30" t="n">
        <v>63.7</v>
      </c>
      <c r="Q1072" s="30" t="n">
        <v>35.43</v>
      </c>
      <c r="R1072" s="30" t="n">
        <f aca="false">ROUND(O1072*P1072,2)</f>
        <v>2739.1</v>
      </c>
      <c r="S1072" s="30" t="n">
        <f aca="false">ROUND(O1072*Q1072,2)</f>
        <v>1523.49</v>
      </c>
      <c r="T1072" s="30" t="n">
        <f aca="false">ROUND(R1072*SUMIFS(Parametros!$E$23:$E$38,Parametros!$B$23:$B$38,J1072,Parametros!$C$23:$C$38,C1072,Parametros!$D$23:$D$38,D1072),2)</f>
        <v>35.61</v>
      </c>
      <c r="U1072" s="30" t="n">
        <f aca="false">R1072-S1072-T1072</f>
        <v>1180</v>
      </c>
    </row>
    <row r="1073" customFormat="false" ht="15" hidden="false" customHeight="false" outlineLevel="0" collapsed="false">
      <c r="A1073" s="0" t="n">
        <v>1072</v>
      </c>
      <c r="B1073" s="27" t="n">
        <v>45622</v>
      </c>
      <c r="C1073" s="0" t="n">
        <v>2024</v>
      </c>
      <c r="D1073" s="28" t="s">
        <v>122</v>
      </c>
      <c r="E1073" s="0" t="n">
        <v>11</v>
      </c>
      <c r="F1073" s="28" t="s">
        <v>125</v>
      </c>
      <c r="G1073" s="28" t="s">
        <v>126</v>
      </c>
      <c r="H1073" s="28" t="s">
        <v>100</v>
      </c>
      <c r="I1073" s="28" t="s">
        <v>101</v>
      </c>
      <c r="J1073" s="28" t="s">
        <v>71</v>
      </c>
      <c r="K1073" s="28" t="s">
        <v>76</v>
      </c>
      <c r="L1073" s="28" t="s">
        <v>77</v>
      </c>
      <c r="M1073" s="28" t="s">
        <v>82</v>
      </c>
      <c r="N1073" s="28" t="s">
        <v>83</v>
      </c>
      <c r="O1073" s="29" t="n">
        <v>18</v>
      </c>
      <c r="P1073" s="30" t="n">
        <v>63.7</v>
      </c>
      <c r="Q1073" s="30" t="n">
        <v>35.43</v>
      </c>
      <c r="R1073" s="30" t="n">
        <f aca="false">ROUND(O1073*P1073,2)</f>
        <v>1146.6</v>
      </c>
      <c r="S1073" s="30" t="n">
        <f aca="false">ROUND(O1073*Q1073,2)</f>
        <v>637.74</v>
      </c>
      <c r="T1073" s="30" t="n">
        <f aca="false">ROUND(R1073*SUMIFS(Parametros!$E$23:$E$38,Parametros!$B$23:$B$38,J1073,Parametros!$C$23:$C$38,C1073,Parametros!$D$23:$D$38,D1073),2)</f>
        <v>55.04</v>
      </c>
      <c r="U1073" s="30" t="n">
        <f aca="false">R1073-S1073-T1073</f>
        <v>453.82</v>
      </c>
    </row>
    <row r="1074" customFormat="false" ht="15" hidden="false" customHeight="false" outlineLevel="0" collapsed="false">
      <c r="A1074" s="0" t="n">
        <v>1073</v>
      </c>
      <c r="B1074" s="27" t="n">
        <v>45602</v>
      </c>
      <c r="C1074" s="0" t="n">
        <v>2024</v>
      </c>
      <c r="D1074" s="28" t="s">
        <v>122</v>
      </c>
      <c r="E1074" s="0" t="n">
        <v>11</v>
      </c>
      <c r="F1074" s="28" t="s">
        <v>125</v>
      </c>
      <c r="G1074" s="28" t="s">
        <v>126</v>
      </c>
      <c r="H1074" s="28" t="s">
        <v>100</v>
      </c>
      <c r="I1074" s="28" t="s">
        <v>101</v>
      </c>
      <c r="J1074" s="28" t="s">
        <v>66</v>
      </c>
      <c r="K1074" s="28" t="s">
        <v>84</v>
      </c>
      <c r="L1074" s="28" t="s">
        <v>85</v>
      </c>
      <c r="M1074" s="28" t="s">
        <v>86</v>
      </c>
      <c r="N1074" s="28" t="s">
        <v>87</v>
      </c>
      <c r="O1074" s="29" t="n">
        <v>20</v>
      </c>
      <c r="P1074" s="30" t="n">
        <v>117.6</v>
      </c>
      <c r="Q1074" s="30" t="n">
        <v>63.6</v>
      </c>
      <c r="R1074" s="30" t="n">
        <f aca="false">ROUND(O1074*P1074,2)</f>
        <v>2352</v>
      </c>
      <c r="S1074" s="30" t="n">
        <f aca="false">ROUND(O1074*Q1074,2)</f>
        <v>1272</v>
      </c>
      <c r="T1074" s="30" t="n">
        <f aca="false">ROUND(R1074*SUMIFS(Parametros!$E$23:$E$38,Parametros!$B$23:$B$38,J1074,Parametros!$C$23:$C$38,C1074,Parametros!$D$23:$D$38,D1074),2)</f>
        <v>30.58</v>
      </c>
      <c r="U1074" s="30" t="n">
        <f aca="false">R1074-S1074-T1074</f>
        <v>1049.42</v>
      </c>
    </row>
    <row r="1075" customFormat="false" ht="15" hidden="false" customHeight="false" outlineLevel="0" collapsed="false">
      <c r="A1075" s="0" t="n">
        <v>1074</v>
      </c>
      <c r="B1075" s="27" t="n">
        <v>45609</v>
      </c>
      <c r="C1075" s="0" t="n">
        <v>2024</v>
      </c>
      <c r="D1075" s="28" t="s">
        <v>122</v>
      </c>
      <c r="E1075" s="0" t="n">
        <v>11</v>
      </c>
      <c r="F1075" s="28" t="s">
        <v>125</v>
      </c>
      <c r="G1075" s="28" t="s">
        <v>126</v>
      </c>
      <c r="H1075" s="28" t="s">
        <v>100</v>
      </c>
      <c r="I1075" s="28" t="s">
        <v>101</v>
      </c>
      <c r="J1075" s="28" t="s">
        <v>71</v>
      </c>
      <c r="K1075" s="28" t="s">
        <v>84</v>
      </c>
      <c r="L1075" s="28" t="s">
        <v>85</v>
      </c>
      <c r="M1075" s="28" t="s">
        <v>86</v>
      </c>
      <c r="N1075" s="28" t="s">
        <v>87</v>
      </c>
      <c r="O1075" s="29" t="n">
        <v>7</v>
      </c>
      <c r="P1075" s="30" t="n">
        <v>117.6</v>
      </c>
      <c r="Q1075" s="30" t="n">
        <v>63.6</v>
      </c>
      <c r="R1075" s="30" t="n">
        <f aca="false">ROUND(O1075*P1075,2)</f>
        <v>823.2</v>
      </c>
      <c r="S1075" s="30" t="n">
        <f aca="false">ROUND(O1075*Q1075,2)</f>
        <v>445.2</v>
      </c>
      <c r="T1075" s="30" t="n">
        <f aca="false">ROUND(R1075*SUMIFS(Parametros!$E$23:$E$38,Parametros!$B$23:$B$38,J1075,Parametros!$C$23:$C$38,C1075,Parametros!$D$23:$D$38,D1075),2)</f>
        <v>39.51</v>
      </c>
      <c r="U1075" s="30" t="n">
        <f aca="false">R1075-S1075-T1075</f>
        <v>338.49</v>
      </c>
    </row>
    <row r="1076" customFormat="false" ht="15" hidden="false" customHeight="false" outlineLevel="0" collapsed="false">
      <c r="A1076" s="0" t="n">
        <v>1075</v>
      </c>
      <c r="B1076" s="27" t="n">
        <v>45616</v>
      </c>
      <c r="C1076" s="0" t="n">
        <v>2024</v>
      </c>
      <c r="D1076" s="28" t="s">
        <v>122</v>
      </c>
      <c r="E1076" s="0" t="n">
        <v>11</v>
      </c>
      <c r="F1076" s="28" t="s">
        <v>125</v>
      </c>
      <c r="G1076" s="28" t="s">
        <v>126</v>
      </c>
      <c r="H1076" s="28" t="s">
        <v>100</v>
      </c>
      <c r="I1076" s="28" t="s">
        <v>101</v>
      </c>
      <c r="J1076" s="28" t="s">
        <v>66</v>
      </c>
      <c r="K1076" s="28" t="s">
        <v>84</v>
      </c>
      <c r="L1076" s="28" t="s">
        <v>85</v>
      </c>
      <c r="M1076" s="28" t="s">
        <v>88</v>
      </c>
      <c r="N1076" s="28" t="s">
        <v>89</v>
      </c>
      <c r="O1076" s="29" t="n">
        <v>17</v>
      </c>
      <c r="P1076" s="30" t="n">
        <v>83.3</v>
      </c>
      <c r="Q1076" s="30" t="n">
        <v>48.02</v>
      </c>
      <c r="R1076" s="30" t="n">
        <f aca="false">ROUND(O1076*P1076,2)</f>
        <v>1416.1</v>
      </c>
      <c r="S1076" s="30" t="n">
        <f aca="false">ROUND(O1076*Q1076,2)</f>
        <v>816.34</v>
      </c>
      <c r="T1076" s="30" t="n">
        <f aca="false">ROUND(R1076*SUMIFS(Parametros!$E$23:$E$38,Parametros!$B$23:$B$38,J1076,Parametros!$C$23:$C$38,C1076,Parametros!$D$23:$D$38,D1076),2)</f>
        <v>18.41</v>
      </c>
      <c r="U1076" s="30" t="n">
        <f aca="false">R1076-S1076-T1076</f>
        <v>581.35</v>
      </c>
    </row>
    <row r="1077" customFormat="false" ht="15" hidden="false" customHeight="false" outlineLevel="0" collapsed="false">
      <c r="A1077" s="0" t="n">
        <v>1076</v>
      </c>
      <c r="B1077" s="27" t="n">
        <v>45623</v>
      </c>
      <c r="C1077" s="0" t="n">
        <v>2024</v>
      </c>
      <c r="D1077" s="28" t="s">
        <v>122</v>
      </c>
      <c r="E1077" s="0" t="n">
        <v>11</v>
      </c>
      <c r="F1077" s="28" t="s">
        <v>125</v>
      </c>
      <c r="G1077" s="28" t="s">
        <v>126</v>
      </c>
      <c r="H1077" s="28" t="s">
        <v>100</v>
      </c>
      <c r="I1077" s="28" t="s">
        <v>101</v>
      </c>
      <c r="J1077" s="28" t="s">
        <v>71</v>
      </c>
      <c r="K1077" s="28" t="s">
        <v>84</v>
      </c>
      <c r="L1077" s="28" t="s">
        <v>85</v>
      </c>
      <c r="M1077" s="28" t="s">
        <v>88</v>
      </c>
      <c r="N1077" s="28" t="s">
        <v>89</v>
      </c>
      <c r="O1077" s="29" t="n">
        <v>8</v>
      </c>
      <c r="P1077" s="30" t="n">
        <v>83.3</v>
      </c>
      <c r="Q1077" s="30" t="n">
        <v>48.02</v>
      </c>
      <c r="R1077" s="30" t="n">
        <f aca="false">ROUND(O1077*P1077,2)</f>
        <v>666.4</v>
      </c>
      <c r="S1077" s="30" t="n">
        <f aca="false">ROUND(O1077*Q1077,2)</f>
        <v>384.16</v>
      </c>
      <c r="T1077" s="30" t="n">
        <f aca="false">ROUND(R1077*SUMIFS(Parametros!$E$23:$E$38,Parametros!$B$23:$B$38,J1077,Parametros!$C$23:$C$38,C1077,Parametros!$D$23:$D$38,D1077),2)</f>
        <v>31.99</v>
      </c>
      <c r="U1077" s="30" t="n">
        <f aca="false">R1077-S1077-T1077</f>
        <v>250.25</v>
      </c>
    </row>
    <row r="1078" customFormat="false" ht="15" hidden="false" customHeight="false" outlineLevel="0" collapsed="false">
      <c r="A1078" s="0" t="n">
        <v>1077</v>
      </c>
      <c r="B1078" s="27" t="n">
        <v>45603</v>
      </c>
      <c r="C1078" s="0" t="n">
        <v>2024</v>
      </c>
      <c r="D1078" s="28" t="s">
        <v>122</v>
      </c>
      <c r="E1078" s="0" t="n">
        <v>11</v>
      </c>
      <c r="F1078" s="28" t="s">
        <v>125</v>
      </c>
      <c r="G1078" s="28" t="s">
        <v>126</v>
      </c>
      <c r="H1078" s="28" t="s">
        <v>100</v>
      </c>
      <c r="I1078" s="28" t="s">
        <v>101</v>
      </c>
      <c r="J1078" s="28" t="s">
        <v>66</v>
      </c>
      <c r="K1078" s="28" t="s">
        <v>90</v>
      </c>
      <c r="L1078" s="28" t="s">
        <v>91</v>
      </c>
      <c r="M1078" s="28" t="s">
        <v>92</v>
      </c>
      <c r="N1078" s="28" t="s">
        <v>93</v>
      </c>
      <c r="O1078" s="29" t="n">
        <v>22</v>
      </c>
      <c r="P1078" s="30" t="n">
        <v>127.4</v>
      </c>
      <c r="Q1078" s="30" t="n">
        <v>76.05</v>
      </c>
      <c r="R1078" s="30" t="n">
        <f aca="false">ROUND(O1078*P1078,2)</f>
        <v>2802.8</v>
      </c>
      <c r="S1078" s="30" t="n">
        <f aca="false">ROUND(O1078*Q1078,2)</f>
        <v>1673.1</v>
      </c>
      <c r="T1078" s="30" t="n">
        <f aca="false">ROUND(R1078*SUMIFS(Parametros!$E$23:$E$38,Parametros!$B$23:$B$38,J1078,Parametros!$C$23:$C$38,C1078,Parametros!$D$23:$D$38,D1078),2)</f>
        <v>36.44</v>
      </c>
      <c r="U1078" s="30" t="n">
        <f aca="false">R1078-S1078-T1078</f>
        <v>1093.26</v>
      </c>
    </row>
    <row r="1079" customFormat="false" ht="15" hidden="false" customHeight="false" outlineLevel="0" collapsed="false">
      <c r="A1079" s="0" t="n">
        <v>1078</v>
      </c>
      <c r="B1079" s="27" t="n">
        <v>45610</v>
      </c>
      <c r="C1079" s="0" t="n">
        <v>2024</v>
      </c>
      <c r="D1079" s="28" t="s">
        <v>122</v>
      </c>
      <c r="E1079" s="0" t="n">
        <v>11</v>
      </c>
      <c r="F1079" s="28" t="s">
        <v>125</v>
      </c>
      <c r="G1079" s="28" t="s">
        <v>126</v>
      </c>
      <c r="H1079" s="28" t="s">
        <v>100</v>
      </c>
      <c r="I1079" s="28" t="s">
        <v>101</v>
      </c>
      <c r="J1079" s="28" t="s">
        <v>71</v>
      </c>
      <c r="K1079" s="28" t="s">
        <v>90</v>
      </c>
      <c r="L1079" s="28" t="s">
        <v>91</v>
      </c>
      <c r="M1079" s="28" t="s">
        <v>92</v>
      </c>
      <c r="N1079" s="28" t="s">
        <v>93</v>
      </c>
      <c r="O1079" s="29" t="n">
        <v>8</v>
      </c>
      <c r="P1079" s="30" t="n">
        <v>127.4</v>
      </c>
      <c r="Q1079" s="30" t="n">
        <v>76.05</v>
      </c>
      <c r="R1079" s="30" t="n">
        <f aca="false">ROUND(O1079*P1079,2)</f>
        <v>1019.2</v>
      </c>
      <c r="S1079" s="30" t="n">
        <f aca="false">ROUND(O1079*Q1079,2)</f>
        <v>608.4</v>
      </c>
      <c r="T1079" s="30" t="n">
        <f aca="false">ROUND(R1079*SUMIFS(Parametros!$E$23:$E$38,Parametros!$B$23:$B$38,J1079,Parametros!$C$23:$C$38,C1079,Parametros!$D$23:$D$38,D1079),2)</f>
        <v>48.92</v>
      </c>
      <c r="U1079" s="30" t="n">
        <f aca="false">R1079-S1079-T1079</f>
        <v>361.88</v>
      </c>
    </row>
    <row r="1080" customFormat="false" ht="15" hidden="false" customHeight="false" outlineLevel="0" collapsed="false">
      <c r="A1080" s="0" t="n">
        <v>1079</v>
      </c>
      <c r="B1080" s="27" t="n">
        <v>45617</v>
      </c>
      <c r="C1080" s="0" t="n">
        <v>2024</v>
      </c>
      <c r="D1080" s="28" t="s">
        <v>122</v>
      </c>
      <c r="E1080" s="0" t="n">
        <v>11</v>
      </c>
      <c r="F1080" s="28" t="s">
        <v>125</v>
      </c>
      <c r="G1080" s="28" t="s">
        <v>126</v>
      </c>
      <c r="H1080" s="28" t="s">
        <v>100</v>
      </c>
      <c r="I1080" s="28" t="s">
        <v>101</v>
      </c>
      <c r="J1080" s="28" t="s">
        <v>66</v>
      </c>
      <c r="K1080" s="28" t="s">
        <v>90</v>
      </c>
      <c r="L1080" s="28" t="s">
        <v>91</v>
      </c>
      <c r="M1080" s="28" t="s">
        <v>94</v>
      </c>
      <c r="N1080" s="28" t="s">
        <v>95</v>
      </c>
      <c r="O1080" s="29" t="n">
        <v>20</v>
      </c>
      <c r="P1080" s="30" t="n">
        <v>34.3</v>
      </c>
      <c r="Q1080" s="30" t="n">
        <v>17.85</v>
      </c>
      <c r="R1080" s="30" t="n">
        <f aca="false">ROUND(O1080*P1080,2)</f>
        <v>686</v>
      </c>
      <c r="S1080" s="30" t="n">
        <f aca="false">ROUND(O1080*Q1080,2)</f>
        <v>357</v>
      </c>
      <c r="T1080" s="30" t="n">
        <f aca="false">ROUND(R1080*SUMIFS(Parametros!$E$23:$E$38,Parametros!$B$23:$B$38,J1080,Parametros!$C$23:$C$38,C1080,Parametros!$D$23:$D$38,D1080),2)</f>
        <v>8.92</v>
      </c>
      <c r="U1080" s="30" t="n">
        <f aca="false">R1080-S1080-T1080</f>
        <v>320.08</v>
      </c>
    </row>
    <row r="1081" customFormat="false" ht="15" hidden="false" customHeight="false" outlineLevel="0" collapsed="false">
      <c r="A1081" s="0" t="n">
        <v>1080</v>
      </c>
      <c r="B1081" s="27" t="n">
        <v>45597</v>
      </c>
      <c r="C1081" s="0" t="n">
        <v>2024</v>
      </c>
      <c r="D1081" s="28" t="s">
        <v>122</v>
      </c>
      <c r="E1081" s="0" t="n">
        <v>11</v>
      </c>
      <c r="F1081" s="28" t="s">
        <v>125</v>
      </c>
      <c r="G1081" s="28" t="s">
        <v>126</v>
      </c>
      <c r="H1081" s="28" t="s">
        <v>100</v>
      </c>
      <c r="I1081" s="28" t="s">
        <v>101</v>
      </c>
      <c r="J1081" s="28" t="s">
        <v>71</v>
      </c>
      <c r="K1081" s="28" t="s">
        <v>90</v>
      </c>
      <c r="L1081" s="28" t="s">
        <v>91</v>
      </c>
      <c r="M1081" s="28" t="s">
        <v>94</v>
      </c>
      <c r="N1081" s="28" t="s">
        <v>95</v>
      </c>
      <c r="O1081" s="29" t="n">
        <v>8</v>
      </c>
      <c r="P1081" s="30" t="n">
        <v>34.3</v>
      </c>
      <c r="Q1081" s="30" t="n">
        <v>17.85</v>
      </c>
      <c r="R1081" s="30" t="n">
        <f aca="false">ROUND(O1081*P1081,2)</f>
        <v>274.4</v>
      </c>
      <c r="S1081" s="30" t="n">
        <f aca="false">ROUND(O1081*Q1081,2)</f>
        <v>142.8</v>
      </c>
      <c r="T1081" s="30" t="n">
        <f aca="false">ROUND(R1081*SUMIFS(Parametros!$E$23:$E$38,Parametros!$B$23:$B$38,J1081,Parametros!$C$23:$C$38,C1081,Parametros!$D$23:$D$38,D1081),2)</f>
        <v>13.17</v>
      </c>
      <c r="U1081" s="30" t="n">
        <f aca="false">R1081-S1081-T1081</f>
        <v>118.43</v>
      </c>
    </row>
    <row r="1082" customFormat="false" ht="15" hidden="false" customHeight="false" outlineLevel="0" collapsed="false">
      <c r="A1082" s="0" t="n">
        <v>1081</v>
      </c>
      <c r="B1082" s="27" t="n">
        <v>45604</v>
      </c>
      <c r="C1082" s="0" t="n">
        <v>2024</v>
      </c>
      <c r="D1082" s="28" t="s">
        <v>122</v>
      </c>
      <c r="E1082" s="0" t="n">
        <v>11</v>
      </c>
      <c r="F1082" s="28" t="s">
        <v>125</v>
      </c>
      <c r="G1082" s="28" t="s">
        <v>126</v>
      </c>
      <c r="H1082" s="28" t="s">
        <v>102</v>
      </c>
      <c r="I1082" s="28" t="s">
        <v>103</v>
      </c>
      <c r="J1082" s="28" t="s">
        <v>66</v>
      </c>
      <c r="K1082" s="28" t="s">
        <v>67</v>
      </c>
      <c r="L1082" s="28" t="s">
        <v>68</v>
      </c>
      <c r="M1082" s="28" t="s">
        <v>69</v>
      </c>
      <c r="N1082" s="28" t="s">
        <v>70</v>
      </c>
      <c r="O1082" s="29" t="n">
        <v>9</v>
      </c>
      <c r="P1082" s="30" t="n">
        <v>1176</v>
      </c>
      <c r="Q1082" s="30" t="n">
        <v>744</v>
      </c>
      <c r="R1082" s="30" t="n">
        <f aca="false">ROUND(O1082*P1082,2)</f>
        <v>10584</v>
      </c>
      <c r="S1082" s="30" t="n">
        <f aca="false">ROUND(O1082*Q1082,2)</f>
        <v>6696</v>
      </c>
      <c r="T1082" s="30" t="n">
        <f aca="false">ROUND(R1082*SUMIFS(Parametros!$E$23:$E$38,Parametros!$B$23:$B$38,J1082,Parametros!$C$23:$C$38,C1082,Parametros!$D$23:$D$38,D1082),2)</f>
        <v>137.59</v>
      </c>
      <c r="U1082" s="30" t="n">
        <f aca="false">R1082-S1082-T1082</f>
        <v>3750.41</v>
      </c>
    </row>
    <row r="1083" customFormat="false" ht="15" hidden="false" customHeight="false" outlineLevel="0" collapsed="false">
      <c r="A1083" s="0" t="n">
        <v>1082</v>
      </c>
      <c r="B1083" s="27" t="n">
        <v>45611</v>
      </c>
      <c r="C1083" s="0" t="n">
        <v>2024</v>
      </c>
      <c r="D1083" s="28" t="s">
        <v>122</v>
      </c>
      <c r="E1083" s="0" t="n">
        <v>11</v>
      </c>
      <c r="F1083" s="28" t="s">
        <v>125</v>
      </c>
      <c r="G1083" s="28" t="s">
        <v>126</v>
      </c>
      <c r="H1083" s="28" t="s">
        <v>102</v>
      </c>
      <c r="I1083" s="28" t="s">
        <v>103</v>
      </c>
      <c r="J1083" s="28" t="s">
        <v>71</v>
      </c>
      <c r="K1083" s="28" t="s">
        <v>67</v>
      </c>
      <c r="L1083" s="28" t="s">
        <v>68</v>
      </c>
      <c r="M1083" s="28" t="s">
        <v>69</v>
      </c>
      <c r="N1083" s="28" t="s">
        <v>70</v>
      </c>
      <c r="O1083" s="29" t="n">
        <v>3</v>
      </c>
      <c r="P1083" s="30" t="n">
        <v>1176</v>
      </c>
      <c r="Q1083" s="30" t="n">
        <v>744</v>
      </c>
      <c r="R1083" s="30" t="n">
        <f aca="false">ROUND(O1083*P1083,2)</f>
        <v>3528</v>
      </c>
      <c r="S1083" s="30" t="n">
        <f aca="false">ROUND(O1083*Q1083,2)</f>
        <v>2232</v>
      </c>
      <c r="T1083" s="30" t="n">
        <f aca="false">ROUND(R1083*SUMIFS(Parametros!$E$23:$E$38,Parametros!$B$23:$B$38,J1083,Parametros!$C$23:$C$38,C1083,Parametros!$D$23:$D$38,D1083),2)</f>
        <v>169.34</v>
      </c>
      <c r="U1083" s="30" t="n">
        <f aca="false">R1083-S1083-T1083</f>
        <v>1126.66</v>
      </c>
    </row>
    <row r="1084" customFormat="false" ht="15" hidden="false" customHeight="false" outlineLevel="0" collapsed="false">
      <c r="A1084" s="0" t="n">
        <v>1083</v>
      </c>
      <c r="B1084" s="27" t="n">
        <v>45618</v>
      </c>
      <c r="C1084" s="0" t="n">
        <v>2024</v>
      </c>
      <c r="D1084" s="28" t="s">
        <v>122</v>
      </c>
      <c r="E1084" s="0" t="n">
        <v>11</v>
      </c>
      <c r="F1084" s="28" t="s">
        <v>125</v>
      </c>
      <c r="G1084" s="28" t="s">
        <v>126</v>
      </c>
      <c r="H1084" s="28" t="s">
        <v>102</v>
      </c>
      <c r="I1084" s="28" t="s">
        <v>103</v>
      </c>
      <c r="J1084" s="28" t="s">
        <v>66</v>
      </c>
      <c r="K1084" s="28" t="s">
        <v>67</v>
      </c>
      <c r="L1084" s="28" t="s">
        <v>68</v>
      </c>
      <c r="M1084" s="28" t="s">
        <v>72</v>
      </c>
      <c r="N1084" s="28" t="s">
        <v>73</v>
      </c>
      <c r="O1084" s="29" t="n">
        <v>8</v>
      </c>
      <c r="P1084" s="30" t="n">
        <v>441</v>
      </c>
      <c r="Q1084" s="30" t="n">
        <v>272.25</v>
      </c>
      <c r="R1084" s="30" t="n">
        <f aca="false">ROUND(O1084*P1084,2)</f>
        <v>3528</v>
      </c>
      <c r="S1084" s="30" t="n">
        <f aca="false">ROUND(O1084*Q1084,2)</f>
        <v>2178</v>
      </c>
      <c r="T1084" s="30" t="n">
        <f aca="false">ROUND(R1084*SUMIFS(Parametros!$E$23:$E$38,Parametros!$B$23:$B$38,J1084,Parametros!$C$23:$C$38,C1084,Parametros!$D$23:$D$38,D1084),2)</f>
        <v>45.86</v>
      </c>
      <c r="U1084" s="30" t="n">
        <f aca="false">R1084-S1084-T1084</f>
        <v>1304.14</v>
      </c>
    </row>
    <row r="1085" customFormat="false" ht="15" hidden="false" customHeight="false" outlineLevel="0" collapsed="false">
      <c r="A1085" s="0" t="n">
        <v>1084</v>
      </c>
      <c r="B1085" s="27" t="n">
        <v>45598</v>
      </c>
      <c r="C1085" s="0" t="n">
        <v>2024</v>
      </c>
      <c r="D1085" s="28" t="s">
        <v>122</v>
      </c>
      <c r="E1085" s="0" t="n">
        <v>11</v>
      </c>
      <c r="F1085" s="28" t="s">
        <v>125</v>
      </c>
      <c r="G1085" s="28" t="s">
        <v>126</v>
      </c>
      <c r="H1085" s="28" t="s">
        <v>102</v>
      </c>
      <c r="I1085" s="28" t="s">
        <v>103</v>
      </c>
      <c r="J1085" s="28" t="s">
        <v>71</v>
      </c>
      <c r="K1085" s="28" t="s">
        <v>67</v>
      </c>
      <c r="L1085" s="28" t="s">
        <v>68</v>
      </c>
      <c r="M1085" s="28" t="s">
        <v>72</v>
      </c>
      <c r="N1085" s="28" t="s">
        <v>73</v>
      </c>
      <c r="O1085" s="29" t="n">
        <v>3</v>
      </c>
      <c r="P1085" s="30" t="n">
        <v>441</v>
      </c>
      <c r="Q1085" s="30" t="n">
        <v>272.25</v>
      </c>
      <c r="R1085" s="30" t="n">
        <f aca="false">ROUND(O1085*P1085,2)</f>
        <v>1323</v>
      </c>
      <c r="S1085" s="30" t="n">
        <f aca="false">ROUND(O1085*Q1085,2)</f>
        <v>816.75</v>
      </c>
      <c r="T1085" s="30" t="n">
        <f aca="false">ROUND(R1085*SUMIFS(Parametros!$E$23:$E$38,Parametros!$B$23:$B$38,J1085,Parametros!$C$23:$C$38,C1085,Parametros!$D$23:$D$38,D1085),2)</f>
        <v>63.5</v>
      </c>
      <c r="U1085" s="30" t="n">
        <f aca="false">R1085-S1085-T1085</f>
        <v>442.75</v>
      </c>
    </row>
    <row r="1086" customFormat="false" ht="15" hidden="false" customHeight="false" outlineLevel="0" collapsed="false">
      <c r="A1086" s="0" t="n">
        <v>1085</v>
      </c>
      <c r="B1086" s="27" t="n">
        <v>45605</v>
      </c>
      <c r="C1086" s="0" t="n">
        <v>2024</v>
      </c>
      <c r="D1086" s="28" t="s">
        <v>122</v>
      </c>
      <c r="E1086" s="0" t="n">
        <v>11</v>
      </c>
      <c r="F1086" s="28" t="s">
        <v>125</v>
      </c>
      <c r="G1086" s="28" t="s">
        <v>126</v>
      </c>
      <c r="H1086" s="28" t="s">
        <v>102</v>
      </c>
      <c r="I1086" s="28" t="s">
        <v>103</v>
      </c>
      <c r="J1086" s="28" t="s">
        <v>66</v>
      </c>
      <c r="K1086" s="28" t="s">
        <v>67</v>
      </c>
      <c r="L1086" s="28" t="s">
        <v>68</v>
      </c>
      <c r="M1086" s="28" t="s">
        <v>74</v>
      </c>
      <c r="N1086" s="28" t="s">
        <v>75</v>
      </c>
      <c r="O1086" s="29" t="n">
        <v>7</v>
      </c>
      <c r="P1086" s="30" t="n">
        <v>1617</v>
      </c>
      <c r="Q1086" s="30" t="n">
        <v>1122</v>
      </c>
      <c r="R1086" s="30" t="n">
        <f aca="false">ROUND(O1086*P1086,2)</f>
        <v>11319</v>
      </c>
      <c r="S1086" s="30" t="n">
        <f aca="false">ROUND(O1086*Q1086,2)</f>
        <v>7854</v>
      </c>
      <c r="T1086" s="30" t="n">
        <f aca="false">ROUND(R1086*SUMIFS(Parametros!$E$23:$E$38,Parametros!$B$23:$B$38,J1086,Parametros!$C$23:$C$38,C1086,Parametros!$D$23:$D$38,D1086),2)</f>
        <v>147.15</v>
      </c>
      <c r="U1086" s="30" t="n">
        <f aca="false">R1086-S1086-T1086</f>
        <v>3317.85</v>
      </c>
    </row>
    <row r="1087" customFormat="false" ht="15" hidden="false" customHeight="false" outlineLevel="0" collapsed="false">
      <c r="A1087" s="0" t="n">
        <v>1086</v>
      </c>
      <c r="B1087" s="27" t="n">
        <v>45612</v>
      </c>
      <c r="C1087" s="0" t="n">
        <v>2024</v>
      </c>
      <c r="D1087" s="28" t="s">
        <v>122</v>
      </c>
      <c r="E1087" s="0" t="n">
        <v>11</v>
      </c>
      <c r="F1087" s="28" t="s">
        <v>125</v>
      </c>
      <c r="G1087" s="28" t="s">
        <v>126</v>
      </c>
      <c r="H1087" s="28" t="s">
        <v>102</v>
      </c>
      <c r="I1087" s="28" t="s">
        <v>103</v>
      </c>
      <c r="J1087" s="28" t="s">
        <v>71</v>
      </c>
      <c r="K1087" s="28" t="s">
        <v>67</v>
      </c>
      <c r="L1087" s="28" t="s">
        <v>68</v>
      </c>
      <c r="M1087" s="28" t="s">
        <v>74</v>
      </c>
      <c r="N1087" s="28" t="s">
        <v>75</v>
      </c>
      <c r="O1087" s="29" t="n">
        <v>3</v>
      </c>
      <c r="P1087" s="30" t="n">
        <v>1617</v>
      </c>
      <c r="Q1087" s="30" t="n">
        <v>1122</v>
      </c>
      <c r="R1087" s="30" t="n">
        <f aca="false">ROUND(O1087*P1087,2)</f>
        <v>4851</v>
      </c>
      <c r="S1087" s="30" t="n">
        <f aca="false">ROUND(O1087*Q1087,2)</f>
        <v>3366</v>
      </c>
      <c r="T1087" s="30" t="n">
        <f aca="false">ROUND(R1087*SUMIFS(Parametros!$E$23:$E$38,Parametros!$B$23:$B$38,J1087,Parametros!$C$23:$C$38,C1087,Parametros!$D$23:$D$38,D1087),2)</f>
        <v>232.85</v>
      </c>
      <c r="U1087" s="30" t="n">
        <f aca="false">R1087-S1087-T1087</f>
        <v>1252.15</v>
      </c>
    </row>
    <row r="1088" customFormat="false" ht="15" hidden="false" customHeight="false" outlineLevel="0" collapsed="false">
      <c r="A1088" s="0" t="n">
        <v>1087</v>
      </c>
      <c r="B1088" s="27" t="n">
        <v>45619</v>
      </c>
      <c r="C1088" s="0" t="n">
        <v>2024</v>
      </c>
      <c r="D1088" s="28" t="s">
        <v>122</v>
      </c>
      <c r="E1088" s="0" t="n">
        <v>11</v>
      </c>
      <c r="F1088" s="28" t="s">
        <v>125</v>
      </c>
      <c r="G1088" s="28" t="s">
        <v>126</v>
      </c>
      <c r="H1088" s="28" t="s">
        <v>102</v>
      </c>
      <c r="I1088" s="28" t="s">
        <v>103</v>
      </c>
      <c r="J1088" s="28" t="s">
        <v>66</v>
      </c>
      <c r="K1088" s="28" t="s">
        <v>76</v>
      </c>
      <c r="L1088" s="28" t="s">
        <v>77</v>
      </c>
      <c r="M1088" s="28" t="s">
        <v>78</v>
      </c>
      <c r="N1088" s="28" t="s">
        <v>79</v>
      </c>
      <c r="O1088" s="29" t="n">
        <v>42</v>
      </c>
      <c r="P1088" s="30" t="n">
        <v>27.44</v>
      </c>
      <c r="Q1088" s="30" t="n">
        <v>13.44</v>
      </c>
      <c r="R1088" s="30" t="n">
        <f aca="false">ROUND(O1088*P1088,2)</f>
        <v>1152.48</v>
      </c>
      <c r="S1088" s="30" t="n">
        <f aca="false">ROUND(O1088*Q1088,2)</f>
        <v>564.48</v>
      </c>
      <c r="T1088" s="30" t="n">
        <f aca="false">ROUND(R1088*SUMIFS(Parametros!$E$23:$E$38,Parametros!$B$23:$B$38,J1088,Parametros!$C$23:$C$38,C1088,Parametros!$D$23:$D$38,D1088),2)</f>
        <v>14.98</v>
      </c>
      <c r="U1088" s="30" t="n">
        <f aca="false">R1088-S1088-T1088</f>
        <v>573.02</v>
      </c>
    </row>
    <row r="1089" customFormat="false" ht="15" hidden="false" customHeight="false" outlineLevel="0" collapsed="false">
      <c r="A1089" s="0" t="n">
        <v>1088</v>
      </c>
      <c r="B1089" s="27" t="n">
        <v>45599</v>
      </c>
      <c r="C1089" s="0" t="n">
        <v>2024</v>
      </c>
      <c r="D1089" s="28" t="s">
        <v>122</v>
      </c>
      <c r="E1089" s="0" t="n">
        <v>11</v>
      </c>
      <c r="F1089" s="28" t="s">
        <v>125</v>
      </c>
      <c r="G1089" s="28" t="s">
        <v>126</v>
      </c>
      <c r="H1089" s="28" t="s">
        <v>102</v>
      </c>
      <c r="I1089" s="28" t="s">
        <v>103</v>
      </c>
      <c r="J1089" s="28" t="s">
        <v>71</v>
      </c>
      <c r="K1089" s="28" t="s">
        <v>76</v>
      </c>
      <c r="L1089" s="28" t="s">
        <v>77</v>
      </c>
      <c r="M1089" s="28" t="s">
        <v>78</v>
      </c>
      <c r="N1089" s="28" t="s">
        <v>79</v>
      </c>
      <c r="O1089" s="29" t="n">
        <v>16</v>
      </c>
      <c r="P1089" s="30" t="n">
        <v>27.44</v>
      </c>
      <c r="Q1089" s="30" t="n">
        <v>13.44</v>
      </c>
      <c r="R1089" s="30" t="n">
        <f aca="false">ROUND(O1089*P1089,2)</f>
        <v>439.04</v>
      </c>
      <c r="S1089" s="30" t="n">
        <f aca="false">ROUND(O1089*Q1089,2)</f>
        <v>215.04</v>
      </c>
      <c r="T1089" s="30" t="n">
        <f aca="false">ROUND(R1089*SUMIFS(Parametros!$E$23:$E$38,Parametros!$B$23:$B$38,J1089,Parametros!$C$23:$C$38,C1089,Parametros!$D$23:$D$38,D1089),2)</f>
        <v>21.07</v>
      </c>
      <c r="U1089" s="30" t="n">
        <f aca="false">R1089-S1089-T1089</f>
        <v>202.93</v>
      </c>
    </row>
    <row r="1090" customFormat="false" ht="15" hidden="false" customHeight="false" outlineLevel="0" collapsed="false">
      <c r="A1090" s="0" t="n">
        <v>1089</v>
      </c>
      <c r="B1090" s="27" t="n">
        <v>45606</v>
      </c>
      <c r="C1090" s="0" t="n">
        <v>2024</v>
      </c>
      <c r="D1090" s="28" t="s">
        <v>122</v>
      </c>
      <c r="E1090" s="0" t="n">
        <v>11</v>
      </c>
      <c r="F1090" s="28" t="s">
        <v>125</v>
      </c>
      <c r="G1090" s="28" t="s">
        <v>126</v>
      </c>
      <c r="H1090" s="28" t="s">
        <v>102</v>
      </c>
      <c r="I1090" s="28" t="s">
        <v>103</v>
      </c>
      <c r="J1090" s="28" t="s">
        <v>66</v>
      </c>
      <c r="K1090" s="28" t="s">
        <v>76</v>
      </c>
      <c r="L1090" s="28" t="s">
        <v>77</v>
      </c>
      <c r="M1090" s="28" t="s">
        <v>80</v>
      </c>
      <c r="N1090" s="28" t="s">
        <v>81</v>
      </c>
      <c r="O1090" s="29" t="n">
        <v>40</v>
      </c>
      <c r="P1090" s="30" t="n">
        <v>93.1</v>
      </c>
      <c r="Q1090" s="30" t="n">
        <v>47.98</v>
      </c>
      <c r="R1090" s="30" t="n">
        <f aca="false">ROUND(O1090*P1090,2)</f>
        <v>3724</v>
      </c>
      <c r="S1090" s="30" t="n">
        <f aca="false">ROUND(O1090*Q1090,2)</f>
        <v>1919.2</v>
      </c>
      <c r="T1090" s="30" t="n">
        <f aca="false">ROUND(R1090*SUMIFS(Parametros!$E$23:$E$38,Parametros!$B$23:$B$38,J1090,Parametros!$C$23:$C$38,C1090,Parametros!$D$23:$D$38,D1090),2)</f>
        <v>48.41</v>
      </c>
      <c r="U1090" s="30" t="n">
        <f aca="false">R1090-S1090-T1090</f>
        <v>1756.39</v>
      </c>
    </row>
    <row r="1091" customFormat="false" ht="15" hidden="false" customHeight="false" outlineLevel="0" collapsed="false">
      <c r="A1091" s="0" t="n">
        <v>1090</v>
      </c>
      <c r="B1091" s="27" t="n">
        <v>45613</v>
      </c>
      <c r="C1091" s="0" t="n">
        <v>2024</v>
      </c>
      <c r="D1091" s="28" t="s">
        <v>122</v>
      </c>
      <c r="E1091" s="0" t="n">
        <v>11</v>
      </c>
      <c r="F1091" s="28" t="s">
        <v>125</v>
      </c>
      <c r="G1091" s="28" t="s">
        <v>126</v>
      </c>
      <c r="H1091" s="28" t="s">
        <v>102</v>
      </c>
      <c r="I1091" s="28" t="s">
        <v>103</v>
      </c>
      <c r="J1091" s="28" t="s">
        <v>71</v>
      </c>
      <c r="K1091" s="28" t="s">
        <v>76</v>
      </c>
      <c r="L1091" s="28" t="s">
        <v>77</v>
      </c>
      <c r="M1091" s="28" t="s">
        <v>80</v>
      </c>
      <c r="N1091" s="28" t="s">
        <v>81</v>
      </c>
      <c r="O1091" s="29" t="n">
        <v>13</v>
      </c>
      <c r="P1091" s="30" t="n">
        <v>93.1</v>
      </c>
      <c r="Q1091" s="30" t="n">
        <v>47.98</v>
      </c>
      <c r="R1091" s="30" t="n">
        <f aca="false">ROUND(O1091*P1091,2)</f>
        <v>1210.3</v>
      </c>
      <c r="S1091" s="30" t="n">
        <f aca="false">ROUND(O1091*Q1091,2)</f>
        <v>623.74</v>
      </c>
      <c r="T1091" s="30" t="n">
        <f aca="false">ROUND(R1091*SUMIFS(Parametros!$E$23:$E$38,Parametros!$B$23:$B$38,J1091,Parametros!$C$23:$C$38,C1091,Parametros!$D$23:$D$38,D1091),2)</f>
        <v>58.09</v>
      </c>
      <c r="U1091" s="30" t="n">
        <f aca="false">R1091-S1091-T1091</f>
        <v>528.47</v>
      </c>
    </row>
    <row r="1092" customFormat="false" ht="15" hidden="false" customHeight="false" outlineLevel="0" collapsed="false">
      <c r="A1092" s="0" t="n">
        <v>1091</v>
      </c>
      <c r="B1092" s="27" t="n">
        <v>45620</v>
      </c>
      <c r="C1092" s="0" t="n">
        <v>2024</v>
      </c>
      <c r="D1092" s="28" t="s">
        <v>122</v>
      </c>
      <c r="E1092" s="0" t="n">
        <v>11</v>
      </c>
      <c r="F1092" s="28" t="s">
        <v>125</v>
      </c>
      <c r="G1092" s="28" t="s">
        <v>126</v>
      </c>
      <c r="H1092" s="28" t="s">
        <v>102</v>
      </c>
      <c r="I1092" s="28" t="s">
        <v>103</v>
      </c>
      <c r="J1092" s="28" t="s">
        <v>66</v>
      </c>
      <c r="K1092" s="28" t="s">
        <v>76</v>
      </c>
      <c r="L1092" s="28" t="s">
        <v>77</v>
      </c>
      <c r="M1092" s="28" t="s">
        <v>82</v>
      </c>
      <c r="N1092" s="28" t="s">
        <v>83</v>
      </c>
      <c r="O1092" s="29" t="n">
        <v>33</v>
      </c>
      <c r="P1092" s="30" t="n">
        <v>63.7</v>
      </c>
      <c r="Q1092" s="30" t="n">
        <v>35.43</v>
      </c>
      <c r="R1092" s="30" t="n">
        <f aca="false">ROUND(O1092*P1092,2)</f>
        <v>2102.1</v>
      </c>
      <c r="S1092" s="30" t="n">
        <f aca="false">ROUND(O1092*Q1092,2)</f>
        <v>1169.19</v>
      </c>
      <c r="T1092" s="30" t="n">
        <f aca="false">ROUND(R1092*SUMIFS(Parametros!$E$23:$E$38,Parametros!$B$23:$B$38,J1092,Parametros!$C$23:$C$38,C1092,Parametros!$D$23:$D$38,D1092),2)</f>
        <v>27.33</v>
      </c>
      <c r="U1092" s="30" t="n">
        <f aca="false">R1092-S1092-T1092</f>
        <v>905.58</v>
      </c>
    </row>
    <row r="1093" customFormat="false" ht="15" hidden="false" customHeight="false" outlineLevel="0" collapsed="false">
      <c r="A1093" s="0" t="n">
        <v>1092</v>
      </c>
      <c r="B1093" s="27" t="n">
        <v>45600</v>
      </c>
      <c r="C1093" s="0" t="n">
        <v>2024</v>
      </c>
      <c r="D1093" s="28" t="s">
        <v>122</v>
      </c>
      <c r="E1093" s="0" t="n">
        <v>11</v>
      </c>
      <c r="F1093" s="28" t="s">
        <v>125</v>
      </c>
      <c r="G1093" s="28" t="s">
        <v>126</v>
      </c>
      <c r="H1093" s="28" t="s">
        <v>102</v>
      </c>
      <c r="I1093" s="28" t="s">
        <v>103</v>
      </c>
      <c r="J1093" s="28" t="s">
        <v>71</v>
      </c>
      <c r="K1093" s="28" t="s">
        <v>76</v>
      </c>
      <c r="L1093" s="28" t="s">
        <v>77</v>
      </c>
      <c r="M1093" s="28" t="s">
        <v>82</v>
      </c>
      <c r="N1093" s="28" t="s">
        <v>83</v>
      </c>
      <c r="O1093" s="29" t="n">
        <v>14</v>
      </c>
      <c r="P1093" s="30" t="n">
        <v>63.7</v>
      </c>
      <c r="Q1093" s="30" t="n">
        <v>35.43</v>
      </c>
      <c r="R1093" s="30" t="n">
        <f aca="false">ROUND(O1093*P1093,2)</f>
        <v>891.8</v>
      </c>
      <c r="S1093" s="30" t="n">
        <f aca="false">ROUND(O1093*Q1093,2)</f>
        <v>496.02</v>
      </c>
      <c r="T1093" s="30" t="n">
        <f aca="false">ROUND(R1093*SUMIFS(Parametros!$E$23:$E$38,Parametros!$B$23:$B$38,J1093,Parametros!$C$23:$C$38,C1093,Parametros!$D$23:$D$38,D1093),2)</f>
        <v>42.81</v>
      </c>
      <c r="U1093" s="30" t="n">
        <f aca="false">R1093-S1093-T1093</f>
        <v>352.97</v>
      </c>
    </row>
    <row r="1094" customFormat="false" ht="15" hidden="false" customHeight="false" outlineLevel="0" collapsed="false">
      <c r="A1094" s="0" t="n">
        <v>1093</v>
      </c>
      <c r="B1094" s="27" t="n">
        <v>45607</v>
      </c>
      <c r="C1094" s="0" t="n">
        <v>2024</v>
      </c>
      <c r="D1094" s="28" t="s">
        <v>122</v>
      </c>
      <c r="E1094" s="0" t="n">
        <v>11</v>
      </c>
      <c r="F1094" s="28" t="s">
        <v>125</v>
      </c>
      <c r="G1094" s="28" t="s">
        <v>126</v>
      </c>
      <c r="H1094" s="28" t="s">
        <v>102</v>
      </c>
      <c r="I1094" s="28" t="s">
        <v>103</v>
      </c>
      <c r="J1094" s="28" t="s">
        <v>66</v>
      </c>
      <c r="K1094" s="28" t="s">
        <v>84</v>
      </c>
      <c r="L1094" s="28" t="s">
        <v>85</v>
      </c>
      <c r="M1094" s="28" t="s">
        <v>86</v>
      </c>
      <c r="N1094" s="28" t="s">
        <v>87</v>
      </c>
      <c r="O1094" s="29" t="n">
        <v>15</v>
      </c>
      <c r="P1094" s="30" t="n">
        <v>117.6</v>
      </c>
      <c r="Q1094" s="30" t="n">
        <v>63.6</v>
      </c>
      <c r="R1094" s="30" t="n">
        <f aca="false">ROUND(O1094*P1094,2)</f>
        <v>1764</v>
      </c>
      <c r="S1094" s="30" t="n">
        <f aca="false">ROUND(O1094*Q1094,2)</f>
        <v>954</v>
      </c>
      <c r="T1094" s="30" t="n">
        <f aca="false">ROUND(R1094*SUMIFS(Parametros!$E$23:$E$38,Parametros!$B$23:$B$38,J1094,Parametros!$C$23:$C$38,C1094,Parametros!$D$23:$D$38,D1094),2)</f>
        <v>22.93</v>
      </c>
      <c r="U1094" s="30" t="n">
        <f aca="false">R1094-S1094-T1094</f>
        <v>787.07</v>
      </c>
    </row>
    <row r="1095" customFormat="false" ht="15" hidden="false" customHeight="false" outlineLevel="0" collapsed="false">
      <c r="A1095" s="0" t="n">
        <v>1094</v>
      </c>
      <c r="B1095" s="27" t="n">
        <v>45614</v>
      </c>
      <c r="C1095" s="0" t="n">
        <v>2024</v>
      </c>
      <c r="D1095" s="28" t="s">
        <v>122</v>
      </c>
      <c r="E1095" s="0" t="n">
        <v>11</v>
      </c>
      <c r="F1095" s="28" t="s">
        <v>125</v>
      </c>
      <c r="G1095" s="28" t="s">
        <v>126</v>
      </c>
      <c r="H1095" s="28" t="s">
        <v>102</v>
      </c>
      <c r="I1095" s="28" t="s">
        <v>103</v>
      </c>
      <c r="J1095" s="28" t="s">
        <v>71</v>
      </c>
      <c r="K1095" s="28" t="s">
        <v>84</v>
      </c>
      <c r="L1095" s="28" t="s">
        <v>85</v>
      </c>
      <c r="M1095" s="28" t="s">
        <v>86</v>
      </c>
      <c r="N1095" s="28" t="s">
        <v>87</v>
      </c>
      <c r="O1095" s="29" t="n">
        <v>8</v>
      </c>
      <c r="P1095" s="30" t="n">
        <v>117.6</v>
      </c>
      <c r="Q1095" s="30" t="n">
        <v>63.6</v>
      </c>
      <c r="R1095" s="30" t="n">
        <f aca="false">ROUND(O1095*P1095,2)</f>
        <v>940.8</v>
      </c>
      <c r="S1095" s="30" t="n">
        <f aca="false">ROUND(O1095*Q1095,2)</f>
        <v>508.8</v>
      </c>
      <c r="T1095" s="30" t="n">
        <f aca="false">ROUND(R1095*SUMIFS(Parametros!$E$23:$E$38,Parametros!$B$23:$B$38,J1095,Parametros!$C$23:$C$38,C1095,Parametros!$D$23:$D$38,D1095),2)</f>
        <v>45.16</v>
      </c>
      <c r="U1095" s="30" t="n">
        <f aca="false">R1095-S1095-T1095</f>
        <v>386.84</v>
      </c>
    </row>
    <row r="1096" customFormat="false" ht="15" hidden="false" customHeight="false" outlineLevel="0" collapsed="false">
      <c r="A1096" s="0" t="n">
        <v>1095</v>
      </c>
      <c r="B1096" s="27" t="n">
        <v>45621</v>
      </c>
      <c r="C1096" s="0" t="n">
        <v>2024</v>
      </c>
      <c r="D1096" s="28" t="s">
        <v>122</v>
      </c>
      <c r="E1096" s="0" t="n">
        <v>11</v>
      </c>
      <c r="F1096" s="28" t="s">
        <v>125</v>
      </c>
      <c r="G1096" s="28" t="s">
        <v>126</v>
      </c>
      <c r="H1096" s="28" t="s">
        <v>102</v>
      </c>
      <c r="I1096" s="28" t="s">
        <v>103</v>
      </c>
      <c r="J1096" s="28" t="s">
        <v>66</v>
      </c>
      <c r="K1096" s="28" t="s">
        <v>84</v>
      </c>
      <c r="L1096" s="28" t="s">
        <v>85</v>
      </c>
      <c r="M1096" s="28" t="s">
        <v>88</v>
      </c>
      <c r="N1096" s="28" t="s">
        <v>89</v>
      </c>
      <c r="O1096" s="29" t="n">
        <v>15</v>
      </c>
      <c r="P1096" s="30" t="n">
        <v>83.3</v>
      </c>
      <c r="Q1096" s="30" t="n">
        <v>48.02</v>
      </c>
      <c r="R1096" s="30" t="n">
        <f aca="false">ROUND(O1096*P1096,2)</f>
        <v>1249.5</v>
      </c>
      <c r="S1096" s="30" t="n">
        <f aca="false">ROUND(O1096*Q1096,2)</f>
        <v>720.3</v>
      </c>
      <c r="T1096" s="30" t="n">
        <f aca="false">ROUND(R1096*SUMIFS(Parametros!$E$23:$E$38,Parametros!$B$23:$B$38,J1096,Parametros!$C$23:$C$38,C1096,Parametros!$D$23:$D$38,D1096),2)</f>
        <v>16.24</v>
      </c>
      <c r="U1096" s="30" t="n">
        <f aca="false">R1096-S1096-T1096</f>
        <v>512.96</v>
      </c>
    </row>
    <row r="1097" customFormat="false" ht="15" hidden="false" customHeight="false" outlineLevel="0" collapsed="false">
      <c r="A1097" s="0" t="n">
        <v>1096</v>
      </c>
      <c r="B1097" s="27" t="n">
        <v>45601</v>
      </c>
      <c r="C1097" s="0" t="n">
        <v>2024</v>
      </c>
      <c r="D1097" s="28" t="s">
        <v>122</v>
      </c>
      <c r="E1097" s="0" t="n">
        <v>11</v>
      </c>
      <c r="F1097" s="28" t="s">
        <v>125</v>
      </c>
      <c r="G1097" s="28" t="s">
        <v>126</v>
      </c>
      <c r="H1097" s="28" t="s">
        <v>102</v>
      </c>
      <c r="I1097" s="28" t="s">
        <v>103</v>
      </c>
      <c r="J1097" s="28" t="s">
        <v>71</v>
      </c>
      <c r="K1097" s="28" t="s">
        <v>84</v>
      </c>
      <c r="L1097" s="28" t="s">
        <v>85</v>
      </c>
      <c r="M1097" s="28" t="s">
        <v>88</v>
      </c>
      <c r="N1097" s="28" t="s">
        <v>89</v>
      </c>
      <c r="O1097" s="29" t="n">
        <v>7</v>
      </c>
      <c r="P1097" s="30" t="n">
        <v>83.3</v>
      </c>
      <c r="Q1097" s="30" t="n">
        <v>48.02</v>
      </c>
      <c r="R1097" s="30" t="n">
        <f aca="false">ROUND(O1097*P1097,2)</f>
        <v>583.1</v>
      </c>
      <c r="S1097" s="30" t="n">
        <f aca="false">ROUND(O1097*Q1097,2)</f>
        <v>336.14</v>
      </c>
      <c r="T1097" s="30" t="n">
        <f aca="false">ROUND(R1097*SUMIFS(Parametros!$E$23:$E$38,Parametros!$B$23:$B$38,J1097,Parametros!$C$23:$C$38,C1097,Parametros!$D$23:$D$38,D1097),2)</f>
        <v>27.99</v>
      </c>
      <c r="U1097" s="30" t="n">
        <f aca="false">R1097-S1097-T1097</f>
        <v>218.97</v>
      </c>
    </row>
    <row r="1098" customFormat="false" ht="15" hidden="false" customHeight="false" outlineLevel="0" collapsed="false">
      <c r="A1098" s="0" t="n">
        <v>1097</v>
      </c>
      <c r="B1098" s="27" t="n">
        <v>45608</v>
      </c>
      <c r="C1098" s="0" t="n">
        <v>2024</v>
      </c>
      <c r="D1098" s="28" t="s">
        <v>122</v>
      </c>
      <c r="E1098" s="0" t="n">
        <v>11</v>
      </c>
      <c r="F1098" s="28" t="s">
        <v>125</v>
      </c>
      <c r="G1098" s="28" t="s">
        <v>126</v>
      </c>
      <c r="H1098" s="28" t="s">
        <v>102</v>
      </c>
      <c r="I1098" s="28" t="s">
        <v>103</v>
      </c>
      <c r="J1098" s="28" t="s">
        <v>66</v>
      </c>
      <c r="K1098" s="28" t="s">
        <v>90</v>
      </c>
      <c r="L1098" s="28" t="s">
        <v>91</v>
      </c>
      <c r="M1098" s="28" t="s">
        <v>92</v>
      </c>
      <c r="N1098" s="28" t="s">
        <v>93</v>
      </c>
      <c r="O1098" s="29" t="n">
        <v>22</v>
      </c>
      <c r="P1098" s="30" t="n">
        <v>127.4</v>
      </c>
      <c r="Q1098" s="30" t="n">
        <v>76.05</v>
      </c>
      <c r="R1098" s="30" t="n">
        <f aca="false">ROUND(O1098*P1098,2)</f>
        <v>2802.8</v>
      </c>
      <c r="S1098" s="30" t="n">
        <f aca="false">ROUND(O1098*Q1098,2)</f>
        <v>1673.1</v>
      </c>
      <c r="T1098" s="30" t="n">
        <f aca="false">ROUND(R1098*SUMIFS(Parametros!$E$23:$E$38,Parametros!$B$23:$B$38,J1098,Parametros!$C$23:$C$38,C1098,Parametros!$D$23:$D$38,D1098),2)</f>
        <v>36.44</v>
      </c>
      <c r="U1098" s="30" t="n">
        <f aca="false">R1098-S1098-T1098</f>
        <v>1093.26</v>
      </c>
    </row>
    <row r="1099" customFormat="false" ht="15" hidden="false" customHeight="false" outlineLevel="0" collapsed="false">
      <c r="A1099" s="0" t="n">
        <v>1098</v>
      </c>
      <c r="B1099" s="27" t="n">
        <v>45615</v>
      </c>
      <c r="C1099" s="0" t="n">
        <v>2024</v>
      </c>
      <c r="D1099" s="28" t="s">
        <v>122</v>
      </c>
      <c r="E1099" s="0" t="n">
        <v>11</v>
      </c>
      <c r="F1099" s="28" t="s">
        <v>125</v>
      </c>
      <c r="G1099" s="28" t="s">
        <v>126</v>
      </c>
      <c r="H1099" s="28" t="s">
        <v>102</v>
      </c>
      <c r="I1099" s="28" t="s">
        <v>103</v>
      </c>
      <c r="J1099" s="28" t="s">
        <v>71</v>
      </c>
      <c r="K1099" s="28" t="s">
        <v>90</v>
      </c>
      <c r="L1099" s="28" t="s">
        <v>91</v>
      </c>
      <c r="M1099" s="28" t="s">
        <v>92</v>
      </c>
      <c r="N1099" s="28" t="s">
        <v>93</v>
      </c>
      <c r="O1099" s="29" t="n">
        <v>10</v>
      </c>
      <c r="P1099" s="30" t="n">
        <v>127.4</v>
      </c>
      <c r="Q1099" s="30" t="n">
        <v>76.05</v>
      </c>
      <c r="R1099" s="30" t="n">
        <f aca="false">ROUND(O1099*P1099,2)</f>
        <v>1274</v>
      </c>
      <c r="S1099" s="30" t="n">
        <f aca="false">ROUND(O1099*Q1099,2)</f>
        <v>760.5</v>
      </c>
      <c r="T1099" s="30" t="n">
        <f aca="false">ROUND(R1099*SUMIFS(Parametros!$E$23:$E$38,Parametros!$B$23:$B$38,J1099,Parametros!$C$23:$C$38,C1099,Parametros!$D$23:$D$38,D1099),2)</f>
        <v>61.15</v>
      </c>
      <c r="U1099" s="30" t="n">
        <f aca="false">R1099-S1099-T1099</f>
        <v>452.35</v>
      </c>
    </row>
    <row r="1100" customFormat="false" ht="15" hidden="false" customHeight="false" outlineLevel="0" collapsed="false">
      <c r="A1100" s="0" t="n">
        <v>1099</v>
      </c>
      <c r="B1100" s="27" t="n">
        <v>45622</v>
      </c>
      <c r="C1100" s="0" t="n">
        <v>2024</v>
      </c>
      <c r="D1100" s="28" t="s">
        <v>122</v>
      </c>
      <c r="E1100" s="0" t="n">
        <v>11</v>
      </c>
      <c r="F1100" s="28" t="s">
        <v>125</v>
      </c>
      <c r="G1100" s="28" t="s">
        <v>126</v>
      </c>
      <c r="H1100" s="28" t="s">
        <v>102</v>
      </c>
      <c r="I1100" s="28" t="s">
        <v>103</v>
      </c>
      <c r="J1100" s="28" t="s">
        <v>66</v>
      </c>
      <c r="K1100" s="28" t="s">
        <v>90</v>
      </c>
      <c r="L1100" s="28" t="s">
        <v>91</v>
      </c>
      <c r="M1100" s="28" t="s">
        <v>94</v>
      </c>
      <c r="N1100" s="28" t="s">
        <v>95</v>
      </c>
      <c r="O1100" s="29" t="n">
        <v>24</v>
      </c>
      <c r="P1100" s="30" t="n">
        <v>34.3</v>
      </c>
      <c r="Q1100" s="30" t="n">
        <v>17.85</v>
      </c>
      <c r="R1100" s="30" t="n">
        <f aca="false">ROUND(O1100*P1100,2)</f>
        <v>823.2</v>
      </c>
      <c r="S1100" s="30" t="n">
        <f aca="false">ROUND(O1100*Q1100,2)</f>
        <v>428.4</v>
      </c>
      <c r="T1100" s="30" t="n">
        <f aca="false">ROUND(R1100*SUMIFS(Parametros!$E$23:$E$38,Parametros!$B$23:$B$38,J1100,Parametros!$C$23:$C$38,C1100,Parametros!$D$23:$D$38,D1100),2)</f>
        <v>10.7</v>
      </c>
      <c r="U1100" s="30" t="n">
        <f aca="false">R1100-S1100-T1100</f>
        <v>384.1</v>
      </c>
    </row>
    <row r="1101" customFormat="false" ht="15" hidden="false" customHeight="false" outlineLevel="0" collapsed="false">
      <c r="A1101" s="0" t="n">
        <v>1100</v>
      </c>
      <c r="B1101" s="27" t="n">
        <v>45602</v>
      </c>
      <c r="C1101" s="0" t="n">
        <v>2024</v>
      </c>
      <c r="D1101" s="28" t="s">
        <v>122</v>
      </c>
      <c r="E1101" s="0" t="n">
        <v>11</v>
      </c>
      <c r="F1101" s="28" t="s">
        <v>125</v>
      </c>
      <c r="G1101" s="28" t="s">
        <v>126</v>
      </c>
      <c r="H1101" s="28" t="s">
        <v>102</v>
      </c>
      <c r="I1101" s="28" t="s">
        <v>103</v>
      </c>
      <c r="J1101" s="28" t="s">
        <v>71</v>
      </c>
      <c r="K1101" s="28" t="s">
        <v>90</v>
      </c>
      <c r="L1101" s="28" t="s">
        <v>91</v>
      </c>
      <c r="M1101" s="28" t="s">
        <v>94</v>
      </c>
      <c r="N1101" s="28" t="s">
        <v>95</v>
      </c>
      <c r="O1101" s="29" t="n">
        <v>8</v>
      </c>
      <c r="P1101" s="30" t="n">
        <v>34.3</v>
      </c>
      <c r="Q1101" s="30" t="n">
        <v>17.85</v>
      </c>
      <c r="R1101" s="30" t="n">
        <f aca="false">ROUND(O1101*P1101,2)</f>
        <v>274.4</v>
      </c>
      <c r="S1101" s="30" t="n">
        <f aca="false">ROUND(O1101*Q1101,2)</f>
        <v>142.8</v>
      </c>
      <c r="T1101" s="30" t="n">
        <f aca="false">ROUND(R1101*SUMIFS(Parametros!$E$23:$E$38,Parametros!$B$23:$B$38,J1101,Parametros!$C$23:$C$38,C1101,Parametros!$D$23:$D$38,D1101),2)</f>
        <v>13.17</v>
      </c>
      <c r="U1101" s="30" t="n">
        <f aca="false">R1101-S1101-T1101</f>
        <v>118.43</v>
      </c>
    </row>
    <row r="1102" customFormat="false" ht="15" hidden="false" customHeight="false" outlineLevel="0" collapsed="false">
      <c r="A1102" s="0" t="n">
        <v>1101</v>
      </c>
      <c r="B1102" s="27" t="n">
        <v>45639</v>
      </c>
      <c r="C1102" s="0" t="n">
        <v>2024</v>
      </c>
      <c r="D1102" s="28" t="s">
        <v>122</v>
      </c>
      <c r="E1102" s="0" t="n">
        <v>12</v>
      </c>
      <c r="F1102" s="28" t="s">
        <v>127</v>
      </c>
      <c r="G1102" s="28" t="s">
        <v>128</v>
      </c>
      <c r="H1102" s="28" t="s">
        <v>64</v>
      </c>
      <c r="I1102" s="28" t="s">
        <v>65</v>
      </c>
      <c r="J1102" s="28" t="s">
        <v>66</v>
      </c>
      <c r="K1102" s="28" t="s">
        <v>67</v>
      </c>
      <c r="L1102" s="28" t="s">
        <v>68</v>
      </c>
      <c r="M1102" s="28" t="s">
        <v>69</v>
      </c>
      <c r="N1102" s="28" t="s">
        <v>70</v>
      </c>
      <c r="O1102" s="29" t="n">
        <v>36</v>
      </c>
      <c r="P1102" s="30" t="n">
        <v>1176</v>
      </c>
      <c r="Q1102" s="30" t="n">
        <v>744</v>
      </c>
      <c r="R1102" s="30" t="n">
        <f aca="false">ROUND(O1102*P1102,2)</f>
        <v>42336</v>
      </c>
      <c r="S1102" s="30" t="n">
        <f aca="false">ROUND(O1102*Q1102,2)</f>
        <v>26784</v>
      </c>
      <c r="T1102" s="30" t="n">
        <f aca="false">ROUND(R1102*SUMIFS(Parametros!$E$23:$E$38,Parametros!$B$23:$B$38,J1102,Parametros!$C$23:$C$38,C1102,Parametros!$D$23:$D$38,D1102),2)</f>
        <v>550.37</v>
      </c>
      <c r="U1102" s="30" t="n">
        <f aca="false">R1102-S1102-T1102</f>
        <v>15001.63</v>
      </c>
    </row>
    <row r="1103" customFormat="false" ht="15" hidden="false" customHeight="false" outlineLevel="0" collapsed="false">
      <c r="A1103" s="0" t="n">
        <v>1102</v>
      </c>
      <c r="B1103" s="27" t="n">
        <v>45646</v>
      </c>
      <c r="C1103" s="0" t="n">
        <v>2024</v>
      </c>
      <c r="D1103" s="28" t="s">
        <v>122</v>
      </c>
      <c r="E1103" s="0" t="n">
        <v>12</v>
      </c>
      <c r="F1103" s="28" t="s">
        <v>127</v>
      </c>
      <c r="G1103" s="28" t="s">
        <v>128</v>
      </c>
      <c r="H1103" s="28" t="s">
        <v>64</v>
      </c>
      <c r="I1103" s="28" t="s">
        <v>65</v>
      </c>
      <c r="J1103" s="28" t="s">
        <v>71</v>
      </c>
      <c r="K1103" s="28" t="s">
        <v>67</v>
      </c>
      <c r="L1103" s="28" t="s">
        <v>68</v>
      </c>
      <c r="M1103" s="28" t="s">
        <v>69</v>
      </c>
      <c r="N1103" s="28" t="s">
        <v>70</v>
      </c>
      <c r="O1103" s="29" t="n">
        <v>13</v>
      </c>
      <c r="P1103" s="30" t="n">
        <v>1176</v>
      </c>
      <c r="Q1103" s="30" t="n">
        <v>744</v>
      </c>
      <c r="R1103" s="30" t="n">
        <f aca="false">ROUND(O1103*P1103,2)</f>
        <v>15288</v>
      </c>
      <c r="S1103" s="30" t="n">
        <f aca="false">ROUND(O1103*Q1103,2)</f>
        <v>9672</v>
      </c>
      <c r="T1103" s="30" t="n">
        <f aca="false">ROUND(R1103*SUMIFS(Parametros!$E$23:$E$38,Parametros!$B$23:$B$38,J1103,Parametros!$C$23:$C$38,C1103,Parametros!$D$23:$D$38,D1103),2)</f>
        <v>733.82</v>
      </c>
      <c r="U1103" s="30" t="n">
        <f aca="false">R1103-S1103-T1103</f>
        <v>4882.18</v>
      </c>
    </row>
    <row r="1104" customFormat="false" ht="15" hidden="false" customHeight="false" outlineLevel="0" collapsed="false">
      <c r="A1104" s="0" t="n">
        <v>1103</v>
      </c>
      <c r="B1104" s="27" t="n">
        <v>45653</v>
      </c>
      <c r="C1104" s="0" t="n">
        <v>2024</v>
      </c>
      <c r="D1104" s="28" t="s">
        <v>122</v>
      </c>
      <c r="E1104" s="0" t="n">
        <v>12</v>
      </c>
      <c r="F1104" s="28" t="s">
        <v>127</v>
      </c>
      <c r="G1104" s="28" t="s">
        <v>128</v>
      </c>
      <c r="H1104" s="28" t="s">
        <v>64</v>
      </c>
      <c r="I1104" s="28" t="s">
        <v>65</v>
      </c>
      <c r="J1104" s="28" t="s">
        <v>66</v>
      </c>
      <c r="K1104" s="28" t="s">
        <v>67</v>
      </c>
      <c r="L1104" s="28" t="s">
        <v>68</v>
      </c>
      <c r="M1104" s="28" t="s">
        <v>72</v>
      </c>
      <c r="N1104" s="28" t="s">
        <v>73</v>
      </c>
      <c r="O1104" s="29" t="n">
        <v>33</v>
      </c>
      <c r="P1104" s="30" t="n">
        <v>441</v>
      </c>
      <c r="Q1104" s="30" t="n">
        <v>272.25</v>
      </c>
      <c r="R1104" s="30" t="n">
        <f aca="false">ROUND(O1104*P1104,2)</f>
        <v>14553</v>
      </c>
      <c r="S1104" s="30" t="n">
        <f aca="false">ROUND(O1104*Q1104,2)</f>
        <v>8984.25</v>
      </c>
      <c r="T1104" s="30" t="n">
        <f aca="false">ROUND(R1104*SUMIFS(Parametros!$E$23:$E$38,Parametros!$B$23:$B$38,J1104,Parametros!$C$23:$C$38,C1104,Parametros!$D$23:$D$38,D1104),2)</f>
        <v>189.19</v>
      </c>
      <c r="U1104" s="30" t="n">
        <f aca="false">R1104-S1104-T1104</f>
        <v>5379.56</v>
      </c>
    </row>
    <row r="1105" customFormat="false" ht="15" hidden="false" customHeight="false" outlineLevel="0" collapsed="false">
      <c r="A1105" s="0" t="n">
        <v>1104</v>
      </c>
      <c r="B1105" s="27" t="n">
        <v>45633</v>
      </c>
      <c r="C1105" s="0" t="n">
        <v>2024</v>
      </c>
      <c r="D1105" s="28" t="s">
        <v>122</v>
      </c>
      <c r="E1105" s="0" t="n">
        <v>12</v>
      </c>
      <c r="F1105" s="28" t="s">
        <v>127</v>
      </c>
      <c r="G1105" s="28" t="s">
        <v>128</v>
      </c>
      <c r="H1105" s="28" t="s">
        <v>64</v>
      </c>
      <c r="I1105" s="28" t="s">
        <v>65</v>
      </c>
      <c r="J1105" s="28" t="s">
        <v>71</v>
      </c>
      <c r="K1105" s="28" t="s">
        <v>67</v>
      </c>
      <c r="L1105" s="28" t="s">
        <v>68</v>
      </c>
      <c r="M1105" s="28" t="s">
        <v>72</v>
      </c>
      <c r="N1105" s="28" t="s">
        <v>73</v>
      </c>
      <c r="O1105" s="29" t="n">
        <v>12</v>
      </c>
      <c r="P1105" s="30" t="n">
        <v>441</v>
      </c>
      <c r="Q1105" s="30" t="n">
        <v>272.25</v>
      </c>
      <c r="R1105" s="30" t="n">
        <f aca="false">ROUND(O1105*P1105,2)</f>
        <v>5292</v>
      </c>
      <c r="S1105" s="30" t="n">
        <f aca="false">ROUND(O1105*Q1105,2)</f>
        <v>3267</v>
      </c>
      <c r="T1105" s="30" t="n">
        <f aca="false">ROUND(R1105*SUMIFS(Parametros!$E$23:$E$38,Parametros!$B$23:$B$38,J1105,Parametros!$C$23:$C$38,C1105,Parametros!$D$23:$D$38,D1105),2)</f>
        <v>254.02</v>
      </c>
      <c r="U1105" s="30" t="n">
        <f aca="false">R1105-S1105-T1105</f>
        <v>1770.98</v>
      </c>
    </row>
    <row r="1106" customFormat="false" ht="15" hidden="false" customHeight="false" outlineLevel="0" collapsed="false">
      <c r="A1106" s="0" t="n">
        <v>1105</v>
      </c>
      <c r="B1106" s="27" t="n">
        <v>45640</v>
      </c>
      <c r="C1106" s="0" t="n">
        <v>2024</v>
      </c>
      <c r="D1106" s="28" t="s">
        <v>122</v>
      </c>
      <c r="E1106" s="0" t="n">
        <v>12</v>
      </c>
      <c r="F1106" s="28" t="s">
        <v>127</v>
      </c>
      <c r="G1106" s="28" t="s">
        <v>128</v>
      </c>
      <c r="H1106" s="28" t="s">
        <v>64</v>
      </c>
      <c r="I1106" s="28" t="s">
        <v>65</v>
      </c>
      <c r="J1106" s="28" t="s">
        <v>66</v>
      </c>
      <c r="K1106" s="28" t="s">
        <v>67</v>
      </c>
      <c r="L1106" s="28" t="s">
        <v>68</v>
      </c>
      <c r="M1106" s="28" t="s">
        <v>74</v>
      </c>
      <c r="N1106" s="28" t="s">
        <v>75</v>
      </c>
      <c r="O1106" s="29" t="n">
        <v>26</v>
      </c>
      <c r="P1106" s="30" t="n">
        <v>1617</v>
      </c>
      <c r="Q1106" s="30" t="n">
        <v>1122</v>
      </c>
      <c r="R1106" s="30" t="n">
        <f aca="false">ROUND(O1106*P1106,2)</f>
        <v>42042</v>
      </c>
      <c r="S1106" s="30" t="n">
        <f aca="false">ROUND(O1106*Q1106,2)</f>
        <v>29172</v>
      </c>
      <c r="T1106" s="30" t="n">
        <f aca="false">ROUND(R1106*SUMIFS(Parametros!$E$23:$E$38,Parametros!$B$23:$B$38,J1106,Parametros!$C$23:$C$38,C1106,Parametros!$D$23:$D$38,D1106),2)</f>
        <v>546.55</v>
      </c>
      <c r="U1106" s="30" t="n">
        <f aca="false">R1106-S1106-T1106</f>
        <v>12323.45</v>
      </c>
    </row>
    <row r="1107" customFormat="false" ht="15" hidden="false" customHeight="false" outlineLevel="0" collapsed="false">
      <c r="A1107" s="0" t="n">
        <v>1106</v>
      </c>
      <c r="B1107" s="27" t="n">
        <v>45647</v>
      </c>
      <c r="C1107" s="0" t="n">
        <v>2024</v>
      </c>
      <c r="D1107" s="28" t="s">
        <v>122</v>
      </c>
      <c r="E1107" s="0" t="n">
        <v>12</v>
      </c>
      <c r="F1107" s="28" t="s">
        <v>127</v>
      </c>
      <c r="G1107" s="28" t="s">
        <v>128</v>
      </c>
      <c r="H1107" s="28" t="s">
        <v>64</v>
      </c>
      <c r="I1107" s="28" t="s">
        <v>65</v>
      </c>
      <c r="J1107" s="28" t="s">
        <v>71</v>
      </c>
      <c r="K1107" s="28" t="s">
        <v>67</v>
      </c>
      <c r="L1107" s="28" t="s">
        <v>68</v>
      </c>
      <c r="M1107" s="28" t="s">
        <v>74</v>
      </c>
      <c r="N1107" s="28" t="s">
        <v>75</v>
      </c>
      <c r="O1107" s="29" t="n">
        <v>12</v>
      </c>
      <c r="P1107" s="30" t="n">
        <v>1617</v>
      </c>
      <c r="Q1107" s="30" t="n">
        <v>1122</v>
      </c>
      <c r="R1107" s="30" t="n">
        <f aca="false">ROUND(O1107*P1107,2)</f>
        <v>19404</v>
      </c>
      <c r="S1107" s="30" t="n">
        <f aca="false">ROUND(O1107*Q1107,2)</f>
        <v>13464</v>
      </c>
      <c r="T1107" s="30" t="n">
        <f aca="false">ROUND(R1107*SUMIFS(Parametros!$E$23:$E$38,Parametros!$B$23:$B$38,J1107,Parametros!$C$23:$C$38,C1107,Parametros!$D$23:$D$38,D1107),2)</f>
        <v>931.39</v>
      </c>
      <c r="U1107" s="30" t="n">
        <f aca="false">R1107-S1107-T1107</f>
        <v>5008.61</v>
      </c>
    </row>
    <row r="1108" customFormat="false" ht="15" hidden="false" customHeight="false" outlineLevel="0" collapsed="false">
      <c r="A1108" s="0" t="n">
        <v>1107</v>
      </c>
      <c r="B1108" s="27" t="n">
        <v>45627</v>
      </c>
      <c r="C1108" s="0" t="n">
        <v>2024</v>
      </c>
      <c r="D1108" s="28" t="s">
        <v>122</v>
      </c>
      <c r="E1108" s="0" t="n">
        <v>12</v>
      </c>
      <c r="F1108" s="28" t="s">
        <v>127</v>
      </c>
      <c r="G1108" s="28" t="s">
        <v>128</v>
      </c>
      <c r="H1108" s="28" t="s">
        <v>64</v>
      </c>
      <c r="I1108" s="28" t="s">
        <v>65</v>
      </c>
      <c r="J1108" s="28" t="s">
        <v>66</v>
      </c>
      <c r="K1108" s="28" t="s">
        <v>76</v>
      </c>
      <c r="L1108" s="28" t="s">
        <v>77</v>
      </c>
      <c r="M1108" s="28" t="s">
        <v>78</v>
      </c>
      <c r="N1108" s="28" t="s">
        <v>79</v>
      </c>
      <c r="O1108" s="29" t="n">
        <v>158</v>
      </c>
      <c r="P1108" s="30" t="n">
        <v>27.44</v>
      </c>
      <c r="Q1108" s="30" t="n">
        <v>13.44</v>
      </c>
      <c r="R1108" s="30" t="n">
        <f aca="false">ROUND(O1108*P1108,2)</f>
        <v>4335.52</v>
      </c>
      <c r="S1108" s="30" t="n">
        <f aca="false">ROUND(O1108*Q1108,2)</f>
        <v>2123.52</v>
      </c>
      <c r="T1108" s="30" t="n">
        <f aca="false">ROUND(R1108*SUMIFS(Parametros!$E$23:$E$38,Parametros!$B$23:$B$38,J1108,Parametros!$C$23:$C$38,C1108,Parametros!$D$23:$D$38,D1108),2)</f>
        <v>56.36</v>
      </c>
      <c r="U1108" s="30" t="n">
        <f aca="false">R1108-S1108-T1108</f>
        <v>2155.64</v>
      </c>
    </row>
    <row r="1109" customFormat="false" ht="15" hidden="false" customHeight="false" outlineLevel="0" collapsed="false">
      <c r="A1109" s="0" t="n">
        <v>1108</v>
      </c>
      <c r="B1109" s="27" t="n">
        <v>45634</v>
      </c>
      <c r="C1109" s="0" t="n">
        <v>2024</v>
      </c>
      <c r="D1109" s="28" t="s">
        <v>122</v>
      </c>
      <c r="E1109" s="0" t="n">
        <v>12</v>
      </c>
      <c r="F1109" s="28" t="s">
        <v>127</v>
      </c>
      <c r="G1109" s="28" t="s">
        <v>128</v>
      </c>
      <c r="H1109" s="28" t="s">
        <v>64</v>
      </c>
      <c r="I1109" s="28" t="s">
        <v>65</v>
      </c>
      <c r="J1109" s="28" t="s">
        <v>71</v>
      </c>
      <c r="K1109" s="28" t="s">
        <v>76</v>
      </c>
      <c r="L1109" s="28" t="s">
        <v>77</v>
      </c>
      <c r="M1109" s="28" t="s">
        <v>78</v>
      </c>
      <c r="N1109" s="28" t="s">
        <v>79</v>
      </c>
      <c r="O1109" s="29" t="n">
        <v>58</v>
      </c>
      <c r="P1109" s="30" t="n">
        <v>27.44</v>
      </c>
      <c r="Q1109" s="30" t="n">
        <v>13.44</v>
      </c>
      <c r="R1109" s="30" t="n">
        <f aca="false">ROUND(O1109*P1109,2)</f>
        <v>1591.52</v>
      </c>
      <c r="S1109" s="30" t="n">
        <f aca="false">ROUND(O1109*Q1109,2)</f>
        <v>779.52</v>
      </c>
      <c r="T1109" s="30" t="n">
        <f aca="false">ROUND(R1109*SUMIFS(Parametros!$E$23:$E$38,Parametros!$B$23:$B$38,J1109,Parametros!$C$23:$C$38,C1109,Parametros!$D$23:$D$38,D1109),2)</f>
        <v>76.39</v>
      </c>
      <c r="U1109" s="30" t="n">
        <f aca="false">R1109-S1109-T1109</f>
        <v>735.61</v>
      </c>
    </row>
    <row r="1110" customFormat="false" ht="15" hidden="false" customHeight="false" outlineLevel="0" collapsed="false">
      <c r="A1110" s="0" t="n">
        <v>1109</v>
      </c>
      <c r="B1110" s="27" t="n">
        <v>45641</v>
      </c>
      <c r="C1110" s="0" t="n">
        <v>2024</v>
      </c>
      <c r="D1110" s="28" t="s">
        <v>122</v>
      </c>
      <c r="E1110" s="0" t="n">
        <v>12</v>
      </c>
      <c r="F1110" s="28" t="s">
        <v>127</v>
      </c>
      <c r="G1110" s="28" t="s">
        <v>128</v>
      </c>
      <c r="H1110" s="28" t="s">
        <v>64</v>
      </c>
      <c r="I1110" s="28" t="s">
        <v>65</v>
      </c>
      <c r="J1110" s="28" t="s">
        <v>66</v>
      </c>
      <c r="K1110" s="28" t="s">
        <v>76</v>
      </c>
      <c r="L1110" s="28" t="s">
        <v>77</v>
      </c>
      <c r="M1110" s="28" t="s">
        <v>80</v>
      </c>
      <c r="N1110" s="28" t="s">
        <v>81</v>
      </c>
      <c r="O1110" s="29" t="n">
        <v>153</v>
      </c>
      <c r="P1110" s="30" t="n">
        <v>93.1</v>
      </c>
      <c r="Q1110" s="30" t="n">
        <v>47.98</v>
      </c>
      <c r="R1110" s="30" t="n">
        <f aca="false">ROUND(O1110*P1110,2)</f>
        <v>14244.3</v>
      </c>
      <c r="S1110" s="30" t="n">
        <f aca="false">ROUND(O1110*Q1110,2)</f>
        <v>7340.94</v>
      </c>
      <c r="T1110" s="30" t="n">
        <f aca="false">ROUND(R1110*SUMIFS(Parametros!$E$23:$E$38,Parametros!$B$23:$B$38,J1110,Parametros!$C$23:$C$38,C1110,Parametros!$D$23:$D$38,D1110),2)</f>
        <v>185.18</v>
      </c>
      <c r="U1110" s="30" t="n">
        <f aca="false">R1110-S1110-T1110</f>
        <v>6718.18</v>
      </c>
    </row>
    <row r="1111" customFormat="false" ht="15" hidden="false" customHeight="false" outlineLevel="0" collapsed="false">
      <c r="A1111" s="0" t="n">
        <v>1110</v>
      </c>
      <c r="B1111" s="27" t="n">
        <v>45648</v>
      </c>
      <c r="C1111" s="0" t="n">
        <v>2024</v>
      </c>
      <c r="D1111" s="28" t="s">
        <v>122</v>
      </c>
      <c r="E1111" s="0" t="n">
        <v>12</v>
      </c>
      <c r="F1111" s="28" t="s">
        <v>127</v>
      </c>
      <c r="G1111" s="28" t="s">
        <v>128</v>
      </c>
      <c r="H1111" s="28" t="s">
        <v>64</v>
      </c>
      <c r="I1111" s="28" t="s">
        <v>65</v>
      </c>
      <c r="J1111" s="28" t="s">
        <v>71</v>
      </c>
      <c r="K1111" s="28" t="s">
        <v>76</v>
      </c>
      <c r="L1111" s="28" t="s">
        <v>77</v>
      </c>
      <c r="M1111" s="28" t="s">
        <v>80</v>
      </c>
      <c r="N1111" s="28" t="s">
        <v>81</v>
      </c>
      <c r="O1111" s="29" t="n">
        <v>49</v>
      </c>
      <c r="P1111" s="30" t="n">
        <v>93.1</v>
      </c>
      <c r="Q1111" s="30" t="n">
        <v>47.98</v>
      </c>
      <c r="R1111" s="30" t="n">
        <f aca="false">ROUND(O1111*P1111,2)</f>
        <v>4561.9</v>
      </c>
      <c r="S1111" s="30" t="n">
        <f aca="false">ROUND(O1111*Q1111,2)</f>
        <v>2351.02</v>
      </c>
      <c r="T1111" s="30" t="n">
        <f aca="false">ROUND(R1111*SUMIFS(Parametros!$E$23:$E$38,Parametros!$B$23:$B$38,J1111,Parametros!$C$23:$C$38,C1111,Parametros!$D$23:$D$38,D1111),2)</f>
        <v>218.97</v>
      </c>
      <c r="U1111" s="30" t="n">
        <f aca="false">R1111-S1111-T1111</f>
        <v>1991.91</v>
      </c>
    </row>
    <row r="1112" customFormat="false" ht="15" hidden="false" customHeight="false" outlineLevel="0" collapsed="false">
      <c r="A1112" s="0" t="n">
        <v>1111</v>
      </c>
      <c r="B1112" s="27" t="n">
        <v>45628</v>
      </c>
      <c r="C1112" s="0" t="n">
        <v>2024</v>
      </c>
      <c r="D1112" s="28" t="s">
        <v>122</v>
      </c>
      <c r="E1112" s="0" t="n">
        <v>12</v>
      </c>
      <c r="F1112" s="28" t="s">
        <v>127</v>
      </c>
      <c r="G1112" s="28" t="s">
        <v>128</v>
      </c>
      <c r="H1112" s="28" t="s">
        <v>64</v>
      </c>
      <c r="I1112" s="28" t="s">
        <v>65</v>
      </c>
      <c r="J1112" s="28" t="s">
        <v>66</v>
      </c>
      <c r="K1112" s="28" t="s">
        <v>76</v>
      </c>
      <c r="L1112" s="28" t="s">
        <v>77</v>
      </c>
      <c r="M1112" s="28" t="s">
        <v>82</v>
      </c>
      <c r="N1112" s="28" t="s">
        <v>83</v>
      </c>
      <c r="O1112" s="29" t="n">
        <v>132</v>
      </c>
      <c r="P1112" s="30" t="n">
        <v>63.7</v>
      </c>
      <c r="Q1112" s="30" t="n">
        <v>35.43</v>
      </c>
      <c r="R1112" s="30" t="n">
        <f aca="false">ROUND(O1112*P1112,2)</f>
        <v>8408.4</v>
      </c>
      <c r="S1112" s="30" t="n">
        <f aca="false">ROUND(O1112*Q1112,2)</f>
        <v>4676.76</v>
      </c>
      <c r="T1112" s="30" t="n">
        <f aca="false">ROUND(R1112*SUMIFS(Parametros!$E$23:$E$38,Parametros!$B$23:$B$38,J1112,Parametros!$C$23:$C$38,C1112,Parametros!$D$23:$D$38,D1112),2)</f>
        <v>109.31</v>
      </c>
      <c r="U1112" s="30" t="n">
        <f aca="false">R1112-S1112-T1112</f>
        <v>3622.33</v>
      </c>
    </row>
    <row r="1113" customFormat="false" ht="15" hidden="false" customHeight="false" outlineLevel="0" collapsed="false">
      <c r="A1113" s="0" t="n">
        <v>1112</v>
      </c>
      <c r="B1113" s="27" t="n">
        <v>45635</v>
      </c>
      <c r="C1113" s="0" t="n">
        <v>2024</v>
      </c>
      <c r="D1113" s="28" t="s">
        <v>122</v>
      </c>
      <c r="E1113" s="0" t="n">
        <v>12</v>
      </c>
      <c r="F1113" s="28" t="s">
        <v>127</v>
      </c>
      <c r="G1113" s="28" t="s">
        <v>128</v>
      </c>
      <c r="H1113" s="28" t="s">
        <v>64</v>
      </c>
      <c r="I1113" s="28" t="s">
        <v>65</v>
      </c>
      <c r="J1113" s="28" t="s">
        <v>71</v>
      </c>
      <c r="K1113" s="28" t="s">
        <v>76</v>
      </c>
      <c r="L1113" s="28" t="s">
        <v>77</v>
      </c>
      <c r="M1113" s="28" t="s">
        <v>82</v>
      </c>
      <c r="N1113" s="28" t="s">
        <v>83</v>
      </c>
      <c r="O1113" s="29" t="n">
        <v>62</v>
      </c>
      <c r="P1113" s="30" t="n">
        <v>63.7</v>
      </c>
      <c r="Q1113" s="30" t="n">
        <v>35.43</v>
      </c>
      <c r="R1113" s="30" t="n">
        <f aca="false">ROUND(O1113*P1113,2)</f>
        <v>3949.4</v>
      </c>
      <c r="S1113" s="30" t="n">
        <f aca="false">ROUND(O1113*Q1113,2)</f>
        <v>2196.66</v>
      </c>
      <c r="T1113" s="30" t="n">
        <f aca="false">ROUND(R1113*SUMIFS(Parametros!$E$23:$E$38,Parametros!$B$23:$B$38,J1113,Parametros!$C$23:$C$38,C1113,Parametros!$D$23:$D$38,D1113),2)</f>
        <v>189.57</v>
      </c>
      <c r="U1113" s="30" t="n">
        <f aca="false">R1113-S1113-T1113</f>
        <v>1563.17</v>
      </c>
    </row>
    <row r="1114" customFormat="false" ht="15" hidden="false" customHeight="false" outlineLevel="0" collapsed="false">
      <c r="A1114" s="0" t="n">
        <v>1113</v>
      </c>
      <c r="B1114" s="27" t="n">
        <v>45642</v>
      </c>
      <c r="C1114" s="0" t="n">
        <v>2024</v>
      </c>
      <c r="D1114" s="28" t="s">
        <v>122</v>
      </c>
      <c r="E1114" s="0" t="n">
        <v>12</v>
      </c>
      <c r="F1114" s="28" t="s">
        <v>127</v>
      </c>
      <c r="G1114" s="28" t="s">
        <v>128</v>
      </c>
      <c r="H1114" s="28" t="s">
        <v>64</v>
      </c>
      <c r="I1114" s="28" t="s">
        <v>65</v>
      </c>
      <c r="J1114" s="28" t="s">
        <v>66</v>
      </c>
      <c r="K1114" s="28" t="s">
        <v>84</v>
      </c>
      <c r="L1114" s="28" t="s">
        <v>85</v>
      </c>
      <c r="M1114" s="28" t="s">
        <v>86</v>
      </c>
      <c r="N1114" s="28" t="s">
        <v>87</v>
      </c>
      <c r="O1114" s="29" t="n">
        <v>68</v>
      </c>
      <c r="P1114" s="30" t="n">
        <v>117.6</v>
      </c>
      <c r="Q1114" s="30" t="n">
        <v>63.6</v>
      </c>
      <c r="R1114" s="30" t="n">
        <f aca="false">ROUND(O1114*P1114,2)</f>
        <v>7996.8</v>
      </c>
      <c r="S1114" s="30" t="n">
        <f aca="false">ROUND(O1114*Q1114,2)</f>
        <v>4324.8</v>
      </c>
      <c r="T1114" s="30" t="n">
        <f aca="false">ROUND(R1114*SUMIFS(Parametros!$E$23:$E$38,Parametros!$B$23:$B$38,J1114,Parametros!$C$23:$C$38,C1114,Parametros!$D$23:$D$38,D1114),2)</f>
        <v>103.96</v>
      </c>
      <c r="U1114" s="30" t="n">
        <f aca="false">R1114-S1114-T1114</f>
        <v>3568.04</v>
      </c>
    </row>
    <row r="1115" customFormat="false" ht="15" hidden="false" customHeight="false" outlineLevel="0" collapsed="false">
      <c r="A1115" s="0" t="n">
        <v>1114</v>
      </c>
      <c r="B1115" s="27" t="n">
        <v>45649</v>
      </c>
      <c r="C1115" s="0" t="n">
        <v>2024</v>
      </c>
      <c r="D1115" s="28" t="s">
        <v>122</v>
      </c>
      <c r="E1115" s="0" t="n">
        <v>12</v>
      </c>
      <c r="F1115" s="28" t="s">
        <v>127</v>
      </c>
      <c r="G1115" s="28" t="s">
        <v>128</v>
      </c>
      <c r="H1115" s="28" t="s">
        <v>64</v>
      </c>
      <c r="I1115" s="28" t="s">
        <v>65</v>
      </c>
      <c r="J1115" s="28" t="s">
        <v>71</v>
      </c>
      <c r="K1115" s="28" t="s">
        <v>84</v>
      </c>
      <c r="L1115" s="28" t="s">
        <v>85</v>
      </c>
      <c r="M1115" s="28" t="s">
        <v>86</v>
      </c>
      <c r="N1115" s="28" t="s">
        <v>87</v>
      </c>
      <c r="O1115" s="29" t="n">
        <v>22</v>
      </c>
      <c r="P1115" s="30" t="n">
        <v>117.6</v>
      </c>
      <c r="Q1115" s="30" t="n">
        <v>63.6</v>
      </c>
      <c r="R1115" s="30" t="n">
        <f aca="false">ROUND(O1115*P1115,2)</f>
        <v>2587.2</v>
      </c>
      <c r="S1115" s="30" t="n">
        <f aca="false">ROUND(O1115*Q1115,2)</f>
        <v>1399.2</v>
      </c>
      <c r="T1115" s="30" t="n">
        <f aca="false">ROUND(R1115*SUMIFS(Parametros!$E$23:$E$38,Parametros!$B$23:$B$38,J1115,Parametros!$C$23:$C$38,C1115,Parametros!$D$23:$D$38,D1115),2)</f>
        <v>124.19</v>
      </c>
      <c r="U1115" s="30" t="n">
        <f aca="false">R1115-S1115-T1115</f>
        <v>1063.81</v>
      </c>
    </row>
    <row r="1116" customFormat="false" ht="15" hidden="false" customHeight="false" outlineLevel="0" collapsed="false">
      <c r="A1116" s="0" t="n">
        <v>1115</v>
      </c>
      <c r="B1116" s="27" t="n">
        <v>45629</v>
      </c>
      <c r="C1116" s="0" t="n">
        <v>2024</v>
      </c>
      <c r="D1116" s="28" t="s">
        <v>122</v>
      </c>
      <c r="E1116" s="0" t="n">
        <v>12</v>
      </c>
      <c r="F1116" s="28" t="s">
        <v>127</v>
      </c>
      <c r="G1116" s="28" t="s">
        <v>128</v>
      </c>
      <c r="H1116" s="28" t="s">
        <v>64</v>
      </c>
      <c r="I1116" s="28" t="s">
        <v>65</v>
      </c>
      <c r="J1116" s="28" t="s">
        <v>66</v>
      </c>
      <c r="K1116" s="28" t="s">
        <v>84</v>
      </c>
      <c r="L1116" s="28" t="s">
        <v>85</v>
      </c>
      <c r="M1116" s="28" t="s">
        <v>88</v>
      </c>
      <c r="N1116" s="28" t="s">
        <v>89</v>
      </c>
      <c r="O1116" s="29" t="n">
        <v>61</v>
      </c>
      <c r="P1116" s="30" t="n">
        <v>83.3</v>
      </c>
      <c r="Q1116" s="30" t="n">
        <v>48.02</v>
      </c>
      <c r="R1116" s="30" t="n">
        <f aca="false">ROUND(O1116*P1116,2)</f>
        <v>5081.3</v>
      </c>
      <c r="S1116" s="30" t="n">
        <f aca="false">ROUND(O1116*Q1116,2)</f>
        <v>2929.22</v>
      </c>
      <c r="T1116" s="30" t="n">
        <f aca="false">ROUND(R1116*SUMIFS(Parametros!$E$23:$E$38,Parametros!$B$23:$B$38,J1116,Parametros!$C$23:$C$38,C1116,Parametros!$D$23:$D$38,D1116),2)</f>
        <v>66.06</v>
      </c>
      <c r="U1116" s="30" t="n">
        <f aca="false">R1116-S1116-T1116</f>
        <v>2086.02</v>
      </c>
    </row>
    <row r="1117" customFormat="false" ht="15" hidden="false" customHeight="false" outlineLevel="0" collapsed="false">
      <c r="A1117" s="0" t="n">
        <v>1116</v>
      </c>
      <c r="B1117" s="27" t="n">
        <v>45636</v>
      </c>
      <c r="C1117" s="0" t="n">
        <v>2024</v>
      </c>
      <c r="D1117" s="28" t="s">
        <v>122</v>
      </c>
      <c r="E1117" s="0" t="n">
        <v>12</v>
      </c>
      <c r="F1117" s="28" t="s">
        <v>127</v>
      </c>
      <c r="G1117" s="28" t="s">
        <v>128</v>
      </c>
      <c r="H1117" s="28" t="s">
        <v>64</v>
      </c>
      <c r="I1117" s="28" t="s">
        <v>65</v>
      </c>
      <c r="J1117" s="28" t="s">
        <v>71</v>
      </c>
      <c r="K1117" s="28" t="s">
        <v>84</v>
      </c>
      <c r="L1117" s="28" t="s">
        <v>85</v>
      </c>
      <c r="M1117" s="28" t="s">
        <v>88</v>
      </c>
      <c r="N1117" s="28" t="s">
        <v>89</v>
      </c>
      <c r="O1117" s="29" t="n">
        <v>27</v>
      </c>
      <c r="P1117" s="30" t="n">
        <v>83.3</v>
      </c>
      <c r="Q1117" s="30" t="n">
        <v>48.02</v>
      </c>
      <c r="R1117" s="30" t="n">
        <f aca="false">ROUND(O1117*P1117,2)</f>
        <v>2249.1</v>
      </c>
      <c r="S1117" s="30" t="n">
        <f aca="false">ROUND(O1117*Q1117,2)</f>
        <v>1296.54</v>
      </c>
      <c r="T1117" s="30" t="n">
        <f aca="false">ROUND(R1117*SUMIFS(Parametros!$E$23:$E$38,Parametros!$B$23:$B$38,J1117,Parametros!$C$23:$C$38,C1117,Parametros!$D$23:$D$38,D1117),2)</f>
        <v>107.96</v>
      </c>
      <c r="U1117" s="30" t="n">
        <f aca="false">R1117-S1117-T1117</f>
        <v>844.6</v>
      </c>
    </row>
    <row r="1118" customFormat="false" ht="15" hidden="false" customHeight="false" outlineLevel="0" collapsed="false">
      <c r="A1118" s="0" t="n">
        <v>1117</v>
      </c>
      <c r="B1118" s="27" t="n">
        <v>45643</v>
      </c>
      <c r="C1118" s="0" t="n">
        <v>2024</v>
      </c>
      <c r="D1118" s="28" t="s">
        <v>122</v>
      </c>
      <c r="E1118" s="0" t="n">
        <v>12</v>
      </c>
      <c r="F1118" s="28" t="s">
        <v>127</v>
      </c>
      <c r="G1118" s="28" t="s">
        <v>128</v>
      </c>
      <c r="H1118" s="28" t="s">
        <v>64</v>
      </c>
      <c r="I1118" s="28" t="s">
        <v>65</v>
      </c>
      <c r="J1118" s="28" t="s">
        <v>66</v>
      </c>
      <c r="K1118" s="28" t="s">
        <v>90</v>
      </c>
      <c r="L1118" s="28" t="s">
        <v>91</v>
      </c>
      <c r="M1118" s="28" t="s">
        <v>92</v>
      </c>
      <c r="N1118" s="28" t="s">
        <v>93</v>
      </c>
      <c r="O1118" s="29" t="n">
        <v>81</v>
      </c>
      <c r="P1118" s="30" t="n">
        <v>127.4</v>
      </c>
      <c r="Q1118" s="30" t="n">
        <v>76.05</v>
      </c>
      <c r="R1118" s="30" t="n">
        <f aca="false">ROUND(O1118*P1118,2)</f>
        <v>10319.4</v>
      </c>
      <c r="S1118" s="30" t="n">
        <f aca="false">ROUND(O1118*Q1118,2)</f>
        <v>6160.05</v>
      </c>
      <c r="T1118" s="30" t="n">
        <f aca="false">ROUND(R1118*SUMIFS(Parametros!$E$23:$E$38,Parametros!$B$23:$B$38,J1118,Parametros!$C$23:$C$38,C1118,Parametros!$D$23:$D$38,D1118),2)</f>
        <v>134.15</v>
      </c>
      <c r="U1118" s="30" t="n">
        <f aca="false">R1118-S1118-T1118</f>
        <v>4025.2</v>
      </c>
    </row>
    <row r="1119" customFormat="false" ht="15" hidden="false" customHeight="false" outlineLevel="0" collapsed="false">
      <c r="A1119" s="0" t="n">
        <v>1118</v>
      </c>
      <c r="B1119" s="27" t="n">
        <v>45650</v>
      </c>
      <c r="C1119" s="0" t="n">
        <v>2024</v>
      </c>
      <c r="D1119" s="28" t="s">
        <v>122</v>
      </c>
      <c r="E1119" s="0" t="n">
        <v>12</v>
      </c>
      <c r="F1119" s="28" t="s">
        <v>127</v>
      </c>
      <c r="G1119" s="28" t="s">
        <v>128</v>
      </c>
      <c r="H1119" s="28" t="s">
        <v>64</v>
      </c>
      <c r="I1119" s="28" t="s">
        <v>65</v>
      </c>
      <c r="J1119" s="28" t="s">
        <v>71</v>
      </c>
      <c r="K1119" s="28" t="s">
        <v>90</v>
      </c>
      <c r="L1119" s="28" t="s">
        <v>91</v>
      </c>
      <c r="M1119" s="28" t="s">
        <v>92</v>
      </c>
      <c r="N1119" s="28" t="s">
        <v>93</v>
      </c>
      <c r="O1119" s="29" t="n">
        <v>31</v>
      </c>
      <c r="P1119" s="30" t="n">
        <v>127.4</v>
      </c>
      <c r="Q1119" s="30" t="n">
        <v>76.05</v>
      </c>
      <c r="R1119" s="30" t="n">
        <f aca="false">ROUND(O1119*P1119,2)</f>
        <v>3949.4</v>
      </c>
      <c r="S1119" s="30" t="n">
        <f aca="false">ROUND(O1119*Q1119,2)</f>
        <v>2357.55</v>
      </c>
      <c r="T1119" s="30" t="n">
        <f aca="false">ROUND(R1119*SUMIFS(Parametros!$E$23:$E$38,Parametros!$B$23:$B$38,J1119,Parametros!$C$23:$C$38,C1119,Parametros!$D$23:$D$38,D1119),2)</f>
        <v>189.57</v>
      </c>
      <c r="U1119" s="30" t="n">
        <f aca="false">R1119-S1119-T1119</f>
        <v>1402.28</v>
      </c>
    </row>
    <row r="1120" customFormat="false" ht="15" hidden="false" customHeight="false" outlineLevel="0" collapsed="false">
      <c r="A1120" s="0" t="n">
        <v>1119</v>
      </c>
      <c r="B1120" s="27" t="n">
        <v>45630</v>
      </c>
      <c r="C1120" s="0" t="n">
        <v>2024</v>
      </c>
      <c r="D1120" s="28" t="s">
        <v>122</v>
      </c>
      <c r="E1120" s="0" t="n">
        <v>12</v>
      </c>
      <c r="F1120" s="28" t="s">
        <v>127</v>
      </c>
      <c r="G1120" s="28" t="s">
        <v>128</v>
      </c>
      <c r="H1120" s="28" t="s">
        <v>64</v>
      </c>
      <c r="I1120" s="28" t="s">
        <v>65</v>
      </c>
      <c r="J1120" s="28" t="s">
        <v>66</v>
      </c>
      <c r="K1120" s="28" t="s">
        <v>90</v>
      </c>
      <c r="L1120" s="28" t="s">
        <v>91</v>
      </c>
      <c r="M1120" s="28" t="s">
        <v>94</v>
      </c>
      <c r="N1120" s="28" t="s">
        <v>95</v>
      </c>
      <c r="O1120" s="29" t="n">
        <v>71</v>
      </c>
      <c r="P1120" s="30" t="n">
        <v>34.3</v>
      </c>
      <c r="Q1120" s="30" t="n">
        <v>17.85</v>
      </c>
      <c r="R1120" s="30" t="n">
        <f aca="false">ROUND(O1120*P1120,2)</f>
        <v>2435.3</v>
      </c>
      <c r="S1120" s="30" t="n">
        <f aca="false">ROUND(O1120*Q1120,2)</f>
        <v>1267.35</v>
      </c>
      <c r="T1120" s="30" t="n">
        <f aca="false">ROUND(R1120*SUMIFS(Parametros!$E$23:$E$38,Parametros!$B$23:$B$38,J1120,Parametros!$C$23:$C$38,C1120,Parametros!$D$23:$D$38,D1120),2)</f>
        <v>31.66</v>
      </c>
      <c r="U1120" s="30" t="n">
        <f aca="false">R1120-S1120-T1120</f>
        <v>1136.29</v>
      </c>
    </row>
    <row r="1121" customFormat="false" ht="15" hidden="false" customHeight="false" outlineLevel="0" collapsed="false">
      <c r="A1121" s="0" t="n">
        <v>1120</v>
      </c>
      <c r="B1121" s="27" t="n">
        <v>45637</v>
      </c>
      <c r="C1121" s="0" t="n">
        <v>2024</v>
      </c>
      <c r="D1121" s="28" t="s">
        <v>122</v>
      </c>
      <c r="E1121" s="0" t="n">
        <v>12</v>
      </c>
      <c r="F1121" s="28" t="s">
        <v>127</v>
      </c>
      <c r="G1121" s="28" t="s">
        <v>128</v>
      </c>
      <c r="H1121" s="28" t="s">
        <v>64</v>
      </c>
      <c r="I1121" s="28" t="s">
        <v>65</v>
      </c>
      <c r="J1121" s="28" t="s">
        <v>71</v>
      </c>
      <c r="K1121" s="28" t="s">
        <v>90</v>
      </c>
      <c r="L1121" s="28" t="s">
        <v>91</v>
      </c>
      <c r="M1121" s="28" t="s">
        <v>94</v>
      </c>
      <c r="N1121" s="28" t="s">
        <v>95</v>
      </c>
      <c r="O1121" s="29" t="n">
        <v>29</v>
      </c>
      <c r="P1121" s="30" t="n">
        <v>34.3</v>
      </c>
      <c r="Q1121" s="30" t="n">
        <v>17.85</v>
      </c>
      <c r="R1121" s="30" t="n">
        <f aca="false">ROUND(O1121*P1121,2)</f>
        <v>994.7</v>
      </c>
      <c r="S1121" s="30" t="n">
        <f aca="false">ROUND(O1121*Q1121,2)</f>
        <v>517.65</v>
      </c>
      <c r="T1121" s="30" t="n">
        <f aca="false">ROUND(R1121*SUMIFS(Parametros!$E$23:$E$38,Parametros!$B$23:$B$38,J1121,Parametros!$C$23:$C$38,C1121,Parametros!$D$23:$D$38,D1121),2)</f>
        <v>47.75</v>
      </c>
      <c r="U1121" s="30" t="n">
        <f aca="false">R1121-S1121-T1121</f>
        <v>429.3</v>
      </c>
    </row>
    <row r="1122" customFormat="false" ht="15" hidden="false" customHeight="false" outlineLevel="0" collapsed="false">
      <c r="A1122" s="0" t="n">
        <v>1121</v>
      </c>
      <c r="B1122" s="27" t="n">
        <v>45644</v>
      </c>
      <c r="C1122" s="0" t="n">
        <v>2024</v>
      </c>
      <c r="D1122" s="28" t="s">
        <v>122</v>
      </c>
      <c r="E1122" s="0" t="n">
        <v>12</v>
      </c>
      <c r="F1122" s="28" t="s">
        <v>127</v>
      </c>
      <c r="G1122" s="28" t="s">
        <v>128</v>
      </c>
      <c r="H1122" s="28" t="s">
        <v>96</v>
      </c>
      <c r="I1122" s="28" t="s">
        <v>97</v>
      </c>
      <c r="J1122" s="28" t="s">
        <v>66</v>
      </c>
      <c r="K1122" s="28" t="s">
        <v>67</v>
      </c>
      <c r="L1122" s="28" t="s">
        <v>68</v>
      </c>
      <c r="M1122" s="28" t="s">
        <v>69</v>
      </c>
      <c r="N1122" s="28" t="s">
        <v>70</v>
      </c>
      <c r="O1122" s="29" t="n">
        <v>17</v>
      </c>
      <c r="P1122" s="30" t="n">
        <v>1176</v>
      </c>
      <c r="Q1122" s="30" t="n">
        <v>744</v>
      </c>
      <c r="R1122" s="30" t="n">
        <f aca="false">ROUND(O1122*P1122,2)</f>
        <v>19992</v>
      </c>
      <c r="S1122" s="30" t="n">
        <f aca="false">ROUND(O1122*Q1122,2)</f>
        <v>12648</v>
      </c>
      <c r="T1122" s="30" t="n">
        <f aca="false">ROUND(R1122*SUMIFS(Parametros!$E$23:$E$38,Parametros!$B$23:$B$38,J1122,Parametros!$C$23:$C$38,C1122,Parametros!$D$23:$D$38,D1122),2)</f>
        <v>259.9</v>
      </c>
      <c r="U1122" s="30" t="n">
        <f aca="false">R1122-S1122-T1122</f>
        <v>7084.1</v>
      </c>
    </row>
    <row r="1123" customFormat="false" ht="15" hidden="false" customHeight="false" outlineLevel="0" collapsed="false">
      <c r="A1123" s="0" t="n">
        <v>1122</v>
      </c>
      <c r="B1123" s="27" t="n">
        <v>45651</v>
      </c>
      <c r="C1123" s="0" t="n">
        <v>2024</v>
      </c>
      <c r="D1123" s="28" t="s">
        <v>122</v>
      </c>
      <c r="E1123" s="0" t="n">
        <v>12</v>
      </c>
      <c r="F1123" s="28" t="s">
        <v>127</v>
      </c>
      <c r="G1123" s="28" t="s">
        <v>128</v>
      </c>
      <c r="H1123" s="28" t="s">
        <v>96</v>
      </c>
      <c r="I1123" s="28" t="s">
        <v>97</v>
      </c>
      <c r="J1123" s="28" t="s">
        <v>71</v>
      </c>
      <c r="K1123" s="28" t="s">
        <v>67</v>
      </c>
      <c r="L1123" s="28" t="s">
        <v>68</v>
      </c>
      <c r="M1123" s="28" t="s">
        <v>69</v>
      </c>
      <c r="N1123" s="28" t="s">
        <v>70</v>
      </c>
      <c r="O1123" s="29" t="n">
        <v>6</v>
      </c>
      <c r="P1123" s="30" t="n">
        <v>1176</v>
      </c>
      <c r="Q1123" s="30" t="n">
        <v>744</v>
      </c>
      <c r="R1123" s="30" t="n">
        <f aca="false">ROUND(O1123*P1123,2)</f>
        <v>7056</v>
      </c>
      <c r="S1123" s="30" t="n">
        <f aca="false">ROUND(O1123*Q1123,2)</f>
        <v>4464</v>
      </c>
      <c r="T1123" s="30" t="n">
        <f aca="false">ROUND(R1123*SUMIFS(Parametros!$E$23:$E$38,Parametros!$B$23:$B$38,J1123,Parametros!$C$23:$C$38,C1123,Parametros!$D$23:$D$38,D1123),2)</f>
        <v>338.69</v>
      </c>
      <c r="U1123" s="30" t="n">
        <f aca="false">R1123-S1123-T1123</f>
        <v>2253.31</v>
      </c>
    </row>
    <row r="1124" customFormat="false" ht="15" hidden="false" customHeight="false" outlineLevel="0" collapsed="false">
      <c r="A1124" s="0" t="n">
        <v>1123</v>
      </c>
      <c r="B1124" s="27" t="n">
        <v>45631</v>
      </c>
      <c r="C1124" s="0" t="n">
        <v>2024</v>
      </c>
      <c r="D1124" s="28" t="s">
        <v>122</v>
      </c>
      <c r="E1124" s="0" t="n">
        <v>12</v>
      </c>
      <c r="F1124" s="28" t="s">
        <v>127</v>
      </c>
      <c r="G1124" s="28" t="s">
        <v>128</v>
      </c>
      <c r="H1124" s="28" t="s">
        <v>96</v>
      </c>
      <c r="I1124" s="28" t="s">
        <v>97</v>
      </c>
      <c r="J1124" s="28" t="s">
        <v>66</v>
      </c>
      <c r="K1124" s="28" t="s">
        <v>67</v>
      </c>
      <c r="L1124" s="28" t="s">
        <v>68</v>
      </c>
      <c r="M1124" s="28" t="s">
        <v>72</v>
      </c>
      <c r="N1124" s="28" t="s">
        <v>73</v>
      </c>
      <c r="O1124" s="29" t="n">
        <v>17</v>
      </c>
      <c r="P1124" s="30" t="n">
        <v>441</v>
      </c>
      <c r="Q1124" s="30" t="n">
        <v>272.25</v>
      </c>
      <c r="R1124" s="30" t="n">
        <f aca="false">ROUND(O1124*P1124,2)</f>
        <v>7497</v>
      </c>
      <c r="S1124" s="30" t="n">
        <f aca="false">ROUND(O1124*Q1124,2)</f>
        <v>4628.25</v>
      </c>
      <c r="T1124" s="30" t="n">
        <f aca="false">ROUND(R1124*SUMIFS(Parametros!$E$23:$E$38,Parametros!$B$23:$B$38,J1124,Parametros!$C$23:$C$38,C1124,Parametros!$D$23:$D$38,D1124),2)</f>
        <v>97.46</v>
      </c>
      <c r="U1124" s="30" t="n">
        <f aca="false">R1124-S1124-T1124</f>
        <v>2771.29</v>
      </c>
    </row>
    <row r="1125" customFormat="false" ht="15" hidden="false" customHeight="false" outlineLevel="0" collapsed="false">
      <c r="A1125" s="0" t="n">
        <v>1124</v>
      </c>
      <c r="B1125" s="27" t="n">
        <v>45638</v>
      </c>
      <c r="C1125" s="0" t="n">
        <v>2024</v>
      </c>
      <c r="D1125" s="28" t="s">
        <v>122</v>
      </c>
      <c r="E1125" s="0" t="n">
        <v>12</v>
      </c>
      <c r="F1125" s="28" t="s">
        <v>127</v>
      </c>
      <c r="G1125" s="28" t="s">
        <v>128</v>
      </c>
      <c r="H1125" s="28" t="s">
        <v>96</v>
      </c>
      <c r="I1125" s="28" t="s">
        <v>97</v>
      </c>
      <c r="J1125" s="28" t="s">
        <v>71</v>
      </c>
      <c r="K1125" s="28" t="s">
        <v>67</v>
      </c>
      <c r="L1125" s="28" t="s">
        <v>68</v>
      </c>
      <c r="M1125" s="28" t="s">
        <v>72</v>
      </c>
      <c r="N1125" s="28" t="s">
        <v>73</v>
      </c>
      <c r="O1125" s="29" t="n">
        <v>8</v>
      </c>
      <c r="P1125" s="30" t="n">
        <v>441</v>
      </c>
      <c r="Q1125" s="30" t="n">
        <v>272.25</v>
      </c>
      <c r="R1125" s="30" t="n">
        <f aca="false">ROUND(O1125*P1125,2)</f>
        <v>3528</v>
      </c>
      <c r="S1125" s="30" t="n">
        <f aca="false">ROUND(O1125*Q1125,2)</f>
        <v>2178</v>
      </c>
      <c r="T1125" s="30" t="n">
        <f aca="false">ROUND(R1125*SUMIFS(Parametros!$E$23:$E$38,Parametros!$B$23:$B$38,J1125,Parametros!$C$23:$C$38,C1125,Parametros!$D$23:$D$38,D1125),2)</f>
        <v>169.34</v>
      </c>
      <c r="U1125" s="30" t="n">
        <f aca="false">R1125-S1125-T1125</f>
        <v>1180.66</v>
      </c>
    </row>
    <row r="1126" customFormat="false" ht="15" hidden="false" customHeight="false" outlineLevel="0" collapsed="false">
      <c r="A1126" s="0" t="n">
        <v>1125</v>
      </c>
      <c r="B1126" s="27" t="n">
        <v>45645</v>
      </c>
      <c r="C1126" s="0" t="n">
        <v>2024</v>
      </c>
      <c r="D1126" s="28" t="s">
        <v>122</v>
      </c>
      <c r="E1126" s="0" t="n">
        <v>12</v>
      </c>
      <c r="F1126" s="28" t="s">
        <v>127</v>
      </c>
      <c r="G1126" s="28" t="s">
        <v>128</v>
      </c>
      <c r="H1126" s="28" t="s">
        <v>96</v>
      </c>
      <c r="I1126" s="28" t="s">
        <v>97</v>
      </c>
      <c r="J1126" s="28" t="s">
        <v>66</v>
      </c>
      <c r="K1126" s="28" t="s">
        <v>67</v>
      </c>
      <c r="L1126" s="28" t="s">
        <v>68</v>
      </c>
      <c r="M1126" s="28" t="s">
        <v>74</v>
      </c>
      <c r="N1126" s="28" t="s">
        <v>75</v>
      </c>
      <c r="O1126" s="29" t="n">
        <v>19</v>
      </c>
      <c r="P1126" s="30" t="n">
        <v>1617</v>
      </c>
      <c r="Q1126" s="30" t="n">
        <v>1122</v>
      </c>
      <c r="R1126" s="30" t="n">
        <f aca="false">ROUND(O1126*P1126,2)</f>
        <v>30723</v>
      </c>
      <c r="S1126" s="30" t="n">
        <f aca="false">ROUND(O1126*Q1126,2)</f>
        <v>21318</v>
      </c>
      <c r="T1126" s="30" t="n">
        <f aca="false">ROUND(R1126*SUMIFS(Parametros!$E$23:$E$38,Parametros!$B$23:$B$38,J1126,Parametros!$C$23:$C$38,C1126,Parametros!$D$23:$D$38,D1126),2)</f>
        <v>399.4</v>
      </c>
      <c r="U1126" s="30" t="n">
        <f aca="false">R1126-S1126-T1126</f>
        <v>9005.6</v>
      </c>
    </row>
    <row r="1127" customFormat="false" ht="15" hidden="false" customHeight="false" outlineLevel="0" collapsed="false">
      <c r="A1127" s="0" t="n">
        <v>1126</v>
      </c>
      <c r="B1127" s="27" t="n">
        <v>45652</v>
      </c>
      <c r="C1127" s="0" t="n">
        <v>2024</v>
      </c>
      <c r="D1127" s="28" t="s">
        <v>122</v>
      </c>
      <c r="E1127" s="0" t="n">
        <v>12</v>
      </c>
      <c r="F1127" s="28" t="s">
        <v>127</v>
      </c>
      <c r="G1127" s="28" t="s">
        <v>128</v>
      </c>
      <c r="H1127" s="28" t="s">
        <v>96</v>
      </c>
      <c r="I1127" s="28" t="s">
        <v>97</v>
      </c>
      <c r="J1127" s="28" t="s">
        <v>71</v>
      </c>
      <c r="K1127" s="28" t="s">
        <v>67</v>
      </c>
      <c r="L1127" s="28" t="s">
        <v>68</v>
      </c>
      <c r="M1127" s="28" t="s">
        <v>74</v>
      </c>
      <c r="N1127" s="28" t="s">
        <v>75</v>
      </c>
      <c r="O1127" s="29" t="n">
        <v>6</v>
      </c>
      <c r="P1127" s="30" t="n">
        <v>1617</v>
      </c>
      <c r="Q1127" s="30" t="n">
        <v>1122</v>
      </c>
      <c r="R1127" s="30" t="n">
        <f aca="false">ROUND(O1127*P1127,2)</f>
        <v>9702</v>
      </c>
      <c r="S1127" s="30" t="n">
        <f aca="false">ROUND(O1127*Q1127,2)</f>
        <v>6732</v>
      </c>
      <c r="T1127" s="30" t="n">
        <f aca="false">ROUND(R1127*SUMIFS(Parametros!$E$23:$E$38,Parametros!$B$23:$B$38,J1127,Parametros!$C$23:$C$38,C1127,Parametros!$D$23:$D$38,D1127),2)</f>
        <v>465.7</v>
      </c>
      <c r="U1127" s="30" t="n">
        <f aca="false">R1127-S1127-T1127</f>
        <v>2504.3</v>
      </c>
    </row>
    <row r="1128" customFormat="false" ht="15" hidden="false" customHeight="false" outlineLevel="0" collapsed="false">
      <c r="A1128" s="0" t="n">
        <v>1127</v>
      </c>
      <c r="B1128" s="27" t="n">
        <v>45632</v>
      </c>
      <c r="C1128" s="0" t="n">
        <v>2024</v>
      </c>
      <c r="D1128" s="28" t="s">
        <v>122</v>
      </c>
      <c r="E1128" s="0" t="n">
        <v>12</v>
      </c>
      <c r="F1128" s="28" t="s">
        <v>127</v>
      </c>
      <c r="G1128" s="28" t="s">
        <v>128</v>
      </c>
      <c r="H1128" s="28" t="s">
        <v>96</v>
      </c>
      <c r="I1128" s="28" t="s">
        <v>97</v>
      </c>
      <c r="J1128" s="28" t="s">
        <v>66</v>
      </c>
      <c r="K1128" s="28" t="s">
        <v>76</v>
      </c>
      <c r="L1128" s="28" t="s">
        <v>77</v>
      </c>
      <c r="M1128" s="28" t="s">
        <v>78</v>
      </c>
      <c r="N1128" s="28" t="s">
        <v>79</v>
      </c>
      <c r="O1128" s="29" t="n">
        <v>92</v>
      </c>
      <c r="P1128" s="30" t="n">
        <v>27.44</v>
      </c>
      <c r="Q1128" s="30" t="n">
        <v>13.44</v>
      </c>
      <c r="R1128" s="30" t="n">
        <f aca="false">ROUND(O1128*P1128,2)</f>
        <v>2524.48</v>
      </c>
      <c r="S1128" s="30" t="n">
        <f aca="false">ROUND(O1128*Q1128,2)</f>
        <v>1236.48</v>
      </c>
      <c r="T1128" s="30" t="n">
        <f aca="false">ROUND(R1128*SUMIFS(Parametros!$E$23:$E$38,Parametros!$B$23:$B$38,J1128,Parametros!$C$23:$C$38,C1128,Parametros!$D$23:$D$38,D1128),2)</f>
        <v>32.82</v>
      </c>
      <c r="U1128" s="30" t="n">
        <f aca="false">R1128-S1128-T1128</f>
        <v>1255.18</v>
      </c>
    </row>
    <row r="1129" customFormat="false" ht="15" hidden="false" customHeight="false" outlineLevel="0" collapsed="false">
      <c r="A1129" s="0" t="n">
        <v>1128</v>
      </c>
      <c r="B1129" s="27" t="n">
        <v>45639</v>
      </c>
      <c r="C1129" s="0" t="n">
        <v>2024</v>
      </c>
      <c r="D1129" s="28" t="s">
        <v>122</v>
      </c>
      <c r="E1129" s="0" t="n">
        <v>12</v>
      </c>
      <c r="F1129" s="28" t="s">
        <v>127</v>
      </c>
      <c r="G1129" s="28" t="s">
        <v>128</v>
      </c>
      <c r="H1129" s="28" t="s">
        <v>96</v>
      </c>
      <c r="I1129" s="28" t="s">
        <v>97</v>
      </c>
      <c r="J1129" s="28" t="s">
        <v>71</v>
      </c>
      <c r="K1129" s="28" t="s">
        <v>76</v>
      </c>
      <c r="L1129" s="28" t="s">
        <v>77</v>
      </c>
      <c r="M1129" s="28" t="s">
        <v>78</v>
      </c>
      <c r="N1129" s="28" t="s">
        <v>79</v>
      </c>
      <c r="O1129" s="29" t="n">
        <v>34</v>
      </c>
      <c r="P1129" s="30" t="n">
        <v>27.44</v>
      </c>
      <c r="Q1129" s="30" t="n">
        <v>13.44</v>
      </c>
      <c r="R1129" s="30" t="n">
        <f aca="false">ROUND(O1129*P1129,2)</f>
        <v>932.96</v>
      </c>
      <c r="S1129" s="30" t="n">
        <f aca="false">ROUND(O1129*Q1129,2)</f>
        <v>456.96</v>
      </c>
      <c r="T1129" s="30" t="n">
        <f aca="false">ROUND(R1129*SUMIFS(Parametros!$E$23:$E$38,Parametros!$B$23:$B$38,J1129,Parametros!$C$23:$C$38,C1129,Parametros!$D$23:$D$38,D1129),2)</f>
        <v>44.78</v>
      </c>
      <c r="U1129" s="30" t="n">
        <f aca="false">R1129-S1129-T1129</f>
        <v>431.22</v>
      </c>
    </row>
    <row r="1130" customFormat="false" ht="15" hidden="false" customHeight="false" outlineLevel="0" collapsed="false">
      <c r="A1130" s="0" t="n">
        <v>1129</v>
      </c>
      <c r="B1130" s="27" t="n">
        <v>45646</v>
      </c>
      <c r="C1130" s="0" t="n">
        <v>2024</v>
      </c>
      <c r="D1130" s="28" t="s">
        <v>122</v>
      </c>
      <c r="E1130" s="0" t="n">
        <v>12</v>
      </c>
      <c r="F1130" s="28" t="s">
        <v>127</v>
      </c>
      <c r="G1130" s="28" t="s">
        <v>128</v>
      </c>
      <c r="H1130" s="28" t="s">
        <v>96</v>
      </c>
      <c r="I1130" s="28" t="s">
        <v>97</v>
      </c>
      <c r="J1130" s="28" t="s">
        <v>66</v>
      </c>
      <c r="K1130" s="28" t="s">
        <v>76</v>
      </c>
      <c r="L1130" s="28" t="s">
        <v>77</v>
      </c>
      <c r="M1130" s="28" t="s">
        <v>80</v>
      </c>
      <c r="N1130" s="28" t="s">
        <v>81</v>
      </c>
      <c r="O1130" s="29" t="n">
        <v>85</v>
      </c>
      <c r="P1130" s="30" t="n">
        <v>93.1</v>
      </c>
      <c r="Q1130" s="30" t="n">
        <v>47.98</v>
      </c>
      <c r="R1130" s="30" t="n">
        <f aca="false">ROUND(O1130*P1130,2)</f>
        <v>7913.5</v>
      </c>
      <c r="S1130" s="30" t="n">
        <f aca="false">ROUND(O1130*Q1130,2)</f>
        <v>4078.3</v>
      </c>
      <c r="T1130" s="30" t="n">
        <f aca="false">ROUND(R1130*SUMIFS(Parametros!$E$23:$E$38,Parametros!$B$23:$B$38,J1130,Parametros!$C$23:$C$38,C1130,Parametros!$D$23:$D$38,D1130),2)</f>
        <v>102.88</v>
      </c>
      <c r="U1130" s="30" t="n">
        <f aca="false">R1130-S1130-T1130</f>
        <v>3732.32</v>
      </c>
    </row>
    <row r="1131" customFormat="false" ht="15" hidden="false" customHeight="false" outlineLevel="0" collapsed="false">
      <c r="A1131" s="0" t="n">
        <v>1130</v>
      </c>
      <c r="B1131" s="27" t="n">
        <v>45653</v>
      </c>
      <c r="C1131" s="0" t="n">
        <v>2024</v>
      </c>
      <c r="D1131" s="28" t="s">
        <v>122</v>
      </c>
      <c r="E1131" s="0" t="n">
        <v>12</v>
      </c>
      <c r="F1131" s="28" t="s">
        <v>127</v>
      </c>
      <c r="G1131" s="28" t="s">
        <v>128</v>
      </c>
      <c r="H1131" s="28" t="s">
        <v>96</v>
      </c>
      <c r="I1131" s="28" t="s">
        <v>97</v>
      </c>
      <c r="J1131" s="28" t="s">
        <v>71</v>
      </c>
      <c r="K1131" s="28" t="s">
        <v>76</v>
      </c>
      <c r="L1131" s="28" t="s">
        <v>77</v>
      </c>
      <c r="M1131" s="28" t="s">
        <v>80</v>
      </c>
      <c r="N1131" s="28" t="s">
        <v>81</v>
      </c>
      <c r="O1131" s="29" t="n">
        <v>28</v>
      </c>
      <c r="P1131" s="30" t="n">
        <v>93.1</v>
      </c>
      <c r="Q1131" s="30" t="n">
        <v>47.98</v>
      </c>
      <c r="R1131" s="30" t="n">
        <f aca="false">ROUND(O1131*P1131,2)</f>
        <v>2606.8</v>
      </c>
      <c r="S1131" s="30" t="n">
        <f aca="false">ROUND(O1131*Q1131,2)</f>
        <v>1343.44</v>
      </c>
      <c r="T1131" s="30" t="n">
        <f aca="false">ROUND(R1131*SUMIFS(Parametros!$E$23:$E$38,Parametros!$B$23:$B$38,J1131,Parametros!$C$23:$C$38,C1131,Parametros!$D$23:$D$38,D1131),2)</f>
        <v>125.13</v>
      </c>
      <c r="U1131" s="30" t="n">
        <f aca="false">R1131-S1131-T1131</f>
        <v>1138.23</v>
      </c>
    </row>
    <row r="1132" customFormat="false" ht="15" hidden="false" customHeight="false" outlineLevel="0" collapsed="false">
      <c r="A1132" s="0" t="n">
        <v>1131</v>
      </c>
      <c r="B1132" s="27" t="n">
        <v>45633</v>
      </c>
      <c r="C1132" s="0" t="n">
        <v>2024</v>
      </c>
      <c r="D1132" s="28" t="s">
        <v>122</v>
      </c>
      <c r="E1132" s="0" t="n">
        <v>12</v>
      </c>
      <c r="F1132" s="28" t="s">
        <v>127</v>
      </c>
      <c r="G1132" s="28" t="s">
        <v>128</v>
      </c>
      <c r="H1132" s="28" t="s">
        <v>96</v>
      </c>
      <c r="I1132" s="28" t="s">
        <v>97</v>
      </c>
      <c r="J1132" s="28" t="s">
        <v>66</v>
      </c>
      <c r="K1132" s="28" t="s">
        <v>76</v>
      </c>
      <c r="L1132" s="28" t="s">
        <v>77</v>
      </c>
      <c r="M1132" s="28" t="s">
        <v>82</v>
      </c>
      <c r="N1132" s="28" t="s">
        <v>83</v>
      </c>
      <c r="O1132" s="29" t="n">
        <v>94</v>
      </c>
      <c r="P1132" s="30" t="n">
        <v>63.7</v>
      </c>
      <c r="Q1132" s="30" t="n">
        <v>35.43</v>
      </c>
      <c r="R1132" s="30" t="n">
        <f aca="false">ROUND(O1132*P1132,2)</f>
        <v>5987.8</v>
      </c>
      <c r="S1132" s="30" t="n">
        <f aca="false">ROUND(O1132*Q1132,2)</f>
        <v>3330.42</v>
      </c>
      <c r="T1132" s="30" t="n">
        <f aca="false">ROUND(R1132*SUMIFS(Parametros!$E$23:$E$38,Parametros!$B$23:$B$38,J1132,Parametros!$C$23:$C$38,C1132,Parametros!$D$23:$D$38,D1132),2)</f>
        <v>77.84</v>
      </c>
      <c r="U1132" s="30" t="n">
        <f aca="false">R1132-S1132-T1132</f>
        <v>2579.54</v>
      </c>
    </row>
    <row r="1133" customFormat="false" ht="15" hidden="false" customHeight="false" outlineLevel="0" collapsed="false">
      <c r="A1133" s="0" t="n">
        <v>1132</v>
      </c>
      <c r="B1133" s="27" t="n">
        <v>45640</v>
      </c>
      <c r="C1133" s="0" t="n">
        <v>2024</v>
      </c>
      <c r="D1133" s="28" t="s">
        <v>122</v>
      </c>
      <c r="E1133" s="0" t="n">
        <v>12</v>
      </c>
      <c r="F1133" s="28" t="s">
        <v>127</v>
      </c>
      <c r="G1133" s="28" t="s">
        <v>128</v>
      </c>
      <c r="H1133" s="28" t="s">
        <v>96</v>
      </c>
      <c r="I1133" s="28" t="s">
        <v>97</v>
      </c>
      <c r="J1133" s="28" t="s">
        <v>71</v>
      </c>
      <c r="K1133" s="28" t="s">
        <v>76</v>
      </c>
      <c r="L1133" s="28" t="s">
        <v>77</v>
      </c>
      <c r="M1133" s="28" t="s">
        <v>82</v>
      </c>
      <c r="N1133" s="28" t="s">
        <v>83</v>
      </c>
      <c r="O1133" s="29" t="n">
        <v>30</v>
      </c>
      <c r="P1133" s="30" t="n">
        <v>63.7</v>
      </c>
      <c r="Q1133" s="30" t="n">
        <v>35.43</v>
      </c>
      <c r="R1133" s="30" t="n">
        <f aca="false">ROUND(O1133*P1133,2)</f>
        <v>1911</v>
      </c>
      <c r="S1133" s="30" t="n">
        <f aca="false">ROUND(O1133*Q1133,2)</f>
        <v>1062.9</v>
      </c>
      <c r="T1133" s="30" t="n">
        <f aca="false">ROUND(R1133*SUMIFS(Parametros!$E$23:$E$38,Parametros!$B$23:$B$38,J1133,Parametros!$C$23:$C$38,C1133,Parametros!$D$23:$D$38,D1133),2)</f>
        <v>91.73</v>
      </c>
      <c r="U1133" s="30" t="n">
        <f aca="false">R1133-S1133-T1133</f>
        <v>756.37</v>
      </c>
    </row>
    <row r="1134" customFormat="false" ht="15" hidden="false" customHeight="false" outlineLevel="0" collapsed="false">
      <c r="A1134" s="0" t="n">
        <v>1133</v>
      </c>
      <c r="B1134" s="27" t="n">
        <v>45647</v>
      </c>
      <c r="C1134" s="0" t="n">
        <v>2024</v>
      </c>
      <c r="D1134" s="28" t="s">
        <v>122</v>
      </c>
      <c r="E1134" s="0" t="n">
        <v>12</v>
      </c>
      <c r="F1134" s="28" t="s">
        <v>127</v>
      </c>
      <c r="G1134" s="28" t="s">
        <v>128</v>
      </c>
      <c r="H1134" s="28" t="s">
        <v>96</v>
      </c>
      <c r="I1134" s="28" t="s">
        <v>97</v>
      </c>
      <c r="J1134" s="28" t="s">
        <v>66</v>
      </c>
      <c r="K1134" s="28" t="s">
        <v>84</v>
      </c>
      <c r="L1134" s="28" t="s">
        <v>85</v>
      </c>
      <c r="M1134" s="28" t="s">
        <v>86</v>
      </c>
      <c r="N1134" s="28" t="s">
        <v>87</v>
      </c>
      <c r="O1134" s="29" t="n">
        <v>32</v>
      </c>
      <c r="P1134" s="30" t="n">
        <v>117.6</v>
      </c>
      <c r="Q1134" s="30" t="n">
        <v>63.6</v>
      </c>
      <c r="R1134" s="30" t="n">
        <f aca="false">ROUND(O1134*P1134,2)</f>
        <v>3763.2</v>
      </c>
      <c r="S1134" s="30" t="n">
        <f aca="false">ROUND(O1134*Q1134,2)</f>
        <v>2035.2</v>
      </c>
      <c r="T1134" s="30" t="n">
        <f aca="false">ROUND(R1134*SUMIFS(Parametros!$E$23:$E$38,Parametros!$B$23:$B$38,J1134,Parametros!$C$23:$C$38,C1134,Parametros!$D$23:$D$38,D1134),2)</f>
        <v>48.92</v>
      </c>
      <c r="U1134" s="30" t="n">
        <f aca="false">R1134-S1134-T1134</f>
        <v>1679.08</v>
      </c>
    </row>
    <row r="1135" customFormat="false" ht="15" hidden="false" customHeight="false" outlineLevel="0" collapsed="false">
      <c r="A1135" s="0" t="n">
        <v>1134</v>
      </c>
      <c r="B1135" s="27" t="n">
        <v>45627</v>
      </c>
      <c r="C1135" s="0" t="n">
        <v>2024</v>
      </c>
      <c r="D1135" s="28" t="s">
        <v>122</v>
      </c>
      <c r="E1135" s="0" t="n">
        <v>12</v>
      </c>
      <c r="F1135" s="28" t="s">
        <v>127</v>
      </c>
      <c r="G1135" s="28" t="s">
        <v>128</v>
      </c>
      <c r="H1135" s="28" t="s">
        <v>96</v>
      </c>
      <c r="I1135" s="28" t="s">
        <v>97</v>
      </c>
      <c r="J1135" s="28" t="s">
        <v>71</v>
      </c>
      <c r="K1135" s="28" t="s">
        <v>84</v>
      </c>
      <c r="L1135" s="28" t="s">
        <v>85</v>
      </c>
      <c r="M1135" s="28" t="s">
        <v>86</v>
      </c>
      <c r="N1135" s="28" t="s">
        <v>87</v>
      </c>
      <c r="O1135" s="29" t="n">
        <v>12</v>
      </c>
      <c r="P1135" s="30" t="n">
        <v>117.6</v>
      </c>
      <c r="Q1135" s="30" t="n">
        <v>63.6</v>
      </c>
      <c r="R1135" s="30" t="n">
        <f aca="false">ROUND(O1135*P1135,2)</f>
        <v>1411.2</v>
      </c>
      <c r="S1135" s="30" t="n">
        <f aca="false">ROUND(O1135*Q1135,2)</f>
        <v>763.2</v>
      </c>
      <c r="T1135" s="30" t="n">
        <f aca="false">ROUND(R1135*SUMIFS(Parametros!$E$23:$E$38,Parametros!$B$23:$B$38,J1135,Parametros!$C$23:$C$38,C1135,Parametros!$D$23:$D$38,D1135),2)</f>
        <v>67.74</v>
      </c>
      <c r="U1135" s="30" t="n">
        <f aca="false">R1135-S1135-T1135</f>
        <v>580.26</v>
      </c>
    </row>
    <row r="1136" customFormat="false" ht="15" hidden="false" customHeight="false" outlineLevel="0" collapsed="false">
      <c r="A1136" s="0" t="n">
        <v>1135</v>
      </c>
      <c r="B1136" s="27" t="n">
        <v>45634</v>
      </c>
      <c r="C1136" s="0" t="n">
        <v>2024</v>
      </c>
      <c r="D1136" s="28" t="s">
        <v>122</v>
      </c>
      <c r="E1136" s="0" t="n">
        <v>12</v>
      </c>
      <c r="F1136" s="28" t="s">
        <v>127</v>
      </c>
      <c r="G1136" s="28" t="s">
        <v>128</v>
      </c>
      <c r="H1136" s="28" t="s">
        <v>96</v>
      </c>
      <c r="I1136" s="28" t="s">
        <v>97</v>
      </c>
      <c r="J1136" s="28" t="s">
        <v>66</v>
      </c>
      <c r="K1136" s="28" t="s">
        <v>84</v>
      </c>
      <c r="L1136" s="28" t="s">
        <v>85</v>
      </c>
      <c r="M1136" s="28" t="s">
        <v>88</v>
      </c>
      <c r="N1136" s="28" t="s">
        <v>89</v>
      </c>
      <c r="O1136" s="29" t="n">
        <v>41</v>
      </c>
      <c r="P1136" s="30" t="n">
        <v>83.3</v>
      </c>
      <c r="Q1136" s="30" t="n">
        <v>48.02</v>
      </c>
      <c r="R1136" s="30" t="n">
        <f aca="false">ROUND(O1136*P1136,2)</f>
        <v>3415.3</v>
      </c>
      <c r="S1136" s="30" t="n">
        <f aca="false">ROUND(O1136*Q1136,2)</f>
        <v>1968.82</v>
      </c>
      <c r="T1136" s="30" t="n">
        <f aca="false">ROUND(R1136*SUMIFS(Parametros!$E$23:$E$38,Parametros!$B$23:$B$38,J1136,Parametros!$C$23:$C$38,C1136,Parametros!$D$23:$D$38,D1136),2)</f>
        <v>44.4</v>
      </c>
      <c r="U1136" s="30" t="n">
        <f aca="false">R1136-S1136-T1136</f>
        <v>1402.08</v>
      </c>
    </row>
    <row r="1137" customFormat="false" ht="15" hidden="false" customHeight="false" outlineLevel="0" collapsed="false">
      <c r="A1137" s="0" t="n">
        <v>1136</v>
      </c>
      <c r="B1137" s="27" t="n">
        <v>45641</v>
      </c>
      <c r="C1137" s="0" t="n">
        <v>2024</v>
      </c>
      <c r="D1137" s="28" t="s">
        <v>122</v>
      </c>
      <c r="E1137" s="0" t="n">
        <v>12</v>
      </c>
      <c r="F1137" s="28" t="s">
        <v>127</v>
      </c>
      <c r="G1137" s="28" t="s">
        <v>128</v>
      </c>
      <c r="H1137" s="28" t="s">
        <v>96</v>
      </c>
      <c r="I1137" s="28" t="s">
        <v>97</v>
      </c>
      <c r="J1137" s="28" t="s">
        <v>71</v>
      </c>
      <c r="K1137" s="28" t="s">
        <v>84</v>
      </c>
      <c r="L1137" s="28" t="s">
        <v>85</v>
      </c>
      <c r="M1137" s="28" t="s">
        <v>88</v>
      </c>
      <c r="N1137" s="28" t="s">
        <v>89</v>
      </c>
      <c r="O1137" s="29" t="n">
        <v>13</v>
      </c>
      <c r="P1137" s="30" t="n">
        <v>83.3</v>
      </c>
      <c r="Q1137" s="30" t="n">
        <v>48.02</v>
      </c>
      <c r="R1137" s="30" t="n">
        <f aca="false">ROUND(O1137*P1137,2)</f>
        <v>1082.9</v>
      </c>
      <c r="S1137" s="30" t="n">
        <f aca="false">ROUND(O1137*Q1137,2)</f>
        <v>624.26</v>
      </c>
      <c r="T1137" s="30" t="n">
        <f aca="false">ROUND(R1137*SUMIFS(Parametros!$E$23:$E$38,Parametros!$B$23:$B$38,J1137,Parametros!$C$23:$C$38,C1137,Parametros!$D$23:$D$38,D1137),2)</f>
        <v>51.98</v>
      </c>
      <c r="U1137" s="30" t="n">
        <f aca="false">R1137-S1137-T1137</f>
        <v>406.66</v>
      </c>
    </row>
    <row r="1138" customFormat="false" ht="15" hidden="false" customHeight="false" outlineLevel="0" collapsed="false">
      <c r="A1138" s="0" t="n">
        <v>1137</v>
      </c>
      <c r="B1138" s="27" t="n">
        <v>45648</v>
      </c>
      <c r="C1138" s="0" t="n">
        <v>2024</v>
      </c>
      <c r="D1138" s="28" t="s">
        <v>122</v>
      </c>
      <c r="E1138" s="0" t="n">
        <v>12</v>
      </c>
      <c r="F1138" s="28" t="s">
        <v>127</v>
      </c>
      <c r="G1138" s="28" t="s">
        <v>128</v>
      </c>
      <c r="H1138" s="28" t="s">
        <v>96</v>
      </c>
      <c r="I1138" s="28" t="s">
        <v>97</v>
      </c>
      <c r="J1138" s="28" t="s">
        <v>66</v>
      </c>
      <c r="K1138" s="28" t="s">
        <v>90</v>
      </c>
      <c r="L1138" s="28" t="s">
        <v>91</v>
      </c>
      <c r="M1138" s="28" t="s">
        <v>92</v>
      </c>
      <c r="N1138" s="28" t="s">
        <v>93</v>
      </c>
      <c r="O1138" s="29" t="n">
        <v>42</v>
      </c>
      <c r="P1138" s="30" t="n">
        <v>127.4</v>
      </c>
      <c r="Q1138" s="30" t="n">
        <v>76.05</v>
      </c>
      <c r="R1138" s="30" t="n">
        <f aca="false">ROUND(O1138*P1138,2)</f>
        <v>5350.8</v>
      </c>
      <c r="S1138" s="30" t="n">
        <f aca="false">ROUND(O1138*Q1138,2)</f>
        <v>3194.1</v>
      </c>
      <c r="T1138" s="30" t="n">
        <f aca="false">ROUND(R1138*SUMIFS(Parametros!$E$23:$E$38,Parametros!$B$23:$B$38,J1138,Parametros!$C$23:$C$38,C1138,Parametros!$D$23:$D$38,D1138),2)</f>
        <v>69.56</v>
      </c>
      <c r="U1138" s="30" t="n">
        <f aca="false">R1138-S1138-T1138</f>
        <v>2087.14</v>
      </c>
    </row>
    <row r="1139" customFormat="false" ht="15" hidden="false" customHeight="false" outlineLevel="0" collapsed="false">
      <c r="A1139" s="0" t="n">
        <v>1138</v>
      </c>
      <c r="B1139" s="27" t="n">
        <v>45628</v>
      </c>
      <c r="C1139" s="0" t="n">
        <v>2024</v>
      </c>
      <c r="D1139" s="28" t="s">
        <v>122</v>
      </c>
      <c r="E1139" s="0" t="n">
        <v>12</v>
      </c>
      <c r="F1139" s="28" t="s">
        <v>127</v>
      </c>
      <c r="G1139" s="28" t="s">
        <v>128</v>
      </c>
      <c r="H1139" s="28" t="s">
        <v>96</v>
      </c>
      <c r="I1139" s="28" t="s">
        <v>97</v>
      </c>
      <c r="J1139" s="28" t="s">
        <v>71</v>
      </c>
      <c r="K1139" s="28" t="s">
        <v>90</v>
      </c>
      <c r="L1139" s="28" t="s">
        <v>91</v>
      </c>
      <c r="M1139" s="28" t="s">
        <v>92</v>
      </c>
      <c r="N1139" s="28" t="s">
        <v>93</v>
      </c>
      <c r="O1139" s="29" t="n">
        <v>17</v>
      </c>
      <c r="P1139" s="30" t="n">
        <v>127.4</v>
      </c>
      <c r="Q1139" s="30" t="n">
        <v>76.05</v>
      </c>
      <c r="R1139" s="30" t="n">
        <f aca="false">ROUND(O1139*P1139,2)</f>
        <v>2165.8</v>
      </c>
      <c r="S1139" s="30" t="n">
        <f aca="false">ROUND(O1139*Q1139,2)</f>
        <v>1292.85</v>
      </c>
      <c r="T1139" s="30" t="n">
        <f aca="false">ROUND(R1139*SUMIFS(Parametros!$E$23:$E$38,Parametros!$B$23:$B$38,J1139,Parametros!$C$23:$C$38,C1139,Parametros!$D$23:$D$38,D1139),2)</f>
        <v>103.96</v>
      </c>
      <c r="U1139" s="30" t="n">
        <f aca="false">R1139-S1139-T1139</f>
        <v>768.99</v>
      </c>
    </row>
    <row r="1140" customFormat="false" ht="15" hidden="false" customHeight="false" outlineLevel="0" collapsed="false">
      <c r="A1140" s="0" t="n">
        <v>1139</v>
      </c>
      <c r="B1140" s="27" t="n">
        <v>45635</v>
      </c>
      <c r="C1140" s="0" t="n">
        <v>2024</v>
      </c>
      <c r="D1140" s="28" t="s">
        <v>122</v>
      </c>
      <c r="E1140" s="0" t="n">
        <v>12</v>
      </c>
      <c r="F1140" s="28" t="s">
        <v>127</v>
      </c>
      <c r="G1140" s="28" t="s">
        <v>128</v>
      </c>
      <c r="H1140" s="28" t="s">
        <v>96</v>
      </c>
      <c r="I1140" s="28" t="s">
        <v>97</v>
      </c>
      <c r="J1140" s="28" t="s">
        <v>66</v>
      </c>
      <c r="K1140" s="28" t="s">
        <v>90</v>
      </c>
      <c r="L1140" s="28" t="s">
        <v>91</v>
      </c>
      <c r="M1140" s="28" t="s">
        <v>94</v>
      </c>
      <c r="N1140" s="28" t="s">
        <v>95</v>
      </c>
      <c r="O1140" s="29" t="n">
        <v>42</v>
      </c>
      <c r="P1140" s="30" t="n">
        <v>34.3</v>
      </c>
      <c r="Q1140" s="30" t="n">
        <v>17.85</v>
      </c>
      <c r="R1140" s="30" t="n">
        <f aca="false">ROUND(O1140*P1140,2)</f>
        <v>1440.6</v>
      </c>
      <c r="S1140" s="30" t="n">
        <f aca="false">ROUND(O1140*Q1140,2)</f>
        <v>749.7</v>
      </c>
      <c r="T1140" s="30" t="n">
        <f aca="false">ROUND(R1140*SUMIFS(Parametros!$E$23:$E$38,Parametros!$B$23:$B$38,J1140,Parametros!$C$23:$C$38,C1140,Parametros!$D$23:$D$38,D1140),2)</f>
        <v>18.73</v>
      </c>
      <c r="U1140" s="30" t="n">
        <f aca="false">R1140-S1140-T1140</f>
        <v>672.17</v>
      </c>
    </row>
    <row r="1141" customFormat="false" ht="15" hidden="false" customHeight="false" outlineLevel="0" collapsed="false">
      <c r="A1141" s="0" t="n">
        <v>1140</v>
      </c>
      <c r="B1141" s="27" t="n">
        <v>45642</v>
      </c>
      <c r="C1141" s="0" t="n">
        <v>2024</v>
      </c>
      <c r="D1141" s="28" t="s">
        <v>122</v>
      </c>
      <c r="E1141" s="0" t="n">
        <v>12</v>
      </c>
      <c r="F1141" s="28" t="s">
        <v>127</v>
      </c>
      <c r="G1141" s="28" t="s">
        <v>128</v>
      </c>
      <c r="H1141" s="28" t="s">
        <v>96</v>
      </c>
      <c r="I1141" s="28" t="s">
        <v>97</v>
      </c>
      <c r="J1141" s="28" t="s">
        <v>71</v>
      </c>
      <c r="K1141" s="28" t="s">
        <v>90</v>
      </c>
      <c r="L1141" s="28" t="s">
        <v>91</v>
      </c>
      <c r="M1141" s="28" t="s">
        <v>94</v>
      </c>
      <c r="N1141" s="28" t="s">
        <v>95</v>
      </c>
      <c r="O1141" s="29" t="n">
        <v>20</v>
      </c>
      <c r="P1141" s="30" t="n">
        <v>34.3</v>
      </c>
      <c r="Q1141" s="30" t="n">
        <v>17.85</v>
      </c>
      <c r="R1141" s="30" t="n">
        <f aca="false">ROUND(O1141*P1141,2)</f>
        <v>686</v>
      </c>
      <c r="S1141" s="30" t="n">
        <f aca="false">ROUND(O1141*Q1141,2)</f>
        <v>357</v>
      </c>
      <c r="T1141" s="30" t="n">
        <f aca="false">ROUND(R1141*SUMIFS(Parametros!$E$23:$E$38,Parametros!$B$23:$B$38,J1141,Parametros!$C$23:$C$38,C1141,Parametros!$D$23:$D$38,D1141),2)</f>
        <v>32.93</v>
      </c>
      <c r="U1141" s="30" t="n">
        <f aca="false">R1141-S1141-T1141</f>
        <v>296.07</v>
      </c>
    </row>
    <row r="1142" customFormat="false" ht="15" hidden="false" customHeight="false" outlineLevel="0" collapsed="false">
      <c r="A1142" s="0" t="n">
        <v>1141</v>
      </c>
      <c r="B1142" s="27" t="n">
        <v>45649</v>
      </c>
      <c r="C1142" s="0" t="n">
        <v>2024</v>
      </c>
      <c r="D1142" s="28" t="s">
        <v>122</v>
      </c>
      <c r="E1142" s="0" t="n">
        <v>12</v>
      </c>
      <c r="F1142" s="28" t="s">
        <v>127</v>
      </c>
      <c r="G1142" s="28" t="s">
        <v>128</v>
      </c>
      <c r="H1142" s="28" t="s">
        <v>98</v>
      </c>
      <c r="I1142" s="28" t="s">
        <v>99</v>
      </c>
      <c r="J1142" s="28" t="s">
        <v>66</v>
      </c>
      <c r="K1142" s="28" t="s">
        <v>67</v>
      </c>
      <c r="L1142" s="28" t="s">
        <v>68</v>
      </c>
      <c r="M1142" s="28" t="s">
        <v>69</v>
      </c>
      <c r="N1142" s="28" t="s">
        <v>70</v>
      </c>
      <c r="O1142" s="29" t="n">
        <v>12</v>
      </c>
      <c r="P1142" s="30" t="n">
        <v>1176</v>
      </c>
      <c r="Q1142" s="30" t="n">
        <v>744</v>
      </c>
      <c r="R1142" s="30" t="n">
        <f aca="false">ROUND(O1142*P1142,2)</f>
        <v>14112</v>
      </c>
      <c r="S1142" s="30" t="n">
        <f aca="false">ROUND(O1142*Q1142,2)</f>
        <v>8928</v>
      </c>
      <c r="T1142" s="30" t="n">
        <f aca="false">ROUND(R1142*SUMIFS(Parametros!$E$23:$E$38,Parametros!$B$23:$B$38,J1142,Parametros!$C$23:$C$38,C1142,Parametros!$D$23:$D$38,D1142),2)</f>
        <v>183.46</v>
      </c>
      <c r="U1142" s="30" t="n">
        <f aca="false">R1142-S1142-T1142</f>
        <v>5000.54</v>
      </c>
    </row>
    <row r="1143" customFormat="false" ht="15" hidden="false" customHeight="false" outlineLevel="0" collapsed="false">
      <c r="A1143" s="0" t="n">
        <v>1142</v>
      </c>
      <c r="B1143" s="27" t="n">
        <v>45629</v>
      </c>
      <c r="C1143" s="0" t="n">
        <v>2024</v>
      </c>
      <c r="D1143" s="28" t="s">
        <v>122</v>
      </c>
      <c r="E1143" s="0" t="n">
        <v>12</v>
      </c>
      <c r="F1143" s="28" t="s">
        <v>127</v>
      </c>
      <c r="G1143" s="28" t="s">
        <v>128</v>
      </c>
      <c r="H1143" s="28" t="s">
        <v>98</v>
      </c>
      <c r="I1143" s="28" t="s">
        <v>99</v>
      </c>
      <c r="J1143" s="28" t="s">
        <v>71</v>
      </c>
      <c r="K1143" s="28" t="s">
        <v>67</v>
      </c>
      <c r="L1143" s="28" t="s">
        <v>68</v>
      </c>
      <c r="M1143" s="28" t="s">
        <v>69</v>
      </c>
      <c r="N1143" s="28" t="s">
        <v>70</v>
      </c>
      <c r="O1143" s="29" t="n">
        <v>6</v>
      </c>
      <c r="P1143" s="30" t="n">
        <v>1176</v>
      </c>
      <c r="Q1143" s="30" t="n">
        <v>744</v>
      </c>
      <c r="R1143" s="30" t="n">
        <f aca="false">ROUND(O1143*P1143,2)</f>
        <v>7056</v>
      </c>
      <c r="S1143" s="30" t="n">
        <f aca="false">ROUND(O1143*Q1143,2)</f>
        <v>4464</v>
      </c>
      <c r="T1143" s="30" t="n">
        <f aca="false">ROUND(R1143*SUMIFS(Parametros!$E$23:$E$38,Parametros!$B$23:$B$38,J1143,Parametros!$C$23:$C$38,C1143,Parametros!$D$23:$D$38,D1143),2)</f>
        <v>338.69</v>
      </c>
      <c r="U1143" s="30" t="n">
        <f aca="false">R1143-S1143-T1143</f>
        <v>2253.31</v>
      </c>
    </row>
    <row r="1144" customFormat="false" ht="15" hidden="false" customHeight="false" outlineLevel="0" collapsed="false">
      <c r="A1144" s="0" t="n">
        <v>1143</v>
      </c>
      <c r="B1144" s="27" t="n">
        <v>45636</v>
      </c>
      <c r="C1144" s="0" t="n">
        <v>2024</v>
      </c>
      <c r="D1144" s="28" t="s">
        <v>122</v>
      </c>
      <c r="E1144" s="0" t="n">
        <v>12</v>
      </c>
      <c r="F1144" s="28" t="s">
        <v>127</v>
      </c>
      <c r="G1144" s="28" t="s">
        <v>128</v>
      </c>
      <c r="H1144" s="28" t="s">
        <v>98</v>
      </c>
      <c r="I1144" s="28" t="s">
        <v>99</v>
      </c>
      <c r="J1144" s="28" t="s">
        <v>66</v>
      </c>
      <c r="K1144" s="28" t="s">
        <v>67</v>
      </c>
      <c r="L1144" s="28" t="s">
        <v>68</v>
      </c>
      <c r="M1144" s="28" t="s">
        <v>72</v>
      </c>
      <c r="N1144" s="28" t="s">
        <v>73</v>
      </c>
      <c r="O1144" s="29" t="n">
        <v>15</v>
      </c>
      <c r="P1144" s="30" t="n">
        <v>441</v>
      </c>
      <c r="Q1144" s="30" t="n">
        <v>272.25</v>
      </c>
      <c r="R1144" s="30" t="n">
        <f aca="false">ROUND(O1144*P1144,2)</f>
        <v>6615</v>
      </c>
      <c r="S1144" s="30" t="n">
        <f aca="false">ROUND(O1144*Q1144,2)</f>
        <v>4083.75</v>
      </c>
      <c r="T1144" s="30" t="n">
        <f aca="false">ROUND(R1144*SUMIFS(Parametros!$E$23:$E$38,Parametros!$B$23:$B$38,J1144,Parametros!$C$23:$C$38,C1144,Parametros!$D$23:$D$38,D1144),2)</f>
        <v>86</v>
      </c>
      <c r="U1144" s="30" t="n">
        <f aca="false">R1144-S1144-T1144</f>
        <v>2445.25</v>
      </c>
    </row>
    <row r="1145" customFormat="false" ht="15" hidden="false" customHeight="false" outlineLevel="0" collapsed="false">
      <c r="A1145" s="0" t="n">
        <v>1144</v>
      </c>
      <c r="B1145" s="27" t="n">
        <v>45643</v>
      </c>
      <c r="C1145" s="0" t="n">
        <v>2024</v>
      </c>
      <c r="D1145" s="28" t="s">
        <v>122</v>
      </c>
      <c r="E1145" s="0" t="n">
        <v>12</v>
      </c>
      <c r="F1145" s="28" t="s">
        <v>127</v>
      </c>
      <c r="G1145" s="28" t="s">
        <v>128</v>
      </c>
      <c r="H1145" s="28" t="s">
        <v>98</v>
      </c>
      <c r="I1145" s="28" t="s">
        <v>99</v>
      </c>
      <c r="J1145" s="28" t="s">
        <v>71</v>
      </c>
      <c r="K1145" s="28" t="s">
        <v>67</v>
      </c>
      <c r="L1145" s="28" t="s">
        <v>68</v>
      </c>
      <c r="M1145" s="28" t="s">
        <v>72</v>
      </c>
      <c r="N1145" s="28" t="s">
        <v>73</v>
      </c>
      <c r="O1145" s="29" t="n">
        <v>5</v>
      </c>
      <c r="P1145" s="30" t="n">
        <v>441</v>
      </c>
      <c r="Q1145" s="30" t="n">
        <v>272.25</v>
      </c>
      <c r="R1145" s="30" t="n">
        <f aca="false">ROUND(O1145*P1145,2)</f>
        <v>2205</v>
      </c>
      <c r="S1145" s="30" t="n">
        <f aca="false">ROUND(O1145*Q1145,2)</f>
        <v>1361.25</v>
      </c>
      <c r="T1145" s="30" t="n">
        <f aca="false">ROUND(R1145*SUMIFS(Parametros!$E$23:$E$38,Parametros!$B$23:$B$38,J1145,Parametros!$C$23:$C$38,C1145,Parametros!$D$23:$D$38,D1145),2)</f>
        <v>105.84</v>
      </c>
      <c r="U1145" s="30" t="n">
        <f aca="false">R1145-S1145-T1145</f>
        <v>737.91</v>
      </c>
    </row>
    <row r="1146" customFormat="false" ht="15" hidden="false" customHeight="false" outlineLevel="0" collapsed="false">
      <c r="A1146" s="0" t="n">
        <v>1145</v>
      </c>
      <c r="B1146" s="27" t="n">
        <v>45650</v>
      </c>
      <c r="C1146" s="0" t="n">
        <v>2024</v>
      </c>
      <c r="D1146" s="28" t="s">
        <v>122</v>
      </c>
      <c r="E1146" s="0" t="n">
        <v>12</v>
      </c>
      <c r="F1146" s="28" t="s">
        <v>127</v>
      </c>
      <c r="G1146" s="28" t="s">
        <v>128</v>
      </c>
      <c r="H1146" s="28" t="s">
        <v>98</v>
      </c>
      <c r="I1146" s="28" t="s">
        <v>99</v>
      </c>
      <c r="J1146" s="28" t="s">
        <v>66</v>
      </c>
      <c r="K1146" s="28" t="s">
        <v>67</v>
      </c>
      <c r="L1146" s="28" t="s">
        <v>68</v>
      </c>
      <c r="M1146" s="28" t="s">
        <v>74</v>
      </c>
      <c r="N1146" s="28" t="s">
        <v>75</v>
      </c>
      <c r="O1146" s="29" t="n">
        <v>13</v>
      </c>
      <c r="P1146" s="30" t="n">
        <v>1617</v>
      </c>
      <c r="Q1146" s="30" t="n">
        <v>1122</v>
      </c>
      <c r="R1146" s="30" t="n">
        <f aca="false">ROUND(O1146*P1146,2)</f>
        <v>21021</v>
      </c>
      <c r="S1146" s="30" t="n">
        <f aca="false">ROUND(O1146*Q1146,2)</f>
        <v>14586</v>
      </c>
      <c r="T1146" s="30" t="n">
        <f aca="false">ROUND(R1146*SUMIFS(Parametros!$E$23:$E$38,Parametros!$B$23:$B$38,J1146,Parametros!$C$23:$C$38,C1146,Parametros!$D$23:$D$38,D1146),2)</f>
        <v>273.27</v>
      </c>
      <c r="U1146" s="30" t="n">
        <f aca="false">R1146-S1146-T1146</f>
        <v>6161.73</v>
      </c>
    </row>
    <row r="1147" customFormat="false" ht="15" hidden="false" customHeight="false" outlineLevel="0" collapsed="false">
      <c r="A1147" s="0" t="n">
        <v>1146</v>
      </c>
      <c r="B1147" s="27" t="n">
        <v>45630</v>
      </c>
      <c r="C1147" s="0" t="n">
        <v>2024</v>
      </c>
      <c r="D1147" s="28" t="s">
        <v>122</v>
      </c>
      <c r="E1147" s="0" t="n">
        <v>12</v>
      </c>
      <c r="F1147" s="28" t="s">
        <v>127</v>
      </c>
      <c r="G1147" s="28" t="s">
        <v>128</v>
      </c>
      <c r="H1147" s="28" t="s">
        <v>98</v>
      </c>
      <c r="I1147" s="28" t="s">
        <v>99</v>
      </c>
      <c r="J1147" s="28" t="s">
        <v>71</v>
      </c>
      <c r="K1147" s="28" t="s">
        <v>67</v>
      </c>
      <c r="L1147" s="28" t="s">
        <v>68</v>
      </c>
      <c r="M1147" s="28" t="s">
        <v>74</v>
      </c>
      <c r="N1147" s="28" t="s">
        <v>75</v>
      </c>
      <c r="O1147" s="29" t="n">
        <v>5</v>
      </c>
      <c r="P1147" s="30" t="n">
        <v>1617</v>
      </c>
      <c r="Q1147" s="30" t="n">
        <v>1122</v>
      </c>
      <c r="R1147" s="30" t="n">
        <f aca="false">ROUND(O1147*P1147,2)</f>
        <v>8085</v>
      </c>
      <c r="S1147" s="30" t="n">
        <f aca="false">ROUND(O1147*Q1147,2)</f>
        <v>5610</v>
      </c>
      <c r="T1147" s="30" t="n">
        <f aca="false">ROUND(R1147*SUMIFS(Parametros!$E$23:$E$38,Parametros!$B$23:$B$38,J1147,Parametros!$C$23:$C$38,C1147,Parametros!$D$23:$D$38,D1147),2)</f>
        <v>388.08</v>
      </c>
      <c r="U1147" s="30" t="n">
        <f aca="false">R1147-S1147-T1147</f>
        <v>2086.92</v>
      </c>
    </row>
    <row r="1148" customFormat="false" ht="15" hidden="false" customHeight="false" outlineLevel="0" collapsed="false">
      <c r="A1148" s="0" t="n">
        <v>1147</v>
      </c>
      <c r="B1148" s="27" t="n">
        <v>45637</v>
      </c>
      <c r="C1148" s="0" t="n">
        <v>2024</v>
      </c>
      <c r="D1148" s="28" t="s">
        <v>122</v>
      </c>
      <c r="E1148" s="0" t="n">
        <v>12</v>
      </c>
      <c r="F1148" s="28" t="s">
        <v>127</v>
      </c>
      <c r="G1148" s="28" t="s">
        <v>128</v>
      </c>
      <c r="H1148" s="28" t="s">
        <v>98</v>
      </c>
      <c r="I1148" s="28" t="s">
        <v>99</v>
      </c>
      <c r="J1148" s="28" t="s">
        <v>66</v>
      </c>
      <c r="K1148" s="28" t="s">
        <v>76</v>
      </c>
      <c r="L1148" s="28" t="s">
        <v>77</v>
      </c>
      <c r="M1148" s="28" t="s">
        <v>78</v>
      </c>
      <c r="N1148" s="28" t="s">
        <v>79</v>
      </c>
      <c r="O1148" s="29" t="n">
        <v>69</v>
      </c>
      <c r="P1148" s="30" t="n">
        <v>27.44</v>
      </c>
      <c r="Q1148" s="30" t="n">
        <v>13.44</v>
      </c>
      <c r="R1148" s="30" t="n">
        <f aca="false">ROUND(O1148*P1148,2)</f>
        <v>1893.36</v>
      </c>
      <c r="S1148" s="30" t="n">
        <f aca="false">ROUND(O1148*Q1148,2)</f>
        <v>927.36</v>
      </c>
      <c r="T1148" s="30" t="n">
        <f aca="false">ROUND(R1148*SUMIFS(Parametros!$E$23:$E$38,Parametros!$B$23:$B$38,J1148,Parametros!$C$23:$C$38,C1148,Parametros!$D$23:$D$38,D1148),2)</f>
        <v>24.61</v>
      </c>
      <c r="U1148" s="30" t="n">
        <f aca="false">R1148-S1148-T1148</f>
        <v>941.39</v>
      </c>
    </row>
    <row r="1149" customFormat="false" ht="15" hidden="false" customHeight="false" outlineLevel="0" collapsed="false">
      <c r="A1149" s="0" t="n">
        <v>1148</v>
      </c>
      <c r="B1149" s="27" t="n">
        <v>45644</v>
      </c>
      <c r="C1149" s="0" t="n">
        <v>2024</v>
      </c>
      <c r="D1149" s="28" t="s">
        <v>122</v>
      </c>
      <c r="E1149" s="0" t="n">
        <v>12</v>
      </c>
      <c r="F1149" s="28" t="s">
        <v>127</v>
      </c>
      <c r="G1149" s="28" t="s">
        <v>128</v>
      </c>
      <c r="H1149" s="28" t="s">
        <v>98</v>
      </c>
      <c r="I1149" s="28" t="s">
        <v>99</v>
      </c>
      <c r="J1149" s="28" t="s">
        <v>71</v>
      </c>
      <c r="K1149" s="28" t="s">
        <v>76</v>
      </c>
      <c r="L1149" s="28" t="s">
        <v>77</v>
      </c>
      <c r="M1149" s="28" t="s">
        <v>78</v>
      </c>
      <c r="N1149" s="28" t="s">
        <v>79</v>
      </c>
      <c r="O1149" s="29" t="n">
        <v>20</v>
      </c>
      <c r="P1149" s="30" t="n">
        <v>27.44</v>
      </c>
      <c r="Q1149" s="30" t="n">
        <v>13.44</v>
      </c>
      <c r="R1149" s="30" t="n">
        <f aca="false">ROUND(O1149*P1149,2)</f>
        <v>548.8</v>
      </c>
      <c r="S1149" s="30" t="n">
        <f aca="false">ROUND(O1149*Q1149,2)</f>
        <v>268.8</v>
      </c>
      <c r="T1149" s="30" t="n">
        <f aca="false">ROUND(R1149*SUMIFS(Parametros!$E$23:$E$38,Parametros!$B$23:$B$38,J1149,Parametros!$C$23:$C$38,C1149,Parametros!$D$23:$D$38,D1149),2)</f>
        <v>26.34</v>
      </c>
      <c r="U1149" s="30" t="n">
        <f aca="false">R1149-S1149-T1149</f>
        <v>253.66</v>
      </c>
    </row>
    <row r="1150" customFormat="false" ht="15" hidden="false" customHeight="false" outlineLevel="0" collapsed="false">
      <c r="A1150" s="0" t="n">
        <v>1149</v>
      </c>
      <c r="B1150" s="27" t="n">
        <v>45651</v>
      </c>
      <c r="C1150" s="0" t="n">
        <v>2024</v>
      </c>
      <c r="D1150" s="28" t="s">
        <v>122</v>
      </c>
      <c r="E1150" s="0" t="n">
        <v>12</v>
      </c>
      <c r="F1150" s="28" t="s">
        <v>127</v>
      </c>
      <c r="G1150" s="28" t="s">
        <v>128</v>
      </c>
      <c r="H1150" s="28" t="s">
        <v>98</v>
      </c>
      <c r="I1150" s="28" t="s">
        <v>99</v>
      </c>
      <c r="J1150" s="28" t="s">
        <v>66</v>
      </c>
      <c r="K1150" s="28" t="s">
        <v>76</v>
      </c>
      <c r="L1150" s="28" t="s">
        <v>77</v>
      </c>
      <c r="M1150" s="28" t="s">
        <v>80</v>
      </c>
      <c r="N1150" s="28" t="s">
        <v>81</v>
      </c>
      <c r="O1150" s="29" t="n">
        <v>53</v>
      </c>
      <c r="P1150" s="30" t="n">
        <v>93.1</v>
      </c>
      <c r="Q1150" s="30" t="n">
        <v>47.98</v>
      </c>
      <c r="R1150" s="30" t="n">
        <f aca="false">ROUND(O1150*P1150,2)</f>
        <v>4934.3</v>
      </c>
      <c r="S1150" s="30" t="n">
        <f aca="false">ROUND(O1150*Q1150,2)</f>
        <v>2542.94</v>
      </c>
      <c r="T1150" s="30" t="n">
        <f aca="false">ROUND(R1150*SUMIFS(Parametros!$E$23:$E$38,Parametros!$B$23:$B$38,J1150,Parametros!$C$23:$C$38,C1150,Parametros!$D$23:$D$38,D1150),2)</f>
        <v>64.15</v>
      </c>
      <c r="U1150" s="30" t="n">
        <f aca="false">R1150-S1150-T1150</f>
        <v>2327.21</v>
      </c>
    </row>
    <row r="1151" customFormat="false" ht="15" hidden="false" customHeight="false" outlineLevel="0" collapsed="false">
      <c r="A1151" s="0" t="n">
        <v>1150</v>
      </c>
      <c r="B1151" s="27" t="n">
        <v>45631</v>
      </c>
      <c r="C1151" s="0" t="n">
        <v>2024</v>
      </c>
      <c r="D1151" s="28" t="s">
        <v>122</v>
      </c>
      <c r="E1151" s="0" t="n">
        <v>12</v>
      </c>
      <c r="F1151" s="28" t="s">
        <v>127</v>
      </c>
      <c r="G1151" s="28" t="s">
        <v>128</v>
      </c>
      <c r="H1151" s="28" t="s">
        <v>98</v>
      </c>
      <c r="I1151" s="28" t="s">
        <v>99</v>
      </c>
      <c r="J1151" s="28" t="s">
        <v>71</v>
      </c>
      <c r="K1151" s="28" t="s">
        <v>76</v>
      </c>
      <c r="L1151" s="28" t="s">
        <v>77</v>
      </c>
      <c r="M1151" s="28" t="s">
        <v>80</v>
      </c>
      <c r="N1151" s="28" t="s">
        <v>81</v>
      </c>
      <c r="O1151" s="29" t="n">
        <v>25</v>
      </c>
      <c r="P1151" s="30" t="n">
        <v>93.1</v>
      </c>
      <c r="Q1151" s="30" t="n">
        <v>47.98</v>
      </c>
      <c r="R1151" s="30" t="n">
        <f aca="false">ROUND(O1151*P1151,2)</f>
        <v>2327.5</v>
      </c>
      <c r="S1151" s="30" t="n">
        <f aca="false">ROUND(O1151*Q1151,2)</f>
        <v>1199.5</v>
      </c>
      <c r="T1151" s="30" t="n">
        <f aca="false">ROUND(R1151*SUMIFS(Parametros!$E$23:$E$38,Parametros!$B$23:$B$38,J1151,Parametros!$C$23:$C$38,C1151,Parametros!$D$23:$D$38,D1151),2)</f>
        <v>111.72</v>
      </c>
      <c r="U1151" s="30" t="n">
        <f aca="false">R1151-S1151-T1151</f>
        <v>1016.28</v>
      </c>
    </row>
    <row r="1152" customFormat="false" ht="15" hidden="false" customHeight="false" outlineLevel="0" collapsed="false">
      <c r="A1152" s="0" t="n">
        <v>1151</v>
      </c>
      <c r="B1152" s="27" t="n">
        <v>45638</v>
      </c>
      <c r="C1152" s="0" t="n">
        <v>2024</v>
      </c>
      <c r="D1152" s="28" t="s">
        <v>122</v>
      </c>
      <c r="E1152" s="0" t="n">
        <v>12</v>
      </c>
      <c r="F1152" s="28" t="s">
        <v>127</v>
      </c>
      <c r="G1152" s="28" t="s">
        <v>128</v>
      </c>
      <c r="H1152" s="28" t="s">
        <v>98</v>
      </c>
      <c r="I1152" s="28" t="s">
        <v>99</v>
      </c>
      <c r="J1152" s="28" t="s">
        <v>66</v>
      </c>
      <c r="K1152" s="28" t="s">
        <v>76</v>
      </c>
      <c r="L1152" s="28" t="s">
        <v>77</v>
      </c>
      <c r="M1152" s="28" t="s">
        <v>82</v>
      </c>
      <c r="N1152" s="28" t="s">
        <v>83</v>
      </c>
      <c r="O1152" s="29" t="n">
        <v>57</v>
      </c>
      <c r="P1152" s="30" t="n">
        <v>63.7</v>
      </c>
      <c r="Q1152" s="30" t="n">
        <v>35.43</v>
      </c>
      <c r="R1152" s="30" t="n">
        <f aca="false">ROUND(O1152*P1152,2)</f>
        <v>3630.9</v>
      </c>
      <c r="S1152" s="30" t="n">
        <f aca="false">ROUND(O1152*Q1152,2)</f>
        <v>2019.51</v>
      </c>
      <c r="T1152" s="30" t="n">
        <f aca="false">ROUND(R1152*SUMIFS(Parametros!$E$23:$E$38,Parametros!$B$23:$B$38,J1152,Parametros!$C$23:$C$38,C1152,Parametros!$D$23:$D$38,D1152),2)</f>
        <v>47.2</v>
      </c>
      <c r="U1152" s="30" t="n">
        <f aca="false">R1152-S1152-T1152</f>
        <v>1564.19</v>
      </c>
    </row>
    <row r="1153" customFormat="false" ht="15" hidden="false" customHeight="false" outlineLevel="0" collapsed="false">
      <c r="A1153" s="0" t="n">
        <v>1152</v>
      </c>
      <c r="B1153" s="27" t="n">
        <v>45645</v>
      </c>
      <c r="C1153" s="0" t="n">
        <v>2024</v>
      </c>
      <c r="D1153" s="28" t="s">
        <v>122</v>
      </c>
      <c r="E1153" s="0" t="n">
        <v>12</v>
      </c>
      <c r="F1153" s="28" t="s">
        <v>127</v>
      </c>
      <c r="G1153" s="28" t="s">
        <v>128</v>
      </c>
      <c r="H1153" s="28" t="s">
        <v>98</v>
      </c>
      <c r="I1153" s="28" t="s">
        <v>99</v>
      </c>
      <c r="J1153" s="28" t="s">
        <v>71</v>
      </c>
      <c r="K1153" s="28" t="s">
        <v>76</v>
      </c>
      <c r="L1153" s="28" t="s">
        <v>77</v>
      </c>
      <c r="M1153" s="28" t="s">
        <v>82</v>
      </c>
      <c r="N1153" s="28" t="s">
        <v>83</v>
      </c>
      <c r="O1153" s="29" t="n">
        <v>23</v>
      </c>
      <c r="P1153" s="30" t="n">
        <v>63.7</v>
      </c>
      <c r="Q1153" s="30" t="n">
        <v>35.43</v>
      </c>
      <c r="R1153" s="30" t="n">
        <f aca="false">ROUND(O1153*P1153,2)</f>
        <v>1465.1</v>
      </c>
      <c r="S1153" s="30" t="n">
        <f aca="false">ROUND(O1153*Q1153,2)</f>
        <v>814.89</v>
      </c>
      <c r="T1153" s="30" t="n">
        <f aca="false">ROUND(R1153*SUMIFS(Parametros!$E$23:$E$38,Parametros!$B$23:$B$38,J1153,Parametros!$C$23:$C$38,C1153,Parametros!$D$23:$D$38,D1153),2)</f>
        <v>70.32</v>
      </c>
      <c r="U1153" s="30" t="n">
        <f aca="false">R1153-S1153-T1153</f>
        <v>579.89</v>
      </c>
    </row>
    <row r="1154" customFormat="false" ht="15" hidden="false" customHeight="false" outlineLevel="0" collapsed="false">
      <c r="A1154" s="0" t="n">
        <v>1153</v>
      </c>
      <c r="B1154" s="27" t="n">
        <v>45652</v>
      </c>
      <c r="C1154" s="0" t="n">
        <v>2024</v>
      </c>
      <c r="D1154" s="28" t="s">
        <v>122</v>
      </c>
      <c r="E1154" s="0" t="n">
        <v>12</v>
      </c>
      <c r="F1154" s="28" t="s">
        <v>127</v>
      </c>
      <c r="G1154" s="28" t="s">
        <v>128</v>
      </c>
      <c r="H1154" s="28" t="s">
        <v>98</v>
      </c>
      <c r="I1154" s="28" t="s">
        <v>99</v>
      </c>
      <c r="J1154" s="28" t="s">
        <v>66</v>
      </c>
      <c r="K1154" s="28" t="s">
        <v>84</v>
      </c>
      <c r="L1154" s="28" t="s">
        <v>85</v>
      </c>
      <c r="M1154" s="28" t="s">
        <v>86</v>
      </c>
      <c r="N1154" s="28" t="s">
        <v>87</v>
      </c>
      <c r="O1154" s="29" t="n">
        <v>29</v>
      </c>
      <c r="P1154" s="30" t="n">
        <v>117.6</v>
      </c>
      <c r="Q1154" s="30" t="n">
        <v>63.6</v>
      </c>
      <c r="R1154" s="30" t="n">
        <f aca="false">ROUND(O1154*P1154,2)</f>
        <v>3410.4</v>
      </c>
      <c r="S1154" s="30" t="n">
        <f aca="false">ROUND(O1154*Q1154,2)</f>
        <v>1844.4</v>
      </c>
      <c r="T1154" s="30" t="n">
        <f aca="false">ROUND(R1154*SUMIFS(Parametros!$E$23:$E$38,Parametros!$B$23:$B$38,J1154,Parametros!$C$23:$C$38,C1154,Parametros!$D$23:$D$38,D1154),2)</f>
        <v>44.34</v>
      </c>
      <c r="U1154" s="30" t="n">
        <f aca="false">R1154-S1154-T1154</f>
        <v>1521.66</v>
      </c>
    </row>
    <row r="1155" customFormat="false" ht="15" hidden="false" customHeight="false" outlineLevel="0" collapsed="false">
      <c r="A1155" s="0" t="n">
        <v>1154</v>
      </c>
      <c r="B1155" s="27" t="n">
        <v>45632</v>
      </c>
      <c r="C1155" s="0" t="n">
        <v>2024</v>
      </c>
      <c r="D1155" s="28" t="s">
        <v>122</v>
      </c>
      <c r="E1155" s="0" t="n">
        <v>12</v>
      </c>
      <c r="F1155" s="28" t="s">
        <v>127</v>
      </c>
      <c r="G1155" s="28" t="s">
        <v>128</v>
      </c>
      <c r="H1155" s="28" t="s">
        <v>98</v>
      </c>
      <c r="I1155" s="28" t="s">
        <v>99</v>
      </c>
      <c r="J1155" s="28" t="s">
        <v>71</v>
      </c>
      <c r="K1155" s="28" t="s">
        <v>84</v>
      </c>
      <c r="L1155" s="28" t="s">
        <v>85</v>
      </c>
      <c r="M1155" s="28" t="s">
        <v>86</v>
      </c>
      <c r="N1155" s="28" t="s">
        <v>87</v>
      </c>
      <c r="O1155" s="29" t="n">
        <v>10</v>
      </c>
      <c r="P1155" s="30" t="n">
        <v>117.6</v>
      </c>
      <c r="Q1155" s="30" t="n">
        <v>63.6</v>
      </c>
      <c r="R1155" s="30" t="n">
        <f aca="false">ROUND(O1155*P1155,2)</f>
        <v>1176</v>
      </c>
      <c r="S1155" s="30" t="n">
        <f aca="false">ROUND(O1155*Q1155,2)</f>
        <v>636</v>
      </c>
      <c r="T1155" s="30" t="n">
        <f aca="false">ROUND(R1155*SUMIFS(Parametros!$E$23:$E$38,Parametros!$B$23:$B$38,J1155,Parametros!$C$23:$C$38,C1155,Parametros!$D$23:$D$38,D1155),2)</f>
        <v>56.45</v>
      </c>
      <c r="U1155" s="30" t="n">
        <f aca="false">R1155-S1155-T1155</f>
        <v>483.55</v>
      </c>
    </row>
    <row r="1156" customFormat="false" ht="15" hidden="false" customHeight="false" outlineLevel="0" collapsed="false">
      <c r="A1156" s="0" t="n">
        <v>1155</v>
      </c>
      <c r="B1156" s="27" t="n">
        <v>45639</v>
      </c>
      <c r="C1156" s="0" t="n">
        <v>2024</v>
      </c>
      <c r="D1156" s="28" t="s">
        <v>122</v>
      </c>
      <c r="E1156" s="0" t="n">
        <v>12</v>
      </c>
      <c r="F1156" s="28" t="s">
        <v>127</v>
      </c>
      <c r="G1156" s="28" t="s">
        <v>128</v>
      </c>
      <c r="H1156" s="28" t="s">
        <v>98</v>
      </c>
      <c r="I1156" s="28" t="s">
        <v>99</v>
      </c>
      <c r="J1156" s="28" t="s">
        <v>66</v>
      </c>
      <c r="K1156" s="28" t="s">
        <v>84</v>
      </c>
      <c r="L1156" s="28" t="s">
        <v>85</v>
      </c>
      <c r="M1156" s="28" t="s">
        <v>88</v>
      </c>
      <c r="N1156" s="28" t="s">
        <v>89</v>
      </c>
      <c r="O1156" s="29" t="n">
        <v>27</v>
      </c>
      <c r="P1156" s="30" t="n">
        <v>83.3</v>
      </c>
      <c r="Q1156" s="30" t="n">
        <v>48.02</v>
      </c>
      <c r="R1156" s="30" t="n">
        <f aca="false">ROUND(O1156*P1156,2)</f>
        <v>2249.1</v>
      </c>
      <c r="S1156" s="30" t="n">
        <f aca="false">ROUND(O1156*Q1156,2)</f>
        <v>1296.54</v>
      </c>
      <c r="T1156" s="30" t="n">
        <f aca="false">ROUND(R1156*SUMIFS(Parametros!$E$23:$E$38,Parametros!$B$23:$B$38,J1156,Parametros!$C$23:$C$38,C1156,Parametros!$D$23:$D$38,D1156),2)</f>
        <v>29.24</v>
      </c>
      <c r="U1156" s="30" t="n">
        <f aca="false">R1156-S1156-T1156</f>
        <v>923.32</v>
      </c>
    </row>
    <row r="1157" customFormat="false" ht="15" hidden="false" customHeight="false" outlineLevel="0" collapsed="false">
      <c r="A1157" s="0" t="n">
        <v>1156</v>
      </c>
      <c r="B1157" s="27" t="n">
        <v>45646</v>
      </c>
      <c r="C1157" s="0" t="n">
        <v>2024</v>
      </c>
      <c r="D1157" s="28" t="s">
        <v>122</v>
      </c>
      <c r="E1157" s="0" t="n">
        <v>12</v>
      </c>
      <c r="F1157" s="28" t="s">
        <v>127</v>
      </c>
      <c r="G1157" s="28" t="s">
        <v>128</v>
      </c>
      <c r="H1157" s="28" t="s">
        <v>98</v>
      </c>
      <c r="I1157" s="28" t="s">
        <v>99</v>
      </c>
      <c r="J1157" s="28" t="s">
        <v>71</v>
      </c>
      <c r="K1157" s="28" t="s">
        <v>84</v>
      </c>
      <c r="L1157" s="28" t="s">
        <v>85</v>
      </c>
      <c r="M1157" s="28" t="s">
        <v>88</v>
      </c>
      <c r="N1157" s="28" t="s">
        <v>89</v>
      </c>
      <c r="O1157" s="29" t="n">
        <v>11</v>
      </c>
      <c r="P1157" s="30" t="n">
        <v>83.3</v>
      </c>
      <c r="Q1157" s="30" t="n">
        <v>48.02</v>
      </c>
      <c r="R1157" s="30" t="n">
        <f aca="false">ROUND(O1157*P1157,2)</f>
        <v>916.3</v>
      </c>
      <c r="S1157" s="30" t="n">
        <f aca="false">ROUND(O1157*Q1157,2)</f>
        <v>528.22</v>
      </c>
      <c r="T1157" s="30" t="n">
        <f aca="false">ROUND(R1157*SUMIFS(Parametros!$E$23:$E$38,Parametros!$B$23:$B$38,J1157,Parametros!$C$23:$C$38,C1157,Parametros!$D$23:$D$38,D1157),2)</f>
        <v>43.98</v>
      </c>
      <c r="U1157" s="30" t="n">
        <f aca="false">R1157-S1157-T1157</f>
        <v>344.1</v>
      </c>
    </row>
    <row r="1158" customFormat="false" ht="15" hidden="false" customHeight="false" outlineLevel="0" collapsed="false">
      <c r="A1158" s="0" t="n">
        <v>1157</v>
      </c>
      <c r="B1158" s="27" t="n">
        <v>45653</v>
      </c>
      <c r="C1158" s="0" t="n">
        <v>2024</v>
      </c>
      <c r="D1158" s="28" t="s">
        <v>122</v>
      </c>
      <c r="E1158" s="0" t="n">
        <v>12</v>
      </c>
      <c r="F1158" s="28" t="s">
        <v>127</v>
      </c>
      <c r="G1158" s="28" t="s">
        <v>128</v>
      </c>
      <c r="H1158" s="28" t="s">
        <v>98</v>
      </c>
      <c r="I1158" s="28" t="s">
        <v>99</v>
      </c>
      <c r="J1158" s="28" t="s">
        <v>66</v>
      </c>
      <c r="K1158" s="28" t="s">
        <v>90</v>
      </c>
      <c r="L1158" s="28" t="s">
        <v>91</v>
      </c>
      <c r="M1158" s="28" t="s">
        <v>92</v>
      </c>
      <c r="N1158" s="28" t="s">
        <v>93</v>
      </c>
      <c r="O1158" s="29" t="n">
        <v>35</v>
      </c>
      <c r="P1158" s="30" t="n">
        <v>127.4</v>
      </c>
      <c r="Q1158" s="30" t="n">
        <v>76.05</v>
      </c>
      <c r="R1158" s="30" t="n">
        <f aca="false">ROUND(O1158*P1158,2)</f>
        <v>4459</v>
      </c>
      <c r="S1158" s="30" t="n">
        <f aca="false">ROUND(O1158*Q1158,2)</f>
        <v>2661.75</v>
      </c>
      <c r="T1158" s="30" t="n">
        <f aca="false">ROUND(R1158*SUMIFS(Parametros!$E$23:$E$38,Parametros!$B$23:$B$38,J1158,Parametros!$C$23:$C$38,C1158,Parametros!$D$23:$D$38,D1158),2)</f>
        <v>57.97</v>
      </c>
      <c r="U1158" s="30" t="n">
        <f aca="false">R1158-S1158-T1158</f>
        <v>1739.28</v>
      </c>
    </row>
    <row r="1159" customFormat="false" ht="15" hidden="false" customHeight="false" outlineLevel="0" collapsed="false">
      <c r="A1159" s="0" t="n">
        <v>1158</v>
      </c>
      <c r="B1159" s="27" t="n">
        <v>45633</v>
      </c>
      <c r="C1159" s="0" t="n">
        <v>2024</v>
      </c>
      <c r="D1159" s="28" t="s">
        <v>122</v>
      </c>
      <c r="E1159" s="0" t="n">
        <v>12</v>
      </c>
      <c r="F1159" s="28" t="s">
        <v>127</v>
      </c>
      <c r="G1159" s="28" t="s">
        <v>128</v>
      </c>
      <c r="H1159" s="28" t="s">
        <v>98</v>
      </c>
      <c r="I1159" s="28" t="s">
        <v>99</v>
      </c>
      <c r="J1159" s="28" t="s">
        <v>71</v>
      </c>
      <c r="K1159" s="28" t="s">
        <v>90</v>
      </c>
      <c r="L1159" s="28" t="s">
        <v>91</v>
      </c>
      <c r="M1159" s="28" t="s">
        <v>92</v>
      </c>
      <c r="N1159" s="28" t="s">
        <v>93</v>
      </c>
      <c r="O1159" s="29" t="n">
        <v>11</v>
      </c>
      <c r="P1159" s="30" t="n">
        <v>127.4</v>
      </c>
      <c r="Q1159" s="30" t="n">
        <v>76.05</v>
      </c>
      <c r="R1159" s="30" t="n">
        <f aca="false">ROUND(O1159*P1159,2)</f>
        <v>1401.4</v>
      </c>
      <c r="S1159" s="30" t="n">
        <f aca="false">ROUND(O1159*Q1159,2)</f>
        <v>836.55</v>
      </c>
      <c r="T1159" s="30" t="n">
        <f aca="false">ROUND(R1159*SUMIFS(Parametros!$E$23:$E$38,Parametros!$B$23:$B$38,J1159,Parametros!$C$23:$C$38,C1159,Parametros!$D$23:$D$38,D1159),2)</f>
        <v>67.27</v>
      </c>
      <c r="U1159" s="30" t="n">
        <f aca="false">R1159-S1159-T1159</f>
        <v>497.58</v>
      </c>
    </row>
    <row r="1160" customFormat="false" ht="15" hidden="false" customHeight="false" outlineLevel="0" collapsed="false">
      <c r="A1160" s="0" t="n">
        <v>1159</v>
      </c>
      <c r="B1160" s="27" t="n">
        <v>45640</v>
      </c>
      <c r="C1160" s="0" t="n">
        <v>2024</v>
      </c>
      <c r="D1160" s="28" t="s">
        <v>122</v>
      </c>
      <c r="E1160" s="0" t="n">
        <v>12</v>
      </c>
      <c r="F1160" s="28" t="s">
        <v>127</v>
      </c>
      <c r="G1160" s="28" t="s">
        <v>128</v>
      </c>
      <c r="H1160" s="28" t="s">
        <v>98</v>
      </c>
      <c r="I1160" s="28" t="s">
        <v>99</v>
      </c>
      <c r="J1160" s="28" t="s">
        <v>66</v>
      </c>
      <c r="K1160" s="28" t="s">
        <v>90</v>
      </c>
      <c r="L1160" s="28" t="s">
        <v>91</v>
      </c>
      <c r="M1160" s="28" t="s">
        <v>94</v>
      </c>
      <c r="N1160" s="28" t="s">
        <v>95</v>
      </c>
      <c r="O1160" s="29" t="n">
        <v>34</v>
      </c>
      <c r="P1160" s="30" t="n">
        <v>34.3</v>
      </c>
      <c r="Q1160" s="30" t="n">
        <v>17.85</v>
      </c>
      <c r="R1160" s="30" t="n">
        <f aca="false">ROUND(O1160*P1160,2)</f>
        <v>1166.2</v>
      </c>
      <c r="S1160" s="30" t="n">
        <f aca="false">ROUND(O1160*Q1160,2)</f>
        <v>606.9</v>
      </c>
      <c r="T1160" s="30" t="n">
        <f aca="false">ROUND(R1160*SUMIFS(Parametros!$E$23:$E$38,Parametros!$B$23:$B$38,J1160,Parametros!$C$23:$C$38,C1160,Parametros!$D$23:$D$38,D1160),2)</f>
        <v>15.16</v>
      </c>
      <c r="U1160" s="30" t="n">
        <f aca="false">R1160-S1160-T1160</f>
        <v>544.14</v>
      </c>
    </row>
    <row r="1161" customFormat="false" ht="15" hidden="false" customHeight="false" outlineLevel="0" collapsed="false">
      <c r="A1161" s="0" t="n">
        <v>1160</v>
      </c>
      <c r="B1161" s="27" t="n">
        <v>45647</v>
      </c>
      <c r="C1161" s="0" t="n">
        <v>2024</v>
      </c>
      <c r="D1161" s="28" t="s">
        <v>122</v>
      </c>
      <c r="E1161" s="0" t="n">
        <v>12</v>
      </c>
      <c r="F1161" s="28" t="s">
        <v>127</v>
      </c>
      <c r="G1161" s="28" t="s">
        <v>128</v>
      </c>
      <c r="H1161" s="28" t="s">
        <v>98</v>
      </c>
      <c r="I1161" s="28" t="s">
        <v>99</v>
      </c>
      <c r="J1161" s="28" t="s">
        <v>71</v>
      </c>
      <c r="K1161" s="28" t="s">
        <v>90</v>
      </c>
      <c r="L1161" s="28" t="s">
        <v>91</v>
      </c>
      <c r="M1161" s="28" t="s">
        <v>94</v>
      </c>
      <c r="N1161" s="28" t="s">
        <v>95</v>
      </c>
      <c r="O1161" s="29" t="n">
        <v>14</v>
      </c>
      <c r="P1161" s="30" t="n">
        <v>34.3</v>
      </c>
      <c r="Q1161" s="30" t="n">
        <v>17.85</v>
      </c>
      <c r="R1161" s="30" t="n">
        <f aca="false">ROUND(O1161*P1161,2)</f>
        <v>480.2</v>
      </c>
      <c r="S1161" s="30" t="n">
        <f aca="false">ROUND(O1161*Q1161,2)</f>
        <v>249.9</v>
      </c>
      <c r="T1161" s="30" t="n">
        <f aca="false">ROUND(R1161*SUMIFS(Parametros!$E$23:$E$38,Parametros!$B$23:$B$38,J1161,Parametros!$C$23:$C$38,C1161,Parametros!$D$23:$D$38,D1161),2)</f>
        <v>23.05</v>
      </c>
      <c r="U1161" s="30" t="n">
        <f aca="false">R1161-S1161-T1161</f>
        <v>207.25</v>
      </c>
    </row>
    <row r="1162" customFormat="false" ht="15" hidden="false" customHeight="false" outlineLevel="0" collapsed="false">
      <c r="A1162" s="0" t="n">
        <v>1161</v>
      </c>
      <c r="B1162" s="27" t="n">
        <v>45627</v>
      </c>
      <c r="C1162" s="0" t="n">
        <v>2024</v>
      </c>
      <c r="D1162" s="28" t="s">
        <v>122</v>
      </c>
      <c r="E1162" s="0" t="n">
        <v>12</v>
      </c>
      <c r="F1162" s="28" t="s">
        <v>127</v>
      </c>
      <c r="G1162" s="28" t="s">
        <v>128</v>
      </c>
      <c r="H1162" s="28" t="s">
        <v>100</v>
      </c>
      <c r="I1162" s="28" t="s">
        <v>101</v>
      </c>
      <c r="J1162" s="28" t="s">
        <v>66</v>
      </c>
      <c r="K1162" s="28" t="s">
        <v>67</v>
      </c>
      <c r="L1162" s="28" t="s">
        <v>68</v>
      </c>
      <c r="M1162" s="28" t="s">
        <v>69</v>
      </c>
      <c r="N1162" s="28" t="s">
        <v>70</v>
      </c>
      <c r="O1162" s="29" t="n">
        <v>10</v>
      </c>
      <c r="P1162" s="30" t="n">
        <v>1176</v>
      </c>
      <c r="Q1162" s="30" t="n">
        <v>744</v>
      </c>
      <c r="R1162" s="30" t="n">
        <f aca="false">ROUND(O1162*P1162,2)</f>
        <v>11760</v>
      </c>
      <c r="S1162" s="30" t="n">
        <f aca="false">ROUND(O1162*Q1162,2)</f>
        <v>7440</v>
      </c>
      <c r="T1162" s="30" t="n">
        <f aca="false">ROUND(R1162*SUMIFS(Parametros!$E$23:$E$38,Parametros!$B$23:$B$38,J1162,Parametros!$C$23:$C$38,C1162,Parametros!$D$23:$D$38,D1162),2)</f>
        <v>152.88</v>
      </c>
      <c r="U1162" s="30" t="n">
        <f aca="false">R1162-S1162-T1162</f>
        <v>4167.12</v>
      </c>
    </row>
    <row r="1163" customFormat="false" ht="15" hidden="false" customHeight="false" outlineLevel="0" collapsed="false">
      <c r="A1163" s="0" t="n">
        <v>1162</v>
      </c>
      <c r="B1163" s="27" t="n">
        <v>45634</v>
      </c>
      <c r="C1163" s="0" t="n">
        <v>2024</v>
      </c>
      <c r="D1163" s="28" t="s">
        <v>122</v>
      </c>
      <c r="E1163" s="0" t="n">
        <v>12</v>
      </c>
      <c r="F1163" s="28" t="s">
        <v>127</v>
      </c>
      <c r="G1163" s="28" t="s">
        <v>128</v>
      </c>
      <c r="H1163" s="28" t="s">
        <v>100</v>
      </c>
      <c r="I1163" s="28" t="s">
        <v>101</v>
      </c>
      <c r="J1163" s="28" t="s">
        <v>71</v>
      </c>
      <c r="K1163" s="28" t="s">
        <v>67</v>
      </c>
      <c r="L1163" s="28" t="s">
        <v>68</v>
      </c>
      <c r="M1163" s="28" t="s">
        <v>69</v>
      </c>
      <c r="N1163" s="28" t="s">
        <v>70</v>
      </c>
      <c r="O1163" s="29" t="n">
        <v>3</v>
      </c>
      <c r="P1163" s="30" t="n">
        <v>1176</v>
      </c>
      <c r="Q1163" s="30" t="n">
        <v>744</v>
      </c>
      <c r="R1163" s="30" t="n">
        <f aca="false">ROUND(O1163*P1163,2)</f>
        <v>3528</v>
      </c>
      <c r="S1163" s="30" t="n">
        <f aca="false">ROUND(O1163*Q1163,2)</f>
        <v>2232</v>
      </c>
      <c r="T1163" s="30" t="n">
        <f aca="false">ROUND(R1163*SUMIFS(Parametros!$E$23:$E$38,Parametros!$B$23:$B$38,J1163,Parametros!$C$23:$C$38,C1163,Parametros!$D$23:$D$38,D1163),2)</f>
        <v>169.34</v>
      </c>
      <c r="U1163" s="30" t="n">
        <f aca="false">R1163-S1163-T1163</f>
        <v>1126.66</v>
      </c>
    </row>
    <row r="1164" customFormat="false" ht="15" hidden="false" customHeight="false" outlineLevel="0" collapsed="false">
      <c r="A1164" s="0" t="n">
        <v>1163</v>
      </c>
      <c r="B1164" s="27" t="n">
        <v>45641</v>
      </c>
      <c r="C1164" s="0" t="n">
        <v>2024</v>
      </c>
      <c r="D1164" s="28" t="s">
        <v>122</v>
      </c>
      <c r="E1164" s="0" t="n">
        <v>12</v>
      </c>
      <c r="F1164" s="28" t="s">
        <v>127</v>
      </c>
      <c r="G1164" s="28" t="s">
        <v>128</v>
      </c>
      <c r="H1164" s="28" t="s">
        <v>100</v>
      </c>
      <c r="I1164" s="28" t="s">
        <v>101</v>
      </c>
      <c r="J1164" s="28" t="s">
        <v>66</v>
      </c>
      <c r="K1164" s="28" t="s">
        <v>67</v>
      </c>
      <c r="L1164" s="28" t="s">
        <v>68</v>
      </c>
      <c r="M1164" s="28" t="s">
        <v>72</v>
      </c>
      <c r="N1164" s="28" t="s">
        <v>73</v>
      </c>
      <c r="O1164" s="29" t="n">
        <v>9</v>
      </c>
      <c r="P1164" s="30" t="n">
        <v>441</v>
      </c>
      <c r="Q1164" s="30" t="n">
        <v>272.25</v>
      </c>
      <c r="R1164" s="30" t="n">
        <f aca="false">ROUND(O1164*P1164,2)</f>
        <v>3969</v>
      </c>
      <c r="S1164" s="30" t="n">
        <f aca="false">ROUND(O1164*Q1164,2)</f>
        <v>2450.25</v>
      </c>
      <c r="T1164" s="30" t="n">
        <f aca="false">ROUND(R1164*SUMIFS(Parametros!$E$23:$E$38,Parametros!$B$23:$B$38,J1164,Parametros!$C$23:$C$38,C1164,Parametros!$D$23:$D$38,D1164),2)</f>
        <v>51.6</v>
      </c>
      <c r="U1164" s="30" t="n">
        <f aca="false">R1164-S1164-T1164</f>
        <v>1467.15</v>
      </c>
    </row>
    <row r="1165" customFormat="false" ht="15" hidden="false" customHeight="false" outlineLevel="0" collapsed="false">
      <c r="A1165" s="0" t="n">
        <v>1164</v>
      </c>
      <c r="B1165" s="27" t="n">
        <v>45648</v>
      </c>
      <c r="C1165" s="0" t="n">
        <v>2024</v>
      </c>
      <c r="D1165" s="28" t="s">
        <v>122</v>
      </c>
      <c r="E1165" s="0" t="n">
        <v>12</v>
      </c>
      <c r="F1165" s="28" t="s">
        <v>127</v>
      </c>
      <c r="G1165" s="28" t="s">
        <v>128</v>
      </c>
      <c r="H1165" s="28" t="s">
        <v>100</v>
      </c>
      <c r="I1165" s="28" t="s">
        <v>101</v>
      </c>
      <c r="J1165" s="28" t="s">
        <v>71</v>
      </c>
      <c r="K1165" s="28" t="s">
        <v>67</v>
      </c>
      <c r="L1165" s="28" t="s">
        <v>68</v>
      </c>
      <c r="M1165" s="28" t="s">
        <v>72</v>
      </c>
      <c r="N1165" s="28" t="s">
        <v>73</v>
      </c>
      <c r="O1165" s="29" t="n">
        <v>4</v>
      </c>
      <c r="P1165" s="30" t="n">
        <v>441</v>
      </c>
      <c r="Q1165" s="30" t="n">
        <v>272.25</v>
      </c>
      <c r="R1165" s="30" t="n">
        <f aca="false">ROUND(O1165*P1165,2)</f>
        <v>1764</v>
      </c>
      <c r="S1165" s="30" t="n">
        <f aca="false">ROUND(O1165*Q1165,2)</f>
        <v>1089</v>
      </c>
      <c r="T1165" s="30" t="n">
        <f aca="false">ROUND(R1165*SUMIFS(Parametros!$E$23:$E$38,Parametros!$B$23:$B$38,J1165,Parametros!$C$23:$C$38,C1165,Parametros!$D$23:$D$38,D1165),2)</f>
        <v>84.67</v>
      </c>
      <c r="U1165" s="30" t="n">
        <f aca="false">R1165-S1165-T1165</f>
        <v>590.33</v>
      </c>
    </row>
    <row r="1166" customFormat="false" ht="15" hidden="false" customHeight="false" outlineLevel="0" collapsed="false">
      <c r="A1166" s="0" t="n">
        <v>1165</v>
      </c>
      <c r="B1166" s="27" t="n">
        <v>45628</v>
      </c>
      <c r="C1166" s="0" t="n">
        <v>2024</v>
      </c>
      <c r="D1166" s="28" t="s">
        <v>122</v>
      </c>
      <c r="E1166" s="0" t="n">
        <v>12</v>
      </c>
      <c r="F1166" s="28" t="s">
        <v>127</v>
      </c>
      <c r="G1166" s="28" t="s">
        <v>128</v>
      </c>
      <c r="H1166" s="28" t="s">
        <v>100</v>
      </c>
      <c r="I1166" s="28" t="s">
        <v>101</v>
      </c>
      <c r="J1166" s="28" t="s">
        <v>66</v>
      </c>
      <c r="K1166" s="28" t="s">
        <v>67</v>
      </c>
      <c r="L1166" s="28" t="s">
        <v>68</v>
      </c>
      <c r="M1166" s="28" t="s">
        <v>74</v>
      </c>
      <c r="N1166" s="28" t="s">
        <v>75</v>
      </c>
      <c r="O1166" s="29" t="n">
        <v>11</v>
      </c>
      <c r="P1166" s="30" t="n">
        <v>1617</v>
      </c>
      <c r="Q1166" s="30" t="n">
        <v>1122</v>
      </c>
      <c r="R1166" s="30" t="n">
        <f aca="false">ROUND(O1166*P1166,2)</f>
        <v>17787</v>
      </c>
      <c r="S1166" s="30" t="n">
        <f aca="false">ROUND(O1166*Q1166,2)</f>
        <v>12342</v>
      </c>
      <c r="T1166" s="30" t="n">
        <f aca="false">ROUND(R1166*SUMIFS(Parametros!$E$23:$E$38,Parametros!$B$23:$B$38,J1166,Parametros!$C$23:$C$38,C1166,Parametros!$D$23:$D$38,D1166),2)</f>
        <v>231.23</v>
      </c>
      <c r="U1166" s="30" t="n">
        <f aca="false">R1166-S1166-T1166</f>
        <v>5213.77</v>
      </c>
    </row>
    <row r="1167" customFormat="false" ht="15" hidden="false" customHeight="false" outlineLevel="0" collapsed="false">
      <c r="A1167" s="0" t="n">
        <v>1166</v>
      </c>
      <c r="B1167" s="27" t="n">
        <v>45635</v>
      </c>
      <c r="C1167" s="0" t="n">
        <v>2024</v>
      </c>
      <c r="D1167" s="28" t="s">
        <v>122</v>
      </c>
      <c r="E1167" s="0" t="n">
        <v>12</v>
      </c>
      <c r="F1167" s="28" t="s">
        <v>127</v>
      </c>
      <c r="G1167" s="28" t="s">
        <v>128</v>
      </c>
      <c r="H1167" s="28" t="s">
        <v>100</v>
      </c>
      <c r="I1167" s="28" t="s">
        <v>101</v>
      </c>
      <c r="J1167" s="28" t="s">
        <v>71</v>
      </c>
      <c r="K1167" s="28" t="s">
        <v>67</v>
      </c>
      <c r="L1167" s="28" t="s">
        <v>68</v>
      </c>
      <c r="M1167" s="28" t="s">
        <v>74</v>
      </c>
      <c r="N1167" s="28" t="s">
        <v>75</v>
      </c>
      <c r="O1167" s="29" t="n">
        <v>3</v>
      </c>
      <c r="P1167" s="30" t="n">
        <v>1617</v>
      </c>
      <c r="Q1167" s="30" t="n">
        <v>1122</v>
      </c>
      <c r="R1167" s="30" t="n">
        <f aca="false">ROUND(O1167*P1167,2)</f>
        <v>4851</v>
      </c>
      <c r="S1167" s="30" t="n">
        <f aca="false">ROUND(O1167*Q1167,2)</f>
        <v>3366</v>
      </c>
      <c r="T1167" s="30" t="n">
        <f aca="false">ROUND(R1167*SUMIFS(Parametros!$E$23:$E$38,Parametros!$B$23:$B$38,J1167,Parametros!$C$23:$C$38,C1167,Parametros!$D$23:$D$38,D1167),2)</f>
        <v>232.85</v>
      </c>
      <c r="U1167" s="30" t="n">
        <f aca="false">R1167-S1167-T1167</f>
        <v>1252.15</v>
      </c>
    </row>
    <row r="1168" customFormat="false" ht="15" hidden="false" customHeight="false" outlineLevel="0" collapsed="false">
      <c r="A1168" s="0" t="n">
        <v>1167</v>
      </c>
      <c r="B1168" s="27" t="n">
        <v>45642</v>
      </c>
      <c r="C1168" s="0" t="n">
        <v>2024</v>
      </c>
      <c r="D1168" s="28" t="s">
        <v>122</v>
      </c>
      <c r="E1168" s="0" t="n">
        <v>12</v>
      </c>
      <c r="F1168" s="28" t="s">
        <v>127</v>
      </c>
      <c r="G1168" s="28" t="s">
        <v>128</v>
      </c>
      <c r="H1168" s="28" t="s">
        <v>100</v>
      </c>
      <c r="I1168" s="28" t="s">
        <v>101</v>
      </c>
      <c r="J1168" s="28" t="s">
        <v>66</v>
      </c>
      <c r="K1168" s="28" t="s">
        <v>76</v>
      </c>
      <c r="L1168" s="28" t="s">
        <v>77</v>
      </c>
      <c r="M1168" s="28" t="s">
        <v>78</v>
      </c>
      <c r="N1168" s="28" t="s">
        <v>79</v>
      </c>
      <c r="O1168" s="29" t="n">
        <v>49</v>
      </c>
      <c r="P1168" s="30" t="n">
        <v>27.44</v>
      </c>
      <c r="Q1168" s="30" t="n">
        <v>13.44</v>
      </c>
      <c r="R1168" s="30" t="n">
        <f aca="false">ROUND(O1168*P1168,2)</f>
        <v>1344.56</v>
      </c>
      <c r="S1168" s="30" t="n">
        <f aca="false">ROUND(O1168*Q1168,2)</f>
        <v>658.56</v>
      </c>
      <c r="T1168" s="30" t="n">
        <f aca="false">ROUND(R1168*SUMIFS(Parametros!$E$23:$E$38,Parametros!$B$23:$B$38,J1168,Parametros!$C$23:$C$38,C1168,Parametros!$D$23:$D$38,D1168),2)</f>
        <v>17.48</v>
      </c>
      <c r="U1168" s="30" t="n">
        <f aca="false">R1168-S1168-T1168</f>
        <v>668.52</v>
      </c>
    </row>
    <row r="1169" customFormat="false" ht="15" hidden="false" customHeight="false" outlineLevel="0" collapsed="false">
      <c r="A1169" s="0" t="n">
        <v>1168</v>
      </c>
      <c r="B1169" s="27" t="n">
        <v>45649</v>
      </c>
      <c r="C1169" s="0" t="n">
        <v>2024</v>
      </c>
      <c r="D1169" s="28" t="s">
        <v>122</v>
      </c>
      <c r="E1169" s="0" t="n">
        <v>12</v>
      </c>
      <c r="F1169" s="28" t="s">
        <v>127</v>
      </c>
      <c r="G1169" s="28" t="s">
        <v>128</v>
      </c>
      <c r="H1169" s="28" t="s">
        <v>100</v>
      </c>
      <c r="I1169" s="28" t="s">
        <v>101</v>
      </c>
      <c r="J1169" s="28" t="s">
        <v>71</v>
      </c>
      <c r="K1169" s="28" t="s">
        <v>76</v>
      </c>
      <c r="L1169" s="28" t="s">
        <v>77</v>
      </c>
      <c r="M1169" s="28" t="s">
        <v>78</v>
      </c>
      <c r="N1169" s="28" t="s">
        <v>79</v>
      </c>
      <c r="O1169" s="29" t="n">
        <v>17</v>
      </c>
      <c r="P1169" s="30" t="n">
        <v>27.44</v>
      </c>
      <c r="Q1169" s="30" t="n">
        <v>13.44</v>
      </c>
      <c r="R1169" s="30" t="n">
        <f aca="false">ROUND(O1169*P1169,2)</f>
        <v>466.48</v>
      </c>
      <c r="S1169" s="30" t="n">
        <f aca="false">ROUND(O1169*Q1169,2)</f>
        <v>228.48</v>
      </c>
      <c r="T1169" s="30" t="n">
        <f aca="false">ROUND(R1169*SUMIFS(Parametros!$E$23:$E$38,Parametros!$B$23:$B$38,J1169,Parametros!$C$23:$C$38,C1169,Parametros!$D$23:$D$38,D1169),2)</f>
        <v>22.39</v>
      </c>
      <c r="U1169" s="30" t="n">
        <f aca="false">R1169-S1169-T1169</f>
        <v>215.61</v>
      </c>
    </row>
    <row r="1170" customFormat="false" ht="15" hidden="false" customHeight="false" outlineLevel="0" collapsed="false">
      <c r="A1170" s="0" t="n">
        <v>1169</v>
      </c>
      <c r="B1170" s="27" t="n">
        <v>45629</v>
      </c>
      <c r="C1170" s="0" t="n">
        <v>2024</v>
      </c>
      <c r="D1170" s="28" t="s">
        <v>122</v>
      </c>
      <c r="E1170" s="0" t="n">
        <v>12</v>
      </c>
      <c r="F1170" s="28" t="s">
        <v>127</v>
      </c>
      <c r="G1170" s="28" t="s">
        <v>128</v>
      </c>
      <c r="H1170" s="28" t="s">
        <v>100</v>
      </c>
      <c r="I1170" s="28" t="s">
        <v>101</v>
      </c>
      <c r="J1170" s="28" t="s">
        <v>66</v>
      </c>
      <c r="K1170" s="28" t="s">
        <v>76</v>
      </c>
      <c r="L1170" s="28" t="s">
        <v>77</v>
      </c>
      <c r="M1170" s="28" t="s">
        <v>80</v>
      </c>
      <c r="N1170" s="28" t="s">
        <v>81</v>
      </c>
      <c r="O1170" s="29" t="n">
        <v>52</v>
      </c>
      <c r="P1170" s="30" t="n">
        <v>93.1</v>
      </c>
      <c r="Q1170" s="30" t="n">
        <v>47.98</v>
      </c>
      <c r="R1170" s="30" t="n">
        <f aca="false">ROUND(O1170*P1170,2)</f>
        <v>4841.2</v>
      </c>
      <c r="S1170" s="30" t="n">
        <f aca="false">ROUND(O1170*Q1170,2)</f>
        <v>2494.96</v>
      </c>
      <c r="T1170" s="30" t="n">
        <f aca="false">ROUND(R1170*SUMIFS(Parametros!$E$23:$E$38,Parametros!$B$23:$B$38,J1170,Parametros!$C$23:$C$38,C1170,Parametros!$D$23:$D$38,D1170),2)</f>
        <v>62.94</v>
      </c>
      <c r="U1170" s="30" t="n">
        <f aca="false">R1170-S1170-T1170</f>
        <v>2283.3</v>
      </c>
    </row>
    <row r="1171" customFormat="false" ht="15" hidden="false" customHeight="false" outlineLevel="0" collapsed="false">
      <c r="A1171" s="0" t="n">
        <v>1170</v>
      </c>
      <c r="B1171" s="27" t="n">
        <v>45636</v>
      </c>
      <c r="C1171" s="0" t="n">
        <v>2024</v>
      </c>
      <c r="D1171" s="28" t="s">
        <v>122</v>
      </c>
      <c r="E1171" s="0" t="n">
        <v>12</v>
      </c>
      <c r="F1171" s="28" t="s">
        <v>127</v>
      </c>
      <c r="G1171" s="28" t="s">
        <v>128</v>
      </c>
      <c r="H1171" s="28" t="s">
        <v>100</v>
      </c>
      <c r="I1171" s="28" t="s">
        <v>101</v>
      </c>
      <c r="J1171" s="28" t="s">
        <v>71</v>
      </c>
      <c r="K1171" s="28" t="s">
        <v>76</v>
      </c>
      <c r="L1171" s="28" t="s">
        <v>77</v>
      </c>
      <c r="M1171" s="28" t="s">
        <v>80</v>
      </c>
      <c r="N1171" s="28" t="s">
        <v>81</v>
      </c>
      <c r="O1171" s="29" t="n">
        <v>19</v>
      </c>
      <c r="P1171" s="30" t="n">
        <v>93.1</v>
      </c>
      <c r="Q1171" s="30" t="n">
        <v>47.98</v>
      </c>
      <c r="R1171" s="30" t="n">
        <f aca="false">ROUND(O1171*P1171,2)</f>
        <v>1768.9</v>
      </c>
      <c r="S1171" s="30" t="n">
        <f aca="false">ROUND(O1171*Q1171,2)</f>
        <v>911.62</v>
      </c>
      <c r="T1171" s="30" t="n">
        <f aca="false">ROUND(R1171*SUMIFS(Parametros!$E$23:$E$38,Parametros!$B$23:$B$38,J1171,Parametros!$C$23:$C$38,C1171,Parametros!$D$23:$D$38,D1171),2)</f>
        <v>84.91</v>
      </c>
      <c r="U1171" s="30" t="n">
        <f aca="false">R1171-S1171-T1171</f>
        <v>772.37</v>
      </c>
    </row>
    <row r="1172" customFormat="false" ht="15" hidden="false" customHeight="false" outlineLevel="0" collapsed="false">
      <c r="A1172" s="0" t="n">
        <v>1171</v>
      </c>
      <c r="B1172" s="27" t="n">
        <v>45643</v>
      </c>
      <c r="C1172" s="0" t="n">
        <v>2024</v>
      </c>
      <c r="D1172" s="28" t="s">
        <v>122</v>
      </c>
      <c r="E1172" s="0" t="n">
        <v>12</v>
      </c>
      <c r="F1172" s="28" t="s">
        <v>127</v>
      </c>
      <c r="G1172" s="28" t="s">
        <v>128</v>
      </c>
      <c r="H1172" s="28" t="s">
        <v>100</v>
      </c>
      <c r="I1172" s="28" t="s">
        <v>101</v>
      </c>
      <c r="J1172" s="28" t="s">
        <v>66</v>
      </c>
      <c r="K1172" s="28" t="s">
        <v>76</v>
      </c>
      <c r="L1172" s="28" t="s">
        <v>77</v>
      </c>
      <c r="M1172" s="28" t="s">
        <v>82</v>
      </c>
      <c r="N1172" s="28" t="s">
        <v>83</v>
      </c>
      <c r="O1172" s="29" t="n">
        <v>40</v>
      </c>
      <c r="P1172" s="30" t="n">
        <v>63.7</v>
      </c>
      <c r="Q1172" s="30" t="n">
        <v>35.43</v>
      </c>
      <c r="R1172" s="30" t="n">
        <f aca="false">ROUND(O1172*P1172,2)</f>
        <v>2548</v>
      </c>
      <c r="S1172" s="30" t="n">
        <f aca="false">ROUND(O1172*Q1172,2)</f>
        <v>1417.2</v>
      </c>
      <c r="T1172" s="30" t="n">
        <f aca="false">ROUND(R1172*SUMIFS(Parametros!$E$23:$E$38,Parametros!$B$23:$B$38,J1172,Parametros!$C$23:$C$38,C1172,Parametros!$D$23:$D$38,D1172),2)</f>
        <v>33.12</v>
      </c>
      <c r="U1172" s="30" t="n">
        <f aca="false">R1172-S1172-T1172</f>
        <v>1097.68</v>
      </c>
    </row>
    <row r="1173" customFormat="false" ht="15" hidden="false" customHeight="false" outlineLevel="0" collapsed="false">
      <c r="A1173" s="0" t="n">
        <v>1172</v>
      </c>
      <c r="B1173" s="27" t="n">
        <v>45650</v>
      </c>
      <c r="C1173" s="0" t="n">
        <v>2024</v>
      </c>
      <c r="D1173" s="28" t="s">
        <v>122</v>
      </c>
      <c r="E1173" s="0" t="n">
        <v>12</v>
      </c>
      <c r="F1173" s="28" t="s">
        <v>127</v>
      </c>
      <c r="G1173" s="28" t="s">
        <v>128</v>
      </c>
      <c r="H1173" s="28" t="s">
        <v>100</v>
      </c>
      <c r="I1173" s="28" t="s">
        <v>101</v>
      </c>
      <c r="J1173" s="28" t="s">
        <v>71</v>
      </c>
      <c r="K1173" s="28" t="s">
        <v>76</v>
      </c>
      <c r="L1173" s="28" t="s">
        <v>77</v>
      </c>
      <c r="M1173" s="28" t="s">
        <v>82</v>
      </c>
      <c r="N1173" s="28" t="s">
        <v>83</v>
      </c>
      <c r="O1173" s="29" t="n">
        <v>15</v>
      </c>
      <c r="P1173" s="30" t="n">
        <v>63.7</v>
      </c>
      <c r="Q1173" s="30" t="n">
        <v>35.43</v>
      </c>
      <c r="R1173" s="30" t="n">
        <f aca="false">ROUND(O1173*P1173,2)</f>
        <v>955.5</v>
      </c>
      <c r="S1173" s="30" t="n">
        <f aca="false">ROUND(O1173*Q1173,2)</f>
        <v>531.45</v>
      </c>
      <c r="T1173" s="30" t="n">
        <f aca="false">ROUND(R1173*SUMIFS(Parametros!$E$23:$E$38,Parametros!$B$23:$B$38,J1173,Parametros!$C$23:$C$38,C1173,Parametros!$D$23:$D$38,D1173),2)</f>
        <v>45.86</v>
      </c>
      <c r="U1173" s="30" t="n">
        <f aca="false">R1173-S1173-T1173</f>
        <v>378.19</v>
      </c>
    </row>
    <row r="1174" customFormat="false" ht="15" hidden="false" customHeight="false" outlineLevel="0" collapsed="false">
      <c r="A1174" s="0" t="n">
        <v>1173</v>
      </c>
      <c r="B1174" s="27" t="n">
        <v>45630</v>
      </c>
      <c r="C1174" s="0" t="n">
        <v>2024</v>
      </c>
      <c r="D1174" s="28" t="s">
        <v>122</v>
      </c>
      <c r="E1174" s="0" t="n">
        <v>12</v>
      </c>
      <c r="F1174" s="28" t="s">
        <v>127</v>
      </c>
      <c r="G1174" s="28" t="s">
        <v>128</v>
      </c>
      <c r="H1174" s="28" t="s">
        <v>100</v>
      </c>
      <c r="I1174" s="28" t="s">
        <v>101</v>
      </c>
      <c r="J1174" s="28" t="s">
        <v>66</v>
      </c>
      <c r="K1174" s="28" t="s">
        <v>84</v>
      </c>
      <c r="L1174" s="28" t="s">
        <v>85</v>
      </c>
      <c r="M1174" s="28" t="s">
        <v>86</v>
      </c>
      <c r="N1174" s="28" t="s">
        <v>87</v>
      </c>
      <c r="O1174" s="29" t="n">
        <v>18</v>
      </c>
      <c r="P1174" s="30" t="n">
        <v>117.6</v>
      </c>
      <c r="Q1174" s="30" t="n">
        <v>63.6</v>
      </c>
      <c r="R1174" s="30" t="n">
        <f aca="false">ROUND(O1174*P1174,2)</f>
        <v>2116.8</v>
      </c>
      <c r="S1174" s="30" t="n">
        <f aca="false">ROUND(O1174*Q1174,2)</f>
        <v>1144.8</v>
      </c>
      <c r="T1174" s="30" t="n">
        <f aca="false">ROUND(R1174*SUMIFS(Parametros!$E$23:$E$38,Parametros!$B$23:$B$38,J1174,Parametros!$C$23:$C$38,C1174,Parametros!$D$23:$D$38,D1174),2)</f>
        <v>27.52</v>
      </c>
      <c r="U1174" s="30" t="n">
        <f aca="false">R1174-S1174-T1174</f>
        <v>944.48</v>
      </c>
    </row>
    <row r="1175" customFormat="false" ht="15" hidden="false" customHeight="false" outlineLevel="0" collapsed="false">
      <c r="A1175" s="0" t="n">
        <v>1174</v>
      </c>
      <c r="B1175" s="27" t="n">
        <v>45637</v>
      </c>
      <c r="C1175" s="0" t="n">
        <v>2024</v>
      </c>
      <c r="D1175" s="28" t="s">
        <v>122</v>
      </c>
      <c r="E1175" s="0" t="n">
        <v>12</v>
      </c>
      <c r="F1175" s="28" t="s">
        <v>127</v>
      </c>
      <c r="G1175" s="28" t="s">
        <v>128</v>
      </c>
      <c r="H1175" s="28" t="s">
        <v>100</v>
      </c>
      <c r="I1175" s="28" t="s">
        <v>101</v>
      </c>
      <c r="J1175" s="28" t="s">
        <v>71</v>
      </c>
      <c r="K1175" s="28" t="s">
        <v>84</v>
      </c>
      <c r="L1175" s="28" t="s">
        <v>85</v>
      </c>
      <c r="M1175" s="28" t="s">
        <v>86</v>
      </c>
      <c r="N1175" s="28" t="s">
        <v>87</v>
      </c>
      <c r="O1175" s="29" t="n">
        <v>8</v>
      </c>
      <c r="P1175" s="30" t="n">
        <v>117.6</v>
      </c>
      <c r="Q1175" s="30" t="n">
        <v>63.6</v>
      </c>
      <c r="R1175" s="30" t="n">
        <f aca="false">ROUND(O1175*P1175,2)</f>
        <v>940.8</v>
      </c>
      <c r="S1175" s="30" t="n">
        <f aca="false">ROUND(O1175*Q1175,2)</f>
        <v>508.8</v>
      </c>
      <c r="T1175" s="30" t="n">
        <f aca="false">ROUND(R1175*SUMIFS(Parametros!$E$23:$E$38,Parametros!$B$23:$B$38,J1175,Parametros!$C$23:$C$38,C1175,Parametros!$D$23:$D$38,D1175),2)</f>
        <v>45.16</v>
      </c>
      <c r="U1175" s="30" t="n">
        <f aca="false">R1175-S1175-T1175</f>
        <v>386.84</v>
      </c>
    </row>
    <row r="1176" customFormat="false" ht="15" hidden="false" customHeight="false" outlineLevel="0" collapsed="false">
      <c r="A1176" s="0" t="n">
        <v>1175</v>
      </c>
      <c r="B1176" s="27" t="n">
        <v>45644</v>
      </c>
      <c r="C1176" s="0" t="n">
        <v>2024</v>
      </c>
      <c r="D1176" s="28" t="s">
        <v>122</v>
      </c>
      <c r="E1176" s="0" t="n">
        <v>12</v>
      </c>
      <c r="F1176" s="28" t="s">
        <v>127</v>
      </c>
      <c r="G1176" s="28" t="s">
        <v>128</v>
      </c>
      <c r="H1176" s="28" t="s">
        <v>100</v>
      </c>
      <c r="I1176" s="28" t="s">
        <v>101</v>
      </c>
      <c r="J1176" s="28" t="s">
        <v>66</v>
      </c>
      <c r="K1176" s="28" t="s">
        <v>84</v>
      </c>
      <c r="L1176" s="28" t="s">
        <v>85</v>
      </c>
      <c r="M1176" s="28" t="s">
        <v>88</v>
      </c>
      <c r="N1176" s="28" t="s">
        <v>89</v>
      </c>
      <c r="O1176" s="29" t="n">
        <v>21</v>
      </c>
      <c r="P1176" s="30" t="n">
        <v>83.3</v>
      </c>
      <c r="Q1176" s="30" t="n">
        <v>48.02</v>
      </c>
      <c r="R1176" s="30" t="n">
        <f aca="false">ROUND(O1176*P1176,2)</f>
        <v>1749.3</v>
      </c>
      <c r="S1176" s="30" t="n">
        <f aca="false">ROUND(O1176*Q1176,2)</f>
        <v>1008.42</v>
      </c>
      <c r="T1176" s="30" t="n">
        <f aca="false">ROUND(R1176*SUMIFS(Parametros!$E$23:$E$38,Parametros!$B$23:$B$38,J1176,Parametros!$C$23:$C$38,C1176,Parametros!$D$23:$D$38,D1176),2)</f>
        <v>22.74</v>
      </c>
      <c r="U1176" s="30" t="n">
        <f aca="false">R1176-S1176-T1176</f>
        <v>718.14</v>
      </c>
    </row>
    <row r="1177" customFormat="false" ht="15" hidden="false" customHeight="false" outlineLevel="0" collapsed="false">
      <c r="A1177" s="0" t="n">
        <v>1176</v>
      </c>
      <c r="B1177" s="27" t="n">
        <v>45651</v>
      </c>
      <c r="C1177" s="0" t="n">
        <v>2024</v>
      </c>
      <c r="D1177" s="28" t="s">
        <v>122</v>
      </c>
      <c r="E1177" s="0" t="n">
        <v>12</v>
      </c>
      <c r="F1177" s="28" t="s">
        <v>127</v>
      </c>
      <c r="G1177" s="28" t="s">
        <v>128</v>
      </c>
      <c r="H1177" s="28" t="s">
        <v>100</v>
      </c>
      <c r="I1177" s="28" t="s">
        <v>101</v>
      </c>
      <c r="J1177" s="28" t="s">
        <v>71</v>
      </c>
      <c r="K1177" s="28" t="s">
        <v>84</v>
      </c>
      <c r="L1177" s="28" t="s">
        <v>85</v>
      </c>
      <c r="M1177" s="28" t="s">
        <v>88</v>
      </c>
      <c r="N1177" s="28" t="s">
        <v>89</v>
      </c>
      <c r="O1177" s="29" t="n">
        <v>9</v>
      </c>
      <c r="P1177" s="30" t="n">
        <v>83.3</v>
      </c>
      <c r="Q1177" s="30" t="n">
        <v>48.02</v>
      </c>
      <c r="R1177" s="30" t="n">
        <f aca="false">ROUND(O1177*P1177,2)</f>
        <v>749.7</v>
      </c>
      <c r="S1177" s="30" t="n">
        <f aca="false">ROUND(O1177*Q1177,2)</f>
        <v>432.18</v>
      </c>
      <c r="T1177" s="30" t="n">
        <f aca="false">ROUND(R1177*SUMIFS(Parametros!$E$23:$E$38,Parametros!$B$23:$B$38,J1177,Parametros!$C$23:$C$38,C1177,Parametros!$D$23:$D$38,D1177),2)</f>
        <v>35.99</v>
      </c>
      <c r="U1177" s="30" t="n">
        <f aca="false">R1177-S1177-T1177</f>
        <v>281.53</v>
      </c>
    </row>
    <row r="1178" customFormat="false" ht="15" hidden="false" customHeight="false" outlineLevel="0" collapsed="false">
      <c r="A1178" s="0" t="n">
        <v>1177</v>
      </c>
      <c r="B1178" s="27" t="n">
        <v>45631</v>
      </c>
      <c r="C1178" s="0" t="n">
        <v>2024</v>
      </c>
      <c r="D1178" s="28" t="s">
        <v>122</v>
      </c>
      <c r="E1178" s="0" t="n">
        <v>12</v>
      </c>
      <c r="F1178" s="28" t="s">
        <v>127</v>
      </c>
      <c r="G1178" s="28" t="s">
        <v>128</v>
      </c>
      <c r="H1178" s="28" t="s">
        <v>100</v>
      </c>
      <c r="I1178" s="28" t="s">
        <v>101</v>
      </c>
      <c r="J1178" s="28" t="s">
        <v>66</v>
      </c>
      <c r="K1178" s="28" t="s">
        <v>90</v>
      </c>
      <c r="L1178" s="28" t="s">
        <v>91</v>
      </c>
      <c r="M1178" s="28" t="s">
        <v>92</v>
      </c>
      <c r="N1178" s="28" t="s">
        <v>93</v>
      </c>
      <c r="O1178" s="29" t="n">
        <v>30</v>
      </c>
      <c r="P1178" s="30" t="n">
        <v>127.4</v>
      </c>
      <c r="Q1178" s="30" t="n">
        <v>76.05</v>
      </c>
      <c r="R1178" s="30" t="n">
        <f aca="false">ROUND(O1178*P1178,2)</f>
        <v>3822</v>
      </c>
      <c r="S1178" s="30" t="n">
        <f aca="false">ROUND(O1178*Q1178,2)</f>
        <v>2281.5</v>
      </c>
      <c r="T1178" s="30" t="n">
        <f aca="false">ROUND(R1178*SUMIFS(Parametros!$E$23:$E$38,Parametros!$B$23:$B$38,J1178,Parametros!$C$23:$C$38,C1178,Parametros!$D$23:$D$38,D1178),2)</f>
        <v>49.69</v>
      </c>
      <c r="U1178" s="30" t="n">
        <f aca="false">R1178-S1178-T1178</f>
        <v>1490.81</v>
      </c>
    </row>
    <row r="1179" customFormat="false" ht="15" hidden="false" customHeight="false" outlineLevel="0" collapsed="false">
      <c r="A1179" s="0" t="n">
        <v>1178</v>
      </c>
      <c r="B1179" s="27" t="n">
        <v>45638</v>
      </c>
      <c r="C1179" s="0" t="n">
        <v>2024</v>
      </c>
      <c r="D1179" s="28" t="s">
        <v>122</v>
      </c>
      <c r="E1179" s="0" t="n">
        <v>12</v>
      </c>
      <c r="F1179" s="28" t="s">
        <v>127</v>
      </c>
      <c r="G1179" s="28" t="s">
        <v>128</v>
      </c>
      <c r="H1179" s="28" t="s">
        <v>100</v>
      </c>
      <c r="I1179" s="28" t="s">
        <v>101</v>
      </c>
      <c r="J1179" s="28" t="s">
        <v>71</v>
      </c>
      <c r="K1179" s="28" t="s">
        <v>90</v>
      </c>
      <c r="L1179" s="28" t="s">
        <v>91</v>
      </c>
      <c r="M1179" s="28" t="s">
        <v>92</v>
      </c>
      <c r="N1179" s="28" t="s">
        <v>93</v>
      </c>
      <c r="O1179" s="29" t="n">
        <v>12</v>
      </c>
      <c r="P1179" s="30" t="n">
        <v>127.4</v>
      </c>
      <c r="Q1179" s="30" t="n">
        <v>76.05</v>
      </c>
      <c r="R1179" s="30" t="n">
        <f aca="false">ROUND(O1179*P1179,2)</f>
        <v>1528.8</v>
      </c>
      <c r="S1179" s="30" t="n">
        <f aca="false">ROUND(O1179*Q1179,2)</f>
        <v>912.6</v>
      </c>
      <c r="T1179" s="30" t="n">
        <f aca="false">ROUND(R1179*SUMIFS(Parametros!$E$23:$E$38,Parametros!$B$23:$B$38,J1179,Parametros!$C$23:$C$38,C1179,Parametros!$D$23:$D$38,D1179),2)</f>
        <v>73.38</v>
      </c>
      <c r="U1179" s="30" t="n">
        <f aca="false">R1179-S1179-T1179</f>
        <v>542.82</v>
      </c>
    </row>
    <row r="1180" customFormat="false" ht="15" hidden="false" customHeight="false" outlineLevel="0" collapsed="false">
      <c r="A1180" s="0" t="n">
        <v>1179</v>
      </c>
      <c r="B1180" s="27" t="n">
        <v>45645</v>
      </c>
      <c r="C1180" s="0" t="n">
        <v>2024</v>
      </c>
      <c r="D1180" s="28" t="s">
        <v>122</v>
      </c>
      <c r="E1180" s="0" t="n">
        <v>12</v>
      </c>
      <c r="F1180" s="28" t="s">
        <v>127</v>
      </c>
      <c r="G1180" s="28" t="s">
        <v>128</v>
      </c>
      <c r="H1180" s="28" t="s">
        <v>100</v>
      </c>
      <c r="I1180" s="28" t="s">
        <v>101</v>
      </c>
      <c r="J1180" s="28" t="s">
        <v>66</v>
      </c>
      <c r="K1180" s="28" t="s">
        <v>90</v>
      </c>
      <c r="L1180" s="28" t="s">
        <v>91</v>
      </c>
      <c r="M1180" s="28" t="s">
        <v>94</v>
      </c>
      <c r="N1180" s="28" t="s">
        <v>95</v>
      </c>
      <c r="O1180" s="29" t="n">
        <v>25</v>
      </c>
      <c r="P1180" s="30" t="n">
        <v>34.3</v>
      </c>
      <c r="Q1180" s="30" t="n">
        <v>17.85</v>
      </c>
      <c r="R1180" s="30" t="n">
        <f aca="false">ROUND(O1180*P1180,2)</f>
        <v>857.5</v>
      </c>
      <c r="S1180" s="30" t="n">
        <f aca="false">ROUND(O1180*Q1180,2)</f>
        <v>446.25</v>
      </c>
      <c r="T1180" s="30" t="n">
        <f aca="false">ROUND(R1180*SUMIFS(Parametros!$E$23:$E$38,Parametros!$B$23:$B$38,J1180,Parametros!$C$23:$C$38,C1180,Parametros!$D$23:$D$38,D1180),2)</f>
        <v>11.15</v>
      </c>
      <c r="U1180" s="30" t="n">
        <f aca="false">R1180-S1180-T1180</f>
        <v>400.1</v>
      </c>
    </row>
    <row r="1181" customFormat="false" ht="15" hidden="false" customHeight="false" outlineLevel="0" collapsed="false">
      <c r="A1181" s="0" t="n">
        <v>1180</v>
      </c>
      <c r="B1181" s="27" t="n">
        <v>45652</v>
      </c>
      <c r="C1181" s="0" t="n">
        <v>2024</v>
      </c>
      <c r="D1181" s="28" t="s">
        <v>122</v>
      </c>
      <c r="E1181" s="0" t="n">
        <v>12</v>
      </c>
      <c r="F1181" s="28" t="s">
        <v>127</v>
      </c>
      <c r="G1181" s="28" t="s">
        <v>128</v>
      </c>
      <c r="H1181" s="28" t="s">
        <v>100</v>
      </c>
      <c r="I1181" s="28" t="s">
        <v>101</v>
      </c>
      <c r="J1181" s="28" t="s">
        <v>71</v>
      </c>
      <c r="K1181" s="28" t="s">
        <v>90</v>
      </c>
      <c r="L1181" s="28" t="s">
        <v>91</v>
      </c>
      <c r="M1181" s="28" t="s">
        <v>94</v>
      </c>
      <c r="N1181" s="28" t="s">
        <v>95</v>
      </c>
      <c r="O1181" s="29" t="n">
        <v>9</v>
      </c>
      <c r="P1181" s="30" t="n">
        <v>34.3</v>
      </c>
      <c r="Q1181" s="30" t="n">
        <v>17.85</v>
      </c>
      <c r="R1181" s="30" t="n">
        <f aca="false">ROUND(O1181*P1181,2)</f>
        <v>308.7</v>
      </c>
      <c r="S1181" s="30" t="n">
        <f aca="false">ROUND(O1181*Q1181,2)</f>
        <v>160.65</v>
      </c>
      <c r="T1181" s="30" t="n">
        <f aca="false">ROUND(R1181*SUMIFS(Parametros!$E$23:$E$38,Parametros!$B$23:$B$38,J1181,Parametros!$C$23:$C$38,C1181,Parametros!$D$23:$D$38,D1181),2)</f>
        <v>14.82</v>
      </c>
      <c r="U1181" s="30" t="n">
        <f aca="false">R1181-S1181-T1181</f>
        <v>133.23</v>
      </c>
    </row>
    <row r="1182" customFormat="false" ht="15" hidden="false" customHeight="false" outlineLevel="0" collapsed="false">
      <c r="A1182" s="0" t="n">
        <v>1181</v>
      </c>
      <c r="B1182" s="27" t="n">
        <v>45632</v>
      </c>
      <c r="C1182" s="0" t="n">
        <v>2024</v>
      </c>
      <c r="D1182" s="28" t="s">
        <v>122</v>
      </c>
      <c r="E1182" s="0" t="n">
        <v>12</v>
      </c>
      <c r="F1182" s="28" t="s">
        <v>127</v>
      </c>
      <c r="G1182" s="28" t="s">
        <v>128</v>
      </c>
      <c r="H1182" s="28" t="s">
        <v>102</v>
      </c>
      <c r="I1182" s="28" t="s">
        <v>103</v>
      </c>
      <c r="J1182" s="28" t="s">
        <v>66</v>
      </c>
      <c r="K1182" s="28" t="s">
        <v>67</v>
      </c>
      <c r="L1182" s="28" t="s">
        <v>68</v>
      </c>
      <c r="M1182" s="28" t="s">
        <v>69</v>
      </c>
      <c r="N1182" s="28" t="s">
        <v>70</v>
      </c>
      <c r="O1182" s="29" t="n">
        <v>11</v>
      </c>
      <c r="P1182" s="30" t="n">
        <v>1176</v>
      </c>
      <c r="Q1182" s="30" t="n">
        <v>744</v>
      </c>
      <c r="R1182" s="30" t="n">
        <f aca="false">ROUND(O1182*P1182,2)</f>
        <v>12936</v>
      </c>
      <c r="S1182" s="30" t="n">
        <f aca="false">ROUND(O1182*Q1182,2)</f>
        <v>8184</v>
      </c>
      <c r="T1182" s="30" t="n">
        <f aca="false">ROUND(R1182*SUMIFS(Parametros!$E$23:$E$38,Parametros!$B$23:$B$38,J1182,Parametros!$C$23:$C$38,C1182,Parametros!$D$23:$D$38,D1182),2)</f>
        <v>168.17</v>
      </c>
      <c r="U1182" s="30" t="n">
        <f aca="false">R1182-S1182-T1182</f>
        <v>4583.83</v>
      </c>
    </row>
    <row r="1183" customFormat="false" ht="15" hidden="false" customHeight="false" outlineLevel="0" collapsed="false">
      <c r="A1183" s="0" t="n">
        <v>1182</v>
      </c>
      <c r="B1183" s="27" t="n">
        <v>45639</v>
      </c>
      <c r="C1183" s="0" t="n">
        <v>2024</v>
      </c>
      <c r="D1183" s="28" t="s">
        <v>122</v>
      </c>
      <c r="E1183" s="0" t="n">
        <v>12</v>
      </c>
      <c r="F1183" s="28" t="s">
        <v>127</v>
      </c>
      <c r="G1183" s="28" t="s">
        <v>128</v>
      </c>
      <c r="H1183" s="28" t="s">
        <v>102</v>
      </c>
      <c r="I1183" s="28" t="s">
        <v>103</v>
      </c>
      <c r="J1183" s="28" t="s">
        <v>71</v>
      </c>
      <c r="K1183" s="28" t="s">
        <v>67</v>
      </c>
      <c r="L1183" s="28" t="s">
        <v>68</v>
      </c>
      <c r="M1183" s="28" t="s">
        <v>69</v>
      </c>
      <c r="N1183" s="28" t="s">
        <v>70</v>
      </c>
      <c r="O1183" s="29" t="n">
        <v>4</v>
      </c>
      <c r="P1183" s="30" t="n">
        <v>1176</v>
      </c>
      <c r="Q1183" s="30" t="n">
        <v>744</v>
      </c>
      <c r="R1183" s="30" t="n">
        <f aca="false">ROUND(O1183*P1183,2)</f>
        <v>4704</v>
      </c>
      <c r="S1183" s="30" t="n">
        <f aca="false">ROUND(O1183*Q1183,2)</f>
        <v>2976</v>
      </c>
      <c r="T1183" s="30" t="n">
        <f aca="false">ROUND(R1183*SUMIFS(Parametros!$E$23:$E$38,Parametros!$B$23:$B$38,J1183,Parametros!$C$23:$C$38,C1183,Parametros!$D$23:$D$38,D1183),2)</f>
        <v>225.79</v>
      </c>
      <c r="U1183" s="30" t="n">
        <f aca="false">R1183-S1183-T1183</f>
        <v>1502.21</v>
      </c>
    </row>
    <row r="1184" customFormat="false" ht="15" hidden="false" customHeight="false" outlineLevel="0" collapsed="false">
      <c r="A1184" s="0" t="n">
        <v>1183</v>
      </c>
      <c r="B1184" s="27" t="n">
        <v>45646</v>
      </c>
      <c r="C1184" s="0" t="n">
        <v>2024</v>
      </c>
      <c r="D1184" s="28" t="s">
        <v>122</v>
      </c>
      <c r="E1184" s="0" t="n">
        <v>12</v>
      </c>
      <c r="F1184" s="28" t="s">
        <v>127</v>
      </c>
      <c r="G1184" s="28" t="s">
        <v>128</v>
      </c>
      <c r="H1184" s="28" t="s">
        <v>102</v>
      </c>
      <c r="I1184" s="28" t="s">
        <v>103</v>
      </c>
      <c r="J1184" s="28" t="s">
        <v>66</v>
      </c>
      <c r="K1184" s="28" t="s">
        <v>67</v>
      </c>
      <c r="L1184" s="28" t="s">
        <v>68</v>
      </c>
      <c r="M1184" s="28" t="s">
        <v>72</v>
      </c>
      <c r="N1184" s="28" t="s">
        <v>73</v>
      </c>
      <c r="O1184" s="29" t="n">
        <v>9</v>
      </c>
      <c r="P1184" s="30" t="n">
        <v>441</v>
      </c>
      <c r="Q1184" s="30" t="n">
        <v>272.25</v>
      </c>
      <c r="R1184" s="30" t="n">
        <f aca="false">ROUND(O1184*P1184,2)</f>
        <v>3969</v>
      </c>
      <c r="S1184" s="30" t="n">
        <f aca="false">ROUND(O1184*Q1184,2)</f>
        <v>2450.25</v>
      </c>
      <c r="T1184" s="30" t="n">
        <f aca="false">ROUND(R1184*SUMIFS(Parametros!$E$23:$E$38,Parametros!$B$23:$B$38,J1184,Parametros!$C$23:$C$38,C1184,Parametros!$D$23:$D$38,D1184),2)</f>
        <v>51.6</v>
      </c>
      <c r="U1184" s="30" t="n">
        <f aca="false">R1184-S1184-T1184</f>
        <v>1467.15</v>
      </c>
    </row>
    <row r="1185" customFormat="false" ht="15" hidden="false" customHeight="false" outlineLevel="0" collapsed="false">
      <c r="A1185" s="0" t="n">
        <v>1184</v>
      </c>
      <c r="B1185" s="27" t="n">
        <v>45653</v>
      </c>
      <c r="C1185" s="0" t="n">
        <v>2024</v>
      </c>
      <c r="D1185" s="28" t="s">
        <v>122</v>
      </c>
      <c r="E1185" s="0" t="n">
        <v>12</v>
      </c>
      <c r="F1185" s="28" t="s">
        <v>127</v>
      </c>
      <c r="G1185" s="28" t="s">
        <v>128</v>
      </c>
      <c r="H1185" s="28" t="s">
        <v>102</v>
      </c>
      <c r="I1185" s="28" t="s">
        <v>103</v>
      </c>
      <c r="J1185" s="28" t="s">
        <v>71</v>
      </c>
      <c r="K1185" s="28" t="s">
        <v>67</v>
      </c>
      <c r="L1185" s="28" t="s">
        <v>68</v>
      </c>
      <c r="M1185" s="28" t="s">
        <v>72</v>
      </c>
      <c r="N1185" s="28" t="s">
        <v>73</v>
      </c>
      <c r="O1185" s="29" t="n">
        <v>3</v>
      </c>
      <c r="P1185" s="30" t="n">
        <v>441</v>
      </c>
      <c r="Q1185" s="30" t="n">
        <v>272.25</v>
      </c>
      <c r="R1185" s="30" t="n">
        <f aca="false">ROUND(O1185*P1185,2)</f>
        <v>1323</v>
      </c>
      <c r="S1185" s="30" t="n">
        <f aca="false">ROUND(O1185*Q1185,2)</f>
        <v>816.75</v>
      </c>
      <c r="T1185" s="30" t="n">
        <f aca="false">ROUND(R1185*SUMIFS(Parametros!$E$23:$E$38,Parametros!$B$23:$B$38,J1185,Parametros!$C$23:$C$38,C1185,Parametros!$D$23:$D$38,D1185),2)</f>
        <v>63.5</v>
      </c>
      <c r="U1185" s="30" t="n">
        <f aca="false">R1185-S1185-T1185</f>
        <v>442.75</v>
      </c>
    </row>
    <row r="1186" customFormat="false" ht="15" hidden="false" customHeight="false" outlineLevel="0" collapsed="false">
      <c r="A1186" s="0" t="n">
        <v>1185</v>
      </c>
      <c r="B1186" s="27" t="n">
        <v>45633</v>
      </c>
      <c r="C1186" s="0" t="n">
        <v>2024</v>
      </c>
      <c r="D1186" s="28" t="s">
        <v>122</v>
      </c>
      <c r="E1186" s="0" t="n">
        <v>12</v>
      </c>
      <c r="F1186" s="28" t="s">
        <v>127</v>
      </c>
      <c r="G1186" s="28" t="s">
        <v>128</v>
      </c>
      <c r="H1186" s="28" t="s">
        <v>102</v>
      </c>
      <c r="I1186" s="28" t="s">
        <v>103</v>
      </c>
      <c r="J1186" s="28" t="s">
        <v>66</v>
      </c>
      <c r="K1186" s="28" t="s">
        <v>67</v>
      </c>
      <c r="L1186" s="28" t="s">
        <v>68</v>
      </c>
      <c r="M1186" s="28" t="s">
        <v>74</v>
      </c>
      <c r="N1186" s="28" t="s">
        <v>75</v>
      </c>
      <c r="O1186" s="29" t="n">
        <v>9</v>
      </c>
      <c r="P1186" s="30" t="n">
        <v>1617</v>
      </c>
      <c r="Q1186" s="30" t="n">
        <v>1122</v>
      </c>
      <c r="R1186" s="30" t="n">
        <f aca="false">ROUND(O1186*P1186,2)</f>
        <v>14553</v>
      </c>
      <c r="S1186" s="30" t="n">
        <f aca="false">ROUND(O1186*Q1186,2)</f>
        <v>10098</v>
      </c>
      <c r="T1186" s="30" t="n">
        <f aca="false">ROUND(R1186*SUMIFS(Parametros!$E$23:$E$38,Parametros!$B$23:$B$38,J1186,Parametros!$C$23:$C$38,C1186,Parametros!$D$23:$D$38,D1186),2)</f>
        <v>189.19</v>
      </c>
      <c r="U1186" s="30" t="n">
        <f aca="false">R1186-S1186-T1186</f>
        <v>4265.81</v>
      </c>
    </row>
    <row r="1187" customFormat="false" ht="15" hidden="false" customHeight="false" outlineLevel="0" collapsed="false">
      <c r="A1187" s="0" t="n">
        <v>1186</v>
      </c>
      <c r="B1187" s="27" t="n">
        <v>45640</v>
      </c>
      <c r="C1187" s="0" t="n">
        <v>2024</v>
      </c>
      <c r="D1187" s="28" t="s">
        <v>122</v>
      </c>
      <c r="E1187" s="0" t="n">
        <v>12</v>
      </c>
      <c r="F1187" s="28" t="s">
        <v>127</v>
      </c>
      <c r="G1187" s="28" t="s">
        <v>128</v>
      </c>
      <c r="H1187" s="28" t="s">
        <v>102</v>
      </c>
      <c r="I1187" s="28" t="s">
        <v>103</v>
      </c>
      <c r="J1187" s="28" t="s">
        <v>71</v>
      </c>
      <c r="K1187" s="28" t="s">
        <v>67</v>
      </c>
      <c r="L1187" s="28" t="s">
        <v>68</v>
      </c>
      <c r="M1187" s="28" t="s">
        <v>74</v>
      </c>
      <c r="N1187" s="28" t="s">
        <v>75</v>
      </c>
      <c r="O1187" s="29" t="n">
        <v>4</v>
      </c>
      <c r="P1187" s="30" t="n">
        <v>1617</v>
      </c>
      <c r="Q1187" s="30" t="n">
        <v>1122</v>
      </c>
      <c r="R1187" s="30" t="n">
        <f aca="false">ROUND(O1187*P1187,2)</f>
        <v>6468</v>
      </c>
      <c r="S1187" s="30" t="n">
        <f aca="false">ROUND(O1187*Q1187,2)</f>
        <v>4488</v>
      </c>
      <c r="T1187" s="30" t="n">
        <f aca="false">ROUND(R1187*SUMIFS(Parametros!$E$23:$E$38,Parametros!$B$23:$B$38,J1187,Parametros!$C$23:$C$38,C1187,Parametros!$D$23:$D$38,D1187),2)</f>
        <v>310.46</v>
      </c>
      <c r="U1187" s="30" t="n">
        <f aca="false">R1187-S1187-T1187</f>
        <v>1669.54</v>
      </c>
    </row>
    <row r="1188" customFormat="false" ht="15" hidden="false" customHeight="false" outlineLevel="0" collapsed="false">
      <c r="A1188" s="0" t="n">
        <v>1187</v>
      </c>
      <c r="B1188" s="27" t="n">
        <v>45647</v>
      </c>
      <c r="C1188" s="0" t="n">
        <v>2024</v>
      </c>
      <c r="D1188" s="28" t="s">
        <v>122</v>
      </c>
      <c r="E1188" s="0" t="n">
        <v>12</v>
      </c>
      <c r="F1188" s="28" t="s">
        <v>127</v>
      </c>
      <c r="G1188" s="28" t="s">
        <v>128</v>
      </c>
      <c r="H1188" s="28" t="s">
        <v>102</v>
      </c>
      <c r="I1188" s="28" t="s">
        <v>103</v>
      </c>
      <c r="J1188" s="28" t="s">
        <v>66</v>
      </c>
      <c r="K1188" s="28" t="s">
        <v>76</v>
      </c>
      <c r="L1188" s="28" t="s">
        <v>77</v>
      </c>
      <c r="M1188" s="28" t="s">
        <v>78</v>
      </c>
      <c r="N1188" s="28" t="s">
        <v>79</v>
      </c>
      <c r="O1188" s="29" t="n">
        <v>42</v>
      </c>
      <c r="P1188" s="30" t="n">
        <v>27.44</v>
      </c>
      <c r="Q1188" s="30" t="n">
        <v>13.44</v>
      </c>
      <c r="R1188" s="30" t="n">
        <f aca="false">ROUND(O1188*P1188,2)</f>
        <v>1152.48</v>
      </c>
      <c r="S1188" s="30" t="n">
        <f aca="false">ROUND(O1188*Q1188,2)</f>
        <v>564.48</v>
      </c>
      <c r="T1188" s="30" t="n">
        <f aca="false">ROUND(R1188*SUMIFS(Parametros!$E$23:$E$38,Parametros!$B$23:$B$38,J1188,Parametros!$C$23:$C$38,C1188,Parametros!$D$23:$D$38,D1188),2)</f>
        <v>14.98</v>
      </c>
      <c r="U1188" s="30" t="n">
        <f aca="false">R1188-S1188-T1188</f>
        <v>573.02</v>
      </c>
    </row>
    <row r="1189" customFormat="false" ht="15" hidden="false" customHeight="false" outlineLevel="0" collapsed="false">
      <c r="A1189" s="0" t="n">
        <v>1188</v>
      </c>
      <c r="B1189" s="27" t="n">
        <v>45627</v>
      </c>
      <c r="C1189" s="0" t="n">
        <v>2024</v>
      </c>
      <c r="D1189" s="28" t="s">
        <v>122</v>
      </c>
      <c r="E1189" s="0" t="n">
        <v>12</v>
      </c>
      <c r="F1189" s="28" t="s">
        <v>127</v>
      </c>
      <c r="G1189" s="28" t="s">
        <v>128</v>
      </c>
      <c r="H1189" s="28" t="s">
        <v>102</v>
      </c>
      <c r="I1189" s="28" t="s">
        <v>103</v>
      </c>
      <c r="J1189" s="28" t="s">
        <v>71</v>
      </c>
      <c r="K1189" s="28" t="s">
        <v>76</v>
      </c>
      <c r="L1189" s="28" t="s">
        <v>77</v>
      </c>
      <c r="M1189" s="28" t="s">
        <v>78</v>
      </c>
      <c r="N1189" s="28" t="s">
        <v>79</v>
      </c>
      <c r="O1189" s="29" t="n">
        <v>19</v>
      </c>
      <c r="P1189" s="30" t="n">
        <v>27.44</v>
      </c>
      <c r="Q1189" s="30" t="n">
        <v>13.44</v>
      </c>
      <c r="R1189" s="30" t="n">
        <f aca="false">ROUND(O1189*P1189,2)</f>
        <v>521.36</v>
      </c>
      <c r="S1189" s="30" t="n">
        <f aca="false">ROUND(O1189*Q1189,2)</f>
        <v>255.36</v>
      </c>
      <c r="T1189" s="30" t="n">
        <f aca="false">ROUND(R1189*SUMIFS(Parametros!$E$23:$E$38,Parametros!$B$23:$B$38,J1189,Parametros!$C$23:$C$38,C1189,Parametros!$D$23:$D$38,D1189),2)</f>
        <v>25.03</v>
      </c>
      <c r="U1189" s="30" t="n">
        <f aca="false">R1189-S1189-T1189</f>
        <v>240.97</v>
      </c>
    </row>
    <row r="1190" customFormat="false" ht="15" hidden="false" customHeight="false" outlineLevel="0" collapsed="false">
      <c r="A1190" s="0" t="n">
        <v>1189</v>
      </c>
      <c r="B1190" s="27" t="n">
        <v>45634</v>
      </c>
      <c r="C1190" s="0" t="n">
        <v>2024</v>
      </c>
      <c r="D1190" s="28" t="s">
        <v>122</v>
      </c>
      <c r="E1190" s="0" t="n">
        <v>12</v>
      </c>
      <c r="F1190" s="28" t="s">
        <v>127</v>
      </c>
      <c r="G1190" s="28" t="s">
        <v>128</v>
      </c>
      <c r="H1190" s="28" t="s">
        <v>102</v>
      </c>
      <c r="I1190" s="28" t="s">
        <v>103</v>
      </c>
      <c r="J1190" s="28" t="s">
        <v>66</v>
      </c>
      <c r="K1190" s="28" t="s">
        <v>76</v>
      </c>
      <c r="L1190" s="28" t="s">
        <v>77</v>
      </c>
      <c r="M1190" s="28" t="s">
        <v>80</v>
      </c>
      <c r="N1190" s="28" t="s">
        <v>81</v>
      </c>
      <c r="O1190" s="29" t="n">
        <v>52</v>
      </c>
      <c r="P1190" s="30" t="n">
        <v>93.1</v>
      </c>
      <c r="Q1190" s="30" t="n">
        <v>47.98</v>
      </c>
      <c r="R1190" s="30" t="n">
        <f aca="false">ROUND(O1190*P1190,2)</f>
        <v>4841.2</v>
      </c>
      <c r="S1190" s="30" t="n">
        <f aca="false">ROUND(O1190*Q1190,2)</f>
        <v>2494.96</v>
      </c>
      <c r="T1190" s="30" t="n">
        <f aca="false">ROUND(R1190*SUMIFS(Parametros!$E$23:$E$38,Parametros!$B$23:$B$38,J1190,Parametros!$C$23:$C$38,C1190,Parametros!$D$23:$D$38,D1190),2)</f>
        <v>62.94</v>
      </c>
      <c r="U1190" s="30" t="n">
        <f aca="false">R1190-S1190-T1190</f>
        <v>2283.3</v>
      </c>
    </row>
    <row r="1191" customFormat="false" ht="15" hidden="false" customHeight="false" outlineLevel="0" collapsed="false">
      <c r="A1191" s="0" t="n">
        <v>1190</v>
      </c>
      <c r="B1191" s="27" t="n">
        <v>45641</v>
      </c>
      <c r="C1191" s="0" t="n">
        <v>2024</v>
      </c>
      <c r="D1191" s="28" t="s">
        <v>122</v>
      </c>
      <c r="E1191" s="0" t="n">
        <v>12</v>
      </c>
      <c r="F1191" s="28" t="s">
        <v>127</v>
      </c>
      <c r="G1191" s="28" t="s">
        <v>128</v>
      </c>
      <c r="H1191" s="28" t="s">
        <v>102</v>
      </c>
      <c r="I1191" s="28" t="s">
        <v>103</v>
      </c>
      <c r="J1191" s="28" t="s">
        <v>71</v>
      </c>
      <c r="K1191" s="28" t="s">
        <v>76</v>
      </c>
      <c r="L1191" s="28" t="s">
        <v>77</v>
      </c>
      <c r="M1191" s="28" t="s">
        <v>80</v>
      </c>
      <c r="N1191" s="28" t="s">
        <v>81</v>
      </c>
      <c r="O1191" s="29" t="n">
        <v>15</v>
      </c>
      <c r="P1191" s="30" t="n">
        <v>93.1</v>
      </c>
      <c r="Q1191" s="30" t="n">
        <v>47.98</v>
      </c>
      <c r="R1191" s="30" t="n">
        <f aca="false">ROUND(O1191*P1191,2)</f>
        <v>1396.5</v>
      </c>
      <c r="S1191" s="30" t="n">
        <f aca="false">ROUND(O1191*Q1191,2)</f>
        <v>719.7</v>
      </c>
      <c r="T1191" s="30" t="n">
        <f aca="false">ROUND(R1191*SUMIFS(Parametros!$E$23:$E$38,Parametros!$B$23:$B$38,J1191,Parametros!$C$23:$C$38,C1191,Parametros!$D$23:$D$38,D1191),2)</f>
        <v>67.03</v>
      </c>
      <c r="U1191" s="30" t="n">
        <f aca="false">R1191-S1191-T1191</f>
        <v>609.77</v>
      </c>
    </row>
    <row r="1192" customFormat="false" ht="15" hidden="false" customHeight="false" outlineLevel="0" collapsed="false">
      <c r="A1192" s="0" t="n">
        <v>1191</v>
      </c>
      <c r="B1192" s="27" t="n">
        <v>45648</v>
      </c>
      <c r="C1192" s="0" t="n">
        <v>2024</v>
      </c>
      <c r="D1192" s="28" t="s">
        <v>122</v>
      </c>
      <c r="E1192" s="0" t="n">
        <v>12</v>
      </c>
      <c r="F1192" s="28" t="s">
        <v>127</v>
      </c>
      <c r="G1192" s="28" t="s">
        <v>128</v>
      </c>
      <c r="H1192" s="28" t="s">
        <v>102</v>
      </c>
      <c r="I1192" s="28" t="s">
        <v>103</v>
      </c>
      <c r="J1192" s="28" t="s">
        <v>66</v>
      </c>
      <c r="K1192" s="28" t="s">
        <v>76</v>
      </c>
      <c r="L1192" s="28" t="s">
        <v>77</v>
      </c>
      <c r="M1192" s="28" t="s">
        <v>82</v>
      </c>
      <c r="N1192" s="28" t="s">
        <v>83</v>
      </c>
      <c r="O1192" s="29" t="n">
        <v>53</v>
      </c>
      <c r="P1192" s="30" t="n">
        <v>63.7</v>
      </c>
      <c r="Q1192" s="30" t="n">
        <v>35.43</v>
      </c>
      <c r="R1192" s="30" t="n">
        <f aca="false">ROUND(O1192*P1192,2)</f>
        <v>3376.1</v>
      </c>
      <c r="S1192" s="30" t="n">
        <f aca="false">ROUND(O1192*Q1192,2)</f>
        <v>1877.79</v>
      </c>
      <c r="T1192" s="30" t="n">
        <f aca="false">ROUND(R1192*SUMIFS(Parametros!$E$23:$E$38,Parametros!$B$23:$B$38,J1192,Parametros!$C$23:$C$38,C1192,Parametros!$D$23:$D$38,D1192),2)</f>
        <v>43.89</v>
      </c>
      <c r="U1192" s="30" t="n">
        <f aca="false">R1192-S1192-T1192</f>
        <v>1454.42</v>
      </c>
    </row>
    <row r="1193" customFormat="false" ht="15" hidden="false" customHeight="false" outlineLevel="0" collapsed="false">
      <c r="A1193" s="0" t="n">
        <v>1192</v>
      </c>
      <c r="B1193" s="27" t="n">
        <v>45628</v>
      </c>
      <c r="C1193" s="0" t="n">
        <v>2024</v>
      </c>
      <c r="D1193" s="28" t="s">
        <v>122</v>
      </c>
      <c r="E1193" s="0" t="n">
        <v>12</v>
      </c>
      <c r="F1193" s="28" t="s">
        <v>127</v>
      </c>
      <c r="G1193" s="28" t="s">
        <v>128</v>
      </c>
      <c r="H1193" s="28" t="s">
        <v>102</v>
      </c>
      <c r="I1193" s="28" t="s">
        <v>103</v>
      </c>
      <c r="J1193" s="28" t="s">
        <v>71</v>
      </c>
      <c r="K1193" s="28" t="s">
        <v>76</v>
      </c>
      <c r="L1193" s="28" t="s">
        <v>77</v>
      </c>
      <c r="M1193" s="28" t="s">
        <v>82</v>
      </c>
      <c r="N1193" s="28" t="s">
        <v>83</v>
      </c>
      <c r="O1193" s="29" t="n">
        <v>20</v>
      </c>
      <c r="P1193" s="30" t="n">
        <v>63.7</v>
      </c>
      <c r="Q1193" s="30" t="n">
        <v>35.43</v>
      </c>
      <c r="R1193" s="30" t="n">
        <f aca="false">ROUND(O1193*P1193,2)</f>
        <v>1274</v>
      </c>
      <c r="S1193" s="30" t="n">
        <f aca="false">ROUND(O1193*Q1193,2)</f>
        <v>708.6</v>
      </c>
      <c r="T1193" s="30" t="n">
        <f aca="false">ROUND(R1193*SUMIFS(Parametros!$E$23:$E$38,Parametros!$B$23:$B$38,J1193,Parametros!$C$23:$C$38,C1193,Parametros!$D$23:$D$38,D1193),2)</f>
        <v>61.15</v>
      </c>
      <c r="U1193" s="30" t="n">
        <f aca="false">R1193-S1193-T1193</f>
        <v>504.25</v>
      </c>
    </row>
    <row r="1194" customFormat="false" ht="15" hidden="false" customHeight="false" outlineLevel="0" collapsed="false">
      <c r="A1194" s="0" t="n">
        <v>1193</v>
      </c>
      <c r="B1194" s="27" t="n">
        <v>45635</v>
      </c>
      <c r="C1194" s="0" t="n">
        <v>2024</v>
      </c>
      <c r="D1194" s="28" t="s">
        <v>122</v>
      </c>
      <c r="E1194" s="0" t="n">
        <v>12</v>
      </c>
      <c r="F1194" s="28" t="s">
        <v>127</v>
      </c>
      <c r="G1194" s="28" t="s">
        <v>128</v>
      </c>
      <c r="H1194" s="28" t="s">
        <v>102</v>
      </c>
      <c r="I1194" s="28" t="s">
        <v>103</v>
      </c>
      <c r="J1194" s="28" t="s">
        <v>66</v>
      </c>
      <c r="K1194" s="28" t="s">
        <v>84</v>
      </c>
      <c r="L1194" s="28" t="s">
        <v>85</v>
      </c>
      <c r="M1194" s="28" t="s">
        <v>86</v>
      </c>
      <c r="N1194" s="28" t="s">
        <v>87</v>
      </c>
      <c r="O1194" s="29" t="n">
        <v>21</v>
      </c>
      <c r="P1194" s="30" t="n">
        <v>117.6</v>
      </c>
      <c r="Q1194" s="30" t="n">
        <v>63.6</v>
      </c>
      <c r="R1194" s="30" t="n">
        <f aca="false">ROUND(O1194*P1194,2)</f>
        <v>2469.6</v>
      </c>
      <c r="S1194" s="30" t="n">
        <f aca="false">ROUND(O1194*Q1194,2)</f>
        <v>1335.6</v>
      </c>
      <c r="T1194" s="30" t="n">
        <f aca="false">ROUND(R1194*SUMIFS(Parametros!$E$23:$E$38,Parametros!$B$23:$B$38,J1194,Parametros!$C$23:$C$38,C1194,Parametros!$D$23:$D$38,D1194),2)</f>
        <v>32.1</v>
      </c>
      <c r="U1194" s="30" t="n">
        <f aca="false">R1194-S1194-T1194</f>
        <v>1101.9</v>
      </c>
    </row>
    <row r="1195" customFormat="false" ht="15" hidden="false" customHeight="false" outlineLevel="0" collapsed="false">
      <c r="A1195" s="0" t="n">
        <v>1194</v>
      </c>
      <c r="B1195" s="27" t="n">
        <v>45642</v>
      </c>
      <c r="C1195" s="0" t="n">
        <v>2024</v>
      </c>
      <c r="D1195" s="28" t="s">
        <v>122</v>
      </c>
      <c r="E1195" s="0" t="n">
        <v>12</v>
      </c>
      <c r="F1195" s="28" t="s">
        <v>127</v>
      </c>
      <c r="G1195" s="28" t="s">
        <v>128</v>
      </c>
      <c r="H1195" s="28" t="s">
        <v>102</v>
      </c>
      <c r="I1195" s="28" t="s">
        <v>103</v>
      </c>
      <c r="J1195" s="28" t="s">
        <v>71</v>
      </c>
      <c r="K1195" s="28" t="s">
        <v>84</v>
      </c>
      <c r="L1195" s="28" t="s">
        <v>85</v>
      </c>
      <c r="M1195" s="28" t="s">
        <v>86</v>
      </c>
      <c r="N1195" s="28" t="s">
        <v>87</v>
      </c>
      <c r="O1195" s="29" t="n">
        <v>8</v>
      </c>
      <c r="P1195" s="30" t="n">
        <v>117.6</v>
      </c>
      <c r="Q1195" s="30" t="n">
        <v>63.6</v>
      </c>
      <c r="R1195" s="30" t="n">
        <f aca="false">ROUND(O1195*P1195,2)</f>
        <v>940.8</v>
      </c>
      <c r="S1195" s="30" t="n">
        <f aca="false">ROUND(O1195*Q1195,2)</f>
        <v>508.8</v>
      </c>
      <c r="T1195" s="30" t="n">
        <f aca="false">ROUND(R1195*SUMIFS(Parametros!$E$23:$E$38,Parametros!$B$23:$B$38,J1195,Parametros!$C$23:$C$38,C1195,Parametros!$D$23:$D$38,D1195),2)</f>
        <v>45.16</v>
      </c>
      <c r="U1195" s="30" t="n">
        <f aca="false">R1195-S1195-T1195</f>
        <v>386.84</v>
      </c>
    </row>
    <row r="1196" customFormat="false" ht="15" hidden="false" customHeight="false" outlineLevel="0" collapsed="false">
      <c r="A1196" s="0" t="n">
        <v>1195</v>
      </c>
      <c r="B1196" s="27" t="n">
        <v>45649</v>
      </c>
      <c r="C1196" s="0" t="n">
        <v>2024</v>
      </c>
      <c r="D1196" s="28" t="s">
        <v>122</v>
      </c>
      <c r="E1196" s="0" t="n">
        <v>12</v>
      </c>
      <c r="F1196" s="28" t="s">
        <v>127</v>
      </c>
      <c r="G1196" s="28" t="s">
        <v>128</v>
      </c>
      <c r="H1196" s="28" t="s">
        <v>102</v>
      </c>
      <c r="I1196" s="28" t="s">
        <v>103</v>
      </c>
      <c r="J1196" s="28" t="s">
        <v>66</v>
      </c>
      <c r="K1196" s="28" t="s">
        <v>84</v>
      </c>
      <c r="L1196" s="28" t="s">
        <v>85</v>
      </c>
      <c r="M1196" s="28" t="s">
        <v>88</v>
      </c>
      <c r="N1196" s="28" t="s">
        <v>89</v>
      </c>
      <c r="O1196" s="29" t="n">
        <v>24</v>
      </c>
      <c r="P1196" s="30" t="n">
        <v>83.3</v>
      </c>
      <c r="Q1196" s="30" t="n">
        <v>48.02</v>
      </c>
      <c r="R1196" s="30" t="n">
        <f aca="false">ROUND(O1196*P1196,2)</f>
        <v>1999.2</v>
      </c>
      <c r="S1196" s="30" t="n">
        <f aca="false">ROUND(O1196*Q1196,2)</f>
        <v>1152.48</v>
      </c>
      <c r="T1196" s="30" t="n">
        <f aca="false">ROUND(R1196*SUMIFS(Parametros!$E$23:$E$38,Parametros!$B$23:$B$38,J1196,Parametros!$C$23:$C$38,C1196,Parametros!$D$23:$D$38,D1196),2)</f>
        <v>25.99</v>
      </c>
      <c r="U1196" s="30" t="n">
        <f aca="false">R1196-S1196-T1196</f>
        <v>820.73</v>
      </c>
    </row>
    <row r="1197" customFormat="false" ht="15" hidden="false" customHeight="false" outlineLevel="0" collapsed="false">
      <c r="A1197" s="0" t="n">
        <v>1196</v>
      </c>
      <c r="B1197" s="27" t="n">
        <v>45629</v>
      </c>
      <c r="C1197" s="0" t="n">
        <v>2024</v>
      </c>
      <c r="D1197" s="28" t="s">
        <v>122</v>
      </c>
      <c r="E1197" s="0" t="n">
        <v>12</v>
      </c>
      <c r="F1197" s="28" t="s">
        <v>127</v>
      </c>
      <c r="G1197" s="28" t="s">
        <v>128</v>
      </c>
      <c r="H1197" s="28" t="s">
        <v>102</v>
      </c>
      <c r="I1197" s="28" t="s">
        <v>103</v>
      </c>
      <c r="J1197" s="28" t="s">
        <v>71</v>
      </c>
      <c r="K1197" s="28" t="s">
        <v>84</v>
      </c>
      <c r="L1197" s="28" t="s">
        <v>85</v>
      </c>
      <c r="M1197" s="28" t="s">
        <v>88</v>
      </c>
      <c r="N1197" s="28" t="s">
        <v>89</v>
      </c>
      <c r="O1197" s="29" t="n">
        <v>9</v>
      </c>
      <c r="P1197" s="30" t="n">
        <v>83.3</v>
      </c>
      <c r="Q1197" s="30" t="n">
        <v>48.02</v>
      </c>
      <c r="R1197" s="30" t="n">
        <f aca="false">ROUND(O1197*P1197,2)</f>
        <v>749.7</v>
      </c>
      <c r="S1197" s="30" t="n">
        <f aca="false">ROUND(O1197*Q1197,2)</f>
        <v>432.18</v>
      </c>
      <c r="T1197" s="30" t="n">
        <f aca="false">ROUND(R1197*SUMIFS(Parametros!$E$23:$E$38,Parametros!$B$23:$B$38,J1197,Parametros!$C$23:$C$38,C1197,Parametros!$D$23:$D$38,D1197),2)</f>
        <v>35.99</v>
      </c>
      <c r="U1197" s="30" t="n">
        <f aca="false">R1197-S1197-T1197</f>
        <v>281.53</v>
      </c>
    </row>
    <row r="1198" customFormat="false" ht="15" hidden="false" customHeight="false" outlineLevel="0" collapsed="false">
      <c r="A1198" s="0" t="n">
        <v>1197</v>
      </c>
      <c r="B1198" s="27" t="n">
        <v>45636</v>
      </c>
      <c r="C1198" s="0" t="n">
        <v>2024</v>
      </c>
      <c r="D1198" s="28" t="s">
        <v>122</v>
      </c>
      <c r="E1198" s="0" t="n">
        <v>12</v>
      </c>
      <c r="F1198" s="28" t="s">
        <v>127</v>
      </c>
      <c r="G1198" s="28" t="s">
        <v>128</v>
      </c>
      <c r="H1198" s="28" t="s">
        <v>102</v>
      </c>
      <c r="I1198" s="28" t="s">
        <v>103</v>
      </c>
      <c r="J1198" s="28" t="s">
        <v>66</v>
      </c>
      <c r="K1198" s="28" t="s">
        <v>90</v>
      </c>
      <c r="L1198" s="28" t="s">
        <v>91</v>
      </c>
      <c r="M1198" s="28" t="s">
        <v>92</v>
      </c>
      <c r="N1198" s="28" t="s">
        <v>93</v>
      </c>
      <c r="O1198" s="29" t="n">
        <v>24</v>
      </c>
      <c r="P1198" s="30" t="n">
        <v>127.4</v>
      </c>
      <c r="Q1198" s="30" t="n">
        <v>76.05</v>
      </c>
      <c r="R1198" s="30" t="n">
        <f aca="false">ROUND(O1198*P1198,2)</f>
        <v>3057.6</v>
      </c>
      <c r="S1198" s="30" t="n">
        <f aca="false">ROUND(O1198*Q1198,2)</f>
        <v>1825.2</v>
      </c>
      <c r="T1198" s="30" t="n">
        <f aca="false">ROUND(R1198*SUMIFS(Parametros!$E$23:$E$38,Parametros!$B$23:$B$38,J1198,Parametros!$C$23:$C$38,C1198,Parametros!$D$23:$D$38,D1198),2)</f>
        <v>39.75</v>
      </c>
      <c r="U1198" s="30" t="n">
        <f aca="false">R1198-S1198-T1198</f>
        <v>1192.65</v>
      </c>
    </row>
    <row r="1199" customFormat="false" ht="15" hidden="false" customHeight="false" outlineLevel="0" collapsed="false">
      <c r="A1199" s="0" t="n">
        <v>1198</v>
      </c>
      <c r="B1199" s="27" t="n">
        <v>45643</v>
      </c>
      <c r="C1199" s="0" t="n">
        <v>2024</v>
      </c>
      <c r="D1199" s="28" t="s">
        <v>122</v>
      </c>
      <c r="E1199" s="0" t="n">
        <v>12</v>
      </c>
      <c r="F1199" s="28" t="s">
        <v>127</v>
      </c>
      <c r="G1199" s="28" t="s">
        <v>128</v>
      </c>
      <c r="H1199" s="28" t="s">
        <v>102</v>
      </c>
      <c r="I1199" s="28" t="s">
        <v>103</v>
      </c>
      <c r="J1199" s="28" t="s">
        <v>71</v>
      </c>
      <c r="K1199" s="28" t="s">
        <v>90</v>
      </c>
      <c r="L1199" s="28" t="s">
        <v>91</v>
      </c>
      <c r="M1199" s="28" t="s">
        <v>92</v>
      </c>
      <c r="N1199" s="28" t="s">
        <v>93</v>
      </c>
      <c r="O1199" s="29" t="n">
        <v>11</v>
      </c>
      <c r="P1199" s="30" t="n">
        <v>127.4</v>
      </c>
      <c r="Q1199" s="30" t="n">
        <v>76.05</v>
      </c>
      <c r="R1199" s="30" t="n">
        <f aca="false">ROUND(O1199*P1199,2)</f>
        <v>1401.4</v>
      </c>
      <c r="S1199" s="30" t="n">
        <f aca="false">ROUND(O1199*Q1199,2)</f>
        <v>836.55</v>
      </c>
      <c r="T1199" s="30" t="n">
        <f aca="false">ROUND(R1199*SUMIFS(Parametros!$E$23:$E$38,Parametros!$B$23:$B$38,J1199,Parametros!$C$23:$C$38,C1199,Parametros!$D$23:$D$38,D1199),2)</f>
        <v>67.27</v>
      </c>
      <c r="U1199" s="30" t="n">
        <f aca="false">R1199-S1199-T1199</f>
        <v>497.58</v>
      </c>
    </row>
    <row r="1200" customFormat="false" ht="15" hidden="false" customHeight="false" outlineLevel="0" collapsed="false">
      <c r="A1200" s="0" t="n">
        <v>1199</v>
      </c>
      <c r="B1200" s="27" t="n">
        <v>45650</v>
      </c>
      <c r="C1200" s="0" t="n">
        <v>2024</v>
      </c>
      <c r="D1200" s="28" t="s">
        <v>122</v>
      </c>
      <c r="E1200" s="0" t="n">
        <v>12</v>
      </c>
      <c r="F1200" s="28" t="s">
        <v>127</v>
      </c>
      <c r="G1200" s="28" t="s">
        <v>128</v>
      </c>
      <c r="H1200" s="28" t="s">
        <v>102</v>
      </c>
      <c r="I1200" s="28" t="s">
        <v>103</v>
      </c>
      <c r="J1200" s="28" t="s">
        <v>66</v>
      </c>
      <c r="K1200" s="28" t="s">
        <v>90</v>
      </c>
      <c r="L1200" s="28" t="s">
        <v>91</v>
      </c>
      <c r="M1200" s="28" t="s">
        <v>94</v>
      </c>
      <c r="N1200" s="28" t="s">
        <v>95</v>
      </c>
      <c r="O1200" s="29" t="n">
        <v>24</v>
      </c>
      <c r="P1200" s="30" t="n">
        <v>34.3</v>
      </c>
      <c r="Q1200" s="30" t="n">
        <v>17.85</v>
      </c>
      <c r="R1200" s="30" t="n">
        <f aca="false">ROUND(O1200*P1200,2)</f>
        <v>823.2</v>
      </c>
      <c r="S1200" s="30" t="n">
        <f aca="false">ROUND(O1200*Q1200,2)</f>
        <v>428.4</v>
      </c>
      <c r="T1200" s="30" t="n">
        <f aca="false">ROUND(R1200*SUMIFS(Parametros!$E$23:$E$38,Parametros!$B$23:$B$38,J1200,Parametros!$C$23:$C$38,C1200,Parametros!$D$23:$D$38,D1200),2)</f>
        <v>10.7</v>
      </c>
      <c r="U1200" s="30" t="n">
        <f aca="false">R1200-S1200-T1200</f>
        <v>384.1</v>
      </c>
    </row>
    <row r="1201" customFormat="false" ht="15" hidden="false" customHeight="false" outlineLevel="0" collapsed="false">
      <c r="A1201" s="0" t="n">
        <v>1200</v>
      </c>
      <c r="B1201" s="27" t="n">
        <v>45630</v>
      </c>
      <c r="C1201" s="0" t="n">
        <v>2024</v>
      </c>
      <c r="D1201" s="28" t="s">
        <v>122</v>
      </c>
      <c r="E1201" s="0" t="n">
        <v>12</v>
      </c>
      <c r="F1201" s="28" t="s">
        <v>127</v>
      </c>
      <c r="G1201" s="28" t="s">
        <v>128</v>
      </c>
      <c r="H1201" s="28" t="s">
        <v>102</v>
      </c>
      <c r="I1201" s="28" t="s">
        <v>103</v>
      </c>
      <c r="J1201" s="28" t="s">
        <v>71</v>
      </c>
      <c r="K1201" s="28" t="s">
        <v>90</v>
      </c>
      <c r="L1201" s="28" t="s">
        <v>91</v>
      </c>
      <c r="M1201" s="28" t="s">
        <v>94</v>
      </c>
      <c r="N1201" s="28" t="s">
        <v>95</v>
      </c>
      <c r="O1201" s="29" t="n">
        <v>9</v>
      </c>
      <c r="P1201" s="30" t="n">
        <v>34.3</v>
      </c>
      <c r="Q1201" s="30" t="n">
        <v>17.85</v>
      </c>
      <c r="R1201" s="30" t="n">
        <f aca="false">ROUND(O1201*P1201,2)</f>
        <v>308.7</v>
      </c>
      <c r="S1201" s="30" t="n">
        <f aca="false">ROUND(O1201*Q1201,2)</f>
        <v>160.65</v>
      </c>
      <c r="T1201" s="30" t="n">
        <f aca="false">ROUND(R1201*SUMIFS(Parametros!$E$23:$E$38,Parametros!$B$23:$B$38,J1201,Parametros!$C$23:$C$38,C1201,Parametros!$D$23:$D$38,D1201),2)</f>
        <v>14.82</v>
      </c>
      <c r="U1201" s="30" t="n">
        <f aca="false">R1201-S1201-T1201</f>
        <v>133.23</v>
      </c>
    </row>
    <row r="1202" customFormat="false" ht="15" hidden="false" customHeight="false" outlineLevel="0" collapsed="false">
      <c r="A1202" s="0" t="n">
        <v>1201</v>
      </c>
      <c r="B1202" s="27" t="n">
        <v>45668</v>
      </c>
      <c r="C1202" s="0" t="n">
        <v>2025</v>
      </c>
      <c r="D1202" s="28" t="s">
        <v>61</v>
      </c>
      <c r="E1202" s="0" t="n">
        <v>1</v>
      </c>
      <c r="F1202" s="28" t="s">
        <v>62</v>
      </c>
      <c r="G1202" s="28" t="s">
        <v>129</v>
      </c>
      <c r="H1202" s="28" t="s">
        <v>64</v>
      </c>
      <c r="I1202" s="28" t="s">
        <v>65</v>
      </c>
      <c r="J1202" s="28" t="s">
        <v>66</v>
      </c>
      <c r="K1202" s="28" t="s">
        <v>67</v>
      </c>
      <c r="L1202" s="28" t="s">
        <v>130</v>
      </c>
      <c r="M1202" s="28" t="s">
        <v>69</v>
      </c>
      <c r="N1202" s="28" t="s">
        <v>131</v>
      </c>
      <c r="O1202" s="29" t="n">
        <v>19</v>
      </c>
      <c r="P1202" s="30" t="n">
        <v>1155.06</v>
      </c>
      <c r="Q1202" s="30" t="n">
        <v>766.32</v>
      </c>
      <c r="R1202" s="30" t="n">
        <f aca="false">ROUND(O1202*P1202,2)</f>
        <v>21946.14</v>
      </c>
      <c r="S1202" s="30" t="n">
        <f aca="false">ROUND(O1202*Q1202,2)</f>
        <v>14560.08</v>
      </c>
      <c r="T1202" s="30" t="n">
        <f aca="false">ROUND(R1202*SUMIFS(Parametros!$E$23:$E$38,Parametros!$B$23:$B$38,J1202,Parametros!$C$23:$C$38,C1202,Parametros!$D$23:$D$38,D1202),2)</f>
        <v>285.3</v>
      </c>
      <c r="U1202" s="30" t="n">
        <f aca="false">R1202-S1202-T1202</f>
        <v>7100.76</v>
      </c>
    </row>
    <row r="1203" customFormat="false" ht="15" hidden="false" customHeight="false" outlineLevel="0" collapsed="false">
      <c r="A1203" s="0" t="n">
        <v>1202</v>
      </c>
      <c r="B1203" s="27" t="n">
        <v>45675</v>
      </c>
      <c r="C1203" s="0" t="n">
        <v>2025</v>
      </c>
      <c r="D1203" s="28" t="s">
        <v>61</v>
      </c>
      <c r="E1203" s="0" t="n">
        <v>1</v>
      </c>
      <c r="F1203" s="28" t="s">
        <v>62</v>
      </c>
      <c r="G1203" s="28" t="s">
        <v>129</v>
      </c>
      <c r="H1203" s="28" t="s">
        <v>64</v>
      </c>
      <c r="I1203" s="28" t="s">
        <v>65</v>
      </c>
      <c r="J1203" s="28" t="s">
        <v>71</v>
      </c>
      <c r="K1203" s="28" t="s">
        <v>67</v>
      </c>
      <c r="L1203" s="28" t="s">
        <v>130</v>
      </c>
      <c r="M1203" s="28" t="s">
        <v>69</v>
      </c>
      <c r="N1203" s="28" t="s">
        <v>131</v>
      </c>
      <c r="O1203" s="29" t="n">
        <v>10</v>
      </c>
      <c r="P1203" s="30" t="n">
        <v>1155.06</v>
      </c>
      <c r="Q1203" s="30" t="n">
        <v>766.32</v>
      </c>
      <c r="R1203" s="30" t="n">
        <f aca="false">ROUND(O1203*P1203,2)</f>
        <v>11550.6</v>
      </c>
      <c r="S1203" s="30" t="n">
        <f aca="false">ROUND(O1203*Q1203,2)</f>
        <v>7663.2</v>
      </c>
      <c r="T1203" s="30" t="n">
        <f aca="false">ROUND(R1203*SUMIFS(Parametros!$E$23:$E$38,Parametros!$B$23:$B$38,J1203,Parametros!$C$23:$C$38,C1203,Parametros!$D$23:$D$38,D1203),2)</f>
        <v>785.44</v>
      </c>
      <c r="U1203" s="30" t="n">
        <f aca="false">R1203-S1203-T1203</f>
        <v>3101.96</v>
      </c>
    </row>
    <row r="1204" customFormat="false" ht="15" hidden="false" customHeight="false" outlineLevel="0" collapsed="false">
      <c r="A1204" s="0" t="n">
        <v>1203</v>
      </c>
      <c r="B1204" s="27" t="n">
        <v>45682</v>
      </c>
      <c r="C1204" s="0" t="n">
        <v>2025</v>
      </c>
      <c r="D1204" s="28" t="s">
        <v>61</v>
      </c>
      <c r="E1204" s="0" t="n">
        <v>1</v>
      </c>
      <c r="F1204" s="28" t="s">
        <v>62</v>
      </c>
      <c r="G1204" s="28" t="s">
        <v>129</v>
      </c>
      <c r="H1204" s="28" t="s">
        <v>64</v>
      </c>
      <c r="I1204" s="28" t="s">
        <v>65</v>
      </c>
      <c r="J1204" s="28" t="s">
        <v>66</v>
      </c>
      <c r="K1204" s="28" t="s">
        <v>67</v>
      </c>
      <c r="L1204" s="28" t="s">
        <v>130</v>
      </c>
      <c r="M1204" s="28" t="s">
        <v>72</v>
      </c>
      <c r="N1204" s="28" t="s">
        <v>132</v>
      </c>
      <c r="O1204" s="29" t="n">
        <v>19</v>
      </c>
      <c r="P1204" s="30" t="n">
        <v>433.15</v>
      </c>
      <c r="Q1204" s="30" t="n">
        <v>280.42</v>
      </c>
      <c r="R1204" s="30" t="n">
        <f aca="false">ROUND(O1204*P1204,2)</f>
        <v>8229.85</v>
      </c>
      <c r="S1204" s="30" t="n">
        <f aca="false">ROUND(O1204*Q1204,2)</f>
        <v>5327.98</v>
      </c>
      <c r="T1204" s="30" t="n">
        <f aca="false">ROUND(R1204*SUMIFS(Parametros!$E$23:$E$38,Parametros!$B$23:$B$38,J1204,Parametros!$C$23:$C$38,C1204,Parametros!$D$23:$D$38,D1204),2)</f>
        <v>106.99</v>
      </c>
      <c r="U1204" s="30" t="n">
        <f aca="false">R1204-S1204-T1204</f>
        <v>2794.88</v>
      </c>
    </row>
    <row r="1205" customFormat="false" ht="15" hidden="false" customHeight="false" outlineLevel="0" collapsed="false">
      <c r="A1205" s="0" t="n">
        <v>1204</v>
      </c>
      <c r="B1205" s="27" t="n">
        <v>45662</v>
      </c>
      <c r="C1205" s="0" t="n">
        <v>2025</v>
      </c>
      <c r="D1205" s="28" t="s">
        <v>61</v>
      </c>
      <c r="E1205" s="0" t="n">
        <v>1</v>
      </c>
      <c r="F1205" s="28" t="s">
        <v>62</v>
      </c>
      <c r="G1205" s="28" t="s">
        <v>129</v>
      </c>
      <c r="H1205" s="28" t="s">
        <v>64</v>
      </c>
      <c r="I1205" s="28" t="s">
        <v>65</v>
      </c>
      <c r="J1205" s="28" t="s">
        <v>71</v>
      </c>
      <c r="K1205" s="28" t="s">
        <v>67</v>
      </c>
      <c r="L1205" s="28" t="s">
        <v>130</v>
      </c>
      <c r="M1205" s="28" t="s">
        <v>72</v>
      </c>
      <c r="N1205" s="28" t="s">
        <v>132</v>
      </c>
      <c r="O1205" s="29" t="n">
        <v>10</v>
      </c>
      <c r="P1205" s="30" t="n">
        <v>433.15</v>
      </c>
      <c r="Q1205" s="30" t="n">
        <v>280.42</v>
      </c>
      <c r="R1205" s="30" t="n">
        <f aca="false">ROUND(O1205*P1205,2)</f>
        <v>4331.5</v>
      </c>
      <c r="S1205" s="30" t="n">
        <f aca="false">ROUND(O1205*Q1205,2)</f>
        <v>2804.2</v>
      </c>
      <c r="T1205" s="30" t="n">
        <f aca="false">ROUND(R1205*SUMIFS(Parametros!$E$23:$E$38,Parametros!$B$23:$B$38,J1205,Parametros!$C$23:$C$38,C1205,Parametros!$D$23:$D$38,D1205),2)</f>
        <v>294.54</v>
      </c>
      <c r="U1205" s="30" t="n">
        <f aca="false">R1205-S1205-T1205</f>
        <v>1232.76</v>
      </c>
    </row>
    <row r="1206" customFormat="false" ht="15" hidden="false" customHeight="false" outlineLevel="0" collapsed="false">
      <c r="A1206" s="0" t="n">
        <v>1205</v>
      </c>
      <c r="B1206" s="27" t="n">
        <v>45669</v>
      </c>
      <c r="C1206" s="0" t="n">
        <v>2025</v>
      </c>
      <c r="D1206" s="28" t="s">
        <v>61</v>
      </c>
      <c r="E1206" s="0" t="n">
        <v>1</v>
      </c>
      <c r="F1206" s="28" t="s">
        <v>62</v>
      </c>
      <c r="G1206" s="28" t="s">
        <v>129</v>
      </c>
      <c r="H1206" s="28" t="s">
        <v>64</v>
      </c>
      <c r="I1206" s="28" t="s">
        <v>65</v>
      </c>
      <c r="J1206" s="28" t="s">
        <v>66</v>
      </c>
      <c r="K1206" s="28" t="s">
        <v>67</v>
      </c>
      <c r="L1206" s="28" t="s">
        <v>130</v>
      </c>
      <c r="M1206" s="28" t="s">
        <v>74</v>
      </c>
      <c r="N1206" s="28" t="s">
        <v>133</v>
      </c>
      <c r="O1206" s="29" t="n">
        <v>15</v>
      </c>
      <c r="P1206" s="30" t="n">
        <v>1588.21</v>
      </c>
      <c r="Q1206" s="30" t="n">
        <v>1155.66</v>
      </c>
      <c r="R1206" s="30" t="n">
        <f aca="false">ROUND(O1206*P1206,2)</f>
        <v>23823.15</v>
      </c>
      <c r="S1206" s="30" t="n">
        <f aca="false">ROUND(O1206*Q1206,2)</f>
        <v>17334.9</v>
      </c>
      <c r="T1206" s="30" t="n">
        <f aca="false">ROUND(R1206*SUMIFS(Parametros!$E$23:$E$38,Parametros!$B$23:$B$38,J1206,Parametros!$C$23:$C$38,C1206,Parametros!$D$23:$D$38,D1206),2)</f>
        <v>309.7</v>
      </c>
      <c r="U1206" s="30" t="n">
        <f aca="false">R1206-S1206-T1206</f>
        <v>6178.55</v>
      </c>
    </row>
    <row r="1207" customFormat="false" ht="15" hidden="false" customHeight="false" outlineLevel="0" collapsed="false">
      <c r="A1207" s="0" t="n">
        <v>1206</v>
      </c>
      <c r="B1207" s="27" t="n">
        <v>45676</v>
      </c>
      <c r="C1207" s="0" t="n">
        <v>2025</v>
      </c>
      <c r="D1207" s="28" t="s">
        <v>61</v>
      </c>
      <c r="E1207" s="0" t="n">
        <v>1</v>
      </c>
      <c r="F1207" s="28" t="s">
        <v>62</v>
      </c>
      <c r="G1207" s="28" t="s">
        <v>129</v>
      </c>
      <c r="H1207" s="28" t="s">
        <v>64</v>
      </c>
      <c r="I1207" s="28" t="s">
        <v>65</v>
      </c>
      <c r="J1207" s="28" t="s">
        <v>71</v>
      </c>
      <c r="K1207" s="28" t="s">
        <v>67</v>
      </c>
      <c r="L1207" s="28" t="s">
        <v>130</v>
      </c>
      <c r="M1207" s="28" t="s">
        <v>74</v>
      </c>
      <c r="N1207" s="28" t="s">
        <v>133</v>
      </c>
      <c r="O1207" s="29" t="n">
        <v>12</v>
      </c>
      <c r="P1207" s="30" t="n">
        <v>1588.21</v>
      </c>
      <c r="Q1207" s="30" t="n">
        <v>1155.66</v>
      </c>
      <c r="R1207" s="30" t="n">
        <f aca="false">ROUND(O1207*P1207,2)</f>
        <v>19058.52</v>
      </c>
      <c r="S1207" s="30" t="n">
        <f aca="false">ROUND(O1207*Q1207,2)</f>
        <v>13867.92</v>
      </c>
      <c r="T1207" s="30" t="n">
        <f aca="false">ROUND(R1207*SUMIFS(Parametros!$E$23:$E$38,Parametros!$B$23:$B$38,J1207,Parametros!$C$23:$C$38,C1207,Parametros!$D$23:$D$38,D1207),2)</f>
        <v>1295.98</v>
      </c>
      <c r="U1207" s="30" t="n">
        <f aca="false">R1207-S1207-T1207</f>
        <v>3894.62</v>
      </c>
    </row>
    <row r="1208" customFormat="false" ht="15" hidden="false" customHeight="false" outlineLevel="0" collapsed="false">
      <c r="A1208" s="0" t="n">
        <v>1207</v>
      </c>
      <c r="B1208" s="27" t="n">
        <v>45683</v>
      </c>
      <c r="C1208" s="0" t="n">
        <v>2025</v>
      </c>
      <c r="D1208" s="28" t="s">
        <v>61</v>
      </c>
      <c r="E1208" s="0" t="n">
        <v>1</v>
      </c>
      <c r="F1208" s="28" t="s">
        <v>62</v>
      </c>
      <c r="G1208" s="28" t="s">
        <v>129</v>
      </c>
      <c r="H1208" s="28" t="s">
        <v>64</v>
      </c>
      <c r="I1208" s="28" t="s">
        <v>65</v>
      </c>
      <c r="J1208" s="28" t="s">
        <v>66</v>
      </c>
      <c r="K1208" s="28" t="s">
        <v>76</v>
      </c>
      <c r="L1208" s="28" t="s">
        <v>134</v>
      </c>
      <c r="M1208" s="28" t="s">
        <v>78</v>
      </c>
      <c r="N1208" s="28" t="s">
        <v>135</v>
      </c>
      <c r="O1208" s="29" t="n">
        <v>93</v>
      </c>
      <c r="P1208" s="30" t="n">
        <v>27.82</v>
      </c>
      <c r="Q1208" s="30" t="n">
        <v>13.84</v>
      </c>
      <c r="R1208" s="30" t="n">
        <f aca="false">ROUND(O1208*P1208,2)</f>
        <v>2587.26</v>
      </c>
      <c r="S1208" s="30" t="n">
        <f aca="false">ROUND(O1208*Q1208,2)</f>
        <v>1287.12</v>
      </c>
      <c r="T1208" s="30" t="n">
        <f aca="false">ROUND(R1208*SUMIFS(Parametros!$E$23:$E$38,Parametros!$B$23:$B$38,J1208,Parametros!$C$23:$C$38,C1208,Parametros!$D$23:$D$38,D1208),2)</f>
        <v>33.63</v>
      </c>
      <c r="U1208" s="30" t="n">
        <f aca="false">R1208-S1208-T1208</f>
        <v>1266.51</v>
      </c>
    </row>
    <row r="1209" customFormat="false" ht="15" hidden="false" customHeight="false" outlineLevel="0" collapsed="false">
      <c r="A1209" s="0" t="n">
        <v>1208</v>
      </c>
      <c r="B1209" s="27" t="n">
        <v>45663</v>
      </c>
      <c r="C1209" s="0" t="n">
        <v>2025</v>
      </c>
      <c r="D1209" s="28" t="s">
        <v>61</v>
      </c>
      <c r="E1209" s="0" t="n">
        <v>1</v>
      </c>
      <c r="F1209" s="28" t="s">
        <v>62</v>
      </c>
      <c r="G1209" s="28" t="s">
        <v>129</v>
      </c>
      <c r="H1209" s="28" t="s">
        <v>64</v>
      </c>
      <c r="I1209" s="28" t="s">
        <v>65</v>
      </c>
      <c r="J1209" s="28" t="s">
        <v>71</v>
      </c>
      <c r="K1209" s="28" t="s">
        <v>76</v>
      </c>
      <c r="L1209" s="28" t="s">
        <v>134</v>
      </c>
      <c r="M1209" s="28" t="s">
        <v>78</v>
      </c>
      <c r="N1209" s="28" t="s">
        <v>135</v>
      </c>
      <c r="O1209" s="29" t="n">
        <v>47</v>
      </c>
      <c r="P1209" s="30" t="n">
        <v>27.82</v>
      </c>
      <c r="Q1209" s="30" t="n">
        <v>13.84</v>
      </c>
      <c r="R1209" s="30" t="n">
        <f aca="false">ROUND(O1209*P1209,2)</f>
        <v>1307.54</v>
      </c>
      <c r="S1209" s="30" t="n">
        <f aca="false">ROUND(O1209*Q1209,2)</f>
        <v>650.48</v>
      </c>
      <c r="T1209" s="30" t="n">
        <f aca="false">ROUND(R1209*SUMIFS(Parametros!$E$23:$E$38,Parametros!$B$23:$B$38,J1209,Parametros!$C$23:$C$38,C1209,Parametros!$D$23:$D$38,D1209),2)</f>
        <v>88.91</v>
      </c>
      <c r="U1209" s="30" t="n">
        <f aca="false">R1209-S1209-T1209</f>
        <v>568.15</v>
      </c>
    </row>
    <row r="1210" customFormat="false" ht="15" hidden="false" customHeight="false" outlineLevel="0" collapsed="false">
      <c r="A1210" s="0" t="n">
        <v>1209</v>
      </c>
      <c r="B1210" s="27" t="n">
        <v>45670</v>
      </c>
      <c r="C1210" s="0" t="n">
        <v>2025</v>
      </c>
      <c r="D1210" s="28" t="s">
        <v>61</v>
      </c>
      <c r="E1210" s="0" t="n">
        <v>1</v>
      </c>
      <c r="F1210" s="28" t="s">
        <v>62</v>
      </c>
      <c r="G1210" s="28" t="s">
        <v>129</v>
      </c>
      <c r="H1210" s="28" t="s">
        <v>64</v>
      </c>
      <c r="I1210" s="28" t="s">
        <v>65</v>
      </c>
      <c r="J1210" s="28" t="s">
        <v>66</v>
      </c>
      <c r="K1210" s="28" t="s">
        <v>76</v>
      </c>
      <c r="L1210" s="28" t="s">
        <v>134</v>
      </c>
      <c r="M1210" s="28" t="s">
        <v>80</v>
      </c>
      <c r="N1210" s="28" t="s">
        <v>136</v>
      </c>
      <c r="O1210" s="29" t="n">
        <v>66</v>
      </c>
      <c r="P1210" s="30" t="n">
        <v>94.39</v>
      </c>
      <c r="Q1210" s="30" t="n">
        <v>49.41</v>
      </c>
      <c r="R1210" s="30" t="n">
        <f aca="false">ROUND(O1210*P1210,2)</f>
        <v>6229.74</v>
      </c>
      <c r="S1210" s="30" t="n">
        <f aca="false">ROUND(O1210*Q1210,2)</f>
        <v>3261.06</v>
      </c>
      <c r="T1210" s="30" t="n">
        <f aca="false">ROUND(R1210*SUMIFS(Parametros!$E$23:$E$38,Parametros!$B$23:$B$38,J1210,Parametros!$C$23:$C$38,C1210,Parametros!$D$23:$D$38,D1210),2)</f>
        <v>80.99</v>
      </c>
      <c r="U1210" s="30" t="n">
        <f aca="false">R1210-S1210-T1210</f>
        <v>2887.69</v>
      </c>
    </row>
    <row r="1211" customFormat="false" ht="15" hidden="false" customHeight="false" outlineLevel="0" collapsed="false">
      <c r="A1211" s="0" t="n">
        <v>1210</v>
      </c>
      <c r="B1211" s="27" t="n">
        <v>45677</v>
      </c>
      <c r="C1211" s="0" t="n">
        <v>2025</v>
      </c>
      <c r="D1211" s="28" t="s">
        <v>61</v>
      </c>
      <c r="E1211" s="0" t="n">
        <v>1</v>
      </c>
      <c r="F1211" s="28" t="s">
        <v>62</v>
      </c>
      <c r="G1211" s="28" t="s">
        <v>129</v>
      </c>
      <c r="H1211" s="28" t="s">
        <v>64</v>
      </c>
      <c r="I1211" s="28" t="s">
        <v>65</v>
      </c>
      <c r="J1211" s="28" t="s">
        <v>71</v>
      </c>
      <c r="K1211" s="28" t="s">
        <v>76</v>
      </c>
      <c r="L1211" s="28" t="s">
        <v>134</v>
      </c>
      <c r="M1211" s="28" t="s">
        <v>80</v>
      </c>
      <c r="N1211" s="28" t="s">
        <v>136</v>
      </c>
      <c r="O1211" s="29" t="n">
        <v>55</v>
      </c>
      <c r="P1211" s="30" t="n">
        <v>94.39</v>
      </c>
      <c r="Q1211" s="30" t="n">
        <v>49.41</v>
      </c>
      <c r="R1211" s="30" t="n">
        <f aca="false">ROUND(O1211*P1211,2)</f>
        <v>5191.45</v>
      </c>
      <c r="S1211" s="30" t="n">
        <f aca="false">ROUND(O1211*Q1211,2)</f>
        <v>2717.55</v>
      </c>
      <c r="T1211" s="30" t="n">
        <f aca="false">ROUND(R1211*SUMIFS(Parametros!$E$23:$E$38,Parametros!$B$23:$B$38,J1211,Parametros!$C$23:$C$38,C1211,Parametros!$D$23:$D$38,D1211),2)</f>
        <v>353.02</v>
      </c>
      <c r="U1211" s="30" t="n">
        <f aca="false">R1211-S1211-T1211</f>
        <v>2120.88</v>
      </c>
    </row>
    <row r="1212" customFormat="false" ht="15" hidden="false" customHeight="false" outlineLevel="0" collapsed="false">
      <c r="A1212" s="0" t="n">
        <v>1211</v>
      </c>
      <c r="B1212" s="27" t="n">
        <v>45684</v>
      </c>
      <c r="C1212" s="0" t="n">
        <v>2025</v>
      </c>
      <c r="D1212" s="28" t="s">
        <v>61</v>
      </c>
      <c r="E1212" s="0" t="n">
        <v>1</v>
      </c>
      <c r="F1212" s="28" t="s">
        <v>62</v>
      </c>
      <c r="G1212" s="28" t="s">
        <v>129</v>
      </c>
      <c r="H1212" s="28" t="s">
        <v>64</v>
      </c>
      <c r="I1212" s="28" t="s">
        <v>65</v>
      </c>
      <c r="J1212" s="28" t="s">
        <v>66</v>
      </c>
      <c r="K1212" s="28" t="s">
        <v>76</v>
      </c>
      <c r="L1212" s="28" t="s">
        <v>134</v>
      </c>
      <c r="M1212" s="28" t="s">
        <v>82</v>
      </c>
      <c r="N1212" s="28" t="s">
        <v>137</v>
      </c>
      <c r="O1212" s="29" t="n">
        <v>73</v>
      </c>
      <c r="P1212" s="30" t="n">
        <v>64.58</v>
      </c>
      <c r="Q1212" s="30" t="n">
        <v>36.49</v>
      </c>
      <c r="R1212" s="30" t="n">
        <f aca="false">ROUND(O1212*P1212,2)</f>
        <v>4714.34</v>
      </c>
      <c r="S1212" s="30" t="n">
        <f aca="false">ROUND(O1212*Q1212,2)</f>
        <v>2663.77</v>
      </c>
      <c r="T1212" s="30" t="n">
        <f aca="false">ROUND(R1212*SUMIFS(Parametros!$E$23:$E$38,Parametros!$B$23:$B$38,J1212,Parametros!$C$23:$C$38,C1212,Parametros!$D$23:$D$38,D1212),2)</f>
        <v>61.29</v>
      </c>
      <c r="U1212" s="30" t="n">
        <f aca="false">R1212-S1212-T1212</f>
        <v>1989.28</v>
      </c>
    </row>
    <row r="1213" customFormat="false" ht="15" hidden="false" customHeight="false" outlineLevel="0" collapsed="false">
      <c r="A1213" s="0" t="n">
        <v>1212</v>
      </c>
      <c r="B1213" s="27" t="n">
        <v>45664</v>
      </c>
      <c r="C1213" s="0" t="n">
        <v>2025</v>
      </c>
      <c r="D1213" s="28" t="s">
        <v>61</v>
      </c>
      <c r="E1213" s="0" t="n">
        <v>1</v>
      </c>
      <c r="F1213" s="28" t="s">
        <v>62</v>
      </c>
      <c r="G1213" s="28" t="s">
        <v>129</v>
      </c>
      <c r="H1213" s="28" t="s">
        <v>64</v>
      </c>
      <c r="I1213" s="28" t="s">
        <v>65</v>
      </c>
      <c r="J1213" s="28" t="s">
        <v>71</v>
      </c>
      <c r="K1213" s="28" t="s">
        <v>76</v>
      </c>
      <c r="L1213" s="28" t="s">
        <v>134</v>
      </c>
      <c r="M1213" s="28" t="s">
        <v>82</v>
      </c>
      <c r="N1213" s="28" t="s">
        <v>137</v>
      </c>
      <c r="O1213" s="29" t="n">
        <v>54</v>
      </c>
      <c r="P1213" s="30" t="n">
        <v>64.58</v>
      </c>
      <c r="Q1213" s="30" t="n">
        <v>36.49</v>
      </c>
      <c r="R1213" s="30" t="n">
        <f aca="false">ROUND(O1213*P1213,2)</f>
        <v>3487.32</v>
      </c>
      <c r="S1213" s="30" t="n">
        <f aca="false">ROUND(O1213*Q1213,2)</f>
        <v>1970.46</v>
      </c>
      <c r="T1213" s="30" t="n">
        <f aca="false">ROUND(R1213*SUMIFS(Parametros!$E$23:$E$38,Parametros!$B$23:$B$38,J1213,Parametros!$C$23:$C$38,C1213,Parametros!$D$23:$D$38,D1213),2)</f>
        <v>237.14</v>
      </c>
      <c r="U1213" s="30" t="n">
        <f aca="false">R1213-S1213-T1213</f>
        <v>1279.72</v>
      </c>
    </row>
    <row r="1214" customFormat="false" ht="15" hidden="false" customHeight="false" outlineLevel="0" collapsed="false">
      <c r="A1214" s="0" t="n">
        <v>1213</v>
      </c>
      <c r="B1214" s="27" t="n">
        <v>45671</v>
      </c>
      <c r="C1214" s="0" t="n">
        <v>2025</v>
      </c>
      <c r="D1214" s="28" t="s">
        <v>61</v>
      </c>
      <c r="E1214" s="0" t="n">
        <v>1</v>
      </c>
      <c r="F1214" s="28" t="s">
        <v>62</v>
      </c>
      <c r="G1214" s="28" t="s">
        <v>129</v>
      </c>
      <c r="H1214" s="28" t="s">
        <v>64</v>
      </c>
      <c r="I1214" s="28" t="s">
        <v>65</v>
      </c>
      <c r="J1214" s="28" t="s">
        <v>66</v>
      </c>
      <c r="K1214" s="28" t="s">
        <v>84</v>
      </c>
      <c r="L1214" s="28" t="s">
        <v>138</v>
      </c>
      <c r="M1214" s="28" t="s">
        <v>86</v>
      </c>
      <c r="N1214" s="28" t="s">
        <v>139</v>
      </c>
      <c r="O1214" s="29" t="n">
        <v>36</v>
      </c>
      <c r="P1214" s="30" t="n">
        <v>119.23</v>
      </c>
      <c r="Q1214" s="30" t="n">
        <v>65.51</v>
      </c>
      <c r="R1214" s="30" t="n">
        <f aca="false">ROUND(O1214*P1214,2)</f>
        <v>4292.28</v>
      </c>
      <c r="S1214" s="30" t="n">
        <f aca="false">ROUND(O1214*Q1214,2)</f>
        <v>2358.36</v>
      </c>
      <c r="T1214" s="30" t="n">
        <f aca="false">ROUND(R1214*SUMIFS(Parametros!$E$23:$E$38,Parametros!$B$23:$B$38,J1214,Parametros!$C$23:$C$38,C1214,Parametros!$D$23:$D$38,D1214),2)</f>
        <v>55.8</v>
      </c>
      <c r="U1214" s="30" t="n">
        <f aca="false">R1214-S1214-T1214</f>
        <v>1878.12</v>
      </c>
    </row>
    <row r="1215" customFormat="false" ht="15" hidden="false" customHeight="false" outlineLevel="0" collapsed="false">
      <c r="A1215" s="0" t="n">
        <v>1214</v>
      </c>
      <c r="B1215" s="27" t="n">
        <v>45678</v>
      </c>
      <c r="C1215" s="0" t="n">
        <v>2025</v>
      </c>
      <c r="D1215" s="28" t="s">
        <v>61</v>
      </c>
      <c r="E1215" s="0" t="n">
        <v>1</v>
      </c>
      <c r="F1215" s="28" t="s">
        <v>62</v>
      </c>
      <c r="G1215" s="28" t="s">
        <v>129</v>
      </c>
      <c r="H1215" s="28" t="s">
        <v>64</v>
      </c>
      <c r="I1215" s="28" t="s">
        <v>65</v>
      </c>
      <c r="J1215" s="28" t="s">
        <v>71</v>
      </c>
      <c r="K1215" s="28" t="s">
        <v>84</v>
      </c>
      <c r="L1215" s="28" t="s">
        <v>138</v>
      </c>
      <c r="M1215" s="28" t="s">
        <v>86</v>
      </c>
      <c r="N1215" s="28" t="s">
        <v>139</v>
      </c>
      <c r="O1215" s="29" t="n">
        <v>27</v>
      </c>
      <c r="P1215" s="30" t="n">
        <v>119.23</v>
      </c>
      <c r="Q1215" s="30" t="n">
        <v>65.51</v>
      </c>
      <c r="R1215" s="30" t="n">
        <f aca="false">ROUND(O1215*P1215,2)</f>
        <v>3219.21</v>
      </c>
      <c r="S1215" s="30" t="n">
        <f aca="false">ROUND(O1215*Q1215,2)</f>
        <v>1768.77</v>
      </c>
      <c r="T1215" s="30" t="n">
        <f aca="false">ROUND(R1215*SUMIFS(Parametros!$E$23:$E$38,Parametros!$B$23:$B$38,J1215,Parametros!$C$23:$C$38,C1215,Parametros!$D$23:$D$38,D1215),2)</f>
        <v>218.91</v>
      </c>
      <c r="U1215" s="30" t="n">
        <f aca="false">R1215-S1215-T1215</f>
        <v>1231.53</v>
      </c>
    </row>
    <row r="1216" customFormat="false" ht="15" hidden="false" customHeight="false" outlineLevel="0" collapsed="false">
      <c r="A1216" s="0" t="n">
        <v>1215</v>
      </c>
      <c r="B1216" s="27" t="n">
        <v>45658</v>
      </c>
      <c r="C1216" s="0" t="n">
        <v>2025</v>
      </c>
      <c r="D1216" s="28" t="s">
        <v>61</v>
      </c>
      <c r="E1216" s="0" t="n">
        <v>1</v>
      </c>
      <c r="F1216" s="28" t="s">
        <v>62</v>
      </c>
      <c r="G1216" s="28" t="s">
        <v>129</v>
      </c>
      <c r="H1216" s="28" t="s">
        <v>64</v>
      </c>
      <c r="I1216" s="28" t="s">
        <v>65</v>
      </c>
      <c r="J1216" s="28" t="s">
        <v>66</v>
      </c>
      <c r="K1216" s="28" t="s">
        <v>84</v>
      </c>
      <c r="L1216" s="28" t="s">
        <v>138</v>
      </c>
      <c r="M1216" s="28" t="s">
        <v>88</v>
      </c>
      <c r="N1216" s="28" t="s">
        <v>140</v>
      </c>
      <c r="O1216" s="29" t="n">
        <v>33</v>
      </c>
      <c r="P1216" s="30" t="n">
        <v>84.46</v>
      </c>
      <c r="Q1216" s="30" t="n">
        <v>49.47</v>
      </c>
      <c r="R1216" s="30" t="n">
        <f aca="false">ROUND(O1216*P1216,2)</f>
        <v>2787.18</v>
      </c>
      <c r="S1216" s="30" t="n">
        <f aca="false">ROUND(O1216*Q1216,2)</f>
        <v>1632.51</v>
      </c>
      <c r="T1216" s="30" t="n">
        <f aca="false">ROUND(R1216*SUMIFS(Parametros!$E$23:$E$38,Parametros!$B$23:$B$38,J1216,Parametros!$C$23:$C$38,C1216,Parametros!$D$23:$D$38,D1216),2)</f>
        <v>36.23</v>
      </c>
      <c r="U1216" s="30" t="n">
        <f aca="false">R1216-S1216-T1216</f>
        <v>1118.44</v>
      </c>
    </row>
    <row r="1217" customFormat="false" ht="15" hidden="false" customHeight="false" outlineLevel="0" collapsed="false">
      <c r="A1217" s="0" t="n">
        <v>1216</v>
      </c>
      <c r="B1217" s="27" t="n">
        <v>45665</v>
      </c>
      <c r="C1217" s="0" t="n">
        <v>2025</v>
      </c>
      <c r="D1217" s="28" t="s">
        <v>61</v>
      </c>
      <c r="E1217" s="0" t="n">
        <v>1</v>
      </c>
      <c r="F1217" s="28" t="s">
        <v>62</v>
      </c>
      <c r="G1217" s="28" t="s">
        <v>129</v>
      </c>
      <c r="H1217" s="28" t="s">
        <v>64</v>
      </c>
      <c r="I1217" s="28" t="s">
        <v>65</v>
      </c>
      <c r="J1217" s="28" t="s">
        <v>71</v>
      </c>
      <c r="K1217" s="28" t="s">
        <v>84</v>
      </c>
      <c r="L1217" s="28" t="s">
        <v>138</v>
      </c>
      <c r="M1217" s="28" t="s">
        <v>88</v>
      </c>
      <c r="N1217" s="28" t="s">
        <v>140</v>
      </c>
      <c r="O1217" s="29" t="n">
        <v>26</v>
      </c>
      <c r="P1217" s="30" t="n">
        <v>84.46</v>
      </c>
      <c r="Q1217" s="30" t="n">
        <v>49.47</v>
      </c>
      <c r="R1217" s="30" t="n">
        <f aca="false">ROUND(O1217*P1217,2)</f>
        <v>2195.96</v>
      </c>
      <c r="S1217" s="30" t="n">
        <f aca="false">ROUND(O1217*Q1217,2)</f>
        <v>1286.22</v>
      </c>
      <c r="T1217" s="30" t="n">
        <f aca="false">ROUND(R1217*SUMIFS(Parametros!$E$23:$E$38,Parametros!$B$23:$B$38,J1217,Parametros!$C$23:$C$38,C1217,Parametros!$D$23:$D$38,D1217),2)</f>
        <v>149.33</v>
      </c>
      <c r="U1217" s="30" t="n">
        <f aca="false">R1217-S1217-T1217</f>
        <v>760.41</v>
      </c>
    </row>
    <row r="1218" customFormat="false" ht="15" hidden="false" customHeight="false" outlineLevel="0" collapsed="false">
      <c r="A1218" s="0" t="n">
        <v>1217</v>
      </c>
      <c r="B1218" s="27" t="n">
        <v>45672</v>
      </c>
      <c r="C1218" s="0" t="n">
        <v>2025</v>
      </c>
      <c r="D1218" s="28" t="s">
        <v>61</v>
      </c>
      <c r="E1218" s="0" t="n">
        <v>1</v>
      </c>
      <c r="F1218" s="28" t="s">
        <v>62</v>
      </c>
      <c r="G1218" s="28" t="s">
        <v>129</v>
      </c>
      <c r="H1218" s="28" t="s">
        <v>64</v>
      </c>
      <c r="I1218" s="28" t="s">
        <v>65</v>
      </c>
      <c r="J1218" s="28" t="s">
        <v>66</v>
      </c>
      <c r="K1218" s="28" t="s">
        <v>90</v>
      </c>
      <c r="L1218" s="28" t="s">
        <v>141</v>
      </c>
      <c r="M1218" s="28" t="s">
        <v>92</v>
      </c>
      <c r="N1218" s="28" t="s">
        <v>142</v>
      </c>
      <c r="O1218" s="29" t="n">
        <v>45</v>
      </c>
      <c r="P1218" s="30" t="n">
        <v>129.17</v>
      </c>
      <c r="Q1218" s="30" t="n">
        <v>78.33</v>
      </c>
      <c r="R1218" s="30" t="n">
        <f aca="false">ROUND(O1218*P1218,2)</f>
        <v>5812.65</v>
      </c>
      <c r="S1218" s="30" t="n">
        <f aca="false">ROUND(O1218*Q1218,2)</f>
        <v>3524.85</v>
      </c>
      <c r="T1218" s="30" t="n">
        <f aca="false">ROUND(R1218*SUMIFS(Parametros!$E$23:$E$38,Parametros!$B$23:$B$38,J1218,Parametros!$C$23:$C$38,C1218,Parametros!$D$23:$D$38,D1218),2)</f>
        <v>75.56</v>
      </c>
      <c r="U1218" s="30" t="n">
        <f aca="false">R1218-S1218-T1218</f>
        <v>2212.24</v>
      </c>
    </row>
    <row r="1219" customFormat="false" ht="15" hidden="false" customHeight="false" outlineLevel="0" collapsed="false">
      <c r="A1219" s="0" t="n">
        <v>1218</v>
      </c>
      <c r="B1219" s="27" t="n">
        <v>45679</v>
      </c>
      <c r="C1219" s="0" t="n">
        <v>2025</v>
      </c>
      <c r="D1219" s="28" t="s">
        <v>61</v>
      </c>
      <c r="E1219" s="0" t="n">
        <v>1</v>
      </c>
      <c r="F1219" s="28" t="s">
        <v>62</v>
      </c>
      <c r="G1219" s="28" t="s">
        <v>129</v>
      </c>
      <c r="H1219" s="28" t="s">
        <v>64</v>
      </c>
      <c r="I1219" s="28" t="s">
        <v>65</v>
      </c>
      <c r="J1219" s="28" t="s">
        <v>71</v>
      </c>
      <c r="K1219" s="28" t="s">
        <v>90</v>
      </c>
      <c r="L1219" s="28" t="s">
        <v>141</v>
      </c>
      <c r="M1219" s="28" t="s">
        <v>92</v>
      </c>
      <c r="N1219" s="28" t="s">
        <v>142</v>
      </c>
      <c r="O1219" s="29" t="n">
        <v>36</v>
      </c>
      <c r="P1219" s="30" t="n">
        <v>129.17</v>
      </c>
      <c r="Q1219" s="30" t="n">
        <v>78.33</v>
      </c>
      <c r="R1219" s="30" t="n">
        <f aca="false">ROUND(O1219*P1219,2)</f>
        <v>4650.12</v>
      </c>
      <c r="S1219" s="30" t="n">
        <f aca="false">ROUND(O1219*Q1219,2)</f>
        <v>2819.88</v>
      </c>
      <c r="T1219" s="30" t="n">
        <f aca="false">ROUND(R1219*SUMIFS(Parametros!$E$23:$E$38,Parametros!$B$23:$B$38,J1219,Parametros!$C$23:$C$38,C1219,Parametros!$D$23:$D$38,D1219),2)</f>
        <v>316.21</v>
      </c>
      <c r="U1219" s="30" t="n">
        <f aca="false">R1219-S1219-T1219</f>
        <v>1514.03</v>
      </c>
    </row>
    <row r="1220" customFormat="false" ht="15" hidden="false" customHeight="false" outlineLevel="0" collapsed="false">
      <c r="A1220" s="0" t="n">
        <v>1219</v>
      </c>
      <c r="B1220" s="27" t="n">
        <v>45659</v>
      </c>
      <c r="C1220" s="0" t="n">
        <v>2025</v>
      </c>
      <c r="D1220" s="28" t="s">
        <v>61</v>
      </c>
      <c r="E1220" s="0" t="n">
        <v>1</v>
      </c>
      <c r="F1220" s="28" t="s">
        <v>62</v>
      </c>
      <c r="G1220" s="28" t="s">
        <v>129</v>
      </c>
      <c r="H1220" s="28" t="s">
        <v>64</v>
      </c>
      <c r="I1220" s="28" t="s">
        <v>65</v>
      </c>
      <c r="J1220" s="28" t="s">
        <v>66</v>
      </c>
      <c r="K1220" s="28" t="s">
        <v>90</v>
      </c>
      <c r="L1220" s="28" t="s">
        <v>141</v>
      </c>
      <c r="M1220" s="28" t="s">
        <v>94</v>
      </c>
      <c r="N1220" s="28" t="s">
        <v>143</v>
      </c>
      <c r="O1220" s="29" t="n">
        <v>49</v>
      </c>
      <c r="P1220" s="30" t="n">
        <v>34.78</v>
      </c>
      <c r="Q1220" s="30" t="n">
        <v>18.39</v>
      </c>
      <c r="R1220" s="30" t="n">
        <f aca="false">ROUND(O1220*P1220,2)</f>
        <v>1704.22</v>
      </c>
      <c r="S1220" s="30" t="n">
        <f aca="false">ROUND(O1220*Q1220,2)</f>
        <v>901.11</v>
      </c>
      <c r="T1220" s="30" t="n">
        <f aca="false">ROUND(R1220*SUMIFS(Parametros!$E$23:$E$38,Parametros!$B$23:$B$38,J1220,Parametros!$C$23:$C$38,C1220,Parametros!$D$23:$D$38,D1220),2)</f>
        <v>22.15</v>
      </c>
      <c r="U1220" s="30" t="n">
        <f aca="false">R1220-S1220-T1220</f>
        <v>780.96</v>
      </c>
    </row>
    <row r="1221" customFormat="false" ht="15" hidden="false" customHeight="false" outlineLevel="0" collapsed="false">
      <c r="A1221" s="0" t="n">
        <v>1220</v>
      </c>
      <c r="B1221" s="27" t="n">
        <v>45666</v>
      </c>
      <c r="C1221" s="0" t="n">
        <v>2025</v>
      </c>
      <c r="D1221" s="28" t="s">
        <v>61</v>
      </c>
      <c r="E1221" s="0" t="n">
        <v>1</v>
      </c>
      <c r="F1221" s="28" t="s">
        <v>62</v>
      </c>
      <c r="G1221" s="28" t="s">
        <v>129</v>
      </c>
      <c r="H1221" s="28" t="s">
        <v>64</v>
      </c>
      <c r="I1221" s="28" t="s">
        <v>65</v>
      </c>
      <c r="J1221" s="28" t="s">
        <v>71</v>
      </c>
      <c r="K1221" s="28" t="s">
        <v>90</v>
      </c>
      <c r="L1221" s="28" t="s">
        <v>141</v>
      </c>
      <c r="M1221" s="28" t="s">
        <v>94</v>
      </c>
      <c r="N1221" s="28" t="s">
        <v>143</v>
      </c>
      <c r="O1221" s="29" t="n">
        <v>33</v>
      </c>
      <c r="P1221" s="30" t="n">
        <v>34.78</v>
      </c>
      <c r="Q1221" s="30" t="n">
        <v>18.39</v>
      </c>
      <c r="R1221" s="30" t="n">
        <f aca="false">ROUND(O1221*P1221,2)</f>
        <v>1147.74</v>
      </c>
      <c r="S1221" s="30" t="n">
        <f aca="false">ROUND(O1221*Q1221,2)</f>
        <v>606.87</v>
      </c>
      <c r="T1221" s="30" t="n">
        <f aca="false">ROUND(R1221*SUMIFS(Parametros!$E$23:$E$38,Parametros!$B$23:$B$38,J1221,Parametros!$C$23:$C$38,C1221,Parametros!$D$23:$D$38,D1221),2)</f>
        <v>78.05</v>
      </c>
      <c r="U1221" s="30" t="n">
        <f aca="false">R1221-S1221-T1221</f>
        <v>462.82</v>
      </c>
    </row>
    <row r="1222" customFormat="false" ht="15" hidden="false" customHeight="false" outlineLevel="0" collapsed="false">
      <c r="A1222" s="0" t="n">
        <v>1221</v>
      </c>
      <c r="B1222" s="27" t="n">
        <v>45673</v>
      </c>
      <c r="C1222" s="0" t="n">
        <v>2025</v>
      </c>
      <c r="D1222" s="28" t="s">
        <v>61</v>
      </c>
      <c r="E1222" s="0" t="n">
        <v>1</v>
      </c>
      <c r="F1222" s="28" t="s">
        <v>62</v>
      </c>
      <c r="G1222" s="28" t="s">
        <v>129</v>
      </c>
      <c r="H1222" s="28" t="s">
        <v>96</v>
      </c>
      <c r="I1222" s="28" t="s">
        <v>97</v>
      </c>
      <c r="J1222" s="28" t="s">
        <v>66</v>
      </c>
      <c r="K1222" s="28" t="s">
        <v>67</v>
      </c>
      <c r="L1222" s="28" t="s">
        <v>130</v>
      </c>
      <c r="M1222" s="28" t="s">
        <v>69</v>
      </c>
      <c r="N1222" s="28" t="s">
        <v>131</v>
      </c>
      <c r="O1222" s="29" t="n">
        <v>10</v>
      </c>
      <c r="P1222" s="30" t="n">
        <v>1155.06</v>
      </c>
      <c r="Q1222" s="30" t="n">
        <v>766.32</v>
      </c>
      <c r="R1222" s="30" t="n">
        <f aca="false">ROUND(O1222*P1222,2)</f>
        <v>11550.6</v>
      </c>
      <c r="S1222" s="30" t="n">
        <f aca="false">ROUND(O1222*Q1222,2)</f>
        <v>7663.2</v>
      </c>
      <c r="T1222" s="30" t="n">
        <f aca="false">ROUND(R1222*SUMIFS(Parametros!$E$23:$E$38,Parametros!$B$23:$B$38,J1222,Parametros!$C$23:$C$38,C1222,Parametros!$D$23:$D$38,D1222),2)</f>
        <v>150.16</v>
      </c>
      <c r="U1222" s="30" t="n">
        <f aca="false">R1222-S1222-T1222</f>
        <v>3737.24</v>
      </c>
    </row>
    <row r="1223" customFormat="false" ht="15" hidden="false" customHeight="false" outlineLevel="0" collapsed="false">
      <c r="A1223" s="0" t="n">
        <v>1222</v>
      </c>
      <c r="B1223" s="27" t="n">
        <v>45680</v>
      </c>
      <c r="C1223" s="0" t="n">
        <v>2025</v>
      </c>
      <c r="D1223" s="28" t="s">
        <v>61</v>
      </c>
      <c r="E1223" s="0" t="n">
        <v>1</v>
      </c>
      <c r="F1223" s="28" t="s">
        <v>62</v>
      </c>
      <c r="G1223" s="28" t="s">
        <v>129</v>
      </c>
      <c r="H1223" s="28" t="s">
        <v>96</v>
      </c>
      <c r="I1223" s="28" t="s">
        <v>97</v>
      </c>
      <c r="J1223" s="28" t="s">
        <v>71</v>
      </c>
      <c r="K1223" s="28" t="s">
        <v>67</v>
      </c>
      <c r="L1223" s="28" t="s">
        <v>130</v>
      </c>
      <c r="M1223" s="28" t="s">
        <v>69</v>
      </c>
      <c r="N1223" s="28" t="s">
        <v>131</v>
      </c>
      <c r="O1223" s="29" t="n">
        <v>6</v>
      </c>
      <c r="P1223" s="30" t="n">
        <v>1155.06</v>
      </c>
      <c r="Q1223" s="30" t="n">
        <v>766.32</v>
      </c>
      <c r="R1223" s="30" t="n">
        <f aca="false">ROUND(O1223*P1223,2)</f>
        <v>6930.36</v>
      </c>
      <c r="S1223" s="30" t="n">
        <f aca="false">ROUND(O1223*Q1223,2)</f>
        <v>4597.92</v>
      </c>
      <c r="T1223" s="30" t="n">
        <f aca="false">ROUND(R1223*SUMIFS(Parametros!$E$23:$E$38,Parametros!$B$23:$B$38,J1223,Parametros!$C$23:$C$38,C1223,Parametros!$D$23:$D$38,D1223),2)</f>
        <v>471.26</v>
      </c>
      <c r="U1223" s="30" t="n">
        <f aca="false">R1223-S1223-T1223</f>
        <v>1861.18</v>
      </c>
    </row>
    <row r="1224" customFormat="false" ht="15" hidden="false" customHeight="false" outlineLevel="0" collapsed="false">
      <c r="A1224" s="0" t="n">
        <v>1223</v>
      </c>
      <c r="B1224" s="27" t="n">
        <v>45660</v>
      </c>
      <c r="C1224" s="0" t="n">
        <v>2025</v>
      </c>
      <c r="D1224" s="28" t="s">
        <v>61</v>
      </c>
      <c r="E1224" s="0" t="n">
        <v>1</v>
      </c>
      <c r="F1224" s="28" t="s">
        <v>62</v>
      </c>
      <c r="G1224" s="28" t="s">
        <v>129</v>
      </c>
      <c r="H1224" s="28" t="s">
        <v>96</v>
      </c>
      <c r="I1224" s="28" t="s">
        <v>97</v>
      </c>
      <c r="J1224" s="28" t="s">
        <v>66</v>
      </c>
      <c r="K1224" s="28" t="s">
        <v>67</v>
      </c>
      <c r="L1224" s="28" t="s">
        <v>130</v>
      </c>
      <c r="M1224" s="28" t="s">
        <v>72</v>
      </c>
      <c r="N1224" s="28" t="s">
        <v>132</v>
      </c>
      <c r="O1224" s="29" t="n">
        <v>9</v>
      </c>
      <c r="P1224" s="30" t="n">
        <v>433.15</v>
      </c>
      <c r="Q1224" s="30" t="n">
        <v>280.42</v>
      </c>
      <c r="R1224" s="30" t="n">
        <f aca="false">ROUND(O1224*P1224,2)</f>
        <v>3898.35</v>
      </c>
      <c r="S1224" s="30" t="n">
        <f aca="false">ROUND(O1224*Q1224,2)</f>
        <v>2523.78</v>
      </c>
      <c r="T1224" s="30" t="n">
        <f aca="false">ROUND(R1224*SUMIFS(Parametros!$E$23:$E$38,Parametros!$B$23:$B$38,J1224,Parametros!$C$23:$C$38,C1224,Parametros!$D$23:$D$38,D1224),2)</f>
        <v>50.68</v>
      </c>
      <c r="U1224" s="30" t="n">
        <f aca="false">R1224-S1224-T1224</f>
        <v>1323.89</v>
      </c>
    </row>
    <row r="1225" customFormat="false" ht="15" hidden="false" customHeight="false" outlineLevel="0" collapsed="false">
      <c r="A1225" s="0" t="n">
        <v>1224</v>
      </c>
      <c r="B1225" s="27" t="n">
        <v>45667</v>
      </c>
      <c r="C1225" s="0" t="n">
        <v>2025</v>
      </c>
      <c r="D1225" s="28" t="s">
        <v>61</v>
      </c>
      <c r="E1225" s="0" t="n">
        <v>1</v>
      </c>
      <c r="F1225" s="28" t="s">
        <v>62</v>
      </c>
      <c r="G1225" s="28" t="s">
        <v>129</v>
      </c>
      <c r="H1225" s="28" t="s">
        <v>96</v>
      </c>
      <c r="I1225" s="28" t="s">
        <v>97</v>
      </c>
      <c r="J1225" s="28" t="s">
        <v>71</v>
      </c>
      <c r="K1225" s="28" t="s">
        <v>67</v>
      </c>
      <c r="L1225" s="28" t="s">
        <v>130</v>
      </c>
      <c r="M1225" s="28" t="s">
        <v>72</v>
      </c>
      <c r="N1225" s="28" t="s">
        <v>132</v>
      </c>
      <c r="O1225" s="29" t="n">
        <v>6</v>
      </c>
      <c r="P1225" s="30" t="n">
        <v>433.15</v>
      </c>
      <c r="Q1225" s="30" t="n">
        <v>280.42</v>
      </c>
      <c r="R1225" s="30" t="n">
        <f aca="false">ROUND(O1225*P1225,2)</f>
        <v>2598.9</v>
      </c>
      <c r="S1225" s="30" t="n">
        <f aca="false">ROUND(O1225*Q1225,2)</f>
        <v>1682.52</v>
      </c>
      <c r="T1225" s="30" t="n">
        <f aca="false">ROUND(R1225*SUMIFS(Parametros!$E$23:$E$38,Parametros!$B$23:$B$38,J1225,Parametros!$C$23:$C$38,C1225,Parametros!$D$23:$D$38,D1225),2)</f>
        <v>176.73</v>
      </c>
      <c r="U1225" s="30" t="n">
        <f aca="false">R1225-S1225-T1225</f>
        <v>739.65</v>
      </c>
    </row>
    <row r="1226" customFormat="false" ht="15" hidden="false" customHeight="false" outlineLevel="0" collapsed="false">
      <c r="A1226" s="0" t="n">
        <v>1225</v>
      </c>
      <c r="B1226" s="27" t="n">
        <v>45674</v>
      </c>
      <c r="C1226" s="0" t="n">
        <v>2025</v>
      </c>
      <c r="D1226" s="28" t="s">
        <v>61</v>
      </c>
      <c r="E1226" s="0" t="n">
        <v>1</v>
      </c>
      <c r="F1226" s="28" t="s">
        <v>62</v>
      </c>
      <c r="G1226" s="28" t="s">
        <v>129</v>
      </c>
      <c r="H1226" s="28" t="s">
        <v>96</v>
      </c>
      <c r="I1226" s="28" t="s">
        <v>97</v>
      </c>
      <c r="J1226" s="28" t="s">
        <v>66</v>
      </c>
      <c r="K1226" s="28" t="s">
        <v>67</v>
      </c>
      <c r="L1226" s="28" t="s">
        <v>130</v>
      </c>
      <c r="M1226" s="28" t="s">
        <v>74</v>
      </c>
      <c r="N1226" s="28" t="s">
        <v>133</v>
      </c>
      <c r="O1226" s="29" t="n">
        <v>11</v>
      </c>
      <c r="P1226" s="30" t="n">
        <v>1588.21</v>
      </c>
      <c r="Q1226" s="30" t="n">
        <v>1155.66</v>
      </c>
      <c r="R1226" s="30" t="n">
        <f aca="false">ROUND(O1226*P1226,2)</f>
        <v>17470.31</v>
      </c>
      <c r="S1226" s="30" t="n">
        <f aca="false">ROUND(O1226*Q1226,2)</f>
        <v>12712.26</v>
      </c>
      <c r="T1226" s="30" t="n">
        <f aca="false">ROUND(R1226*SUMIFS(Parametros!$E$23:$E$38,Parametros!$B$23:$B$38,J1226,Parametros!$C$23:$C$38,C1226,Parametros!$D$23:$D$38,D1226),2)</f>
        <v>227.11</v>
      </c>
      <c r="U1226" s="30" t="n">
        <f aca="false">R1226-S1226-T1226</f>
        <v>4530.94</v>
      </c>
    </row>
    <row r="1227" customFormat="false" ht="15" hidden="false" customHeight="false" outlineLevel="0" collapsed="false">
      <c r="A1227" s="0" t="n">
        <v>1226</v>
      </c>
      <c r="B1227" s="27" t="n">
        <v>45681</v>
      </c>
      <c r="C1227" s="0" t="n">
        <v>2025</v>
      </c>
      <c r="D1227" s="28" t="s">
        <v>61</v>
      </c>
      <c r="E1227" s="0" t="n">
        <v>1</v>
      </c>
      <c r="F1227" s="28" t="s">
        <v>62</v>
      </c>
      <c r="G1227" s="28" t="s">
        <v>129</v>
      </c>
      <c r="H1227" s="28" t="s">
        <v>96</v>
      </c>
      <c r="I1227" s="28" t="s">
        <v>97</v>
      </c>
      <c r="J1227" s="28" t="s">
        <v>71</v>
      </c>
      <c r="K1227" s="28" t="s">
        <v>67</v>
      </c>
      <c r="L1227" s="28" t="s">
        <v>130</v>
      </c>
      <c r="M1227" s="28" t="s">
        <v>74</v>
      </c>
      <c r="N1227" s="28" t="s">
        <v>133</v>
      </c>
      <c r="O1227" s="29" t="n">
        <v>8</v>
      </c>
      <c r="P1227" s="30" t="n">
        <v>1588.21</v>
      </c>
      <c r="Q1227" s="30" t="n">
        <v>1155.66</v>
      </c>
      <c r="R1227" s="30" t="n">
        <f aca="false">ROUND(O1227*P1227,2)</f>
        <v>12705.68</v>
      </c>
      <c r="S1227" s="30" t="n">
        <f aca="false">ROUND(O1227*Q1227,2)</f>
        <v>9245.28</v>
      </c>
      <c r="T1227" s="30" t="n">
        <f aca="false">ROUND(R1227*SUMIFS(Parametros!$E$23:$E$38,Parametros!$B$23:$B$38,J1227,Parametros!$C$23:$C$38,C1227,Parametros!$D$23:$D$38,D1227),2)</f>
        <v>863.99</v>
      </c>
      <c r="U1227" s="30" t="n">
        <f aca="false">R1227-S1227-T1227</f>
        <v>2596.41</v>
      </c>
    </row>
    <row r="1228" customFormat="false" ht="15" hidden="false" customHeight="false" outlineLevel="0" collapsed="false">
      <c r="A1228" s="0" t="n">
        <v>1227</v>
      </c>
      <c r="B1228" s="27" t="n">
        <v>45661</v>
      </c>
      <c r="C1228" s="0" t="n">
        <v>2025</v>
      </c>
      <c r="D1228" s="28" t="s">
        <v>61</v>
      </c>
      <c r="E1228" s="0" t="n">
        <v>1</v>
      </c>
      <c r="F1228" s="28" t="s">
        <v>62</v>
      </c>
      <c r="G1228" s="28" t="s">
        <v>129</v>
      </c>
      <c r="H1228" s="28" t="s">
        <v>96</v>
      </c>
      <c r="I1228" s="28" t="s">
        <v>97</v>
      </c>
      <c r="J1228" s="28" t="s">
        <v>66</v>
      </c>
      <c r="K1228" s="28" t="s">
        <v>76</v>
      </c>
      <c r="L1228" s="28" t="s">
        <v>134</v>
      </c>
      <c r="M1228" s="28" t="s">
        <v>78</v>
      </c>
      <c r="N1228" s="28" t="s">
        <v>135</v>
      </c>
      <c r="O1228" s="29" t="n">
        <v>38</v>
      </c>
      <c r="P1228" s="30" t="n">
        <v>27.82</v>
      </c>
      <c r="Q1228" s="30" t="n">
        <v>13.84</v>
      </c>
      <c r="R1228" s="30" t="n">
        <f aca="false">ROUND(O1228*P1228,2)</f>
        <v>1057.16</v>
      </c>
      <c r="S1228" s="30" t="n">
        <f aca="false">ROUND(O1228*Q1228,2)</f>
        <v>525.92</v>
      </c>
      <c r="T1228" s="30" t="n">
        <f aca="false">ROUND(R1228*SUMIFS(Parametros!$E$23:$E$38,Parametros!$B$23:$B$38,J1228,Parametros!$C$23:$C$38,C1228,Parametros!$D$23:$D$38,D1228),2)</f>
        <v>13.74</v>
      </c>
      <c r="U1228" s="30" t="n">
        <f aca="false">R1228-S1228-T1228</f>
        <v>517.5</v>
      </c>
    </row>
    <row r="1229" customFormat="false" ht="15" hidden="false" customHeight="false" outlineLevel="0" collapsed="false">
      <c r="A1229" s="0" t="n">
        <v>1228</v>
      </c>
      <c r="B1229" s="27" t="n">
        <v>45668</v>
      </c>
      <c r="C1229" s="0" t="n">
        <v>2025</v>
      </c>
      <c r="D1229" s="28" t="s">
        <v>61</v>
      </c>
      <c r="E1229" s="0" t="n">
        <v>1</v>
      </c>
      <c r="F1229" s="28" t="s">
        <v>62</v>
      </c>
      <c r="G1229" s="28" t="s">
        <v>129</v>
      </c>
      <c r="H1229" s="28" t="s">
        <v>96</v>
      </c>
      <c r="I1229" s="28" t="s">
        <v>97</v>
      </c>
      <c r="J1229" s="28" t="s">
        <v>71</v>
      </c>
      <c r="K1229" s="28" t="s">
        <v>76</v>
      </c>
      <c r="L1229" s="28" t="s">
        <v>134</v>
      </c>
      <c r="M1229" s="28" t="s">
        <v>78</v>
      </c>
      <c r="N1229" s="28" t="s">
        <v>135</v>
      </c>
      <c r="O1229" s="29" t="n">
        <v>33</v>
      </c>
      <c r="P1229" s="30" t="n">
        <v>27.82</v>
      </c>
      <c r="Q1229" s="30" t="n">
        <v>13.84</v>
      </c>
      <c r="R1229" s="30" t="n">
        <f aca="false">ROUND(O1229*P1229,2)</f>
        <v>918.06</v>
      </c>
      <c r="S1229" s="30" t="n">
        <f aca="false">ROUND(O1229*Q1229,2)</f>
        <v>456.72</v>
      </c>
      <c r="T1229" s="30" t="n">
        <f aca="false">ROUND(R1229*SUMIFS(Parametros!$E$23:$E$38,Parametros!$B$23:$B$38,J1229,Parametros!$C$23:$C$38,C1229,Parametros!$D$23:$D$38,D1229),2)</f>
        <v>62.43</v>
      </c>
      <c r="U1229" s="30" t="n">
        <f aca="false">R1229-S1229-T1229</f>
        <v>398.91</v>
      </c>
    </row>
    <row r="1230" customFormat="false" ht="15" hidden="false" customHeight="false" outlineLevel="0" collapsed="false">
      <c r="A1230" s="0" t="n">
        <v>1229</v>
      </c>
      <c r="B1230" s="27" t="n">
        <v>45675</v>
      </c>
      <c r="C1230" s="0" t="n">
        <v>2025</v>
      </c>
      <c r="D1230" s="28" t="s">
        <v>61</v>
      </c>
      <c r="E1230" s="0" t="n">
        <v>1</v>
      </c>
      <c r="F1230" s="28" t="s">
        <v>62</v>
      </c>
      <c r="G1230" s="28" t="s">
        <v>129</v>
      </c>
      <c r="H1230" s="28" t="s">
        <v>96</v>
      </c>
      <c r="I1230" s="28" t="s">
        <v>97</v>
      </c>
      <c r="J1230" s="28" t="s">
        <v>66</v>
      </c>
      <c r="K1230" s="28" t="s">
        <v>76</v>
      </c>
      <c r="L1230" s="28" t="s">
        <v>134</v>
      </c>
      <c r="M1230" s="28" t="s">
        <v>80</v>
      </c>
      <c r="N1230" s="28" t="s">
        <v>136</v>
      </c>
      <c r="O1230" s="29" t="n">
        <v>39</v>
      </c>
      <c r="P1230" s="30" t="n">
        <v>94.39</v>
      </c>
      <c r="Q1230" s="30" t="n">
        <v>49.41</v>
      </c>
      <c r="R1230" s="30" t="n">
        <f aca="false">ROUND(O1230*P1230,2)</f>
        <v>3681.21</v>
      </c>
      <c r="S1230" s="30" t="n">
        <f aca="false">ROUND(O1230*Q1230,2)</f>
        <v>1926.99</v>
      </c>
      <c r="T1230" s="30" t="n">
        <f aca="false">ROUND(R1230*SUMIFS(Parametros!$E$23:$E$38,Parametros!$B$23:$B$38,J1230,Parametros!$C$23:$C$38,C1230,Parametros!$D$23:$D$38,D1230),2)</f>
        <v>47.86</v>
      </c>
      <c r="U1230" s="30" t="n">
        <f aca="false">R1230-S1230-T1230</f>
        <v>1706.36</v>
      </c>
    </row>
    <row r="1231" customFormat="false" ht="15" hidden="false" customHeight="false" outlineLevel="0" collapsed="false">
      <c r="A1231" s="0" t="n">
        <v>1230</v>
      </c>
      <c r="B1231" s="27" t="n">
        <v>45682</v>
      </c>
      <c r="C1231" s="0" t="n">
        <v>2025</v>
      </c>
      <c r="D1231" s="28" t="s">
        <v>61</v>
      </c>
      <c r="E1231" s="0" t="n">
        <v>1</v>
      </c>
      <c r="F1231" s="28" t="s">
        <v>62</v>
      </c>
      <c r="G1231" s="28" t="s">
        <v>129</v>
      </c>
      <c r="H1231" s="28" t="s">
        <v>96</v>
      </c>
      <c r="I1231" s="28" t="s">
        <v>97</v>
      </c>
      <c r="J1231" s="28" t="s">
        <v>71</v>
      </c>
      <c r="K1231" s="28" t="s">
        <v>76</v>
      </c>
      <c r="L1231" s="28" t="s">
        <v>134</v>
      </c>
      <c r="M1231" s="28" t="s">
        <v>80</v>
      </c>
      <c r="N1231" s="28" t="s">
        <v>136</v>
      </c>
      <c r="O1231" s="29" t="n">
        <v>35</v>
      </c>
      <c r="P1231" s="30" t="n">
        <v>94.39</v>
      </c>
      <c r="Q1231" s="30" t="n">
        <v>49.41</v>
      </c>
      <c r="R1231" s="30" t="n">
        <f aca="false">ROUND(O1231*P1231,2)</f>
        <v>3303.65</v>
      </c>
      <c r="S1231" s="30" t="n">
        <f aca="false">ROUND(O1231*Q1231,2)</f>
        <v>1729.35</v>
      </c>
      <c r="T1231" s="30" t="n">
        <f aca="false">ROUND(R1231*SUMIFS(Parametros!$E$23:$E$38,Parametros!$B$23:$B$38,J1231,Parametros!$C$23:$C$38,C1231,Parametros!$D$23:$D$38,D1231),2)</f>
        <v>224.65</v>
      </c>
      <c r="U1231" s="30" t="n">
        <f aca="false">R1231-S1231-T1231</f>
        <v>1349.65</v>
      </c>
    </row>
    <row r="1232" customFormat="false" ht="15" hidden="false" customHeight="false" outlineLevel="0" collapsed="false">
      <c r="A1232" s="0" t="n">
        <v>1231</v>
      </c>
      <c r="B1232" s="27" t="n">
        <v>45662</v>
      </c>
      <c r="C1232" s="0" t="n">
        <v>2025</v>
      </c>
      <c r="D1232" s="28" t="s">
        <v>61</v>
      </c>
      <c r="E1232" s="0" t="n">
        <v>1</v>
      </c>
      <c r="F1232" s="28" t="s">
        <v>62</v>
      </c>
      <c r="G1232" s="28" t="s">
        <v>129</v>
      </c>
      <c r="H1232" s="28" t="s">
        <v>96</v>
      </c>
      <c r="I1232" s="28" t="s">
        <v>97</v>
      </c>
      <c r="J1232" s="28" t="s">
        <v>66</v>
      </c>
      <c r="K1232" s="28" t="s">
        <v>76</v>
      </c>
      <c r="L1232" s="28" t="s">
        <v>134</v>
      </c>
      <c r="M1232" s="28" t="s">
        <v>82</v>
      </c>
      <c r="N1232" s="28" t="s">
        <v>137</v>
      </c>
      <c r="O1232" s="29" t="n">
        <v>43</v>
      </c>
      <c r="P1232" s="30" t="n">
        <v>64.58</v>
      </c>
      <c r="Q1232" s="30" t="n">
        <v>36.49</v>
      </c>
      <c r="R1232" s="30" t="n">
        <f aca="false">ROUND(O1232*P1232,2)</f>
        <v>2776.94</v>
      </c>
      <c r="S1232" s="30" t="n">
        <f aca="false">ROUND(O1232*Q1232,2)</f>
        <v>1569.07</v>
      </c>
      <c r="T1232" s="30" t="n">
        <f aca="false">ROUND(R1232*SUMIFS(Parametros!$E$23:$E$38,Parametros!$B$23:$B$38,J1232,Parametros!$C$23:$C$38,C1232,Parametros!$D$23:$D$38,D1232),2)</f>
        <v>36.1</v>
      </c>
      <c r="U1232" s="30" t="n">
        <f aca="false">R1232-S1232-T1232</f>
        <v>1171.77</v>
      </c>
    </row>
    <row r="1233" customFormat="false" ht="15" hidden="false" customHeight="false" outlineLevel="0" collapsed="false">
      <c r="A1233" s="0" t="n">
        <v>1232</v>
      </c>
      <c r="B1233" s="27" t="n">
        <v>45669</v>
      </c>
      <c r="C1233" s="0" t="n">
        <v>2025</v>
      </c>
      <c r="D1233" s="28" t="s">
        <v>61</v>
      </c>
      <c r="E1233" s="0" t="n">
        <v>1</v>
      </c>
      <c r="F1233" s="28" t="s">
        <v>62</v>
      </c>
      <c r="G1233" s="28" t="s">
        <v>129</v>
      </c>
      <c r="H1233" s="28" t="s">
        <v>96</v>
      </c>
      <c r="I1233" s="28" t="s">
        <v>97</v>
      </c>
      <c r="J1233" s="28" t="s">
        <v>71</v>
      </c>
      <c r="K1233" s="28" t="s">
        <v>76</v>
      </c>
      <c r="L1233" s="28" t="s">
        <v>134</v>
      </c>
      <c r="M1233" s="28" t="s">
        <v>82</v>
      </c>
      <c r="N1233" s="28" t="s">
        <v>137</v>
      </c>
      <c r="O1233" s="29" t="n">
        <v>31</v>
      </c>
      <c r="P1233" s="30" t="n">
        <v>64.58</v>
      </c>
      <c r="Q1233" s="30" t="n">
        <v>36.49</v>
      </c>
      <c r="R1233" s="30" t="n">
        <f aca="false">ROUND(O1233*P1233,2)</f>
        <v>2001.98</v>
      </c>
      <c r="S1233" s="30" t="n">
        <f aca="false">ROUND(O1233*Q1233,2)</f>
        <v>1131.19</v>
      </c>
      <c r="T1233" s="30" t="n">
        <f aca="false">ROUND(R1233*SUMIFS(Parametros!$E$23:$E$38,Parametros!$B$23:$B$38,J1233,Parametros!$C$23:$C$38,C1233,Parametros!$D$23:$D$38,D1233),2)</f>
        <v>136.13</v>
      </c>
      <c r="U1233" s="30" t="n">
        <f aca="false">R1233-S1233-T1233</f>
        <v>734.66</v>
      </c>
    </row>
    <row r="1234" customFormat="false" ht="15" hidden="false" customHeight="false" outlineLevel="0" collapsed="false">
      <c r="A1234" s="0" t="n">
        <v>1233</v>
      </c>
      <c r="B1234" s="27" t="n">
        <v>45676</v>
      </c>
      <c r="C1234" s="0" t="n">
        <v>2025</v>
      </c>
      <c r="D1234" s="28" t="s">
        <v>61</v>
      </c>
      <c r="E1234" s="0" t="n">
        <v>1</v>
      </c>
      <c r="F1234" s="28" t="s">
        <v>62</v>
      </c>
      <c r="G1234" s="28" t="s">
        <v>129</v>
      </c>
      <c r="H1234" s="28" t="s">
        <v>96</v>
      </c>
      <c r="I1234" s="28" t="s">
        <v>97</v>
      </c>
      <c r="J1234" s="28" t="s">
        <v>66</v>
      </c>
      <c r="K1234" s="28" t="s">
        <v>84</v>
      </c>
      <c r="L1234" s="28" t="s">
        <v>138</v>
      </c>
      <c r="M1234" s="28" t="s">
        <v>86</v>
      </c>
      <c r="N1234" s="28" t="s">
        <v>139</v>
      </c>
      <c r="O1234" s="29" t="n">
        <v>22</v>
      </c>
      <c r="P1234" s="30" t="n">
        <v>119.23</v>
      </c>
      <c r="Q1234" s="30" t="n">
        <v>65.51</v>
      </c>
      <c r="R1234" s="30" t="n">
        <f aca="false">ROUND(O1234*P1234,2)</f>
        <v>2623.06</v>
      </c>
      <c r="S1234" s="30" t="n">
        <f aca="false">ROUND(O1234*Q1234,2)</f>
        <v>1441.22</v>
      </c>
      <c r="T1234" s="30" t="n">
        <f aca="false">ROUND(R1234*SUMIFS(Parametros!$E$23:$E$38,Parametros!$B$23:$B$38,J1234,Parametros!$C$23:$C$38,C1234,Parametros!$D$23:$D$38,D1234),2)</f>
        <v>34.1</v>
      </c>
      <c r="U1234" s="30" t="n">
        <f aca="false">R1234-S1234-T1234</f>
        <v>1147.74</v>
      </c>
    </row>
    <row r="1235" customFormat="false" ht="15" hidden="false" customHeight="false" outlineLevel="0" collapsed="false">
      <c r="A1235" s="0" t="n">
        <v>1234</v>
      </c>
      <c r="B1235" s="27" t="n">
        <v>45683</v>
      </c>
      <c r="C1235" s="0" t="n">
        <v>2025</v>
      </c>
      <c r="D1235" s="28" t="s">
        <v>61</v>
      </c>
      <c r="E1235" s="0" t="n">
        <v>1</v>
      </c>
      <c r="F1235" s="28" t="s">
        <v>62</v>
      </c>
      <c r="G1235" s="28" t="s">
        <v>129</v>
      </c>
      <c r="H1235" s="28" t="s">
        <v>96</v>
      </c>
      <c r="I1235" s="28" t="s">
        <v>97</v>
      </c>
      <c r="J1235" s="28" t="s">
        <v>71</v>
      </c>
      <c r="K1235" s="28" t="s">
        <v>84</v>
      </c>
      <c r="L1235" s="28" t="s">
        <v>138</v>
      </c>
      <c r="M1235" s="28" t="s">
        <v>86</v>
      </c>
      <c r="N1235" s="28" t="s">
        <v>139</v>
      </c>
      <c r="O1235" s="29" t="n">
        <v>16</v>
      </c>
      <c r="P1235" s="30" t="n">
        <v>119.23</v>
      </c>
      <c r="Q1235" s="30" t="n">
        <v>65.51</v>
      </c>
      <c r="R1235" s="30" t="n">
        <f aca="false">ROUND(O1235*P1235,2)</f>
        <v>1907.68</v>
      </c>
      <c r="S1235" s="30" t="n">
        <f aca="false">ROUND(O1235*Q1235,2)</f>
        <v>1048.16</v>
      </c>
      <c r="T1235" s="30" t="n">
        <f aca="false">ROUND(R1235*SUMIFS(Parametros!$E$23:$E$38,Parametros!$B$23:$B$38,J1235,Parametros!$C$23:$C$38,C1235,Parametros!$D$23:$D$38,D1235),2)</f>
        <v>129.72</v>
      </c>
      <c r="U1235" s="30" t="n">
        <f aca="false">R1235-S1235-T1235</f>
        <v>729.8</v>
      </c>
    </row>
    <row r="1236" customFormat="false" ht="15" hidden="false" customHeight="false" outlineLevel="0" collapsed="false">
      <c r="A1236" s="0" t="n">
        <v>1235</v>
      </c>
      <c r="B1236" s="27" t="n">
        <v>45663</v>
      </c>
      <c r="C1236" s="0" t="n">
        <v>2025</v>
      </c>
      <c r="D1236" s="28" t="s">
        <v>61</v>
      </c>
      <c r="E1236" s="0" t="n">
        <v>1</v>
      </c>
      <c r="F1236" s="28" t="s">
        <v>62</v>
      </c>
      <c r="G1236" s="28" t="s">
        <v>129</v>
      </c>
      <c r="H1236" s="28" t="s">
        <v>96</v>
      </c>
      <c r="I1236" s="28" t="s">
        <v>97</v>
      </c>
      <c r="J1236" s="28" t="s">
        <v>66</v>
      </c>
      <c r="K1236" s="28" t="s">
        <v>84</v>
      </c>
      <c r="L1236" s="28" t="s">
        <v>138</v>
      </c>
      <c r="M1236" s="28" t="s">
        <v>88</v>
      </c>
      <c r="N1236" s="28" t="s">
        <v>140</v>
      </c>
      <c r="O1236" s="29" t="n">
        <v>20</v>
      </c>
      <c r="P1236" s="30" t="n">
        <v>84.46</v>
      </c>
      <c r="Q1236" s="30" t="n">
        <v>49.47</v>
      </c>
      <c r="R1236" s="30" t="n">
        <f aca="false">ROUND(O1236*P1236,2)</f>
        <v>1689.2</v>
      </c>
      <c r="S1236" s="30" t="n">
        <f aca="false">ROUND(O1236*Q1236,2)</f>
        <v>989.4</v>
      </c>
      <c r="T1236" s="30" t="n">
        <f aca="false">ROUND(R1236*SUMIFS(Parametros!$E$23:$E$38,Parametros!$B$23:$B$38,J1236,Parametros!$C$23:$C$38,C1236,Parametros!$D$23:$D$38,D1236),2)</f>
        <v>21.96</v>
      </c>
      <c r="U1236" s="30" t="n">
        <f aca="false">R1236-S1236-T1236</f>
        <v>677.84</v>
      </c>
    </row>
    <row r="1237" customFormat="false" ht="15" hidden="false" customHeight="false" outlineLevel="0" collapsed="false">
      <c r="A1237" s="0" t="n">
        <v>1236</v>
      </c>
      <c r="B1237" s="27" t="n">
        <v>45670</v>
      </c>
      <c r="C1237" s="0" t="n">
        <v>2025</v>
      </c>
      <c r="D1237" s="28" t="s">
        <v>61</v>
      </c>
      <c r="E1237" s="0" t="n">
        <v>1</v>
      </c>
      <c r="F1237" s="28" t="s">
        <v>62</v>
      </c>
      <c r="G1237" s="28" t="s">
        <v>129</v>
      </c>
      <c r="H1237" s="28" t="s">
        <v>96</v>
      </c>
      <c r="I1237" s="28" t="s">
        <v>97</v>
      </c>
      <c r="J1237" s="28" t="s">
        <v>71</v>
      </c>
      <c r="K1237" s="28" t="s">
        <v>84</v>
      </c>
      <c r="L1237" s="28" t="s">
        <v>138</v>
      </c>
      <c r="M1237" s="28" t="s">
        <v>88</v>
      </c>
      <c r="N1237" s="28" t="s">
        <v>140</v>
      </c>
      <c r="O1237" s="29" t="n">
        <v>14</v>
      </c>
      <c r="P1237" s="30" t="n">
        <v>84.46</v>
      </c>
      <c r="Q1237" s="30" t="n">
        <v>49.47</v>
      </c>
      <c r="R1237" s="30" t="n">
        <f aca="false">ROUND(O1237*P1237,2)</f>
        <v>1182.44</v>
      </c>
      <c r="S1237" s="30" t="n">
        <f aca="false">ROUND(O1237*Q1237,2)</f>
        <v>692.58</v>
      </c>
      <c r="T1237" s="30" t="n">
        <f aca="false">ROUND(R1237*SUMIFS(Parametros!$E$23:$E$38,Parametros!$B$23:$B$38,J1237,Parametros!$C$23:$C$38,C1237,Parametros!$D$23:$D$38,D1237),2)</f>
        <v>80.41</v>
      </c>
      <c r="U1237" s="30" t="n">
        <f aca="false">R1237-S1237-T1237</f>
        <v>409.45</v>
      </c>
    </row>
    <row r="1238" customFormat="false" ht="15" hidden="false" customHeight="false" outlineLevel="0" collapsed="false">
      <c r="A1238" s="0" t="n">
        <v>1237</v>
      </c>
      <c r="B1238" s="27" t="n">
        <v>45677</v>
      </c>
      <c r="C1238" s="0" t="n">
        <v>2025</v>
      </c>
      <c r="D1238" s="28" t="s">
        <v>61</v>
      </c>
      <c r="E1238" s="0" t="n">
        <v>1</v>
      </c>
      <c r="F1238" s="28" t="s">
        <v>62</v>
      </c>
      <c r="G1238" s="28" t="s">
        <v>129</v>
      </c>
      <c r="H1238" s="28" t="s">
        <v>96</v>
      </c>
      <c r="I1238" s="28" t="s">
        <v>97</v>
      </c>
      <c r="J1238" s="28" t="s">
        <v>66</v>
      </c>
      <c r="K1238" s="28" t="s">
        <v>90</v>
      </c>
      <c r="L1238" s="28" t="s">
        <v>141</v>
      </c>
      <c r="M1238" s="28" t="s">
        <v>92</v>
      </c>
      <c r="N1238" s="28" t="s">
        <v>142</v>
      </c>
      <c r="O1238" s="29" t="n">
        <v>24</v>
      </c>
      <c r="P1238" s="30" t="n">
        <v>129.17</v>
      </c>
      <c r="Q1238" s="30" t="n">
        <v>78.33</v>
      </c>
      <c r="R1238" s="30" t="n">
        <f aca="false">ROUND(O1238*P1238,2)</f>
        <v>3100.08</v>
      </c>
      <c r="S1238" s="30" t="n">
        <f aca="false">ROUND(O1238*Q1238,2)</f>
        <v>1879.92</v>
      </c>
      <c r="T1238" s="30" t="n">
        <f aca="false">ROUND(R1238*SUMIFS(Parametros!$E$23:$E$38,Parametros!$B$23:$B$38,J1238,Parametros!$C$23:$C$38,C1238,Parametros!$D$23:$D$38,D1238),2)</f>
        <v>40.3</v>
      </c>
      <c r="U1238" s="30" t="n">
        <f aca="false">R1238-S1238-T1238</f>
        <v>1179.86</v>
      </c>
    </row>
    <row r="1239" customFormat="false" ht="15" hidden="false" customHeight="false" outlineLevel="0" collapsed="false">
      <c r="A1239" s="0" t="n">
        <v>1238</v>
      </c>
      <c r="B1239" s="27" t="n">
        <v>45684</v>
      </c>
      <c r="C1239" s="0" t="n">
        <v>2025</v>
      </c>
      <c r="D1239" s="28" t="s">
        <v>61</v>
      </c>
      <c r="E1239" s="0" t="n">
        <v>1</v>
      </c>
      <c r="F1239" s="28" t="s">
        <v>62</v>
      </c>
      <c r="G1239" s="28" t="s">
        <v>129</v>
      </c>
      <c r="H1239" s="28" t="s">
        <v>96</v>
      </c>
      <c r="I1239" s="28" t="s">
        <v>97</v>
      </c>
      <c r="J1239" s="28" t="s">
        <v>71</v>
      </c>
      <c r="K1239" s="28" t="s">
        <v>90</v>
      </c>
      <c r="L1239" s="28" t="s">
        <v>141</v>
      </c>
      <c r="M1239" s="28" t="s">
        <v>92</v>
      </c>
      <c r="N1239" s="28" t="s">
        <v>142</v>
      </c>
      <c r="O1239" s="29" t="n">
        <v>16</v>
      </c>
      <c r="P1239" s="30" t="n">
        <v>129.17</v>
      </c>
      <c r="Q1239" s="30" t="n">
        <v>78.33</v>
      </c>
      <c r="R1239" s="30" t="n">
        <f aca="false">ROUND(O1239*P1239,2)</f>
        <v>2066.72</v>
      </c>
      <c r="S1239" s="30" t="n">
        <f aca="false">ROUND(O1239*Q1239,2)</f>
        <v>1253.28</v>
      </c>
      <c r="T1239" s="30" t="n">
        <f aca="false">ROUND(R1239*SUMIFS(Parametros!$E$23:$E$38,Parametros!$B$23:$B$38,J1239,Parametros!$C$23:$C$38,C1239,Parametros!$D$23:$D$38,D1239),2)</f>
        <v>140.54</v>
      </c>
      <c r="U1239" s="30" t="n">
        <f aca="false">R1239-S1239-T1239</f>
        <v>672.9</v>
      </c>
    </row>
    <row r="1240" customFormat="false" ht="15" hidden="false" customHeight="false" outlineLevel="0" collapsed="false">
      <c r="A1240" s="0" t="n">
        <v>1239</v>
      </c>
      <c r="B1240" s="27" t="n">
        <v>45664</v>
      </c>
      <c r="C1240" s="0" t="n">
        <v>2025</v>
      </c>
      <c r="D1240" s="28" t="s">
        <v>61</v>
      </c>
      <c r="E1240" s="0" t="n">
        <v>1</v>
      </c>
      <c r="F1240" s="28" t="s">
        <v>62</v>
      </c>
      <c r="G1240" s="28" t="s">
        <v>129</v>
      </c>
      <c r="H1240" s="28" t="s">
        <v>96</v>
      </c>
      <c r="I1240" s="28" t="s">
        <v>97</v>
      </c>
      <c r="J1240" s="28" t="s">
        <v>66</v>
      </c>
      <c r="K1240" s="28" t="s">
        <v>90</v>
      </c>
      <c r="L1240" s="28" t="s">
        <v>141</v>
      </c>
      <c r="M1240" s="28" t="s">
        <v>94</v>
      </c>
      <c r="N1240" s="28" t="s">
        <v>143</v>
      </c>
      <c r="O1240" s="29" t="n">
        <v>25</v>
      </c>
      <c r="P1240" s="30" t="n">
        <v>34.78</v>
      </c>
      <c r="Q1240" s="30" t="n">
        <v>18.39</v>
      </c>
      <c r="R1240" s="30" t="n">
        <f aca="false">ROUND(O1240*P1240,2)</f>
        <v>869.5</v>
      </c>
      <c r="S1240" s="30" t="n">
        <f aca="false">ROUND(O1240*Q1240,2)</f>
        <v>459.75</v>
      </c>
      <c r="T1240" s="30" t="n">
        <f aca="false">ROUND(R1240*SUMIFS(Parametros!$E$23:$E$38,Parametros!$B$23:$B$38,J1240,Parametros!$C$23:$C$38,C1240,Parametros!$D$23:$D$38,D1240),2)</f>
        <v>11.3</v>
      </c>
      <c r="U1240" s="30" t="n">
        <f aca="false">R1240-S1240-T1240</f>
        <v>398.45</v>
      </c>
    </row>
    <row r="1241" customFormat="false" ht="15" hidden="false" customHeight="false" outlineLevel="0" collapsed="false">
      <c r="A1241" s="0" t="n">
        <v>1240</v>
      </c>
      <c r="B1241" s="27" t="n">
        <v>45671</v>
      </c>
      <c r="C1241" s="0" t="n">
        <v>2025</v>
      </c>
      <c r="D1241" s="28" t="s">
        <v>61</v>
      </c>
      <c r="E1241" s="0" t="n">
        <v>1</v>
      </c>
      <c r="F1241" s="28" t="s">
        <v>62</v>
      </c>
      <c r="G1241" s="28" t="s">
        <v>129</v>
      </c>
      <c r="H1241" s="28" t="s">
        <v>96</v>
      </c>
      <c r="I1241" s="28" t="s">
        <v>97</v>
      </c>
      <c r="J1241" s="28" t="s">
        <v>71</v>
      </c>
      <c r="K1241" s="28" t="s">
        <v>90</v>
      </c>
      <c r="L1241" s="28" t="s">
        <v>141</v>
      </c>
      <c r="M1241" s="28" t="s">
        <v>94</v>
      </c>
      <c r="N1241" s="28" t="s">
        <v>143</v>
      </c>
      <c r="O1241" s="29" t="n">
        <v>19</v>
      </c>
      <c r="P1241" s="30" t="n">
        <v>34.78</v>
      </c>
      <c r="Q1241" s="30" t="n">
        <v>18.39</v>
      </c>
      <c r="R1241" s="30" t="n">
        <f aca="false">ROUND(O1241*P1241,2)</f>
        <v>660.82</v>
      </c>
      <c r="S1241" s="30" t="n">
        <f aca="false">ROUND(O1241*Q1241,2)</f>
        <v>349.41</v>
      </c>
      <c r="T1241" s="30" t="n">
        <f aca="false">ROUND(R1241*SUMIFS(Parametros!$E$23:$E$38,Parametros!$B$23:$B$38,J1241,Parametros!$C$23:$C$38,C1241,Parametros!$D$23:$D$38,D1241),2)</f>
        <v>44.94</v>
      </c>
      <c r="U1241" s="30" t="n">
        <f aca="false">R1241-S1241-T1241</f>
        <v>266.47</v>
      </c>
    </row>
    <row r="1242" customFormat="false" ht="15" hidden="false" customHeight="false" outlineLevel="0" collapsed="false">
      <c r="A1242" s="0" t="n">
        <v>1241</v>
      </c>
      <c r="B1242" s="27" t="n">
        <v>45678</v>
      </c>
      <c r="C1242" s="0" t="n">
        <v>2025</v>
      </c>
      <c r="D1242" s="28" t="s">
        <v>61</v>
      </c>
      <c r="E1242" s="0" t="n">
        <v>1</v>
      </c>
      <c r="F1242" s="28" t="s">
        <v>62</v>
      </c>
      <c r="G1242" s="28" t="s">
        <v>129</v>
      </c>
      <c r="H1242" s="28" t="s">
        <v>98</v>
      </c>
      <c r="I1242" s="28" t="s">
        <v>99</v>
      </c>
      <c r="J1242" s="28" t="s">
        <v>66</v>
      </c>
      <c r="K1242" s="28" t="s">
        <v>67</v>
      </c>
      <c r="L1242" s="28" t="s">
        <v>130</v>
      </c>
      <c r="M1242" s="28" t="s">
        <v>69</v>
      </c>
      <c r="N1242" s="28" t="s">
        <v>131</v>
      </c>
      <c r="O1242" s="29" t="n">
        <v>7</v>
      </c>
      <c r="P1242" s="30" t="n">
        <v>1155.06</v>
      </c>
      <c r="Q1242" s="30" t="n">
        <v>766.32</v>
      </c>
      <c r="R1242" s="30" t="n">
        <f aca="false">ROUND(O1242*P1242,2)</f>
        <v>8085.42</v>
      </c>
      <c r="S1242" s="30" t="n">
        <f aca="false">ROUND(O1242*Q1242,2)</f>
        <v>5364.24</v>
      </c>
      <c r="T1242" s="30" t="n">
        <f aca="false">ROUND(R1242*SUMIFS(Parametros!$E$23:$E$38,Parametros!$B$23:$B$38,J1242,Parametros!$C$23:$C$38,C1242,Parametros!$D$23:$D$38,D1242),2)</f>
        <v>105.11</v>
      </c>
      <c r="U1242" s="30" t="n">
        <f aca="false">R1242-S1242-T1242</f>
        <v>2616.07</v>
      </c>
    </row>
    <row r="1243" customFormat="false" ht="15" hidden="false" customHeight="false" outlineLevel="0" collapsed="false">
      <c r="A1243" s="0" t="n">
        <v>1242</v>
      </c>
      <c r="B1243" s="27" t="n">
        <v>45658</v>
      </c>
      <c r="C1243" s="0" t="n">
        <v>2025</v>
      </c>
      <c r="D1243" s="28" t="s">
        <v>61</v>
      </c>
      <c r="E1243" s="0" t="n">
        <v>1</v>
      </c>
      <c r="F1243" s="28" t="s">
        <v>62</v>
      </c>
      <c r="G1243" s="28" t="s">
        <v>129</v>
      </c>
      <c r="H1243" s="28" t="s">
        <v>98</v>
      </c>
      <c r="I1243" s="28" t="s">
        <v>99</v>
      </c>
      <c r="J1243" s="28" t="s">
        <v>71</v>
      </c>
      <c r="K1243" s="28" t="s">
        <v>67</v>
      </c>
      <c r="L1243" s="28" t="s">
        <v>130</v>
      </c>
      <c r="M1243" s="28" t="s">
        <v>69</v>
      </c>
      <c r="N1243" s="28" t="s">
        <v>131</v>
      </c>
      <c r="O1243" s="29" t="n">
        <v>5</v>
      </c>
      <c r="P1243" s="30" t="n">
        <v>1155.06</v>
      </c>
      <c r="Q1243" s="30" t="n">
        <v>766.32</v>
      </c>
      <c r="R1243" s="30" t="n">
        <f aca="false">ROUND(O1243*P1243,2)</f>
        <v>5775.3</v>
      </c>
      <c r="S1243" s="30" t="n">
        <f aca="false">ROUND(O1243*Q1243,2)</f>
        <v>3831.6</v>
      </c>
      <c r="T1243" s="30" t="n">
        <f aca="false">ROUND(R1243*SUMIFS(Parametros!$E$23:$E$38,Parametros!$B$23:$B$38,J1243,Parametros!$C$23:$C$38,C1243,Parametros!$D$23:$D$38,D1243),2)</f>
        <v>392.72</v>
      </c>
      <c r="U1243" s="30" t="n">
        <f aca="false">R1243-S1243-T1243</f>
        <v>1550.98</v>
      </c>
    </row>
    <row r="1244" customFormat="false" ht="15" hidden="false" customHeight="false" outlineLevel="0" collapsed="false">
      <c r="A1244" s="0" t="n">
        <v>1243</v>
      </c>
      <c r="B1244" s="27" t="n">
        <v>45665</v>
      </c>
      <c r="C1244" s="0" t="n">
        <v>2025</v>
      </c>
      <c r="D1244" s="28" t="s">
        <v>61</v>
      </c>
      <c r="E1244" s="0" t="n">
        <v>1</v>
      </c>
      <c r="F1244" s="28" t="s">
        <v>62</v>
      </c>
      <c r="G1244" s="28" t="s">
        <v>129</v>
      </c>
      <c r="H1244" s="28" t="s">
        <v>98</v>
      </c>
      <c r="I1244" s="28" t="s">
        <v>99</v>
      </c>
      <c r="J1244" s="28" t="s">
        <v>66</v>
      </c>
      <c r="K1244" s="28" t="s">
        <v>67</v>
      </c>
      <c r="L1244" s="28" t="s">
        <v>130</v>
      </c>
      <c r="M1244" s="28" t="s">
        <v>72</v>
      </c>
      <c r="N1244" s="28" t="s">
        <v>132</v>
      </c>
      <c r="O1244" s="29" t="n">
        <v>7</v>
      </c>
      <c r="P1244" s="30" t="n">
        <v>433.15</v>
      </c>
      <c r="Q1244" s="30" t="n">
        <v>280.42</v>
      </c>
      <c r="R1244" s="30" t="n">
        <f aca="false">ROUND(O1244*P1244,2)</f>
        <v>3032.05</v>
      </c>
      <c r="S1244" s="30" t="n">
        <f aca="false">ROUND(O1244*Q1244,2)</f>
        <v>1962.94</v>
      </c>
      <c r="T1244" s="30" t="n">
        <f aca="false">ROUND(R1244*SUMIFS(Parametros!$E$23:$E$38,Parametros!$B$23:$B$38,J1244,Parametros!$C$23:$C$38,C1244,Parametros!$D$23:$D$38,D1244),2)</f>
        <v>39.42</v>
      </c>
      <c r="U1244" s="30" t="n">
        <f aca="false">R1244-S1244-T1244</f>
        <v>1029.69</v>
      </c>
    </row>
    <row r="1245" customFormat="false" ht="15" hidden="false" customHeight="false" outlineLevel="0" collapsed="false">
      <c r="A1245" s="0" t="n">
        <v>1244</v>
      </c>
      <c r="B1245" s="27" t="n">
        <v>45672</v>
      </c>
      <c r="C1245" s="0" t="n">
        <v>2025</v>
      </c>
      <c r="D1245" s="28" t="s">
        <v>61</v>
      </c>
      <c r="E1245" s="0" t="n">
        <v>1</v>
      </c>
      <c r="F1245" s="28" t="s">
        <v>62</v>
      </c>
      <c r="G1245" s="28" t="s">
        <v>129</v>
      </c>
      <c r="H1245" s="28" t="s">
        <v>98</v>
      </c>
      <c r="I1245" s="28" t="s">
        <v>99</v>
      </c>
      <c r="J1245" s="28" t="s">
        <v>71</v>
      </c>
      <c r="K1245" s="28" t="s">
        <v>67</v>
      </c>
      <c r="L1245" s="28" t="s">
        <v>130</v>
      </c>
      <c r="M1245" s="28" t="s">
        <v>72</v>
      </c>
      <c r="N1245" s="28" t="s">
        <v>132</v>
      </c>
      <c r="O1245" s="29" t="n">
        <v>5</v>
      </c>
      <c r="P1245" s="30" t="n">
        <v>433.15</v>
      </c>
      <c r="Q1245" s="30" t="n">
        <v>280.42</v>
      </c>
      <c r="R1245" s="30" t="n">
        <f aca="false">ROUND(O1245*P1245,2)</f>
        <v>2165.75</v>
      </c>
      <c r="S1245" s="30" t="n">
        <f aca="false">ROUND(O1245*Q1245,2)</f>
        <v>1402.1</v>
      </c>
      <c r="T1245" s="30" t="n">
        <f aca="false">ROUND(R1245*SUMIFS(Parametros!$E$23:$E$38,Parametros!$B$23:$B$38,J1245,Parametros!$C$23:$C$38,C1245,Parametros!$D$23:$D$38,D1245),2)</f>
        <v>147.27</v>
      </c>
      <c r="U1245" s="30" t="n">
        <f aca="false">R1245-S1245-T1245</f>
        <v>616.38</v>
      </c>
    </row>
    <row r="1246" customFormat="false" ht="15" hidden="false" customHeight="false" outlineLevel="0" collapsed="false">
      <c r="A1246" s="0" t="n">
        <v>1245</v>
      </c>
      <c r="B1246" s="27" t="n">
        <v>45679</v>
      </c>
      <c r="C1246" s="0" t="n">
        <v>2025</v>
      </c>
      <c r="D1246" s="28" t="s">
        <v>61</v>
      </c>
      <c r="E1246" s="0" t="n">
        <v>1</v>
      </c>
      <c r="F1246" s="28" t="s">
        <v>62</v>
      </c>
      <c r="G1246" s="28" t="s">
        <v>129</v>
      </c>
      <c r="H1246" s="28" t="s">
        <v>98</v>
      </c>
      <c r="I1246" s="28" t="s">
        <v>99</v>
      </c>
      <c r="J1246" s="28" t="s">
        <v>66</v>
      </c>
      <c r="K1246" s="28" t="s">
        <v>67</v>
      </c>
      <c r="L1246" s="28" t="s">
        <v>130</v>
      </c>
      <c r="M1246" s="28" t="s">
        <v>74</v>
      </c>
      <c r="N1246" s="28" t="s">
        <v>133</v>
      </c>
      <c r="O1246" s="29" t="n">
        <v>8</v>
      </c>
      <c r="P1246" s="30" t="n">
        <v>1588.21</v>
      </c>
      <c r="Q1246" s="30" t="n">
        <v>1155.66</v>
      </c>
      <c r="R1246" s="30" t="n">
        <f aca="false">ROUND(O1246*P1246,2)</f>
        <v>12705.68</v>
      </c>
      <c r="S1246" s="30" t="n">
        <f aca="false">ROUND(O1246*Q1246,2)</f>
        <v>9245.28</v>
      </c>
      <c r="T1246" s="30" t="n">
        <f aca="false">ROUND(R1246*SUMIFS(Parametros!$E$23:$E$38,Parametros!$B$23:$B$38,J1246,Parametros!$C$23:$C$38,C1246,Parametros!$D$23:$D$38,D1246),2)</f>
        <v>165.17</v>
      </c>
      <c r="U1246" s="30" t="n">
        <f aca="false">R1246-S1246-T1246</f>
        <v>3295.23</v>
      </c>
    </row>
    <row r="1247" customFormat="false" ht="15" hidden="false" customHeight="false" outlineLevel="0" collapsed="false">
      <c r="A1247" s="0" t="n">
        <v>1246</v>
      </c>
      <c r="B1247" s="27" t="n">
        <v>45659</v>
      </c>
      <c r="C1247" s="0" t="n">
        <v>2025</v>
      </c>
      <c r="D1247" s="28" t="s">
        <v>61</v>
      </c>
      <c r="E1247" s="0" t="n">
        <v>1</v>
      </c>
      <c r="F1247" s="28" t="s">
        <v>62</v>
      </c>
      <c r="G1247" s="28" t="s">
        <v>129</v>
      </c>
      <c r="H1247" s="28" t="s">
        <v>98</v>
      </c>
      <c r="I1247" s="28" t="s">
        <v>99</v>
      </c>
      <c r="J1247" s="28" t="s">
        <v>71</v>
      </c>
      <c r="K1247" s="28" t="s">
        <v>67</v>
      </c>
      <c r="L1247" s="28" t="s">
        <v>130</v>
      </c>
      <c r="M1247" s="28" t="s">
        <v>74</v>
      </c>
      <c r="N1247" s="28" t="s">
        <v>133</v>
      </c>
      <c r="O1247" s="29" t="n">
        <v>6</v>
      </c>
      <c r="P1247" s="30" t="n">
        <v>1588.21</v>
      </c>
      <c r="Q1247" s="30" t="n">
        <v>1155.66</v>
      </c>
      <c r="R1247" s="30" t="n">
        <f aca="false">ROUND(O1247*P1247,2)</f>
        <v>9529.26</v>
      </c>
      <c r="S1247" s="30" t="n">
        <f aca="false">ROUND(O1247*Q1247,2)</f>
        <v>6933.96</v>
      </c>
      <c r="T1247" s="30" t="n">
        <f aca="false">ROUND(R1247*SUMIFS(Parametros!$E$23:$E$38,Parametros!$B$23:$B$38,J1247,Parametros!$C$23:$C$38,C1247,Parametros!$D$23:$D$38,D1247),2)</f>
        <v>647.99</v>
      </c>
      <c r="U1247" s="30" t="n">
        <f aca="false">R1247-S1247-T1247</f>
        <v>1947.31</v>
      </c>
    </row>
    <row r="1248" customFormat="false" ht="15" hidden="false" customHeight="false" outlineLevel="0" collapsed="false">
      <c r="A1248" s="0" t="n">
        <v>1247</v>
      </c>
      <c r="B1248" s="27" t="n">
        <v>45666</v>
      </c>
      <c r="C1248" s="0" t="n">
        <v>2025</v>
      </c>
      <c r="D1248" s="28" t="s">
        <v>61</v>
      </c>
      <c r="E1248" s="0" t="n">
        <v>1</v>
      </c>
      <c r="F1248" s="28" t="s">
        <v>62</v>
      </c>
      <c r="G1248" s="28" t="s">
        <v>129</v>
      </c>
      <c r="H1248" s="28" t="s">
        <v>98</v>
      </c>
      <c r="I1248" s="28" t="s">
        <v>99</v>
      </c>
      <c r="J1248" s="28" t="s">
        <v>66</v>
      </c>
      <c r="K1248" s="28" t="s">
        <v>76</v>
      </c>
      <c r="L1248" s="28" t="s">
        <v>134</v>
      </c>
      <c r="M1248" s="28" t="s">
        <v>78</v>
      </c>
      <c r="N1248" s="28" t="s">
        <v>135</v>
      </c>
      <c r="O1248" s="29" t="n">
        <v>30</v>
      </c>
      <c r="P1248" s="30" t="n">
        <v>27.82</v>
      </c>
      <c r="Q1248" s="30" t="n">
        <v>13.84</v>
      </c>
      <c r="R1248" s="30" t="n">
        <f aca="false">ROUND(O1248*P1248,2)</f>
        <v>834.6</v>
      </c>
      <c r="S1248" s="30" t="n">
        <f aca="false">ROUND(O1248*Q1248,2)</f>
        <v>415.2</v>
      </c>
      <c r="T1248" s="30" t="n">
        <f aca="false">ROUND(R1248*SUMIFS(Parametros!$E$23:$E$38,Parametros!$B$23:$B$38,J1248,Parametros!$C$23:$C$38,C1248,Parametros!$D$23:$D$38,D1248),2)</f>
        <v>10.85</v>
      </c>
      <c r="U1248" s="30" t="n">
        <f aca="false">R1248-S1248-T1248</f>
        <v>408.55</v>
      </c>
    </row>
    <row r="1249" customFormat="false" ht="15" hidden="false" customHeight="false" outlineLevel="0" collapsed="false">
      <c r="A1249" s="0" t="n">
        <v>1248</v>
      </c>
      <c r="B1249" s="27" t="n">
        <v>45673</v>
      </c>
      <c r="C1249" s="0" t="n">
        <v>2025</v>
      </c>
      <c r="D1249" s="28" t="s">
        <v>61</v>
      </c>
      <c r="E1249" s="0" t="n">
        <v>1</v>
      </c>
      <c r="F1249" s="28" t="s">
        <v>62</v>
      </c>
      <c r="G1249" s="28" t="s">
        <v>129</v>
      </c>
      <c r="H1249" s="28" t="s">
        <v>98</v>
      </c>
      <c r="I1249" s="28" t="s">
        <v>99</v>
      </c>
      <c r="J1249" s="28" t="s">
        <v>71</v>
      </c>
      <c r="K1249" s="28" t="s">
        <v>76</v>
      </c>
      <c r="L1249" s="28" t="s">
        <v>134</v>
      </c>
      <c r="M1249" s="28" t="s">
        <v>78</v>
      </c>
      <c r="N1249" s="28" t="s">
        <v>135</v>
      </c>
      <c r="O1249" s="29" t="n">
        <v>27</v>
      </c>
      <c r="P1249" s="30" t="n">
        <v>27.82</v>
      </c>
      <c r="Q1249" s="30" t="n">
        <v>13.84</v>
      </c>
      <c r="R1249" s="30" t="n">
        <f aca="false">ROUND(O1249*P1249,2)</f>
        <v>751.14</v>
      </c>
      <c r="S1249" s="30" t="n">
        <f aca="false">ROUND(O1249*Q1249,2)</f>
        <v>373.68</v>
      </c>
      <c r="T1249" s="30" t="n">
        <f aca="false">ROUND(R1249*SUMIFS(Parametros!$E$23:$E$38,Parametros!$B$23:$B$38,J1249,Parametros!$C$23:$C$38,C1249,Parametros!$D$23:$D$38,D1249),2)</f>
        <v>51.08</v>
      </c>
      <c r="U1249" s="30" t="n">
        <f aca="false">R1249-S1249-T1249</f>
        <v>326.38</v>
      </c>
    </row>
    <row r="1250" customFormat="false" ht="15" hidden="false" customHeight="false" outlineLevel="0" collapsed="false">
      <c r="A1250" s="0" t="n">
        <v>1249</v>
      </c>
      <c r="B1250" s="27" t="n">
        <v>45680</v>
      </c>
      <c r="C1250" s="0" t="n">
        <v>2025</v>
      </c>
      <c r="D1250" s="28" t="s">
        <v>61</v>
      </c>
      <c r="E1250" s="0" t="n">
        <v>1</v>
      </c>
      <c r="F1250" s="28" t="s">
        <v>62</v>
      </c>
      <c r="G1250" s="28" t="s">
        <v>129</v>
      </c>
      <c r="H1250" s="28" t="s">
        <v>98</v>
      </c>
      <c r="I1250" s="28" t="s">
        <v>99</v>
      </c>
      <c r="J1250" s="28" t="s">
        <v>66</v>
      </c>
      <c r="K1250" s="28" t="s">
        <v>76</v>
      </c>
      <c r="L1250" s="28" t="s">
        <v>134</v>
      </c>
      <c r="M1250" s="28" t="s">
        <v>80</v>
      </c>
      <c r="N1250" s="28" t="s">
        <v>136</v>
      </c>
      <c r="O1250" s="29" t="n">
        <v>39</v>
      </c>
      <c r="P1250" s="30" t="n">
        <v>94.39</v>
      </c>
      <c r="Q1250" s="30" t="n">
        <v>49.41</v>
      </c>
      <c r="R1250" s="30" t="n">
        <f aca="false">ROUND(O1250*P1250,2)</f>
        <v>3681.21</v>
      </c>
      <c r="S1250" s="30" t="n">
        <f aca="false">ROUND(O1250*Q1250,2)</f>
        <v>1926.99</v>
      </c>
      <c r="T1250" s="30" t="n">
        <f aca="false">ROUND(R1250*SUMIFS(Parametros!$E$23:$E$38,Parametros!$B$23:$B$38,J1250,Parametros!$C$23:$C$38,C1250,Parametros!$D$23:$D$38,D1250),2)</f>
        <v>47.86</v>
      </c>
      <c r="U1250" s="30" t="n">
        <f aca="false">R1250-S1250-T1250</f>
        <v>1706.36</v>
      </c>
    </row>
    <row r="1251" customFormat="false" ht="15" hidden="false" customHeight="false" outlineLevel="0" collapsed="false">
      <c r="A1251" s="0" t="n">
        <v>1250</v>
      </c>
      <c r="B1251" s="27" t="n">
        <v>45660</v>
      </c>
      <c r="C1251" s="0" t="n">
        <v>2025</v>
      </c>
      <c r="D1251" s="28" t="s">
        <v>61</v>
      </c>
      <c r="E1251" s="0" t="n">
        <v>1</v>
      </c>
      <c r="F1251" s="28" t="s">
        <v>62</v>
      </c>
      <c r="G1251" s="28" t="s">
        <v>129</v>
      </c>
      <c r="H1251" s="28" t="s">
        <v>98</v>
      </c>
      <c r="I1251" s="28" t="s">
        <v>99</v>
      </c>
      <c r="J1251" s="28" t="s">
        <v>71</v>
      </c>
      <c r="K1251" s="28" t="s">
        <v>76</v>
      </c>
      <c r="L1251" s="28" t="s">
        <v>134</v>
      </c>
      <c r="M1251" s="28" t="s">
        <v>80</v>
      </c>
      <c r="N1251" s="28" t="s">
        <v>136</v>
      </c>
      <c r="O1251" s="29" t="n">
        <v>22</v>
      </c>
      <c r="P1251" s="30" t="n">
        <v>94.39</v>
      </c>
      <c r="Q1251" s="30" t="n">
        <v>49.41</v>
      </c>
      <c r="R1251" s="30" t="n">
        <f aca="false">ROUND(O1251*P1251,2)</f>
        <v>2076.58</v>
      </c>
      <c r="S1251" s="30" t="n">
        <f aca="false">ROUND(O1251*Q1251,2)</f>
        <v>1087.02</v>
      </c>
      <c r="T1251" s="30" t="n">
        <f aca="false">ROUND(R1251*SUMIFS(Parametros!$E$23:$E$38,Parametros!$B$23:$B$38,J1251,Parametros!$C$23:$C$38,C1251,Parametros!$D$23:$D$38,D1251),2)</f>
        <v>141.21</v>
      </c>
      <c r="U1251" s="30" t="n">
        <f aca="false">R1251-S1251-T1251</f>
        <v>848.35</v>
      </c>
    </row>
    <row r="1252" customFormat="false" ht="15" hidden="false" customHeight="false" outlineLevel="0" collapsed="false">
      <c r="A1252" s="0" t="n">
        <v>1251</v>
      </c>
      <c r="B1252" s="27" t="n">
        <v>45667</v>
      </c>
      <c r="C1252" s="0" t="n">
        <v>2025</v>
      </c>
      <c r="D1252" s="28" t="s">
        <v>61</v>
      </c>
      <c r="E1252" s="0" t="n">
        <v>1</v>
      </c>
      <c r="F1252" s="28" t="s">
        <v>62</v>
      </c>
      <c r="G1252" s="28" t="s">
        <v>129</v>
      </c>
      <c r="H1252" s="28" t="s">
        <v>98</v>
      </c>
      <c r="I1252" s="28" t="s">
        <v>99</v>
      </c>
      <c r="J1252" s="28" t="s">
        <v>66</v>
      </c>
      <c r="K1252" s="28" t="s">
        <v>76</v>
      </c>
      <c r="L1252" s="28" t="s">
        <v>134</v>
      </c>
      <c r="M1252" s="28" t="s">
        <v>82</v>
      </c>
      <c r="N1252" s="28" t="s">
        <v>137</v>
      </c>
      <c r="O1252" s="29" t="n">
        <v>31</v>
      </c>
      <c r="P1252" s="30" t="n">
        <v>64.58</v>
      </c>
      <c r="Q1252" s="30" t="n">
        <v>36.49</v>
      </c>
      <c r="R1252" s="30" t="n">
        <f aca="false">ROUND(O1252*P1252,2)</f>
        <v>2001.98</v>
      </c>
      <c r="S1252" s="30" t="n">
        <f aca="false">ROUND(O1252*Q1252,2)</f>
        <v>1131.19</v>
      </c>
      <c r="T1252" s="30" t="n">
        <f aca="false">ROUND(R1252*SUMIFS(Parametros!$E$23:$E$38,Parametros!$B$23:$B$38,J1252,Parametros!$C$23:$C$38,C1252,Parametros!$D$23:$D$38,D1252),2)</f>
        <v>26.03</v>
      </c>
      <c r="U1252" s="30" t="n">
        <f aca="false">R1252-S1252-T1252</f>
        <v>844.76</v>
      </c>
    </row>
    <row r="1253" customFormat="false" ht="15" hidden="false" customHeight="false" outlineLevel="0" collapsed="false">
      <c r="A1253" s="0" t="n">
        <v>1252</v>
      </c>
      <c r="B1253" s="27" t="n">
        <v>45674</v>
      </c>
      <c r="C1253" s="0" t="n">
        <v>2025</v>
      </c>
      <c r="D1253" s="28" t="s">
        <v>61</v>
      </c>
      <c r="E1253" s="0" t="n">
        <v>1</v>
      </c>
      <c r="F1253" s="28" t="s">
        <v>62</v>
      </c>
      <c r="G1253" s="28" t="s">
        <v>129</v>
      </c>
      <c r="H1253" s="28" t="s">
        <v>98</v>
      </c>
      <c r="I1253" s="28" t="s">
        <v>99</v>
      </c>
      <c r="J1253" s="28" t="s">
        <v>71</v>
      </c>
      <c r="K1253" s="28" t="s">
        <v>76</v>
      </c>
      <c r="L1253" s="28" t="s">
        <v>134</v>
      </c>
      <c r="M1253" s="28" t="s">
        <v>82</v>
      </c>
      <c r="N1253" s="28" t="s">
        <v>137</v>
      </c>
      <c r="O1253" s="29" t="n">
        <v>21</v>
      </c>
      <c r="P1253" s="30" t="n">
        <v>64.58</v>
      </c>
      <c r="Q1253" s="30" t="n">
        <v>36.49</v>
      </c>
      <c r="R1253" s="30" t="n">
        <f aca="false">ROUND(O1253*P1253,2)</f>
        <v>1356.18</v>
      </c>
      <c r="S1253" s="30" t="n">
        <f aca="false">ROUND(O1253*Q1253,2)</f>
        <v>766.29</v>
      </c>
      <c r="T1253" s="30" t="n">
        <f aca="false">ROUND(R1253*SUMIFS(Parametros!$E$23:$E$38,Parametros!$B$23:$B$38,J1253,Parametros!$C$23:$C$38,C1253,Parametros!$D$23:$D$38,D1253),2)</f>
        <v>92.22</v>
      </c>
      <c r="U1253" s="30" t="n">
        <f aca="false">R1253-S1253-T1253</f>
        <v>497.67</v>
      </c>
    </row>
    <row r="1254" customFormat="false" ht="15" hidden="false" customHeight="false" outlineLevel="0" collapsed="false">
      <c r="A1254" s="0" t="n">
        <v>1253</v>
      </c>
      <c r="B1254" s="27" t="n">
        <v>45681</v>
      </c>
      <c r="C1254" s="0" t="n">
        <v>2025</v>
      </c>
      <c r="D1254" s="28" t="s">
        <v>61</v>
      </c>
      <c r="E1254" s="0" t="n">
        <v>1</v>
      </c>
      <c r="F1254" s="28" t="s">
        <v>62</v>
      </c>
      <c r="G1254" s="28" t="s">
        <v>129</v>
      </c>
      <c r="H1254" s="28" t="s">
        <v>98</v>
      </c>
      <c r="I1254" s="28" t="s">
        <v>99</v>
      </c>
      <c r="J1254" s="28" t="s">
        <v>66</v>
      </c>
      <c r="K1254" s="28" t="s">
        <v>84</v>
      </c>
      <c r="L1254" s="28" t="s">
        <v>138</v>
      </c>
      <c r="M1254" s="28" t="s">
        <v>86</v>
      </c>
      <c r="N1254" s="28" t="s">
        <v>139</v>
      </c>
      <c r="O1254" s="29" t="n">
        <v>17</v>
      </c>
      <c r="P1254" s="30" t="n">
        <v>119.23</v>
      </c>
      <c r="Q1254" s="30" t="n">
        <v>65.51</v>
      </c>
      <c r="R1254" s="30" t="n">
        <f aca="false">ROUND(O1254*P1254,2)</f>
        <v>2026.91</v>
      </c>
      <c r="S1254" s="30" t="n">
        <f aca="false">ROUND(O1254*Q1254,2)</f>
        <v>1113.67</v>
      </c>
      <c r="T1254" s="30" t="n">
        <f aca="false">ROUND(R1254*SUMIFS(Parametros!$E$23:$E$38,Parametros!$B$23:$B$38,J1254,Parametros!$C$23:$C$38,C1254,Parametros!$D$23:$D$38,D1254),2)</f>
        <v>26.35</v>
      </c>
      <c r="U1254" s="30" t="n">
        <f aca="false">R1254-S1254-T1254</f>
        <v>886.89</v>
      </c>
    </row>
    <row r="1255" customFormat="false" ht="15" hidden="false" customHeight="false" outlineLevel="0" collapsed="false">
      <c r="A1255" s="0" t="n">
        <v>1254</v>
      </c>
      <c r="B1255" s="27" t="n">
        <v>45661</v>
      </c>
      <c r="C1255" s="0" t="n">
        <v>2025</v>
      </c>
      <c r="D1255" s="28" t="s">
        <v>61</v>
      </c>
      <c r="E1255" s="0" t="n">
        <v>1</v>
      </c>
      <c r="F1255" s="28" t="s">
        <v>62</v>
      </c>
      <c r="G1255" s="28" t="s">
        <v>129</v>
      </c>
      <c r="H1255" s="28" t="s">
        <v>98</v>
      </c>
      <c r="I1255" s="28" t="s">
        <v>99</v>
      </c>
      <c r="J1255" s="28" t="s">
        <v>71</v>
      </c>
      <c r="K1255" s="28" t="s">
        <v>84</v>
      </c>
      <c r="L1255" s="28" t="s">
        <v>138</v>
      </c>
      <c r="M1255" s="28" t="s">
        <v>86</v>
      </c>
      <c r="N1255" s="28" t="s">
        <v>139</v>
      </c>
      <c r="O1255" s="29" t="n">
        <v>11</v>
      </c>
      <c r="P1255" s="30" t="n">
        <v>119.23</v>
      </c>
      <c r="Q1255" s="30" t="n">
        <v>65.51</v>
      </c>
      <c r="R1255" s="30" t="n">
        <f aca="false">ROUND(O1255*P1255,2)</f>
        <v>1311.53</v>
      </c>
      <c r="S1255" s="30" t="n">
        <f aca="false">ROUND(O1255*Q1255,2)</f>
        <v>720.61</v>
      </c>
      <c r="T1255" s="30" t="n">
        <f aca="false">ROUND(R1255*SUMIFS(Parametros!$E$23:$E$38,Parametros!$B$23:$B$38,J1255,Parametros!$C$23:$C$38,C1255,Parametros!$D$23:$D$38,D1255),2)</f>
        <v>89.18</v>
      </c>
      <c r="U1255" s="30" t="n">
        <f aca="false">R1255-S1255-T1255</f>
        <v>501.74</v>
      </c>
    </row>
    <row r="1256" customFormat="false" ht="15" hidden="false" customHeight="false" outlineLevel="0" collapsed="false">
      <c r="A1256" s="0" t="n">
        <v>1255</v>
      </c>
      <c r="B1256" s="27" t="n">
        <v>45668</v>
      </c>
      <c r="C1256" s="0" t="n">
        <v>2025</v>
      </c>
      <c r="D1256" s="28" t="s">
        <v>61</v>
      </c>
      <c r="E1256" s="0" t="n">
        <v>1</v>
      </c>
      <c r="F1256" s="28" t="s">
        <v>62</v>
      </c>
      <c r="G1256" s="28" t="s">
        <v>129</v>
      </c>
      <c r="H1256" s="28" t="s">
        <v>98</v>
      </c>
      <c r="I1256" s="28" t="s">
        <v>99</v>
      </c>
      <c r="J1256" s="28" t="s">
        <v>66</v>
      </c>
      <c r="K1256" s="28" t="s">
        <v>84</v>
      </c>
      <c r="L1256" s="28" t="s">
        <v>138</v>
      </c>
      <c r="M1256" s="28" t="s">
        <v>88</v>
      </c>
      <c r="N1256" s="28" t="s">
        <v>140</v>
      </c>
      <c r="O1256" s="29" t="n">
        <v>16</v>
      </c>
      <c r="P1256" s="30" t="n">
        <v>84.46</v>
      </c>
      <c r="Q1256" s="30" t="n">
        <v>49.47</v>
      </c>
      <c r="R1256" s="30" t="n">
        <f aca="false">ROUND(O1256*P1256,2)</f>
        <v>1351.36</v>
      </c>
      <c r="S1256" s="30" t="n">
        <f aca="false">ROUND(O1256*Q1256,2)</f>
        <v>791.52</v>
      </c>
      <c r="T1256" s="30" t="n">
        <f aca="false">ROUND(R1256*SUMIFS(Parametros!$E$23:$E$38,Parametros!$B$23:$B$38,J1256,Parametros!$C$23:$C$38,C1256,Parametros!$D$23:$D$38,D1256),2)</f>
        <v>17.57</v>
      </c>
      <c r="U1256" s="30" t="n">
        <f aca="false">R1256-S1256-T1256</f>
        <v>542.27</v>
      </c>
    </row>
    <row r="1257" customFormat="false" ht="15" hidden="false" customHeight="false" outlineLevel="0" collapsed="false">
      <c r="A1257" s="0" t="n">
        <v>1256</v>
      </c>
      <c r="B1257" s="27" t="n">
        <v>45675</v>
      </c>
      <c r="C1257" s="0" t="n">
        <v>2025</v>
      </c>
      <c r="D1257" s="28" t="s">
        <v>61</v>
      </c>
      <c r="E1257" s="0" t="n">
        <v>1</v>
      </c>
      <c r="F1257" s="28" t="s">
        <v>62</v>
      </c>
      <c r="G1257" s="28" t="s">
        <v>129</v>
      </c>
      <c r="H1257" s="28" t="s">
        <v>98</v>
      </c>
      <c r="I1257" s="28" t="s">
        <v>99</v>
      </c>
      <c r="J1257" s="28" t="s">
        <v>71</v>
      </c>
      <c r="K1257" s="28" t="s">
        <v>84</v>
      </c>
      <c r="L1257" s="28" t="s">
        <v>138</v>
      </c>
      <c r="M1257" s="28" t="s">
        <v>88</v>
      </c>
      <c r="N1257" s="28" t="s">
        <v>140</v>
      </c>
      <c r="O1257" s="29" t="n">
        <v>11</v>
      </c>
      <c r="P1257" s="30" t="n">
        <v>84.46</v>
      </c>
      <c r="Q1257" s="30" t="n">
        <v>49.47</v>
      </c>
      <c r="R1257" s="30" t="n">
        <f aca="false">ROUND(O1257*P1257,2)</f>
        <v>929.06</v>
      </c>
      <c r="S1257" s="30" t="n">
        <f aca="false">ROUND(O1257*Q1257,2)</f>
        <v>544.17</v>
      </c>
      <c r="T1257" s="30" t="n">
        <f aca="false">ROUND(R1257*SUMIFS(Parametros!$E$23:$E$38,Parametros!$B$23:$B$38,J1257,Parametros!$C$23:$C$38,C1257,Parametros!$D$23:$D$38,D1257),2)</f>
        <v>63.18</v>
      </c>
      <c r="U1257" s="30" t="n">
        <f aca="false">R1257-S1257-T1257</f>
        <v>321.71</v>
      </c>
    </row>
    <row r="1258" customFormat="false" ht="15" hidden="false" customHeight="false" outlineLevel="0" collapsed="false">
      <c r="A1258" s="0" t="n">
        <v>1257</v>
      </c>
      <c r="B1258" s="27" t="n">
        <v>45682</v>
      </c>
      <c r="C1258" s="0" t="n">
        <v>2025</v>
      </c>
      <c r="D1258" s="28" t="s">
        <v>61</v>
      </c>
      <c r="E1258" s="0" t="n">
        <v>1</v>
      </c>
      <c r="F1258" s="28" t="s">
        <v>62</v>
      </c>
      <c r="G1258" s="28" t="s">
        <v>129</v>
      </c>
      <c r="H1258" s="28" t="s">
        <v>98</v>
      </c>
      <c r="I1258" s="28" t="s">
        <v>99</v>
      </c>
      <c r="J1258" s="28" t="s">
        <v>66</v>
      </c>
      <c r="K1258" s="28" t="s">
        <v>90</v>
      </c>
      <c r="L1258" s="28" t="s">
        <v>141</v>
      </c>
      <c r="M1258" s="28" t="s">
        <v>92</v>
      </c>
      <c r="N1258" s="28" t="s">
        <v>142</v>
      </c>
      <c r="O1258" s="29" t="n">
        <v>21</v>
      </c>
      <c r="P1258" s="30" t="n">
        <v>129.17</v>
      </c>
      <c r="Q1258" s="30" t="n">
        <v>78.33</v>
      </c>
      <c r="R1258" s="30" t="n">
        <f aca="false">ROUND(O1258*P1258,2)</f>
        <v>2712.57</v>
      </c>
      <c r="S1258" s="30" t="n">
        <f aca="false">ROUND(O1258*Q1258,2)</f>
        <v>1644.93</v>
      </c>
      <c r="T1258" s="30" t="n">
        <f aca="false">ROUND(R1258*SUMIFS(Parametros!$E$23:$E$38,Parametros!$B$23:$B$38,J1258,Parametros!$C$23:$C$38,C1258,Parametros!$D$23:$D$38,D1258),2)</f>
        <v>35.26</v>
      </c>
      <c r="U1258" s="30" t="n">
        <f aca="false">R1258-S1258-T1258</f>
        <v>1032.38</v>
      </c>
    </row>
    <row r="1259" customFormat="false" ht="15" hidden="false" customHeight="false" outlineLevel="0" collapsed="false">
      <c r="A1259" s="0" t="n">
        <v>1258</v>
      </c>
      <c r="B1259" s="27" t="n">
        <v>45662</v>
      </c>
      <c r="C1259" s="0" t="n">
        <v>2025</v>
      </c>
      <c r="D1259" s="28" t="s">
        <v>61</v>
      </c>
      <c r="E1259" s="0" t="n">
        <v>1</v>
      </c>
      <c r="F1259" s="28" t="s">
        <v>62</v>
      </c>
      <c r="G1259" s="28" t="s">
        <v>129</v>
      </c>
      <c r="H1259" s="28" t="s">
        <v>98</v>
      </c>
      <c r="I1259" s="28" t="s">
        <v>99</v>
      </c>
      <c r="J1259" s="28" t="s">
        <v>71</v>
      </c>
      <c r="K1259" s="28" t="s">
        <v>90</v>
      </c>
      <c r="L1259" s="28" t="s">
        <v>141</v>
      </c>
      <c r="M1259" s="28" t="s">
        <v>92</v>
      </c>
      <c r="N1259" s="28" t="s">
        <v>142</v>
      </c>
      <c r="O1259" s="29" t="n">
        <v>15</v>
      </c>
      <c r="P1259" s="30" t="n">
        <v>129.17</v>
      </c>
      <c r="Q1259" s="30" t="n">
        <v>78.33</v>
      </c>
      <c r="R1259" s="30" t="n">
        <f aca="false">ROUND(O1259*P1259,2)</f>
        <v>1937.55</v>
      </c>
      <c r="S1259" s="30" t="n">
        <f aca="false">ROUND(O1259*Q1259,2)</f>
        <v>1174.95</v>
      </c>
      <c r="T1259" s="30" t="n">
        <f aca="false">ROUND(R1259*SUMIFS(Parametros!$E$23:$E$38,Parametros!$B$23:$B$38,J1259,Parametros!$C$23:$C$38,C1259,Parametros!$D$23:$D$38,D1259),2)</f>
        <v>131.75</v>
      </c>
      <c r="U1259" s="30" t="n">
        <f aca="false">R1259-S1259-T1259</f>
        <v>630.85</v>
      </c>
    </row>
    <row r="1260" customFormat="false" ht="15" hidden="false" customHeight="false" outlineLevel="0" collapsed="false">
      <c r="A1260" s="0" t="n">
        <v>1259</v>
      </c>
      <c r="B1260" s="27" t="n">
        <v>45669</v>
      </c>
      <c r="C1260" s="0" t="n">
        <v>2025</v>
      </c>
      <c r="D1260" s="28" t="s">
        <v>61</v>
      </c>
      <c r="E1260" s="0" t="n">
        <v>1</v>
      </c>
      <c r="F1260" s="28" t="s">
        <v>62</v>
      </c>
      <c r="G1260" s="28" t="s">
        <v>129</v>
      </c>
      <c r="H1260" s="28" t="s">
        <v>98</v>
      </c>
      <c r="I1260" s="28" t="s">
        <v>99</v>
      </c>
      <c r="J1260" s="28" t="s">
        <v>66</v>
      </c>
      <c r="K1260" s="28" t="s">
        <v>90</v>
      </c>
      <c r="L1260" s="28" t="s">
        <v>141</v>
      </c>
      <c r="M1260" s="28" t="s">
        <v>94</v>
      </c>
      <c r="N1260" s="28" t="s">
        <v>143</v>
      </c>
      <c r="O1260" s="29" t="n">
        <v>22</v>
      </c>
      <c r="P1260" s="30" t="n">
        <v>34.78</v>
      </c>
      <c r="Q1260" s="30" t="n">
        <v>18.39</v>
      </c>
      <c r="R1260" s="30" t="n">
        <f aca="false">ROUND(O1260*P1260,2)</f>
        <v>765.16</v>
      </c>
      <c r="S1260" s="30" t="n">
        <f aca="false">ROUND(O1260*Q1260,2)</f>
        <v>404.58</v>
      </c>
      <c r="T1260" s="30" t="n">
        <f aca="false">ROUND(R1260*SUMIFS(Parametros!$E$23:$E$38,Parametros!$B$23:$B$38,J1260,Parametros!$C$23:$C$38,C1260,Parametros!$D$23:$D$38,D1260),2)</f>
        <v>9.95</v>
      </c>
      <c r="U1260" s="30" t="n">
        <f aca="false">R1260-S1260-T1260</f>
        <v>350.63</v>
      </c>
    </row>
    <row r="1261" customFormat="false" ht="15" hidden="false" customHeight="false" outlineLevel="0" collapsed="false">
      <c r="A1261" s="0" t="n">
        <v>1260</v>
      </c>
      <c r="B1261" s="27" t="n">
        <v>45676</v>
      </c>
      <c r="C1261" s="0" t="n">
        <v>2025</v>
      </c>
      <c r="D1261" s="28" t="s">
        <v>61</v>
      </c>
      <c r="E1261" s="0" t="n">
        <v>1</v>
      </c>
      <c r="F1261" s="28" t="s">
        <v>62</v>
      </c>
      <c r="G1261" s="28" t="s">
        <v>129</v>
      </c>
      <c r="H1261" s="28" t="s">
        <v>98</v>
      </c>
      <c r="I1261" s="28" t="s">
        <v>99</v>
      </c>
      <c r="J1261" s="28" t="s">
        <v>71</v>
      </c>
      <c r="K1261" s="28" t="s">
        <v>90</v>
      </c>
      <c r="L1261" s="28" t="s">
        <v>141</v>
      </c>
      <c r="M1261" s="28" t="s">
        <v>94</v>
      </c>
      <c r="N1261" s="28" t="s">
        <v>143</v>
      </c>
      <c r="O1261" s="29" t="n">
        <v>15</v>
      </c>
      <c r="P1261" s="30" t="n">
        <v>34.78</v>
      </c>
      <c r="Q1261" s="30" t="n">
        <v>18.39</v>
      </c>
      <c r="R1261" s="30" t="n">
        <f aca="false">ROUND(O1261*P1261,2)</f>
        <v>521.7</v>
      </c>
      <c r="S1261" s="30" t="n">
        <f aca="false">ROUND(O1261*Q1261,2)</f>
        <v>275.85</v>
      </c>
      <c r="T1261" s="30" t="n">
        <f aca="false">ROUND(R1261*SUMIFS(Parametros!$E$23:$E$38,Parametros!$B$23:$B$38,J1261,Parametros!$C$23:$C$38,C1261,Parametros!$D$23:$D$38,D1261),2)</f>
        <v>35.48</v>
      </c>
      <c r="U1261" s="30" t="n">
        <f aca="false">R1261-S1261-T1261</f>
        <v>210.37</v>
      </c>
    </row>
    <row r="1262" customFormat="false" ht="15" hidden="false" customHeight="false" outlineLevel="0" collapsed="false">
      <c r="A1262" s="0" t="n">
        <v>1261</v>
      </c>
      <c r="B1262" s="27" t="n">
        <v>45683</v>
      </c>
      <c r="C1262" s="0" t="n">
        <v>2025</v>
      </c>
      <c r="D1262" s="28" t="s">
        <v>61</v>
      </c>
      <c r="E1262" s="0" t="n">
        <v>1</v>
      </c>
      <c r="F1262" s="28" t="s">
        <v>62</v>
      </c>
      <c r="G1262" s="28" t="s">
        <v>129</v>
      </c>
      <c r="H1262" s="28" t="s">
        <v>100</v>
      </c>
      <c r="I1262" s="28" t="s">
        <v>101</v>
      </c>
      <c r="J1262" s="28" t="s">
        <v>66</v>
      </c>
      <c r="K1262" s="28" t="s">
        <v>67</v>
      </c>
      <c r="L1262" s="28" t="s">
        <v>130</v>
      </c>
      <c r="M1262" s="28" t="s">
        <v>69</v>
      </c>
      <c r="N1262" s="28" t="s">
        <v>131</v>
      </c>
      <c r="O1262" s="29" t="n">
        <v>6</v>
      </c>
      <c r="P1262" s="30" t="n">
        <v>1155.06</v>
      </c>
      <c r="Q1262" s="30" t="n">
        <v>766.32</v>
      </c>
      <c r="R1262" s="30" t="n">
        <f aca="false">ROUND(O1262*P1262,2)</f>
        <v>6930.36</v>
      </c>
      <c r="S1262" s="30" t="n">
        <f aca="false">ROUND(O1262*Q1262,2)</f>
        <v>4597.92</v>
      </c>
      <c r="T1262" s="30" t="n">
        <f aca="false">ROUND(R1262*SUMIFS(Parametros!$E$23:$E$38,Parametros!$B$23:$B$38,J1262,Parametros!$C$23:$C$38,C1262,Parametros!$D$23:$D$38,D1262),2)</f>
        <v>90.09</v>
      </c>
      <c r="U1262" s="30" t="n">
        <f aca="false">R1262-S1262-T1262</f>
        <v>2242.35</v>
      </c>
    </row>
    <row r="1263" customFormat="false" ht="15" hidden="false" customHeight="false" outlineLevel="0" collapsed="false">
      <c r="A1263" s="0" t="n">
        <v>1262</v>
      </c>
      <c r="B1263" s="27" t="n">
        <v>45663</v>
      </c>
      <c r="C1263" s="0" t="n">
        <v>2025</v>
      </c>
      <c r="D1263" s="28" t="s">
        <v>61</v>
      </c>
      <c r="E1263" s="0" t="n">
        <v>1</v>
      </c>
      <c r="F1263" s="28" t="s">
        <v>62</v>
      </c>
      <c r="G1263" s="28" t="s">
        <v>129</v>
      </c>
      <c r="H1263" s="28" t="s">
        <v>100</v>
      </c>
      <c r="I1263" s="28" t="s">
        <v>101</v>
      </c>
      <c r="J1263" s="28" t="s">
        <v>71</v>
      </c>
      <c r="K1263" s="28" t="s">
        <v>67</v>
      </c>
      <c r="L1263" s="28" t="s">
        <v>130</v>
      </c>
      <c r="M1263" s="28" t="s">
        <v>69</v>
      </c>
      <c r="N1263" s="28" t="s">
        <v>131</v>
      </c>
      <c r="O1263" s="29" t="n">
        <v>4</v>
      </c>
      <c r="P1263" s="30" t="n">
        <v>1155.06</v>
      </c>
      <c r="Q1263" s="30" t="n">
        <v>766.32</v>
      </c>
      <c r="R1263" s="30" t="n">
        <f aca="false">ROUND(O1263*P1263,2)</f>
        <v>4620.24</v>
      </c>
      <c r="S1263" s="30" t="n">
        <f aca="false">ROUND(O1263*Q1263,2)</f>
        <v>3065.28</v>
      </c>
      <c r="T1263" s="30" t="n">
        <f aca="false">ROUND(R1263*SUMIFS(Parametros!$E$23:$E$38,Parametros!$B$23:$B$38,J1263,Parametros!$C$23:$C$38,C1263,Parametros!$D$23:$D$38,D1263),2)</f>
        <v>314.18</v>
      </c>
      <c r="U1263" s="30" t="n">
        <f aca="false">R1263-S1263-T1263</f>
        <v>1240.78</v>
      </c>
    </row>
    <row r="1264" customFormat="false" ht="15" hidden="false" customHeight="false" outlineLevel="0" collapsed="false">
      <c r="A1264" s="0" t="n">
        <v>1263</v>
      </c>
      <c r="B1264" s="27" t="n">
        <v>45670</v>
      </c>
      <c r="C1264" s="0" t="n">
        <v>2025</v>
      </c>
      <c r="D1264" s="28" t="s">
        <v>61</v>
      </c>
      <c r="E1264" s="0" t="n">
        <v>1</v>
      </c>
      <c r="F1264" s="28" t="s">
        <v>62</v>
      </c>
      <c r="G1264" s="28" t="s">
        <v>129</v>
      </c>
      <c r="H1264" s="28" t="s">
        <v>100</v>
      </c>
      <c r="I1264" s="28" t="s">
        <v>101</v>
      </c>
      <c r="J1264" s="28" t="s">
        <v>66</v>
      </c>
      <c r="K1264" s="28" t="s">
        <v>67</v>
      </c>
      <c r="L1264" s="28" t="s">
        <v>130</v>
      </c>
      <c r="M1264" s="28" t="s">
        <v>72</v>
      </c>
      <c r="N1264" s="28" t="s">
        <v>132</v>
      </c>
      <c r="O1264" s="29" t="n">
        <v>5</v>
      </c>
      <c r="P1264" s="30" t="n">
        <v>433.15</v>
      </c>
      <c r="Q1264" s="30" t="n">
        <v>280.42</v>
      </c>
      <c r="R1264" s="30" t="n">
        <f aca="false">ROUND(O1264*P1264,2)</f>
        <v>2165.75</v>
      </c>
      <c r="S1264" s="30" t="n">
        <f aca="false">ROUND(O1264*Q1264,2)</f>
        <v>1402.1</v>
      </c>
      <c r="T1264" s="30" t="n">
        <f aca="false">ROUND(R1264*SUMIFS(Parametros!$E$23:$E$38,Parametros!$B$23:$B$38,J1264,Parametros!$C$23:$C$38,C1264,Parametros!$D$23:$D$38,D1264),2)</f>
        <v>28.15</v>
      </c>
      <c r="U1264" s="30" t="n">
        <f aca="false">R1264-S1264-T1264</f>
        <v>735.5</v>
      </c>
    </row>
    <row r="1265" customFormat="false" ht="15" hidden="false" customHeight="false" outlineLevel="0" collapsed="false">
      <c r="A1265" s="0" t="n">
        <v>1264</v>
      </c>
      <c r="B1265" s="27" t="n">
        <v>45677</v>
      </c>
      <c r="C1265" s="0" t="n">
        <v>2025</v>
      </c>
      <c r="D1265" s="28" t="s">
        <v>61</v>
      </c>
      <c r="E1265" s="0" t="n">
        <v>1</v>
      </c>
      <c r="F1265" s="28" t="s">
        <v>62</v>
      </c>
      <c r="G1265" s="28" t="s">
        <v>129</v>
      </c>
      <c r="H1265" s="28" t="s">
        <v>100</v>
      </c>
      <c r="I1265" s="28" t="s">
        <v>101</v>
      </c>
      <c r="J1265" s="28" t="s">
        <v>71</v>
      </c>
      <c r="K1265" s="28" t="s">
        <v>67</v>
      </c>
      <c r="L1265" s="28" t="s">
        <v>130</v>
      </c>
      <c r="M1265" s="28" t="s">
        <v>72</v>
      </c>
      <c r="N1265" s="28" t="s">
        <v>132</v>
      </c>
      <c r="O1265" s="29" t="n">
        <v>4</v>
      </c>
      <c r="P1265" s="30" t="n">
        <v>433.15</v>
      </c>
      <c r="Q1265" s="30" t="n">
        <v>280.42</v>
      </c>
      <c r="R1265" s="30" t="n">
        <f aca="false">ROUND(O1265*P1265,2)</f>
        <v>1732.6</v>
      </c>
      <c r="S1265" s="30" t="n">
        <f aca="false">ROUND(O1265*Q1265,2)</f>
        <v>1121.68</v>
      </c>
      <c r="T1265" s="30" t="n">
        <f aca="false">ROUND(R1265*SUMIFS(Parametros!$E$23:$E$38,Parametros!$B$23:$B$38,J1265,Parametros!$C$23:$C$38,C1265,Parametros!$D$23:$D$38,D1265),2)</f>
        <v>117.82</v>
      </c>
      <c r="U1265" s="30" t="n">
        <f aca="false">R1265-S1265-T1265</f>
        <v>493.1</v>
      </c>
    </row>
    <row r="1266" customFormat="false" ht="15" hidden="false" customHeight="false" outlineLevel="0" collapsed="false">
      <c r="A1266" s="0" t="n">
        <v>1265</v>
      </c>
      <c r="B1266" s="27" t="n">
        <v>45684</v>
      </c>
      <c r="C1266" s="0" t="n">
        <v>2025</v>
      </c>
      <c r="D1266" s="28" t="s">
        <v>61</v>
      </c>
      <c r="E1266" s="0" t="n">
        <v>1</v>
      </c>
      <c r="F1266" s="28" t="s">
        <v>62</v>
      </c>
      <c r="G1266" s="28" t="s">
        <v>129</v>
      </c>
      <c r="H1266" s="28" t="s">
        <v>100</v>
      </c>
      <c r="I1266" s="28" t="s">
        <v>101</v>
      </c>
      <c r="J1266" s="28" t="s">
        <v>66</v>
      </c>
      <c r="K1266" s="28" t="s">
        <v>67</v>
      </c>
      <c r="L1266" s="28" t="s">
        <v>130</v>
      </c>
      <c r="M1266" s="28" t="s">
        <v>74</v>
      </c>
      <c r="N1266" s="28" t="s">
        <v>133</v>
      </c>
      <c r="O1266" s="29" t="n">
        <v>5</v>
      </c>
      <c r="P1266" s="30" t="n">
        <v>1588.21</v>
      </c>
      <c r="Q1266" s="30" t="n">
        <v>1155.66</v>
      </c>
      <c r="R1266" s="30" t="n">
        <f aca="false">ROUND(O1266*P1266,2)</f>
        <v>7941.05</v>
      </c>
      <c r="S1266" s="30" t="n">
        <f aca="false">ROUND(O1266*Q1266,2)</f>
        <v>5778.3</v>
      </c>
      <c r="T1266" s="30" t="n">
        <f aca="false">ROUND(R1266*SUMIFS(Parametros!$E$23:$E$38,Parametros!$B$23:$B$38,J1266,Parametros!$C$23:$C$38,C1266,Parametros!$D$23:$D$38,D1266),2)</f>
        <v>103.23</v>
      </c>
      <c r="U1266" s="30" t="n">
        <f aca="false">R1266-S1266-T1266</f>
        <v>2059.52</v>
      </c>
    </row>
    <row r="1267" customFormat="false" ht="15" hidden="false" customHeight="false" outlineLevel="0" collapsed="false">
      <c r="A1267" s="0" t="n">
        <v>1266</v>
      </c>
      <c r="B1267" s="27" t="n">
        <v>45664</v>
      </c>
      <c r="C1267" s="0" t="n">
        <v>2025</v>
      </c>
      <c r="D1267" s="28" t="s">
        <v>61</v>
      </c>
      <c r="E1267" s="0" t="n">
        <v>1</v>
      </c>
      <c r="F1267" s="28" t="s">
        <v>62</v>
      </c>
      <c r="G1267" s="28" t="s">
        <v>129</v>
      </c>
      <c r="H1267" s="28" t="s">
        <v>100</v>
      </c>
      <c r="I1267" s="28" t="s">
        <v>101</v>
      </c>
      <c r="J1267" s="28" t="s">
        <v>71</v>
      </c>
      <c r="K1267" s="28" t="s">
        <v>67</v>
      </c>
      <c r="L1267" s="28" t="s">
        <v>130</v>
      </c>
      <c r="M1267" s="28" t="s">
        <v>74</v>
      </c>
      <c r="N1267" s="28" t="s">
        <v>133</v>
      </c>
      <c r="O1267" s="29" t="n">
        <v>4</v>
      </c>
      <c r="P1267" s="30" t="n">
        <v>1588.21</v>
      </c>
      <c r="Q1267" s="30" t="n">
        <v>1155.66</v>
      </c>
      <c r="R1267" s="30" t="n">
        <f aca="false">ROUND(O1267*P1267,2)</f>
        <v>6352.84</v>
      </c>
      <c r="S1267" s="30" t="n">
        <f aca="false">ROUND(O1267*Q1267,2)</f>
        <v>4622.64</v>
      </c>
      <c r="T1267" s="30" t="n">
        <f aca="false">ROUND(R1267*SUMIFS(Parametros!$E$23:$E$38,Parametros!$B$23:$B$38,J1267,Parametros!$C$23:$C$38,C1267,Parametros!$D$23:$D$38,D1267),2)</f>
        <v>431.99</v>
      </c>
      <c r="U1267" s="30" t="n">
        <f aca="false">R1267-S1267-T1267</f>
        <v>1298.21</v>
      </c>
    </row>
    <row r="1268" customFormat="false" ht="15" hidden="false" customHeight="false" outlineLevel="0" collapsed="false">
      <c r="A1268" s="0" t="n">
        <v>1267</v>
      </c>
      <c r="B1268" s="27" t="n">
        <v>45671</v>
      </c>
      <c r="C1268" s="0" t="n">
        <v>2025</v>
      </c>
      <c r="D1268" s="28" t="s">
        <v>61</v>
      </c>
      <c r="E1268" s="0" t="n">
        <v>1</v>
      </c>
      <c r="F1268" s="28" t="s">
        <v>62</v>
      </c>
      <c r="G1268" s="28" t="s">
        <v>129</v>
      </c>
      <c r="H1268" s="28" t="s">
        <v>100</v>
      </c>
      <c r="I1268" s="28" t="s">
        <v>101</v>
      </c>
      <c r="J1268" s="28" t="s">
        <v>66</v>
      </c>
      <c r="K1268" s="28" t="s">
        <v>76</v>
      </c>
      <c r="L1268" s="28" t="s">
        <v>134</v>
      </c>
      <c r="M1268" s="28" t="s">
        <v>78</v>
      </c>
      <c r="N1268" s="28" t="s">
        <v>135</v>
      </c>
      <c r="O1268" s="29" t="n">
        <v>21</v>
      </c>
      <c r="P1268" s="30" t="n">
        <v>27.82</v>
      </c>
      <c r="Q1268" s="30" t="n">
        <v>13.84</v>
      </c>
      <c r="R1268" s="30" t="n">
        <f aca="false">ROUND(O1268*P1268,2)</f>
        <v>584.22</v>
      </c>
      <c r="S1268" s="30" t="n">
        <f aca="false">ROUND(O1268*Q1268,2)</f>
        <v>290.64</v>
      </c>
      <c r="T1268" s="30" t="n">
        <f aca="false">ROUND(R1268*SUMIFS(Parametros!$E$23:$E$38,Parametros!$B$23:$B$38,J1268,Parametros!$C$23:$C$38,C1268,Parametros!$D$23:$D$38,D1268),2)</f>
        <v>7.59</v>
      </c>
      <c r="U1268" s="30" t="n">
        <f aca="false">R1268-S1268-T1268</f>
        <v>285.99</v>
      </c>
    </row>
    <row r="1269" customFormat="false" ht="15" hidden="false" customHeight="false" outlineLevel="0" collapsed="false">
      <c r="A1269" s="0" t="n">
        <v>1268</v>
      </c>
      <c r="B1269" s="27" t="n">
        <v>45678</v>
      </c>
      <c r="C1269" s="0" t="n">
        <v>2025</v>
      </c>
      <c r="D1269" s="28" t="s">
        <v>61</v>
      </c>
      <c r="E1269" s="0" t="n">
        <v>1</v>
      </c>
      <c r="F1269" s="28" t="s">
        <v>62</v>
      </c>
      <c r="G1269" s="28" t="s">
        <v>129</v>
      </c>
      <c r="H1269" s="28" t="s">
        <v>100</v>
      </c>
      <c r="I1269" s="28" t="s">
        <v>101</v>
      </c>
      <c r="J1269" s="28" t="s">
        <v>71</v>
      </c>
      <c r="K1269" s="28" t="s">
        <v>76</v>
      </c>
      <c r="L1269" s="28" t="s">
        <v>134</v>
      </c>
      <c r="M1269" s="28" t="s">
        <v>78</v>
      </c>
      <c r="N1269" s="28" t="s">
        <v>135</v>
      </c>
      <c r="O1269" s="29" t="n">
        <v>18</v>
      </c>
      <c r="P1269" s="30" t="n">
        <v>27.82</v>
      </c>
      <c r="Q1269" s="30" t="n">
        <v>13.84</v>
      </c>
      <c r="R1269" s="30" t="n">
        <f aca="false">ROUND(O1269*P1269,2)</f>
        <v>500.76</v>
      </c>
      <c r="S1269" s="30" t="n">
        <f aca="false">ROUND(O1269*Q1269,2)</f>
        <v>249.12</v>
      </c>
      <c r="T1269" s="30" t="n">
        <f aca="false">ROUND(R1269*SUMIFS(Parametros!$E$23:$E$38,Parametros!$B$23:$B$38,J1269,Parametros!$C$23:$C$38,C1269,Parametros!$D$23:$D$38,D1269),2)</f>
        <v>34.05</v>
      </c>
      <c r="U1269" s="30" t="n">
        <f aca="false">R1269-S1269-T1269</f>
        <v>217.59</v>
      </c>
    </row>
    <row r="1270" customFormat="false" ht="15" hidden="false" customHeight="false" outlineLevel="0" collapsed="false">
      <c r="A1270" s="0" t="n">
        <v>1269</v>
      </c>
      <c r="B1270" s="27" t="n">
        <v>45658</v>
      </c>
      <c r="C1270" s="0" t="n">
        <v>2025</v>
      </c>
      <c r="D1270" s="28" t="s">
        <v>61</v>
      </c>
      <c r="E1270" s="0" t="n">
        <v>1</v>
      </c>
      <c r="F1270" s="28" t="s">
        <v>62</v>
      </c>
      <c r="G1270" s="28" t="s">
        <v>129</v>
      </c>
      <c r="H1270" s="28" t="s">
        <v>100</v>
      </c>
      <c r="I1270" s="28" t="s">
        <v>101</v>
      </c>
      <c r="J1270" s="28" t="s">
        <v>66</v>
      </c>
      <c r="K1270" s="28" t="s">
        <v>76</v>
      </c>
      <c r="L1270" s="28" t="s">
        <v>134</v>
      </c>
      <c r="M1270" s="28" t="s">
        <v>80</v>
      </c>
      <c r="N1270" s="28" t="s">
        <v>136</v>
      </c>
      <c r="O1270" s="29" t="n">
        <v>27</v>
      </c>
      <c r="P1270" s="30" t="n">
        <v>94.39</v>
      </c>
      <c r="Q1270" s="30" t="n">
        <v>49.41</v>
      </c>
      <c r="R1270" s="30" t="n">
        <f aca="false">ROUND(O1270*P1270,2)</f>
        <v>2548.53</v>
      </c>
      <c r="S1270" s="30" t="n">
        <f aca="false">ROUND(O1270*Q1270,2)</f>
        <v>1334.07</v>
      </c>
      <c r="T1270" s="30" t="n">
        <f aca="false">ROUND(R1270*SUMIFS(Parametros!$E$23:$E$38,Parametros!$B$23:$B$38,J1270,Parametros!$C$23:$C$38,C1270,Parametros!$D$23:$D$38,D1270),2)</f>
        <v>33.13</v>
      </c>
      <c r="U1270" s="30" t="n">
        <f aca="false">R1270-S1270-T1270</f>
        <v>1181.33</v>
      </c>
    </row>
    <row r="1271" customFormat="false" ht="15" hidden="false" customHeight="false" outlineLevel="0" collapsed="false">
      <c r="A1271" s="0" t="n">
        <v>1270</v>
      </c>
      <c r="B1271" s="27" t="n">
        <v>45665</v>
      </c>
      <c r="C1271" s="0" t="n">
        <v>2025</v>
      </c>
      <c r="D1271" s="28" t="s">
        <v>61</v>
      </c>
      <c r="E1271" s="0" t="n">
        <v>1</v>
      </c>
      <c r="F1271" s="28" t="s">
        <v>62</v>
      </c>
      <c r="G1271" s="28" t="s">
        <v>129</v>
      </c>
      <c r="H1271" s="28" t="s">
        <v>100</v>
      </c>
      <c r="I1271" s="28" t="s">
        <v>101</v>
      </c>
      <c r="J1271" s="28" t="s">
        <v>71</v>
      </c>
      <c r="K1271" s="28" t="s">
        <v>76</v>
      </c>
      <c r="L1271" s="28" t="s">
        <v>134</v>
      </c>
      <c r="M1271" s="28" t="s">
        <v>80</v>
      </c>
      <c r="N1271" s="28" t="s">
        <v>136</v>
      </c>
      <c r="O1271" s="29" t="n">
        <v>20</v>
      </c>
      <c r="P1271" s="30" t="n">
        <v>94.39</v>
      </c>
      <c r="Q1271" s="30" t="n">
        <v>49.41</v>
      </c>
      <c r="R1271" s="30" t="n">
        <f aca="false">ROUND(O1271*P1271,2)</f>
        <v>1887.8</v>
      </c>
      <c r="S1271" s="30" t="n">
        <f aca="false">ROUND(O1271*Q1271,2)</f>
        <v>988.2</v>
      </c>
      <c r="T1271" s="30" t="n">
        <f aca="false">ROUND(R1271*SUMIFS(Parametros!$E$23:$E$38,Parametros!$B$23:$B$38,J1271,Parametros!$C$23:$C$38,C1271,Parametros!$D$23:$D$38,D1271),2)</f>
        <v>128.37</v>
      </c>
      <c r="U1271" s="30" t="n">
        <f aca="false">R1271-S1271-T1271</f>
        <v>771.23</v>
      </c>
    </row>
    <row r="1272" customFormat="false" ht="15" hidden="false" customHeight="false" outlineLevel="0" collapsed="false">
      <c r="A1272" s="0" t="n">
        <v>1271</v>
      </c>
      <c r="B1272" s="27" t="n">
        <v>45672</v>
      </c>
      <c r="C1272" s="0" t="n">
        <v>2025</v>
      </c>
      <c r="D1272" s="28" t="s">
        <v>61</v>
      </c>
      <c r="E1272" s="0" t="n">
        <v>1</v>
      </c>
      <c r="F1272" s="28" t="s">
        <v>62</v>
      </c>
      <c r="G1272" s="28" t="s">
        <v>129</v>
      </c>
      <c r="H1272" s="28" t="s">
        <v>100</v>
      </c>
      <c r="I1272" s="28" t="s">
        <v>101</v>
      </c>
      <c r="J1272" s="28" t="s">
        <v>66</v>
      </c>
      <c r="K1272" s="28" t="s">
        <v>76</v>
      </c>
      <c r="L1272" s="28" t="s">
        <v>134</v>
      </c>
      <c r="M1272" s="28" t="s">
        <v>82</v>
      </c>
      <c r="N1272" s="28" t="s">
        <v>137</v>
      </c>
      <c r="O1272" s="29" t="n">
        <v>25</v>
      </c>
      <c r="P1272" s="30" t="n">
        <v>64.58</v>
      </c>
      <c r="Q1272" s="30" t="n">
        <v>36.49</v>
      </c>
      <c r="R1272" s="30" t="n">
        <f aca="false">ROUND(O1272*P1272,2)</f>
        <v>1614.5</v>
      </c>
      <c r="S1272" s="30" t="n">
        <f aca="false">ROUND(O1272*Q1272,2)</f>
        <v>912.25</v>
      </c>
      <c r="T1272" s="30" t="n">
        <f aca="false">ROUND(R1272*SUMIFS(Parametros!$E$23:$E$38,Parametros!$B$23:$B$38,J1272,Parametros!$C$23:$C$38,C1272,Parametros!$D$23:$D$38,D1272),2)</f>
        <v>20.99</v>
      </c>
      <c r="U1272" s="30" t="n">
        <f aca="false">R1272-S1272-T1272</f>
        <v>681.26</v>
      </c>
    </row>
    <row r="1273" customFormat="false" ht="15" hidden="false" customHeight="false" outlineLevel="0" collapsed="false">
      <c r="A1273" s="0" t="n">
        <v>1272</v>
      </c>
      <c r="B1273" s="27" t="n">
        <v>45679</v>
      </c>
      <c r="C1273" s="0" t="n">
        <v>2025</v>
      </c>
      <c r="D1273" s="28" t="s">
        <v>61</v>
      </c>
      <c r="E1273" s="0" t="n">
        <v>1</v>
      </c>
      <c r="F1273" s="28" t="s">
        <v>62</v>
      </c>
      <c r="G1273" s="28" t="s">
        <v>129</v>
      </c>
      <c r="H1273" s="28" t="s">
        <v>100</v>
      </c>
      <c r="I1273" s="28" t="s">
        <v>101</v>
      </c>
      <c r="J1273" s="28" t="s">
        <v>71</v>
      </c>
      <c r="K1273" s="28" t="s">
        <v>76</v>
      </c>
      <c r="L1273" s="28" t="s">
        <v>134</v>
      </c>
      <c r="M1273" s="28" t="s">
        <v>82</v>
      </c>
      <c r="N1273" s="28" t="s">
        <v>137</v>
      </c>
      <c r="O1273" s="29" t="n">
        <v>16</v>
      </c>
      <c r="P1273" s="30" t="n">
        <v>64.58</v>
      </c>
      <c r="Q1273" s="30" t="n">
        <v>36.49</v>
      </c>
      <c r="R1273" s="30" t="n">
        <f aca="false">ROUND(O1273*P1273,2)</f>
        <v>1033.28</v>
      </c>
      <c r="S1273" s="30" t="n">
        <f aca="false">ROUND(O1273*Q1273,2)</f>
        <v>583.84</v>
      </c>
      <c r="T1273" s="30" t="n">
        <f aca="false">ROUND(R1273*SUMIFS(Parametros!$E$23:$E$38,Parametros!$B$23:$B$38,J1273,Parametros!$C$23:$C$38,C1273,Parametros!$D$23:$D$38,D1273),2)</f>
        <v>70.26</v>
      </c>
      <c r="U1273" s="30" t="n">
        <f aca="false">R1273-S1273-T1273</f>
        <v>379.18</v>
      </c>
    </row>
    <row r="1274" customFormat="false" ht="15" hidden="false" customHeight="false" outlineLevel="0" collapsed="false">
      <c r="A1274" s="0" t="n">
        <v>1273</v>
      </c>
      <c r="B1274" s="27" t="n">
        <v>45659</v>
      </c>
      <c r="C1274" s="0" t="n">
        <v>2025</v>
      </c>
      <c r="D1274" s="28" t="s">
        <v>61</v>
      </c>
      <c r="E1274" s="0" t="n">
        <v>1</v>
      </c>
      <c r="F1274" s="28" t="s">
        <v>62</v>
      </c>
      <c r="G1274" s="28" t="s">
        <v>129</v>
      </c>
      <c r="H1274" s="28" t="s">
        <v>100</v>
      </c>
      <c r="I1274" s="28" t="s">
        <v>101</v>
      </c>
      <c r="J1274" s="28" t="s">
        <v>66</v>
      </c>
      <c r="K1274" s="28" t="s">
        <v>84</v>
      </c>
      <c r="L1274" s="28" t="s">
        <v>138</v>
      </c>
      <c r="M1274" s="28" t="s">
        <v>86</v>
      </c>
      <c r="N1274" s="28" t="s">
        <v>139</v>
      </c>
      <c r="O1274" s="29" t="n">
        <v>12</v>
      </c>
      <c r="P1274" s="30" t="n">
        <v>119.23</v>
      </c>
      <c r="Q1274" s="30" t="n">
        <v>65.51</v>
      </c>
      <c r="R1274" s="30" t="n">
        <f aca="false">ROUND(O1274*P1274,2)</f>
        <v>1430.76</v>
      </c>
      <c r="S1274" s="30" t="n">
        <f aca="false">ROUND(O1274*Q1274,2)</f>
        <v>786.12</v>
      </c>
      <c r="T1274" s="30" t="n">
        <f aca="false">ROUND(R1274*SUMIFS(Parametros!$E$23:$E$38,Parametros!$B$23:$B$38,J1274,Parametros!$C$23:$C$38,C1274,Parametros!$D$23:$D$38,D1274),2)</f>
        <v>18.6</v>
      </c>
      <c r="U1274" s="30" t="n">
        <f aca="false">R1274-S1274-T1274</f>
        <v>626.04</v>
      </c>
    </row>
    <row r="1275" customFormat="false" ht="15" hidden="false" customHeight="false" outlineLevel="0" collapsed="false">
      <c r="A1275" s="0" t="n">
        <v>1274</v>
      </c>
      <c r="B1275" s="27" t="n">
        <v>45666</v>
      </c>
      <c r="C1275" s="0" t="n">
        <v>2025</v>
      </c>
      <c r="D1275" s="28" t="s">
        <v>61</v>
      </c>
      <c r="E1275" s="0" t="n">
        <v>1</v>
      </c>
      <c r="F1275" s="28" t="s">
        <v>62</v>
      </c>
      <c r="G1275" s="28" t="s">
        <v>129</v>
      </c>
      <c r="H1275" s="28" t="s">
        <v>100</v>
      </c>
      <c r="I1275" s="28" t="s">
        <v>101</v>
      </c>
      <c r="J1275" s="28" t="s">
        <v>71</v>
      </c>
      <c r="K1275" s="28" t="s">
        <v>84</v>
      </c>
      <c r="L1275" s="28" t="s">
        <v>138</v>
      </c>
      <c r="M1275" s="28" t="s">
        <v>86</v>
      </c>
      <c r="N1275" s="28" t="s">
        <v>139</v>
      </c>
      <c r="O1275" s="29" t="n">
        <v>9</v>
      </c>
      <c r="P1275" s="30" t="n">
        <v>119.23</v>
      </c>
      <c r="Q1275" s="30" t="n">
        <v>65.51</v>
      </c>
      <c r="R1275" s="30" t="n">
        <f aca="false">ROUND(O1275*P1275,2)</f>
        <v>1073.07</v>
      </c>
      <c r="S1275" s="30" t="n">
        <f aca="false">ROUND(O1275*Q1275,2)</f>
        <v>589.59</v>
      </c>
      <c r="T1275" s="30" t="n">
        <f aca="false">ROUND(R1275*SUMIFS(Parametros!$E$23:$E$38,Parametros!$B$23:$B$38,J1275,Parametros!$C$23:$C$38,C1275,Parametros!$D$23:$D$38,D1275),2)</f>
        <v>72.97</v>
      </c>
      <c r="U1275" s="30" t="n">
        <f aca="false">R1275-S1275-T1275</f>
        <v>410.51</v>
      </c>
    </row>
    <row r="1276" customFormat="false" ht="15" hidden="false" customHeight="false" outlineLevel="0" collapsed="false">
      <c r="A1276" s="0" t="n">
        <v>1275</v>
      </c>
      <c r="B1276" s="27" t="n">
        <v>45673</v>
      </c>
      <c r="C1276" s="0" t="n">
        <v>2025</v>
      </c>
      <c r="D1276" s="28" t="s">
        <v>61</v>
      </c>
      <c r="E1276" s="0" t="n">
        <v>1</v>
      </c>
      <c r="F1276" s="28" t="s">
        <v>62</v>
      </c>
      <c r="G1276" s="28" t="s">
        <v>129</v>
      </c>
      <c r="H1276" s="28" t="s">
        <v>100</v>
      </c>
      <c r="I1276" s="28" t="s">
        <v>101</v>
      </c>
      <c r="J1276" s="28" t="s">
        <v>66</v>
      </c>
      <c r="K1276" s="28" t="s">
        <v>84</v>
      </c>
      <c r="L1276" s="28" t="s">
        <v>138</v>
      </c>
      <c r="M1276" s="28" t="s">
        <v>88</v>
      </c>
      <c r="N1276" s="28" t="s">
        <v>140</v>
      </c>
      <c r="O1276" s="29" t="n">
        <v>11</v>
      </c>
      <c r="P1276" s="30" t="n">
        <v>84.46</v>
      </c>
      <c r="Q1276" s="30" t="n">
        <v>49.47</v>
      </c>
      <c r="R1276" s="30" t="n">
        <f aca="false">ROUND(O1276*P1276,2)</f>
        <v>929.06</v>
      </c>
      <c r="S1276" s="30" t="n">
        <f aca="false">ROUND(O1276*Q1276,2)</f>
        <v>544.17</v>
      </c>
      <c r="T1276" s="30" t="n">
        <f aca="false">ROUND(R1276*SUMIFS(Parametros!$E$23:$E$38,Parametros!$B$23:$B$38,J1276,Parametros!$C$23:$C$38,C1276,Parametros!$D$23:$D$38,D1276),2)</f>
        <v>12.08</v>
      </c>
      <c r="U1276" s="30" t="n">
        <f aca="false">R1276-S1276-T1276</f>
        <v>372.81</v>
      </c>
    </row>
    <row r="1277" customFormat="false" ht="15" hidden="false" customHeight="false" outlineLevel="0" collapsed="false">
      <c r="A1277" s="0" t="n">
        <v>1276</v>
      </c>
      <c r="B1277" s="27" t="n">
        <v>45680</v>
      </c>
      <c r="C1277" s="0" t="n">
        <v>2025</v>
      </c>
      <c r="D1277" s="28" t="s">
        <v>61</v>
      </c>
      <c r="E1277" s="0" t="n">
        <v>1</v>
      </c>
      <c r="F1277" s="28" t="s">
        <v>62</v>
      </c>
      <c r="G1277" s="28" t="s">
        <v>129</v>
      </c>
      <c r="H1277" s="28" t="s">
        <v>100</v>
      </c>
      <c r="I1277" s="28" t="s">
        <v>101</v>
      </c>
      <c r="J1277" s="28" t="s">
        <v>71</v>
      </c>
      <c r="K1277" s="28" t="s">
        <v>84</v>
      </c>
      <c r="L1277" s="28" t="s">
        <v>138</v>
      </c>
      <c r="M1277" s="28" t="s">
        <v>88</v>
      </c>
      <c r="N1277" s="28" t="s">
        <v>140</v>
      </c>
      <c r="O1277" s="29" t="n">
        <v>9</v>
      </c>
      <c r="P1277" s="30" t="n">
        <v>84.46</v>
      </c>
      <c r="Q1277" s="30" t="n">
        <v>49.47</v>
      </c>
      <c r="R1277" s="30" t="n">
        <f aca="false">ROUND(O1277*P1277,2)</f>
        <v>760.14</v>
      </c>
      <c r="S1277" s="30" t="n">
        <f aca="false">ROUND(O1277*Q1277,2)</f>
        <v>445.23</v>
      </c>
      <c r="T1277" s="30" t="n">
        <f aca="false">ROUND(R1277*SUMIFS(Parametros!$E$23:$E$38,Parametros!$B$23:$B$38,J1277,Parametros!$C$23:$C$38,C1277,Parametros!$D$23:$D$38,D1277),2)</f>
        <v>51.69</v>
      </c>
      <c r="U1277" s="30" t="n">
        <f aca="false">R1277-S1277-T1277</f>
        <v>263.22</v>
      </c>
    </row>
    <row r="1278" customFormat="false" ht="15" hidden="false" customHeight="false" outlineLevel="0" collapsed="false">
      <c r="A1278" s="0" t="n">
        <v>1277</v>
      </c>
      <c r="B1278" s="27" t="n">
        <v>45660</v>
      </c>
      <c r="C1278" s="0" t="n">
        <v>2025</v>
      </c>
      <c r="D1278" s="28" t="s">
        <v>61</v>
      </c>
      <c r="E1278" s="0" t="n">
        <v>1</v>
      </c>
      <c r="F1278" s="28" t="s">
        <v>62</v>
      </c>
      <c r="G1278" s="28" t="s">
        <v>129</v>
      </c>
      <c r="H1278" s="28" t="s">
        <v>100</v>
      </c>
      <c r="I1278" s="28" t="s">
        <v>101</v>
      </c>
      <c r="J1278" s="28" t="s">
        <v>66</v>
      </c>
      <c r="K1278" s="28" t="s">
        <v>90</v>
      </c>
      <c r="L1278" s="28" t="s">
        <v>141</v>
      </c>
      <c r="M1278" s="28" t="s">
        <v>92</v>
      </c>
      <c r="N1278" s="28" t="s">
        <v>142</v>
      </c>
      <c r="O1278" s="29" t="n">
        <v>15</v>
      </c>
      <c r="P1278" s="30" t="n">
        <v>129.17</v>
      </c>
      <c r="Q1278" s="30" t="n">
        <v>78.33</v>
      </c>
      <c r="R1278" s="30" t="n">
        <f aca="false">ROUND(O1278*P1278,2)</f>
        <v>1937.55</v>
      </c>
      <c r="S1278" s="30" t="n">
        <f aca="false">ROUND(O1278*Q1278,2)</f>
        <v>1174.95</v>
      </c>
      <c r="T1278" s="30" t="n">
        <f aca="false">ROUND(R1278*SUMIFS(Parametros!$E$23:$E$38,Parametros!$B$23:$B$38,J1278,Parametros!$C$23:$C$38,C1278,Parametros!$D$23:$D$38,D1278),2)</f>
        <v>25.19</v>
      </c>
      <c r="U1278" s="30" t="n">
        <f aca="false">R1278-S1278-T1278</f>
        <v>737.41</v>
      </c>
    </row>
    <row r="1279" customFormat="false" ht="15" hidden="false" customHeight="false" outlineLevel="0" collapsed="false">
      <c r="A1279" s="0" t="n">
        <v>1278</v>
      </c>
      <c r="B1279" s="27" t="n">
        <v>45667</v>
      </c>
      <c r="C1279" s="0" t="n">
        <v>2025</v>
      </c>
      <c r="D1279" s="28" t="s">
        <v>61</v>
      </c>
      <c r="E1279" s="0" t="n">
        <v>1</v>
      </c>
      <c r="F1279" s="28" t="s">
        <v>62</v>
      </c>
      <c r="G1279" s="28" t="s">
        <v>129</v>
      </c>
      <c r="H1279" s="28" t="s">
        <v>100</v>
      </c>
      <c r="I1279" s="28" t="s">
        <v>101</v>
      </c>
      <c r="J1279" s="28" t="s">
        <v>71</v>
      </c>
      <c r="K1279" s="28" t="s">
        <v>90</v>
      </c>
      <c r="L1279" s="28" t="s">
        <v>141</v>
      </c>
      <c r="M1279" s="28" t="s">
        <v>92</v>
      </c>
      <c r="N1279" s="28" t="s">
        <v>142</v>
      </c>
      <c r="O1279" s="29" t="n">
        <v>11</v>
      </c>
      <c r="P1279" s="30" t="n">
        <v>129.17</v>
      </c>
      <c r="Q1279" s="30" t="n">
        <v>78.33</v>
      </c>
      <c r="R1279" s="30" t="n">
        <f aca="false">ROUND(O1279*P1279,2)</f>
        <v>1420.87</v>
      </c>
      <c r="S1279" s="30" t="n">
        <f aca="false">ROUND(O1279*Q1279,2)</f>
        <v>861.63</v>
      </c>
      <c r="T1279" s="30" t="n">
        <f aca="false">ROUND(R1279*SUMIFS(Parametros!$E$23:$E$38,Parametros!$B$23:$B$38,J1279,Parametros!$C$23:$C$38,C1279,Parametros!$D$23:$D$38,D1279),2)</f>
        <v>96.62</v>
      </c>
      <c r="U1279" s="30" t="n">
        <f aca="false">R1279-S1279-T1279</f>
        <v>462.62</v>
      </c>
    </row>
    <row r="1280" customFormat="false" ht="15" hidden="false" customHeight="false" outlineLevel="0" collapsed="false">
      <c r="A1280" s="0" t="n">
        <v>1279</v>
      </c>
      <c r="B1280" s="27" t="n">
        <v>45674</v>
      </c>
      <c r="C1280" s="0" t="n">
        <v>2025</v>
      </c>
      <c r="D1280" s="28" t="s">
        <v>61</v>
      </c>
      <c r="E1280" s="0" t="n">
        <v>1</v>
      </c>
      <c r="F1280" s="28" t="s">
        <v>62</v>
      </c>
      <c r="G1280" s="28" t="s">
        <v>129</v>
      </c>
      <c r="H1280" s="28" t="s">
        <v>100</v>
      </c>
      <c r="I1280" s="28" t="s">
        <v>101</v>
      </c>
      <c r="J1280" s="28" t="s">
        <v>66</v>
      </c>
      <c r="K1280" s="28" t="s">
        <v>90</v>
      </c>
      <c r="L1280" s="28" t="s">
        <v>141</v>
      </c>
      <c r="M1280" s="28" t="s">
        <v>94</v>
      </c>
      <c r="N1280" s="28" t="s">
        <v>143</v>
      </c>
      <c r="O1280" s="29" t="n">
        <v>13</v>
      </c>
      <c r="P1280" s="30" t="n">
        <v>34.78</v>
      </c>
      <c r="Q1280" s="30" t="n">
        <v>18.39</v>
      </c>
      <c r="R1280" s="30" t="n">
        <f aca="false">ROUND(O1280*P1280,2)</f>
        <v>452.14</v>
      </c>
      <c r="S1280" s="30" t="n">
        <f aca="false">ROUND(O1280*Q1280,2)</f>
        <v>239.07</v>
      </c>
      <c r="T1280" s="30" t="n">
        <f aca="false">ROUND(R1280*SUMIFS(Parametros!$E$23:$E$38,Parametros!$B$23:$B$38,J1280,Parametros!$C$23:$C$38,C1280,Parametros!$D$23:$D$38,D1280),2)</f>
        <v>5.88</v>
      </c>
      <c r="U1280" s="30" t="n">
        <f aca="false">R1280-S1280-T1280</f>
        <v>207.19</v>
      </c>
    </row>
    <row r="1281" customFormat="false" ht="15" hidden="false" customHeight="false" outlineLevel="0" collapsed="false">
      <c r="A1281" s="0" t="n">
        <v>1280</v>
      </c>
      <c r="B1281" s="27" t="n">
        <v>45681</v>
      </c>
      <c r="C1281" s="0" t="n">
        <v>2025</v>
      </c>
      <c r="D1281" s="28" t="s">
        <v>61</v>
      </c>
      <c r="E1281" s="0" t="n">
        <v>1</v>
      </c>
      <c r="F1281" s="28" t="s">
        <v>62</v>
      </c>
      <c r="G1281" s="28" t="s">
        <v>129</v>
      </c>
      <c r="H1281" s="28" t="s">
        <v>100</v>
      </c>
      <c r="I1281" s="28" t="s">
        <v>101</v>
      </c>
      <c r="J1281" s="28" t="s">
        <v>71</v>
      </c>
      <c r="K1281" s="28" t="s">
        <v>90</v>
      </c>
      <c r="L1281" s="28" t="s">
        <v>141</v>
      </c>
      <c r="M1281" s="28" t="s">
        <v>94</v>
      </c>
      <c r="N1281" s="28" t="s">
        <v>143</v>
      </c>
      <c r="O1281" s="29" t="n">
        <v>10</v>
      </c>
      <c r="P1281" s="30" t="n">
        <v>34.78</v>
      </c>
      <c r="Q1281" s="30" t="n">
        <v>18.39</v>
      </c>
      <c r="R1281" s="30" t="n">
        <f aca="false">ROUND(O1281*P1281,2)</f>
        <v>347.8</v>
      </c>
      <c r="S1281" s="30" t="n">
        <f aca="false">ROUND(O1281*Q1281,2)</f>
        <v>183.9</v>
      </c>
      <c r="T1281" s="30" t="n">
        <f aca="false">ROUND(R1281*SUMIFS(Parametros!$E$23:$E$38,Parametros!$B$23:$B$38,J1281,Parametros!$C$23:$C$38,C1281,Parametros!$D$23:$D$38,D1281),2)</f>
        <v>23.65</v>
      </c>
      <c r="U1281" s="30" t="n">
        <f aca="false">R1281-S1281-T1281</f>
        <v>140.25</v>
      </c>
    </row>
    <row r="1282" customFormat="false" ht="15" hidden="false" customHeight="false" outlineLevel="0" collapsed="false">
      <c r="A1282" s="0" t="n">
        <v>1281</v>
      </c>
      <c r="B1282" s="27" t="n">
        <v>45661</v>
      </c>
      <c r="C1282" s="0" t="n">
        <v>2025</v>
      </c>
      <c r="D1282" s="28" t="s">
        <v>61</v>
      </c>
      <c r="E1282" s="0" t="n">
        <v>1</v>
      </c>
      <c r="F1282" s="28" t="s">
        <v>62</v>
      </c>
      <c r="G1282" s="28" t="s">
        <v>129</v>
      </c>
      <c r="H1282" s="28" t="s">
        <v>102</v>
      </c>
      <c r="I1282" s="28" t="s">
        <v>103</v>
      </c>
      <c r="J1282" s="28" t="s">
        <v>66</v>
      </c>
      <c r="K1282" s="28" t="s">
        <v>67</v>
      </c>
      <c r="L1282" s="28" t="s">
        <v>130</v>
      </c>
      <c r="M1282" s="28" t="s">
        <v>69</v>
      </c>
      <c r="N1282" s="28" t="s">
        <v>131</v>
      </c>
      <c r="O1282" s="29" t="n">
        <v>6</v>
      </c>
      <c r="P1282" s="30" t="n">
        <v>1155.06</v>
      </c>
      <c r="Q1282" s="30" t="n">
        <v>766.32</v>
      </c>
      <c r="R1282" s="30" t="n">
        <f aca="false">ROUND(O1282*P1282,2)</f>
        <v>6930.36</v>
      </c>
      <c r="S1282" s="30" t="n">
        <f aca="false">ROUND(O1282*Q1282,2)</f>
        <v>4597.92</v>
      </c>
      <c r="T1282" s="30" t="n">
        <f aca="false">ROUND(R1282*SUMIFS(Parametros!$E$23:$E$38,Parametros!$B$23:$B$38,J1282,Parametros!$C$23:$C$38,C1282,Parametros!$D$23:$D$38,D1282),2)</f>
        <v>90.09</v>
      </c>
      <c r="U1282" s="30" t="n">
        <f aca="false">R1282-S1282-T1282</f>
        <v>2242.35</v>
      </c>
    </row>
    <row r="1283" customFormat="false" ht="15" hidden="false" customHeight="false" outlineLevel="0" collapsed="false">
      <c r="A1283" s="0" t="n">
        <v>1282</v>
      </c>
      <c r="B1283" s="27" t="n">
        <v>45668</v>
      </c>
      <c r="C1283" s="0" t="n">
        <v>2025</v>
      </c>
      <c r="D1283" s="28" t="s">
        <v>61</v>
      </c>
      <c r="E1283" s="0" t="n">
        <v>1</v>
      </c>
      <c r="F1283" s="28" t="s">
        <v>62</v>
      </c>
      <c r="G1283" s="28" t="s">
        <v>129</v>
      </c>
      <c r="H1283" s="28" t="s">
        <v>102</v>
      </c>
      <c r="I1283" s="28" t="s">
        <v>103</v>
      </c>
      <c r="J1283" s="28" t="s">
        <v>71</v>
      </c>
      <c r="K1283" s="28" t="s">
        <v>67</v>
      </c>
      <c r="L1283" s="28" t="s">
        <v>130</v>
      </c>
      <c r="M1283" s="28" t="s">
        <v>69</v>
      </c>
      <c r="N1283" s="28" t="s">
        <v>131</v>
      </c>
      <c r="O1283" s="29" t="n">
        <v>3</v>
      </c>
      <c r="P1283" s="30" t="n">
        <v>1155.06</v>
      </c>
      <c r="Q1283" s="30" t="n">
        <v>766.32</v>
      </c>
      <c r="R1283" s="30" t="n">
        <f aca="false">ROUND(O1283*P1283,2)</f>
        <v>3465.18</v>
      </c>
      <c r="S1283" s="30" t="n">
        <f aca="false">ROUND(O1283*Q1283,2)</f>
        <v>2298.96</v>
      </c>
      <c r="T1283" s="30" t="n">
        <f aca="false">ROUND(R1283*SUMIFS(Parametros!$E$23:$E$38,Parametros!$B$23:$B$38,J1283,Parametros!$C$23:$C$38,C1283,Parametros!$D$23:$D$38,D1283),2)</f>
        <v>235.63</v>
      </c>
      <c r="U1283" s="30" t="n">
        <f aca="false">R1283-S1283-T1283</f>
        <v>930.59</v>
      </c>
    </row>
    <row r="1284" customFormat="false" ht="15" hidden="false" customHeight="false" outlineLevel="0" collapsed="false">
      <c r="A1284" s="0" t="n">
        <v>1283</v>
      </c>
      <c r="B1284" s="27" t="n">
        <v>45675</v>
      </c>
      <c r="C1284" s="0" t="n">
        <v>2025</v>
      </c>
      <c r="D1284" s="28" t="s">
        <v>61</v>
      </c>
      <c r="E1284" s="0" t="n">
        <v>1</v>
      </c>
      <c r="F1284" s="28" t="s">
        <v>62</v>
      </c>
      <c r="G1284" s="28" t="s">
        <v>129</v>
      </c>
      <c r="H1284" s="28" t="s">
        <v>102</v>
      </c>
      <c r="I1284" s="28" t="s">
        <v>103</v>
      </c>
      <c r="J1284" s="28" t="s">
        <v>66</v>
      </c>
      <c r="K1284" s="28" t="s">
        <v>67</v>
      </c>
      <c r="L1284" s="28" t="s">
        <v>130</v>
      </c>
      <c r="M1284" s="28" t="s">
        <v>72</v>
      </c>
      <c r="N1284" s="28" t="s">
        <v>132</v>
      </c>
      <c r="O1284" s="29" t="n">
        <v>5</v>
      </c>
      <c r="P1284" s="30" t="n">
        <v>433.15</v>
      </c>
      <c r="Q1284" s="30" t="n">
        <v>280.42</v>
      </c>
      <c r="R1284" s="30" t="n">
        <f aca="false">ROUND(O1284*P1284,2)</f>
        <v>2165.75</v>
      </c>
      <c r="S1284" s="30" t="n">
        <f aca="false">ROUND(O1284*Q1284,2)</f>
        <v>1402.1</v>
      </c>
      <c r="T1284" s="30" t="n">
        <f aca="false">ROUND(R1284*SUMIFS(Parametros!$E$23:$E$38,Parametros!$B$23:$B$38,J1284,Parametros!$C$23:$C$38,C1284,Parametros!$D$23:$D$38,D1284),2)</f>
        <v>28.15</v>
      </c>
      <c r="U1284" s="30" t="n">
        <f aca="false">R1284-S1284-T1284</f>
        <v>735.5</v>
      </c>
    </row>
    <row r="1285" customFormat="false" ht="15" hidden="false" customHeight="false" outlineLevel="0" collapsed="false">
      <c r="A1285" s="0" t="n">
        <v>1284</v>
      </c>
      <c r="B1285" s="27" t="n">
        <v>45682</v>
      </c>
      <c r="C1285" s="0" t="n">
        <v>2025</v>
      </c>
      <c r="D1285" s="28" t="s">
        <v>61</v>
      </c>
      <c r="E1285" s="0" t="n">
        <v>1</v>
      </c>
      <c r="F1285" s="28" t="s">
        <v>62</v>
      </c>
      <c r="G1285" s="28" t="s">
        <v>129</v>
      </c>
      <c r="H1285" s="28" t="s">
        <v>102</v>
      </c>
      <c r="I1285" s="28" t="s">
        <v>103</v>
      </c>
      <c r="J1285" s="28" t="s">
        <v>71</v>
      </c>
      <c r="K1285" s="28" t="s">
        <v>67</v>
      </c>
      <c r="L1285" s="28" t="s">
        <v>130</v>
      </c>
      <c r="M1285" s="28" t="s">
        <v>72</v>
      </c>
      <c r="N1285" s="28" t="s">
        <v>132</v>
      </c>
      <c r="O1285" s="29" t="n">
        <v>3</v>
      </c>
      <c r="P1285" s="30" t="n">
        <v>433.15</v>
      </c>
      <c r="Q1285" s="30" t="n">
        <v>280.42</v>
      </c>
      <c r="R1285" s="30" t="n">
        <f aca="false">ROUND(O1285*P1285,2)</f>
        <v>1299.45</v>
      </c>
      <c r="S1285" s="30" t="n">
        <f aca="false">ROUND(O1285*Q1285,2)</f>
        <v>841.26</v>
      </c>
      <c r="T1285" s="30" t="n">
        <f aca="false">ROUND(R1285*SUMIFS(Parametros!$E$23:$E$38,Parametros!$B$23:$B$38,J1285,Parametros!$C$23:$C$38,C1285,Parametros!$D$23:$D$38,D1285),2)</f>
        <v>88.36</v>
      </c>
      <c r="U1285" s="30" t="n">
        <f aca="false">R1285-S1285-T1285</f>
        <v>369.83</v>
      </c>
    </row>
    <row r="1286" customFormat="false" ht="15" hidden="false" customHeight="false" outlineLevel="0" collapsed="false">
      <c r="A1286" s="0" t="n">
        <v>1285</v>
      </c>
      <c r="B1286" s="27" t="n">
        <v>45662</v>
      </c>
      <c r="C1286" s="0" t="n">
        <v>2025</v>
      </c>
      <c r="D1286" s="28" t="s">
        <v>61</v>
      </c>
      <c r="E1286" s="0" t="n">
        <v>1</v>
      </c>
      <c r="F1286" s="28" t="s">
        <v>62</v>
      </c>
      <c r="G1286" s="28" t="s">
        <v>129</v>
      </c>
      <c r="H1286" s="28" t="s">
        <v>102</v>
      </c>
      <c r="I1286" s="28" t="s">
        <v>103</v>
      </c>
      <c r="J1286" s="28" t="s">
        <v>66</v>
      </c>
      <c r="K1286" s="28" t="s">
        <v>67</v>
      </c>
      <c r="L1286" s="28" t="s">
        <v>130</v>
      </c>
      <c r="M1286" s="28" t="s">
        <v>74</v>
      </c>
      <c r="N1286" s="28" t="s">
        <v>133</v>
      </c>
      <c r="O1286" s="29" t="n">
        <v>6</v>
      </c>
      <c r="P1286" s="30" t="n">
        <v>1588.21</v>
      </c>
      <c r="Q1286" s="30" t="n">
        <v>1155.66</v>
      </c>
      <c r="R1286" s="30" t="n">
        <f aca="false">ROUND(O1286*P1286,2)</f>
        <v>9529.26</v>
      </c>
      <c r="S1286" s="30" t="n">
        <f aca="false">ROUND(O1286*Q1286,2)</f>
        <v>6933.96</v>
      </c>
      <c r="T1286" s="30" t="n">
        <f aca="false">ROUND(R1286*SUMIFS(Parametros!$E$23:$E$38,Parametros!$B$23:$B$38,J1286,Parametros!$C$23:$C$38,C1286,Parametros!$D$23:$D$38,D1286),2)</f>
        <v>123.88</v>
      </c>
      <c r="U1286" s="30" t="n">
        <f aca="false">R1286-S1286-T1286</f>
        <v>2471.42</v>
      </c>
    </row>
    <row r="1287" customFormat="false" ht="15" hidden="false" customHeight="false" outlineLevel="0" collapsed="false">
      <c r="A1287" s="0" t="n">
        <v>1286</v>
      </c>
      <c r="B1287" s="27" t="n">
        <v>45669</v>
      </c>
      <c r="C1287" s="0" t="n">
        <v>2025</v>
      </c>
      <c r="D1287" s="28" t="s">
        <v>61</v>
      </c>
      <c r="E1287" s="0" t="n">
        <v>1</v>
      </c>
      <c r="F1287" s="28" t="s">
        <v>62</v>
      </c>
      <c r="G1287" s="28" t="s">
        <v>129</v>
      </c>
      <c r="H1287" s="28" t="s">
        <v>102</v>
      </c>
      <c r="I1287" s="28" t="s">
        <v>103</v>
      </c>
      <c r="J1287" s="28" t="s">
        <v>71</v>
      </c>
      <c r="K1287" s="28" t="s">
        <v>67</v>
      </c>
      <c r="L1287" s="28" t="s">
        <v>130</v>
      </c>
      <c r="M1287" s="28" t="s">
        <v>74</v>
      </c>
      <c r="N1287" s="28" t="s">
        <v>133</v>
      </c>
      <c r="O1287" s="29" t="n">
        <v>4</v>
      </c>
      <c r="P1287" s="30" t="n">
        <v>1588.21</v>
      </c>
      <c r="Q1287" s="30" t="n">
        <v>1155.66</v>
      </c>
      <c r="R1287" s="30" t="n">
        <f aca="false">ROUND(O1287*P1287,2)</f>
        <v>6352.84</v>
      </c>
      <c r="S1287" s="30" t="n">
        <f aca="false">ROUND(O1287*Q1287,2)</f>
        <v>4622.64</v>
      </c>
      <c r="T1287" s="30" t="n">
        <f aca="false">ROUND(R1287*SUMIFS(Parametros!$E$23:$E$38,Parametros!$B$23:$B$38,J1287,Parametros!$C$23:$C$38,C1287,Parametros!$D$23:$D$38,D1287),2)</f>
        <v>431.99</v>
      </c>
      <c r="U1287" s="30" t="n">
        <f aca="false">R1287-S1287-T1287</f>
        <v>1298.21</v>
      </c>
    </row>
    <row r="1288" customFormat="false" ht="15" hidden="false" customHeight="false" outlineLevel="0" collapsed="false">
      <c r="A1288" s="0" t="n">
        <v>1287</v>
      </c>
      <c r="B1288" s="27" t="n">
        <v>45676</v>
      </c>
      <c r="C1288" s="0" t="n">
        <v>2025</v>
      </c>
      <c r="D1288" s="28" t="s">
        <v>61</v>
      </c>
      <c r="E1288" s="0" t="n">
        <v>1</v>
      </c>
      <c r="F1288" s="28" t="s">
        <v>62</v>
      </c>
      <c r="G1288" s="28" t="s">
        <v>129</v>
      </c>
      <c r="H1288" s="28" t="s">
        <v>102</v>
      </c>
      <c r="I1288" s="28" t="s">
        <v>103</v>
      </c>
      <c r="J1288" s="28" t="s">
        <v>66</v>
      </c>
      <c r="K1288" s="28" t="s">
        <v>76</v>
      </c>
      <c r="L1288" s="28" t="s">
        <v>134</v>
      </c>
      <c r="M1288" s="28" t="s">
        <v>78</v>
      </c>
      <c r="N1288" s="28" t="s">
        <v>135</v>
      </c>
      <c r="O1288" s="29" t="n">
        <v>26</v>
      </c>
      <c r="P1288" s="30" t="n">
        <v>27.82</v>
      </c>
      <c r="Q1288" s="30" t="n">
        <v>13.84</v>
      </c>
      <c r="R1288" s="30" t="n">
        <f aca="false">ROUND(O1288*P1288,2)</f>
        <v>723.32</v>
      </c>
      <c r="S1288" s="30" t="n">
        <f aca="false">ROUND(O1288*Q1288,2)</f>
        <v>359.84</v>
      </c>
      <c r="T1288" s="30" t="n">
        <f aca="false">ROUND(R1288*SUMIFS(Parametros!$E$23:$E$38,Parametros!$B$23:$B$38,J1288,Parametros!$C$23:$C$38,C1288,Parametros!$D$23:$D$38,D1288),2)</f>
        <v>9.4</v>
      </c>
      <c r="U1288" s="30" t="n">
        <f aca="false">R1288-S1288-T1288</f>
        <v>354.08</v>
      </c>
    </row>
    <row r="1289" customFormat="false" ht="15" hidden="false" customHeight="false" outlineLevel="0" collapsed="false">
      <c r="A1289" s="0" t="n">
        <v>1288</v>
      </c>
      <c r="B1289" s="27" t="n">
        <v>45683</v>
      </c>
      <c r="C1289" s="0" t="n">
        <v>2025</v>
      </c>
      <c r="D1289" s="28" t="s">
        <v>61</v>
      </c>
      <c r="E1289" s="0" t="n">
        <v>1</v>
      </c>
      <c r="F1289" s="28" t="s">
        <v>62</v>
      </c>
      <c r="G1289" s="28" t="s">
        <v>129</v>
      </c>
      <c r="H1289" s="28" t="s">
        <v>102</v>
      </c>
      <c r="I1289" s="28" t="s">
        <v>103</v>
      </c>
      <c r="J1289" s="28" t="s">
        <v>71</v>
      </c>
      <c r="K1289" s="28" t="s">
        <v>76</v>
      </c>
      <c r="L1289" s="28" t="s">
        <v>134</v>
      </c>
      <c r="M1289" s="28" t="s">
        <v>78</v>
      </c>
      <c r="N1289" s="28" t="s">
        <v>135</v>
      </c>
      <c r="O1289" s="29" t="n">
        <v>20</v>
      </c>
      <c r="P1289" s="30" t="n">
        <v>27.82</v>
      </c>
      <c r="Q1289" s="30" t="n">
        <v>13.84</v>
      </c>
      <c r="R1289" s="30" t="n">
        <f aca="false">ROUND(O1289*P1289,2)</f>
        <v>556.4</v>
      </c>
      <c r="S1289" s="30" t="n">
        <f aca="false">ROUND(O1289*Q1289,2)</f>
        <v>276.8</v>
      </c>
      <c r="T1289" s="30" t="n">
        <f aca="false">ROUND(R1289*SUMIFS(Parametros!$E$23:$E$38,Parametros!$B$23:$B$38,J1289,Parametros!$C$23:$C$38,C1289,Parametros!$D$23:$D$38,D1289),2)</f>
        <v>37.84</v>
      </c>
      <c r="U1289" s="30" t="n">
        <f aca="false">R1289-S1289-T1289</f>
        <v>241.76</v>
      </c>
    </row>
    <row r="1290" customFormat="false" ht="15" hidden="false" customHeight="false" outlineLevel="0" collapsed="false">
      <c r="A1290" s="0" t="n">
        <v>1289</v>
      </c>
      <c r="B1290" s="27" t="n">
        <v>45663</v>
      </c>
      <c r="C1290" s="0" t="n">
        <v>2025</v>
      </c>
      <c r="D1290" s="28" t="s">
        <v>61</v>
      </c>
      <c r="E1290" s="0" t="n">
        <v>1</v>
      </c>
      <c r="F1290" s="28" t="s">
        <v>62</v>
      </c>
      <c r="G1290" s="28" t="s">
        <v>129</v>
      </c>
      <c r="H1290" s="28" t="s">
        <v>102</v>
      </c>
      <c r="I1290" s="28" t="s">
        <v>103</v>
      </c>
      <c r="J1290" s="28" t="s">
        <v>66</v>
      </c>
      <c r="K1290" s="28" t="s">
        <v>76</v>
      </c>
      <c r="L1290" s="28" t="s">
        <v>134</v>
      </c>
      <c r="M1290" s="28" t="s">
        <v>80</v>
      </c>
      <c r="N1290" s="28" t="s">
        <v>136</v>
      </c>
      <c r="O1290" s="29" t="n">
        <v>22</v>
      </c>
      <c r="P1290" s="30" t="n">
        <v>94.39</v>
      </c>
      <c r="Q1290" s="30" t="n">
        <v>49.41</v>
      </c>
      <c r="R1290" s="30" t="n">
        <f aca="false">ROUND(O1290*P1290,2)</f>
        <v>2076.58</v>
      </c>
      <c r="S1290" s="30" t="n">
        <f aca="false">ROUND(O1290*Q1290,2)</f>
        <v>1087.02</v>
      </c>
      <c r="T1290" s="30" t="n">
        <f aca="false">ROUND(R1290*SUMIFS(Parametros!$E$23:$E$38,Parametros!$B$23:$B$38,J1290,Parametros!$C$23:$C$38,C1290,Parametros!$D$23:$D$38,D1290),2)</f>
        <v>27</v>
      </c>
      <c r="U1290" s="30" t="n">
        <f aca="false">R1290-S1290-T1290</f>
        <v>962.56</v>
      </c>
    </row>
    <row r="1291" customFormat="false" ht="15" hidden="false" customHeight="false" outlineLevel="0" collapsed="false">
      <c r="A1291" s="0" t="n">
        <v>1290</v>
      </c>
      <c r="B1291" s="27" t="n">
        <v>45670</v>
      </c>
      <c r="C1291" s="0" t="n">
        <v>2025</v>
      </c>
      <c r="D1291" s="28" t="s">
        <v>61</v>
      </c>
      <c r="E1291" s="0" t="n">
        <v>1</v>
      </c>
      <c r="F1291" s="28" t="s">
        <v>62</v>
      </c>
      <c r="G1291" s="28" t="s">
        <v>129</v>
      </c>
      <c r="H1291" s="28" t="s">
        <v>102</v>
      </c>
      <c r="I1291" s="28" t="s">
        <v>103</v>
      </c>
      <c r="J1291" s="28" t="s">
        <v>71</v>
      </c>
      <c r="K1291" s="28" t="s">
        <v>76</v>
      </c>
      <c r="L1291" s="28" t="s">
        <v>134</v>
      </c>
      <c r="M1291" s="28" t="s">
        <v>80</v>
      </c>
      <c r="N1291" s="28" t="s">
        <v>136</v>
      </c>
      <c r="O1291" s="29" t="n">
        <v>15</v>
      </c>
      <c r="P1291" s="30" t="n">
        <v>94.39</v>
      </c>
      <c r="Q1291" s="30" t="n">
        <v>49.41</v>
      </c>
      <c r="R1291" s="30" t="n">
        <f aca="false">ROUND(O1291*P1291,2)</f>
        <v>1415.85</v>
      </c>
      <c r="S1291" s="30" t="n">
        <f aca="false">ROUND(O1291*Q1291,2)</f>
        <v>741.15</v>
      </c>
      <c r="T1291" s="30" t="n">
        <f aca="false">ROUND(R1291*SUMIFS(Parametros!$E$23:$E$38,Parametros!$B$23:$B$38,J1291,Parametros!$C$23:$C$38,C1291,Parametros!$D$23:$D$38,D1291),2)</f>
        <v>96.28</v>
      </c>
      <c r="U1291" s="30" t="n">
        <f aca="false">R1291-S1291-T1291</f>
        <v>578.42</v>
      </c>
    </row>
    <row r="1292" customFormat="false" ht="15" hidden="false" customHeight="false" outlineLevel="0" collapsed="false">
      <c r="A1292" s="0" t="n">
        <v>1291</v>
      </c>
      <c r="B1292" s="27" t="n">
        <v>45677</v>
      </c>
      <c r="C1292" s="0" t="n">
        <v>2025</v>
      </c>
      <c r="D1292" s="28" t="s">
        <v>61</v>
      </c>
      <c r="E1292" s="0" t="n">
        <v>1</v>
      </c>
      <c r="F1292" s="28" t="s">
        <v>62</v>
      </c>
      <c r="G1292" s="28" t="s">
        <v>129</v>
      </c>
      <c r="H1292" s="28" t="s">
        <v>102</v>
      </c>
      <c r="I1292" s="28" t="s">
        <v>103</v>
      </c>
      <c r="J1292" s="28" t="s">
        <v>66</v>
      </c>
      <c r="K1292" s="28" t="s">
        <v>76</v>
      </c>
      <c r="L1292" s="28" t="s">
        <v>134</v>
      </c>
      <c r="M1292" s="28" t="s">
        <v>82</v>
      </c>
      <c r="N1292" s="28" t="s">
        <v>137</v>
      </c>
      <c r="O1292" s="29" t="n">
        <v>28</v>
      </c>
      <c r="P1292" s="30" t="n">
        <v>64.58</v>
      </c>
      <c r="Q1292" s="30" t="n">
        <v>36.49</v>
      </c>
      <c r="R1292" s="30" t="n">
        <f aca="false">ROUND(O1292*P1292,2)</f>
        <v>1808.24</v>
      </c>
      <c r="S1292" s="30" t="n">
        <f aca="false">ROUND(O1292*Q1292,2)</f>
        <v>1021.72</v>
      </c>
      <c r="T1292" s="30" t="n">
        <f aca="false">ROUND(R1292*SUMIFS(Parametros!$E$23:$E$38,Parametros!$B$23:$B$38,J1292,Parametros!$C$23:$C$38,C1292,Parametros!$D$23:$D$38,D1292),2)</f>
        <v>23.51</v>
      </c>
      <c r="U1292" s="30" t="n">
        <f aca="false">R1292-S1292-T1292</f>
        <v>763.01</v>
      </c>
    </row>
    <row r="1293" customFormat="false" ht="15" hidden="false" customHeight="false" outlineLevel="0" collapsed="false">
      <c r="A1293" s="0" t="n">
        <v>1292</v>
      </c>
      <c r="B1293" s="27" t="n">
        <v>45684</v>
      </c>
      <c r="C1293" s="0" t="n">
        <v>2025</v>
      </c>
      <c r="D1293" s="28" t="s">
        <v>61</v>
      </c>
      <c r="E1293" s="0" t="n">
        <v>1</v>
      </c>
      <c r="F1293" s="28" t="s">
        <v>62</v>
      </c>
      <c r="G1293" s="28" t="s">
        <v>129</v>
      </c>
      <c r="H1293" s="28" t="s">
        <v>102</v>
      </c>
      <c r="I1293" s="28" t="s">
        <v>103</v>
      </c>
      <c r="J1293" s="28" t="s">
        <v>71</v>
      </c>
      <c r="K1293" s="28" t="s">
        <v>76</v>
      </c>
      <c r="L1293" s="28" t="s">
        <v>134</v>
      </c>
      <c r="M1293" s="28" t="s">
        <v>82</v>
      </c>
      <c r="N1293" s="28" t="s">
        <v>137</v>
      </c>
      <c r="O1293" s="29" t="n">
        <v>20</v>
      </c>
      <c r="P1293" s="30" t="n">
        <v>64.58</v>
      </c>
      <c r="Q1293" s="30" t="n">
        <v>36.49</v>
      </c>
      <c r="R1293" s="30" t="n">
        <f aca="false">ROUND(O1293*P1293,2)</f>
        <v>1291.6</v>
      </c>
      <c r="S1293" s="30" t="n">
        <f aca="false">ROUND(O1293*Q1293,2)</f>
        <v>729.8</v>
      </c>
      <c r="T1293" s="30" t="n">
        <f aca="false">ROUND(R1293*SUMIFS(Parametros!$E$23:$E$38,Parametros!$B$23:$B$38,J1293,Parametros!$C$23:$C$38,C1293,Parametros!$D$23:$D$38,D1293),2)</f>
        <v>87.83</v>
      </c>
      <c r="U1293" s="30" t="n">
        <f aca="false">R1293-S1293-T1293</f>
        <v>473.97</v>
      </c>
    </row>
    <row r="1294" customFormat="false" ht="15" hidden="false" customHeight="false" outlineLevel="0" collapsed="false">
      <c r="A1294" s="0" t="n">
        <v>1293</v>
      </c>
      <c r="B1294" s="27" t="n">
        <v>45664</v>
      </c>
      <c r="C1294" s="0" t="n">
        <v>2025</v>
      </c>
      <c r="D1294" s="28" t="s">
        <v>61</v>
      </c>
      <c r="E1294" s="0" t="n">
        <v>1</v>
      </c>
      <c r="F1294" s="28" t="s">
        <v>62</v>
      </c>
      <c r="G1294" s="28" t="s">
        <v>129</v>
      </c>
      <c r="H1294" s="28" t="s">
        <v>102</v>
      </c>
      <c r="I1294" s="28" t="s">
        <v>103</v>
      </c>
      <c r="J1294" s="28" t="s">
        <v>66</v>
      </c>
      <c r="K1294" s="28" t="s">
        <v>84</v>
      </c>
      <c r="L1294" s="28" t="s">
        <v>138</v>
      </c>
      <c r="M1294" s="28" t="s">
        <v>86</v>
      </c>
      <c r="N1294" s="28" t="s">
        <v>139</v>
      </c>
      <c r="O1294" s="29" t="n">
        <v>10</v>
      </c>
      <c r="P1294" s="30" t="n">
        <v>119.23</v>
      </c>
      <c r="Q1294" s="30" t="n">
        <v>65.51</v>
      </c>
      <c r="R1294" s="30" t="n">
        <f aca="false">ROUND(O1294*P1294,2)</f>
        <v>1192.3</v>
      </c>
      <c r="S1294" s="30" t="n">
        <f aca="false">ROUND(O1294*Q1294,2)</f>
        <v>655.1</v>
      </c>
      <c r="T1294" s="30" t="n">
        <f aca="false">ROUND(R1294*SUMIFS(Parametros!$E$23:$E$38,Parametros!$B$23:$B$38,J1294,Parametros!$C$23:$C$38,C1294,Parametros!$D$23:$D$38,D1294),2)</f>
        <v>15.5</v>
      </c>
      <c r="U1294" s="30" t="n">
        <f aca="false">R1294-S1294-T1294</f>
        <v>521.7</v>
      </c>
    </row>
    <row r="1295" customFormat="false" ht="15" hidden="false" customHeight="false" outlineLevel="0" collapsed="false">
      <c r="A1295" s="0" t="n">
        <v>1294</v>
      </c>
      <c r="B1295" s="27" t="n">
        <v>45671</v>
      </c>
      <c r="C1295" s="0" t="n">
        <v>2025</v>
      </c>
      <c r="D1295" s="28" t="s">
        <v>61</v>
      </c>
      <c r="E1295" s="0" t="n">
        <v>1</v>
      </c>
      <c r="F1295" s="28" t="s">
        <v>62</v>
      </c>
      <c r="G1295" s="28" t="s">
        <v>129</v>
      </c>
      <c r="H1295" s="28" t="s">
        <v>102</v>
      </c>
      <c r="I1295" s="28" t="s">
        <v>103</v>
      </c>
      <c r="J1295" s="28" t="s">
        <v>71</v>
      </c>
      <c r="K1295" s="28" t="s">
        <v>84</v>
      </c>
      <c r="L1295" s="28" t="s">
        <v>138</v>
      </c>
      <c r="M1295" s="28" t="s">
        <v>86</v>
      </c>
      <c r="N1295" s="28" t="s">
        <v>139</v>
      </c>
      <c r="O1295" s="29" t="n">
        <v>7</v>
      </c>
      <c r="P1295" s="30" t="n">
        <v>119.23</v>
      </c>
      <c r="Q1295" s="30" t="n">
        <v>65.51</v>
      </c>
      <c r="R1295" s="30" t="n">
        <f aca="false">ROUND(O1295*P1295,2)</f>
        <v>834.61</v>
      </c>
      <c r="S1295" s="30" t="n">
        <f aca="false">ROUND(O1295*Q1295,2)</f>
        <v>458.57</v>
      </c>
      <c r="T1295" s="30" t="n">
        <f aca="false">ROUND(R1295*SUMIFS(Parametros!$E$23:$E$38,Parametros!$B$23:$B$38,J1295,Parametros!$C$23:$C$38,C1295,Parametros!$D$23:$D$38,D1295),2)</f>
        <v>56.75</v>
      </c>
      <c r="U1295" s="30" t="n">
        <f aca="false">R1295-S1295-T1295</f>
        <v>319.29</v>
      </c>
    </row>
    <row r="1296" customFormat="false" ht="15" hidden="false" customHeight="false" outlineLevel="0" collapsed="false">
      <c r="A1296" s="0" t="n">
        <v>1295</v>
      </c>
      <c r="B1296" s="27" t="n">
        <v>45678</v>
      </c>
      <c r="C1296" s="0" t="n">
        <v>2025</v>
      </c>
      <c r="D1296" s="28" t="s">
        <v>61</v>
      </c>
      <c r="E1296" s="0" t="n">
        <v>1</v>
      </c>
      <c r="F1296" s="28" t="s">
        <v>62</v>
      </c>
      <c r="G1296" s="28" t="s">
        <v>129</v>
      </c>
      <c r="H1296" s="28" t="s">
        <v>102</v>
      </c>
      <c r="I1296" s="28" t="s">
        <v>103</v>
      </c>
      <c r="J1296" s="28" t="s">
        <v>66</v>
      </c>
      <c r="K1296" s="28" t="s">
        <v>84</v>
      </c>
      <c r="L1296" s="28" t="s">
        <v>138</v>
      </c>
      <c r="M1296" s="28" t="s">
        <v>88</v>
      </c>
      <c r="N1296" s="28" t="s">
        <v>140</v>
      </c>
      <c r="O1296" s="29" t="n">
        <v>11</v>
      </c>
      <c r="P1296" s="30" t="n">
        <v>84.46</v>
      </c>
      <c r="Q1296" s="30" t="n">
        <v>49.47</v>
      </c>
      <c r="R1296" s="30" t="n">
        <f aca="false">ROUND(O1296*P1296,2)</f>
        <v>929.06</v>
      </c>
      <c r="S1296" s="30" t="n">
        <f aca="false">ROUND(O1296*Q1296,2)</f>
        <v>544.17</v>
      </c>
      <c r="T1296" s="30" t="n">
        <f aca="false">ROUND(R1296*SUMIFS(Parametros!$E$23:$E$38,Parametros!$B$23:$B$38,J1296,Parametros!$C$23:$C$38,C1296,Parametros!$D$23:$D$38,D1296),2)</f>
        <v>12.08</v>
      </c>
      <c r="U1296" s="30" t="n">
        <f aca="false">R1296-S1296-T1296</f>
        <v>372.81</v>
      </c>
    </row>
    <row r="1297" customFormat="false" ht="15" hidden="false" customHeight="false" outlineLevel="0" collapsed="false">
      <c r="A1297" s="0" t="n">
        <v>1296</v>
      </c>
      <c r="B1297" s="27" t="n">
        <v>45658</v>
      </c>
      <c r="C1297" s="0" t="n">
        <v>2025</v>
      </c>
      <c r="D1297" s="28" t="s">
        <v>61</v>
      </c>
      <c r="E1297" s="0" t="n">
        <v>1</v>
      </c>
      <c r="F1297" s="28" t="s">
        <v>62</v>
      </c>
      <c r="G1297" s="28" t="s">
        <v>129</v>
      </c>
      <c r="H1297" s="28" t="s">
        <v>102</v>
      </c>
      <c r="I1297" s="28" t="s">
        <v>103</v>
      </c>
      <c r="J1297" s="28" t="s">
        <v>71</v>
      </c>
      <c r="K1297" s="28" t="s">
        <v>84</v>
      </c>
      <c r="L1297" s="28" t="s">
        <v>138</v>
      </c>
      <c r="M1297" s="28" t="s">
        <v>88</v>
      </c>
      <c r="N1297" s="28" t="s">
        <v>140</v>
      </c>
      <c r="O1297" s="29" t="n">
        <v>9</v>
      </c>
      <c r="P1297" s="30" t="n">
        <v>84.46</v>
      </c>
      <c r="Q1297" s="30" t="n">
        <v>49.47</v>
      </c>
      <c r="R1297" s="30" t="n">
        <f aca="false">ROUND(O1297*P1297,2)</f>
        <v>760.14</v>
      </c>
      <c r="S1297" s="30" t="n">
        <f aca="false">ROUND(O1297*Q1297,2)</f>
        <v>445.23</v>
      </c>
      <c r="T1297" s="30" t="n">
        <f aca="false">ROUND(R1297*SUMIFS(Parametros!$E$23:$E$38,Parametros!$B$23:$B$38,J1297,Parametros!$C$23:$C$38,C1297,Parametros!$D$23:$D$38,D1297),2)</f>
        <v>51.69</v>
      </c>
      <c r="U1297" s="30" t="n">
        <f aca="false">R1297-S1297-T1297</f>
        <v>263.22</v>
      </c>
    </row>
    <row r="1298" customFormat="false" ht="15" hidden="false" customHeight="false" outlineLevel="0" collapsed="false">
      <c r="A1298" s="0" t="n">
        <v>1297</v>
      </c>
      <c r="B1298" s="27" t="n">
        <v>45665</v>
      </c>
      <c r="C1298" s="0" t="n">
        <v>2025</v>
      </c>
      <c r="D1298" s="28" t="s">
        <v>61</v>
      </c>
      <c r="E1298" s="0" t="n">
        <v>1</v>
      </c>
      <c r="F1298" s="28" t="s">
        <v>62</v>
      </c>
      <c r="G1298" s="28" t="s">
        <v>129</v>
      </c>
      <c r="H1298" s="28" t="s">
        <v>102</v>
      </c>
      <c r="I1298" s="28" t="s">
        <v>103</v>
      </c>
      <c r="J1298" s="28" t="s">
        <v>66</v>
      </c>
      <c r="K1298" s="28" t="s">
        <v>90</v>
      </c>
      <c r="L1298" s="28" t="s">
        <v>141</v>
      </c>
      <c r="M1298" s="28" t="s">
        <v>92</v>
      </c>
      <c r="N1298" s="28" t="s">
        <v>142</v>
      </c>
      <c r="O1298" s="29" t="n">
        <v>13</v>
      </c>
      <c r="P1298" s="30" t="n">
        <v>129.17</v>
      </c>
      <c r="Q1298" s="30" t="n">
        <v>78.33</v>
      </c>
      <c r="R1298" s="30" t="n">
        <f aca="false">ROUND(O1298*P1298,2)</f>
        <v>1679.21</v>
      </c>
      <c r="S1298" s="30" t="n">
        <f aca="false">ROUND(O1298*Q1298,2)</f>
        <v>1018.29</v>
      </c>
      <c r="T1298" s="30" t="n">
        <f aca="false">ROUND(R1298*SUMIFS(Parametros!$E$23:$E$38,Parametros!$B$23:$B$38,J1298,Parametros!$C$23:$C$38,C1298,Parametros!$D$23:$D$38,D1298),2)</f>
        <v>21.83</v>
      </c>
      <c r="U1298" s="30" t="n">
        <f aca="false">R1298-S1298-T1298</f>
        <v>639.09</v>
      </c>
    </row>
    <row r="1299" customFormat="false" ht="15" hidden="false" customHeight="false" outlineLevel="0" collapsed="false">
      <c r="A1299" s="0" t="n">
        <v>1298</v>
      </c>
      <c r="B1299" s="27" t="n">
        <v>45672</v>
      </c>
      <c r="C1299" s="0" t="n">
        <v>2025</v>
      </c>
      <c r="D1299" s="28" t="s">
        <v>61</v>
      </c>
      <c r="E1299" s="0" t="n">
        <v>1</v>
      </c>
      <c r="F1299" s="28" t="s">
        <v>62</v>
      </c>
      <c r="G1299" s="28" t="s">
        <v>129</v>
      </c>
      <c r="H1299" s="28" t="s">
        <v>102</v>
      </c>
      <c r="I1299" s="28" t="s">
        <v>103</v>
      </c>
      <c r="J1299" s="28" t="s">
        <v>71</v>
      </c>
      <c r="K1299" s="28" t="s">
        <v>90</v>
      </c>
      <c r="L1299" s="28" t="s">
        <v>141</v>
      </c>
      <c r="M1299" s="28" t="s">
        <v>92</v>
      </c>
      <c r="N1299" s="28" t="s">
        <v>142</v>
      </c>
      <c r="O1299" s="29" t="n">
        <v>9</v>
      </c>
      <c r="P1299" s="30" t="n">
        <v>129.17</v>
      </c>
      <c r="Q1299" s="30" t="n">
        <v>78.33</v>
      </c>
      <c r="R1299" s="30" t="n">
        <f aca="false">ROUND(O1299*P1299,2)</f>
        <v>1162.53</v>
      </c>
      <c r="S1299" s="30" t="n">
        <f aca="false">ROUND(O1299*Q1299,2)</f>
        <v>704.97</v>
      </c>
      <c r="T1299" s="30" t="n">
        <f aca="false">ROUND(R1299*SUMIFS(Parametros!$E$23:$E$38,Parametros!$B$23:$B$38,J1299,Parametros!$C$23:$C$38,C1299,Parametros!$D$23:$D$38,D1299),2)</f>
        <v>79.05</v>
      </c>
      <c r="U1299" s="30" t="n">
        <f aca="false">R1299-S1299-T1299</f>
        <v>378.51</v>
      </c>
    </row>
    <row r="1300" customFormat="false" ht="15" hidden="false" customHeight="false" outlineLevel="0" collapsed="false">
      <c r="A1300" s="0" t="n">
        <v>1299</v>
      </c>
      <c r="B1300" s="27" t="n">
        <v>45679</v>
      </c>
      <c r="C1300" s="0" t="n">
        <v>2025</v>
      </c>
      <c r="D1300" s="28" t="s">
        <v>61</v>
      </c>
      <c r="E1300" s="0" t="n">
        <v>1</v>
      </c>
      <c r="F1300" s="28" t="s">
        <v>62</v>
      </c>
      <c r="G1300" s="28" t="s">
        <v>129</v>
      </c>
      <c r="H1300" s="28" t="s">
        <v>102</v>
      </c>
      <c r="I1300" s="28" t="s">
        <v>103</v>
      </c>
      <c r="J1300" s="28" t="s">
        <v>66</v>
      </c>
      <c r="K1300" s="28" t="s">
        <v>90</v>
      </c>
      <c r="L1300" s="28" t="s">
        <v>141</v>
      </c>
      <c r="M1300" s="28" t="s">
        <v>94</v>
      </c>
      <c r="N1300" s="28" t="s">
        <v>143</v>
      </c>
      <c r="O1300" s="29" t="n">
        <v>14</v>
      </c>
      <c r="P1300" s="30" t="n">
        <v>34.78</v>
      </c>
      <c r="Q1300" s="30" t="n">
        <v>18.39</v>
      </c>
      <c r="R1300" s="30" t="n">
        <f aca="false">ROUND(O1300*P1300,2)</f>
        <v>486.92</v>
      </c>
      <c r="S1300" s="30" t="n">
        <f aca="false">ROUND(O1300*Q1300,2)</f>
        <v>257.46</v>
      </c>
      <c r="T1300" s="30" t="n">
        <f aca="false">ROUND(R1300*SUMIFS(Parametros!$E$23:$E$38,Parametros!$B$23:$B$38,J1300,Parametros!$C$23:$C$38,C1300,Parametros!$D$23:$D$38,D1300),2)</f>
        <v>6.33</v>
      </c>
      <c r="U1300" s="30" t="n">
        <f aca="false">R1300-S1300-T1300</f>
        <v>223.13</v>
      </c>
    </row>
    <row r="1301" customFormat="false" ht="15" hidden="false" customHeight="false" outlineLevel="0" collapsed="false">
      <c r="A1301" s="0" t="n">
        <v>1300</v>
      </c>
      <c r="B1301" s="27" t="n">
        <v>45659</v>
      </c>
      <c r="C1301" s="0" t="n">
        <v>2025</v>
      </c>
      <c r="D1301" s="28" t="s">
        <v>61</v>
      </c>
      <c r="E1301" s="0" t="n">
        <v>1</v>
      </c>
      <c r="F1301" s="28" t="s">
        <v>62</v>
      </c>
      <c r="G1301" s="28" t="s">
        <v>129</v>
      </c>
      <c r="H1301" s="28" t="s">
        <v>102</v>
      </c>
      <c r="I1301" s="28" t="s">
        <v>103</v>
      </c>
      <c r="J1301" s="28" t="s">
        <v>71</v>
      </c>
      <c r="K1301" s="28" t="s">
        <v>90</v>
      </c>
      <c r="L1301" s="28" t="s">
        <v>141</v>
      </c>
      <c r="M1301" s="28" t="s">
        <v>94</v>
      </c>
      <c r="N1301" s="28" t="s">
        <v>143</v>
      </c>
      <c r="O1301" s="29" t="n">
        <v>11</v>
      </c>
      <c r="P1301" s="30" t="n">
        <v>34.78</v>
      </c>
      <c r="Q1301" s="30" t="n">
        <v>18.39</v>
      </c>
      <c r="R1301" s="30" t="n">
        <f aca="false">ROUND(O1301*P1301,2)</f>
        <v>382.58</v>
      </c>
      <c r="S1301" s="30" t="n">
        <f aca="false">ROUND(O1301*Q1301,2)</f>
        <v>202.29</v>
      </c>
      <c r="T1301" s="30" t="n">
        <f aca="false">ROUND(R1301*SUMIFS(Parametros!$E$23:$E$38,Parametros!$B$23:$B$38,J1301,Parametros!$C$23:$C$38,C1301,Parametros!$D$23:$D$38,D1301),2)</f>
        <v>26.02</v>
      </c>
      <c r="U1301" s="30" t="n">
        <f aca="false">R1301-S1301-T1301</f>
        <v>154.27</v>
      </c>
    </row>
    <row r="1302" customFormat="false" ht="15" hidden="false" customHeight="false" outlineLevel="0" collapsed="false">
      <c r="A1302" s="0" t="n">
        <v>1301</v>
      </c>
      <c r="B1302" s="27" t="n">
        <v>45697</v>
      </c>
      <c r="C1302" s="0" t="n">
        <v>2025</v>
      </c>
      <c r="D1302" s="28" t="s">
        <v>61</v>
      </c>
      <c r="E1302" s="0" t="n">
        <v>2</v>
      </c>
      <c r="F1302" s="28" t="s">
        <v>104</v>
      </c>
      <c r="G1302" s="28" t="s">
        <v>144</v>
      </c>
      <c r="H1302" s="28" t="s">
        <v>64</v>
      </c>
      <c r="I1302" s="28" t="s">
        <v>65</v>
      </c>
      <c r="J1302" s="28" t="s">
        <v>66</v>
      </c>
      <c r="K1302" s="28" t="s">
        <v>67</v>
      </c>
      <c r="L1302" s="28" t="s">
        <v>130</v>
      </c>
      <c r="M1302" s="28" t="s">
        <v>69</v>
      </c>
      <c r="N1302" s="28" t="s">
        <v>131</v>
      </c>
      <c r="O1302" s="29" t="n">
        <v>16</v>
      </c>
      <c r="P1302" s="30" t="n">
        <v>1155.06</v>
      </c>
      <c r="Q1302" s="30" t="n">
        <v>766.32</v>
      </c>
      <c r="R1302" s="30" t="n">
        <f aca="false">ROUND(O1302*P1302,2)</f>
        <v>18480.96</v>
      </c>
      <c r="S1302" s="30" t="n">
        <f aca="false">ROUND(O1302*Q1302,2)</f>
        <v>12261.12</v>
      </c>
      <c r="T1302" s="30" t="n">
        <f aca="false">ROUND(R1302*SUMIFS(Parametros!$E$23:$E$38,Parametros!$B$23:$B$38,J1302,Parametros!$C$23:$C$38,C1302,Parametros!$D$23:$D$38,D1302),2)</f>
        <v>240.25</v>
      </c>
      <c r="U1302" s="30" t="n">
        <f aca="false">R1302-S1302-T1302</f>
        <v>5979.59</v>
      </c>
    </row>
    <row r="1303" customFormat="false" ht="15" hidden="false" customHeight="false" outlineLevel="0" collapsed="false">
      <c r="A1303" s="0" t="n">
        <v>1302</v>
      </c>
      <c r="B1303" s="27" t="n">
        <v>45704</v>
      </c>
      <c r="C1303" s="0" t="n">
        <v>2025</v>
      </c>
      <c r="D1303" s="28" t="s">
        <v>61</v>
      </c>
      <c r="E1303" s="0" t="n">
        <v>2</v>
      </c>
      <c r="F1303" s="28" t="s">
        <v>104</v>
      </c>
      <c r="G1303" s="28" t="s">
        <v>144</v>
      </c>
      <c r="H1303" s="28" t="s">
        <v>64</v>
      </c>
      <c r="I1303" s="28" t="s">
        <v>65</v>
      </c>
      <c r="J1303" s="28" t="s">
        <v>71</v>
      </c>
      <c r="K1303" s="28" t="s">
        <v>67</v>
      </c>
      <c r="L1303" s="28" t="s">
        <v>130</v>
      </c>
      <c r="M1303" s="28" t="s">
        <v>69</v>
      </c>
      <c r="N1303" s="28" t="s">
        <v>131</v>
      </c>
      <c r="O1303" s="29" t="n">
        <v>13</v>
      </c>
      <c r="P1303" s="30" t="n">
        <v>1155.06</v>
      </c>
      <c r="Q1303" s="30" t="n">
        <v>766.32</v>
      </c>
      <c r="R1303" s="30" t="n">
        <f aca="false">ROUND(O1303*P1303,2)</f>
        <v>15015.78</v>
      </c>
      <c r="S1303" s="30" t="n">
        <f aca="false">ROUND(O1303*Q1303,2)</f>
        <v>9962.16</v>
      </c>
      <c r="T1303" s="30" t="n">
        <f aca="false">ROUND(R1303*SUMIFS(Parametros!$E$23:$E$38,Parametros!$B$23:$B$38,J1303,Parametros!$C$23:$C$38,C1303,Parametros!$D$23:$D$38,D1303),2)</f>
        <v>1021.07</v>
      </c>
      <c r="U1303" s="30" t="n">
        <f aca="false">R1303-S1303-T1303</f>
        <v>4032.55</v>
      </c>
    </row>
    <row r="1304" customFormat="false" ht="15" hidden="false" customHeight="false" outlineLevel="0" collapsed="false">
      <c r="A1304" s="0" t="n">
        <v>1303</v>
      </c>
      <c r="B1304" s="27" t="n">
        <v>45711</v>
      </c>
      <c r="C1304" s="0" t="n">
        <v>2025</v>
      </c>
      <c r="D1304" s="28" t="s">
        <v>61</v>
      </c>
      <c r="E1304" s="0" t="n">
        <v>2</v>
      </c>
      <c r="F1304" s="28" t="s">
        <v>104</v>
      </c>
      <c r="G1304" s="28" t="s">
        <v>144</v>
      </c>
      <c r="H1304" s="28" t="s">
        <v>64</v>
      </c>
      <c r="I1304" s="28" t="s">
        <v>65</v>
      </c>
      <c r="J1304" s="28" t="s">
        <v>66</v>
      </c>
      <c r="K1304" s="28" t="s">
        <v>67</v>
      </c>
      <c r="L1304" s="28" t="s">
        <v>130</v>
      </c>
      <c r="M1304" s="28" t="s">
        <v>72</v>
      </c>
      <c r="N1304" s="28" t="s">
        <v>132</v>
      </c>
      <c r="O1304" s="29" t="n">
        <v>15</v>
      </c>
      <c r="P1304" s="30" t="n">
        <v>433.15</v>
      </c>
      <c r="Q1304" s="30" t="n">
        <v>280.42</v>
      </c>
      <c r="R1304" s="30" t="n">
        <f aca="false">ROUND(O1304*P1304,2)</f>
        <v>6497.25</v>
      </c>
      <c r="S1304" s="30" t="n">
        <f aca="false">ROUND(O1304*Q1304,2)</f>
        <v>4206.3</v>
      </c>
      <c r="T1304" s="30" t="n">
        <f aca="false">ROUND(R1304*SUMIFS(Parametros!$E$23:$E$38,Parametros!$B$23:$B$38,J1304,Parametros!$C$23:$C$38,C1304,Parametros!$D$23:$D$38,D1304),2)</f>
        <v>84.46</v>
      </c>
      <c r="U1304" s="30" t="n">
        <f aca="false">R1304-S1304-T1304</f>
        <v>2206.49</v>
      </c>
    </row>
    <row r="1305" customFormat="false" ht="15" hidden="false" customHeight="false" outlineLevel="0" collapsed="false">
      <c r="A1305" s="0" t="n">
        <v>1304</v>
      </c>
      <c r="B1305" s="27" t="n">
        <v>45691</v>
      </c>
      <c r="C1305" s="0" t="n">
        <v>2025</v>
      </c>
      <c r="D1305" s="28" t="s">
        <v>61</v>
      </c>
      <c r="E1305" s="0" t="n">
        <v>2</v>
      </c>
      <c r="F1305" s="28" t="s">
        <v>104</v>
      </c>
      <c r="G1305" s="28" t="s">
        <v>144</v>
      </c>
      <c r="H1305" s="28" t="s">
        <v>64</v>
      </c>
      <c r="I1305" s="28" t="s">
        <v>65</v>
      </c>
      <c r="J1305" s="28" t="s">
        <v>71</v>
      </c>
      <c r="K1305" s="28" t="s">
        <v>67</v>
      </c>
      <c r="L1305" s="28" t="s">
        <v>130</v>
      </c>
      <c r="M1305" s="28" t="s">
        <v>72</v>
      </c>
      <c r="N1305" s="28" t="s">
        <v>132</v>
      </c>
      <c r="O1305" s="29" t="n">
        <v>12</v>
      </c>
      <c r="P1305" s="30" t="n">
        <v>433.15</v>
      </c>
      <c r="Q1305" s="30" t="n">
        <v>280.42</v>
      </c>
      <c r="R1305" s="30" t="n">
        <f aca="false">ROUND(O1305*P1305,2)</f>
        <v>5197.8</v>
      </c>
      <c r="S1305" s="30" t="n">
        <f aca="false">ROUND(O1305*Q1305,2)</f>
        <v>3365.04</v>
      </c>
      <c r="T1305" s="30" t="n">
        <f aca="false">ROUND(R1305*SUMIFS(Parametros!$E$23:$E$38,Parametros!$B$23:$B$38,J1305,Parametros!$C$23:$C$38,C1305,Parametros!$D$23:$D$38,D1305),2)</f>
        <v>353.45</v>
      </c>
      <c r="U1305" s="30" t="n">
        <f aca="false">R1305-S1305-T1305</f>
        <v>1479.31</v>
      </c>
    </row>
    <row r="1306" customFormat="false" ht="15" hidden="false" customHeight="false" outlineLevel="0" collapsed="false">
      <c r="A1306" s="0" t="n">
        <v>1305</v>
      </c>
      <c r="B1306" s="27" t="n">
        <v>45698</v>
      </c>
      <c r="C1306" s="0" t="n">
        <v>2025</v>
      </c>
      <c r="D1306" s="28" t="s">
        <v>61</v>
      </c>
      <c r="E1306" s="0" t="n">
        <v>2</v>
      </c>
      <c r="F1306" s="28" t="s">
        <v>104</v>
      </c>
      <c r="G1306" s="28" t="s">
        <v>144</v>
      </c>
      <c r="H1306" s="28" t="s">
        <v>64</v>
      </c>
      <c r="I1306" s="28" t="s">
        <v>65</v>
      </c>
      <c r="J1306" s="28" t="s">
        <v>66</v>
      </c>
      <c r="K1306" s="28" t="s">
        <v>67</v>
      </c>
      <c r="L1306" s="28" t="s">
        <v>130</v>
      </c>
      <c r="M1306" s="28" t="s">
        <v>74</v>
      </c>
      <c r="N1306" s="28" t="s">
        <v>133</v>
      </c>
      <c r="O1306" s="29" t="n">
        <v>19</v>
      </c>
      <c r="P1306" s="30" t="n">
        <v>1588.21</v>
      </c>
      <c r="Q1306" s="30" t="n">
        <v>1155.66</v>
      </c>
      <c r="R1306" s="30" t="n">
        <f aca="false">ROUND(O1306*P1306,2)</f>
        <v>30175.99</v>
      </c>
      <c r="S1306" s="30" t="n">
        <f aca="false">ROUND(O1306*Q1306,2)</f>
        <v>21957.54</v>
      </c>
      <c r="T1306" s="30" t="n">
        <f aca="false">ROUND(R1306*SUMIFS(Parametros!$E$23:$E$38,Parametros!$B$23:$B$38,J1306,Parametros!$C$23:$C$38,C1306,Parametros!$D$23:$D$38,D1306),2)</f>
        <v>392.29</v>
      </c>
      <c r="U1306" s="30" t="n">
        <f aca="false">R1306-S1306-T1306</f>
        <v>7826.16</v>
      </c>
    </row>
    <row r="1307" customFormat="false" ht="15" hidden="false" customHeight="false" outlineLevel="0" collapsed="false">
      <c r="A1307" s="0" t="n">
        <v>1306</v>
      </c>
      <c r="B1307" s="27" t="n">
        <v>45705</v>
      </c>
      <c r="C1307" s="0" t="n">
        <v>2025</v>
      </c>
      <c r="D1307" s="28" t="s">
        <v>61</v>
      </c>
      <c r="E1307" s="0" t="n">
        <v>2</v>
      </c>
      <c r="F1307" s="28" t="s">
        <v>104</v>
      </c>
      <c r="G1307" s="28" t="s">
        <v>144</v>
      </c>
      <c r="H1307" s="28" t="s">
        <v>64</v>
      </c>
      <c r="I1307" s="28" t="s">
        <v>65</v>
      </c>
      <c r="J1307" s="28" t="s">
        <v>71</v>
      </c>
      <c r="K1307" s="28" t="s">
        <v>67</v>
      </c>
      <c r="L1307" s="28" t="s">
        <v>130</v>
      </c>
      <c r="M1307" s="28" t="s">
        <v>74</v>
      </c>
      <c r="N1307" s="28" t="s">
        <v>133</v>
      </c>
      <c r="O1307" s="29" t="n">
        <v>10</v>
      </c>
      <c r="P1307" s="30" t="n">
        <v>1588.21</v>
      </c>
      <c r="Q1307" s="30" t="n">
        <v>1155.66</v>
      </c>
      <c r="R1307" s="30" t="n">
        <f aca="false">ROUND(O1307*P1307,2)</f>
        <v>15882.1</v>
      </c>
      <c r="S1307" s="30" t="n">
        <f aca="false">ROUND(O1307*Q1307,2)</f>
        <v>11556.6</v>
      </c>
      <c r="T1307" s="30" t="n">
        <f aca="false">ROUND(R1307*SUMIFS(Parametros!$E$23:$E$38,Parametros!$B$23:$B$38,J1307,Parametros!$C$23:$C$38,C1307,Parametros!$D$23:$D$38,D1307),2)</f>
        <v>1079.98</v>
      </c>
      <c r="U1307" s="30" t="n">
        <f aca="false">R1307-S1307-T1307</f>
        <v>3245.52</v>
      </c>
    </row>
    <row r="1308" customFormat="false" ht="15" hidden="false" customHeight="false" outlineLevel="0" collapsed="false">
      <c r="A1308" s="0" t="n">
        <v>1307</v>
      </c>
      <c r="B1308" s="27" t="n">
        <v>45712</v>
      </c>
      <c r="C1308" s="0" t="n">
        <v>2025</v>
      </c>
      <c r="D1308" s="28" t="s">
        <v>61</v>
      </c>
      <c r="E1308" s="0" t="n">
        <v>2</v>
      </c>
      <c r="F1308" s="28" t="s">
        <v>104</v>
      </c>
      <c r="G1308" s="28" t="s">
        <v>144</v>
      </c>
      <c r="H1308" s="28" t="s">
        <v>64</v>
      </c>
      <c r="I1308" s="28" t="s">
        <v>65</v>
      </c>
      <c r="J1308" s="28" t="s">
        <v>66</v>
      </c>
      <c r="K1308" s="28" t="s">
        <v>76</v>
      </c>
      <c r="L1308" s="28" t="s">
        <v>134</v>
      </c>
      <c r="M1308" s="28" t="s">
        <v>78</v>
      </c>
      <c r="N1308" s="28" t="s">
        <v>135</v>
      </c>
      <c r="O1308" s="29" t="n">
        <v>87</v>
      </c>
      <c r="P1308" s="30" t="n">
        <v>27.82</v>
      </c>
      <c r="Q1308" s="30" t="n">
        <v>13.84</v>
      </c>
      <c r="R1308" s="30" t="n">
        <f aca="false">ROUND(O1308*P1308,2)</f>
        <v>2420.34</v>
      </c>
      <c r="S1308" s="30" t="n">
        <f aca="false">ROUND(O1308*Q1308,2)</f>
        <v>1204.08</v>
      </c>
      <c r="T1308" s="30" t="n">
        <f aca="false">ROUND(R1308*SUMIFS(Parametros!$E$23:$E$38,Parametros!$B$23:$B$38,J1308,Parametros!$C$23:$C$38,C1308,Parametros!$D$23:$D$38,D1308),2)</f>
        <v>31.46</v>
      </c>
      <c r="U1308" s="30" t="n">
        <f aca="false">R1308-S1308-T1308</f>
        <v>1184.8</v>
      </c>
    </row>
    <row r="1309" customFormat="false" ht="15" hidden="false" customHeight="false" outlineLevel="0" collapsed="false">
      <c r="A1309" s="0" t="n">
        <v>1308</v>
      </c>
      <c r="B1309" s="27" t="n">
        <v>45692</v>
      </c>
      <c r="C1309" s="0" t="n">
        <v>2025</v>
      </c>
      <c r="D1309" s="28" t="s">
        <v>61</v>
      </c>
      <c r="E1309" s="0" t="n">
        <v>2</v>
      </c>
      <c r="F1309" s="28" t="s">
        <v>104</v>
      </c>
      <c r="G1309" s="28" t="s">
        <v>144</v>
      </c>
      <c r="H1309" s="28" t="s">
        <v>64</v>
      </c>
      <c r="I1309" s="28" t="s">
        <v>65</v>
      </c>
      <c r="J1309" s="28" t="s">
        <v>71</v>
      </c>
      <c r="K1309" s="28" t="s">
        <v>76</v>
      </c>
      <c r="L1309" s="28" t="s">
        <v>134</v>
      </c>
      <c r="M1309" s="28" t="s">
        <v>78</v>
      </c>
      <c r="N1309" s="28" t="s">
        <v>135</v>
      </c>
      <c r="O1309" s="29" t="n">
        <v>43</v>
      </c>
      <c r="P1309" s="30" t="n">
        <v>27.82</v>
      </c>
      <c r="Q1309" s="30" t="n">
        <v>13.84</v>
      </c>
      <c r="R1309" s="30" t="n">
        <f aca="false">ROUND(O1309*P1309,2)</f>
        <v>1196.26</v>
      </c>
      <c r="S1309" s="30" t="n">
        <f aca="false">ROUND(O1309*Q1309,2)</f>
        <v>595.12</v>
      </c>
      <c r="T1309" s="30" t="n">
        <f aca="false">ROUND(R1309*SUMIFS(Parametros!$E$23:$E$38,Parametros!$B$23:$B$38,J1309,Parametros!$C$23:$C$38,C1309,Parametros!$D$23:$D$38,D1309),2)</f>
        <v>81.35</v>
      </c>
      <c r="U1309" s="30" t="n">
        <f aca="false">R1309-S1309-T1309</f>
        <v>519.79</v>
      </c>
    </row>
    <row r="1310" customFormat="false" ht="15" hidden="false" customHeight="false" outlineLevel="0" collapsed="false">
      <c r="A1310" s="0" t="n">
        <v>1309</v>
      </c>
      <c r="B1310" s="27" t="n">
        <v>45699</v>
      </c>
      <c r="C1310" s="0" t="n">
        <v>2025</v>
      </c>
      <c r="D1310" s="28" t="s">
        <v>61</v>
      </c>
      <c r="E1310" s="0" t="n">
        <v>2</v>
      </c>
      <c r="F1310" s="28" t="s">
        <v>104</v>
      </c>
      <c r="G1310" s="28" t="s">
        <v>144</v>
      </c>
      <c r="H1310" s="28" t="s">
        <v>64</v>
      </c>
      <c r="I1310" s="28" t="s">
        <v>65</v>
      </c>
      <c r="J1310" s="28" t="s">
        <v>66</v>
      </c>
      <c r="K1310" s="28" t="s">
        <v>76</v>
      </c>
      <c r="L1310" s="28" t="s">
        <v>134</v>
      </c>
      <c r="M1310" s="28" t="s">
        <v>80</v>
      </c>
      <c r="N1310" s="28" t="s">
        <v>136</v>
      </c>
      <c r="O1310" s="29" t="n">
        <v>83</v>
      </c>
      <c r="P1310" s="30" t="n">
        <v>94.39</v>
      </c>
      <c r="Q1310" s="30" t="n">
        <v>49.41</v>
      </c>
      <c r="R1310" s="30" t="n">
        <f aca="false">ROUND(O1310*P1310,2)</f>
        <v>7834.37</v>
      </c>
      <c r="S1310" s="30" t="n">
        <f aca="false">ROUND(O1310*Q1310,2)</f>
        <v>4101.03</v>
      </c>
      <c r="T1310" s="30" t="n">
        <f aca="false">ROUND(R1310*SUMIFS(Parametros!$E$23:$E$38,Parametros!$B$23:$B$38,J1310,Parametros!$C$23:$C$38,C1310,Parametros!$D$23:$D$38,D1310),2)</f>
        <v>101.85</v>
      </c>
      <c r="U1310" s="30" t="n">
        <f aca="false">R1310-S1310-T1310</f>
        <v>3631.49</v>
      </c>
    </row>
    <row r="1311" customFormat="false" ht="15" hidden="false" customHeight="false" outlineLevel="0" collapsed="false">
      <c r="A1311" s="0" t="n">
        <v>1310</v>
      </c>
      <c r="B1311" s="27" t="n">
        <v>45706</v>
      </c>
      <c r="C1311" s="0" t="n">
        <v>2025</v>
      </c>
      <c r="D1311" s="28" t="s">
        <v>61</v>
      </c>
      <c r="E1311" s="0" t="n">
        <v>2</v>
      </c>
      <c r="F1311" s="28" t="s">
        <v>104</v>
      </c>
      <c r="G1311" s="28" t="s">
        <v>144</v>
      </c>
      <c r="H1311" s="28" t="s">
        <v>64</v>
      </c>
      <c r="I1311" s="28" t="s">
        <v>65</v>
      </c>
      <c r="J1311" s="28" t="s">
        <v>71</v>
      </c>
      <c r="K1311" s="28" t="s">
        <v>76</v>
      </c>
      <c r="L1311" s="28" t="s">
        <v>134</v>
      </c>
      <c r="M1311" s="28" t="s">
        <v>80</v>
      </c>
      <c r="N1311" s="28" t="s">
        <v>136</v>
      </c>
      <c r="O1311" s="29" t="n">
        <v>60</v>
      </c>
      <c r="P1311" s="30" t="n">
        <v>94.39</v>
      </c>
      <c r="Q1311" s="30" t="n">
        <v>49.41</v>
      </c>
      <c r="R1311" s="30" t="n">
        <f aca="false">ROUND(O1311*P1311,2)</f>
        <v>5663.4</v>
      </c>
      <c r="S1311" s="30" t="n">
        <f aca="false">ROUND(O1311*Q1311,2)</f>
        <v>2964.6</v>
      </c>
      <c r="T1311" s="30" t="n">
        <f aca="false">ROUND(R1311*SUMIFS(Parametros!$E$23:$E$38,Parametros!$B$23:$B$38,J1311,Parametros!$C$23:$C$38,C1311,Parametros!$D$23:$D$38,D1311),2)</f>
        <v>385.11</v>
      </c>
      <c r="U1311" s="30" t="n">
        <f aca="false">R1311-S1311-T1311</f>
        <v>2313.69</v>
      </c>
    </row>
    <row r="1312" customFormat="false" ht="15" hidden="false" customHeight="false" outlineLevel="0" collapsed="false">
      <c r="A1312" s="0" t="n">
        <v>1311</v>
      </c>
      <c r="B1312" s="27" t="n">
        <v>45713</v>
      </c>
      <c r="C1312" s="0" t="n">
        <v>2025</v>
      </c>
      <c r="D1312" s="28" t="s">
        <v>61</v>
      </c>
      <c r="E1312" s="0" t="n">
        <v>2</v>
      </c>
      <c r="F1312" s="28" t="s">
        <v>104</v>
      </c>
      <c r="G1312" s="28" t="s">
        <v>144</v>
      </c>
      <c r="H1312" s="28" t="s">
        <v>64</v>
      </c>
      <c r="I1312" s="28" t="s">
        <v>65</v>
      </c>
      <c r="J1312" s="28" t="s">
        <v>66</v>
      </c>
      <c r="K1312" s="28" t="s">
        <v>76</v>
      </c>
      <c r="L1312" s="28" t="s">
        <v>134</v>
      </c>
      <c r="M1312" s="28" t="s">
        <v>82</v>
      </c>
      <c r="N1312" s="28" t="s">
        <v>137</v>
      </c>
      <c r="O1312" s="29" t="n">
        <v>84</v>
      </c>
      <c r="P1312" s="30" t="n">
        <v>64.58</v>
      </c>
      <c r="Q1312" s="30" t="n">
        <v>36.49</v>
      </c>
      <c r="R1312" s="30" t="n">
        <f aca="false">ROUND(O1312*P1312,2)</f>
        <v>5424.72</v>
      </c>
      <c r="S1312" s="30" t="n">
        <f aca="false">ROUND(O1312*Q1312,2)</f>
        <v>3065.16</v>
      </c>
      <c r="T1312" s="30" t="n">
        <f aca="false">ROUND(R1312*SUMIFS(Parametros!$E$23:$E$38,Parametros!$B$23:$B$38,J1312,Parametros!$C$23:$C$38,C1312,Parametros!$D$23:$D$38,D1312),2)</f>
        <v>70.52</v>
      </c>
      <c r="U1312" s="30" t="n">
        <f aca="false">R1312-S1312-T1312</f>
        <v>2289.04</v>
      </c>
    </row>
    <row r="1313" customFormat="false" ht="15" hidden="false" customHeight="false" outlineLevel="0" collapsed="false">
      <c r="A1313" s="0" t="n">
        <v>1312</v>
      </c>
      <c r="B1313" s="27" t="n">
        <v>45693</v>
      </c>
      <c r="C1313" s="0" t="n">
        <v>2025</v>
      </c>
      <c r="D1313" s="28" t="s">
        <v>61</v>
      </c>
      <c r="E1313" s="0" t="n">
        <v>2</v>
      </c>
      <c r="F1313" s="28" t="s">
        <v>104</v>
      </c>
      <c r="G1313" s="28" t="s">
        <v>144</v>
      </c>
      <c r="H1313" s="28" t="s">
        <v>64</v>
      </c>
      <c r="I1313" s="28" t="s">
        <v>65</v>
      </c>
      <c r="J1313" s="28" t="s">
        <v>71</v>
      </c>
      <c r="K1313" s="28" t="s">
        <v>76</v>
      </c>
      <c r="L1313" s="28" t="s">
        <v>134</v>
      </c>
      <c r="M1313" s="28" t="s">
        <v>82</v>
      </c>
      <c r="N1313" s="28" t="s">
        <v>137</v>
      </c>
      <c r="O1313" s="29" t="n">
        <v>44</v>
      </c>
      <c r="P1313" s="30" t="n">
        <v>64.58</v>
      </c>
      <c r="Q1313" s="30" t="n">
        <v>36.49</v>
      </c>
      <c r="R1313" s="30" t="n">
        <f aca="false">ROUND(O1313*P1313,2)</f>
        <v>2841.52</v>
      </c>
      <c r="S1313" s="30" t="n">
        <f aca="false">ROUND(O1313*Q1313,2)</f>
        <v>1605.56</v>
      </c>
      <c r="T1313" s="30" t="n">
        <f aca="false">ROUND(R1313*SUMIFS(Parametros!$E$23:$E$38,Parametros!$B$23:$B$38,J1313,Parametros!$C$23:$C$38,C1313,Parametros!$D$23:$D$38,D1313),2)</f>
        <v>193.22</v>
      </c>
      <c r="U1313" s="30" t="n">
        <f aca="false">R1313-S1313-T1313</f>
        <v>1042.74</v>
      </c>
    </row>
    <row r="1314" customFormat="false" ht="15" hidden="false" customHeight="false" outlineLevel="0" collapsed="false">
      <c r="A1314" s="0" t="n">
        <v>1313</v>
      </c>
      <c r="B1314" s="27" t="n">
        <v>45700</v>
      </c>
      <c r="C1314" s="0" t="n">
        <v>2025</v>
      </c>
      <c r="D1314" s="28" t="s">
        <v>61</v>
      </c>
      <c r="E1314" s="0" t="n">
        <v>2</v>
      </c>
      <c r="F1314" s="28" t="s">
        <v>104</v>
      </c>
      <c r="G1314" s="28" t="s">
        <v>144</v>
      </c>
      <c r="H1314" s="28" t="s">
        <v>64</v>
      </c>
      <c r="I1314" s="28" t="s">
        <v>65</v>
      </c>
      <c r="J1314" s="28" t="s">
        <v>66</v>
      </c>
      <c r="K1314" s="28" t="s">
        <v>84</v>
      </c>
      <c r="L1314" s="28" t="s">
        <v>138</v>
      </c>
      <c r="M1314" s="28" t="s">
        <v>86</v>
      </c>
      <c r="N1314" s="28" t="s">
        <v>139</v>
      </c>
      <c r="O1314" s="29" t="n">
        <v>30</v>
      </c>
      <c r="P1314" s="30" t="n">
        <v>119.23</v>
      </c>
      <c r="Q1314" s="30" t="n">
        <v>65.51</v>
      </c>
      <c r="R1314" s="30" t="n">
        <f aca="false">ROUND(O1314*P1314,2)</f>
        <v>3576.9</v>
      </c>
      <c r="S1314" s="30" t="n">
        <f aca="false">ROUND(O1314*Q1314,2)</f>
        <v>1965.3</v>
      </c>
      <c r="T1314" s="30" t="n">
        <f aca="false">ROUND(R1314*SUMIFS(Parametros!$E$23:$E$38,Parametros!$B$23:$B$38,J1314,Parametros!$C$23:$C$38,C1314,Parametros!$D$23:$D$38,D1314),2)</f>
        <v>46.5</v>
      </c>
      <c r="U1314" s="30" t="n">
        <f aca="false">R1314-S1314-T1314</f>
        <v>1565.1</v>
      </c>
    </row>
    <row r="1315" customFormat="false" ht="15" hidden="false" customHeight="false" outlineLevel="0" collapsed="false">
      <c r="A1315" s="0" t="n">
        <v>1314</v>
      </c>
      <c r="B1315" s="27" t="n">
        <v>45707</v>
      </c>
      <c r="C1315" s="0" t="n">
        <v>2025</v>
      </c>
      <c r="D1315" s="28" t="s">
        <v>61</v>
      </c>
      <c r="E1315" s="0" t="n">
        <v>2</v>
      </c>
      <c r="F1315" s="28" t="s">
        <v>104</v>
      </c>
      <c r="G1315" s="28" t="s">
        <v>144</v>
      </c>
      <c r="H1315" s="28" t="s">
        <v>64</v>
      </c>
      <c r="I1315" s="28" t="s">
        <v>65</v>
      </c>
      <c r="J1315" s="28" t="s">
        <v>71</v>
      </c>
      <c r="K1315" s="28" t="s">
        <v>84</v>
      </c>
      <c r="L1315" s="28" t="s">
        <v>138</v>
      </c>
      <c r="M1315" s="28" t="s">
        <v>86</v>
      </c>
      <c r="N1315" s="28" t="s">
        <v>139</v>
      </c>
      <c r="O1315" s="29" t="n">
        <v>22</v>
      </c>
      <c r="P1315" s="30" t="n">
        <v>119.23</v>
      </c>
      <c r="Q1315" s="30" t="n">
        <v>65.51</v>
      </c>
      <c r="R1315" s="30" t="n">
        <f aca="false">ROUND(O1315*P1315,2)</f>
        <v>2623.06</v>
      </c>
      <c r="S1315" s="30" t="n">
        <f aca="false">ROUND(O1315*Q1315,2)</f>
        <v>1441.22</v>
      </c>
      <c r="T1315" s="30" t="n">
        <f aca="false">ROUND(R1315*SUMIFS(Parametros!$E$23:$E$38,Parametros!$B$23:$B$38,J1315,Parametros!$C$23:$C$38,C1315,Parametros!$D$23:$D$38,D1315),2)</f>
        <v>178.37</v>
      </c>
      <c r="U1315" s="30" t="n">
        <f aca="false">R1315-S1315-T1315</f>
        <v>1003.47</v>
      </c>
    </row>
    <row r="1316" customFormat="false" ht="15" hidden="false" customHeight="false" outlineLevel="0" collapsed="false">
      <c r="A1316" s="0" t="n">
        <v>1315</v>
      </c>
      <c r="B1316" s="27" t="n">
        <v>45714</v>
      </c>
      <c r="C1316" s="0" t="n">
        <v>2025</v>
      </c>
      <c r="D1316" s="28" t="s">
        <v>61</v>
      </c>
      <c r="E1316" s="0" t="n">
        <v>2</v>
      </c>
      <c r="F1316" s="28" t="s">
        <v>104</v>
      </c>
      <c r="G1316" s="28" t="s">
        <v>144</v>
      </c>
      <c r="H1316" s="28" t="s">
        <v>64</v>
      </c>
      <c r="I1316" s="28" t="s">
        <v>65</v>
      </c>
      <c r="J1316" s="28" t="s">
        <v>66</v>
      </c>
      <c r="K1316" s="28" t="s">
        <v>84</v>
      </c>
      <c r="L1316" s="28" t="s">
        <v>138</v>
      </c>
      <c r="M1316" s="28" t="s">
        <v>88</v>
      </c>
      <c r="N1316" s="28" t="s">
        <v>140</v>
      </c>
      <c r="O1316" s="29" t="n">
        <v>38</v>
      </c>
      <c r="P1316" s="30" t="n">
        <v>84.46</v>
      </c>
      <c r="Q1316" s="30" t="n">
        <v>49.47</v>
      </c>
      <c r="R1316" s="30" t="n">
        <f aca="false">ROUND(O1316*P1316,2)</f>
        <v>3209.48</v>
      </c>
      <c r="S1316" s="30" t="n">
        <f aca="false">ROUND(O1316*Q1316,2)</f>
        <v>1879.86</v>
      </c>
      <c r="T1316" s="30" t="n">
        <f aca="false">ROUND(R1316*SUMIFS(Parametros!$E$23:$E$38,Parametros!$B$23:$B$38,J1316,Parametros!$C$23:$C$38,C1316,Parametros!$D$23:$D$38,D1316),2)</f>
        <v>41.72</v>
      </c>
      <c r="U1316" s="30" t="n">
        <f aca="false">R1316-S1316-T1316</f>
        <v>1287.9</v>
      </c>
    </row>
    <row r="1317" customFormat="false" ht="15" hidden="false" customHeight="false" outlineLevel="0" collapsed="false">
      <c r="A1317" s="0" t="n">
        <v>1316</v>
      </c>
      <c r="B1317" s="27" t="n">
        <v>45694</v>
      </c>
      <c r="C1317" s="0" t="n">
        <v>2025</v>
      </c>
      <c r="D1317" s="28" t="s">
        <v>61</v>
      </c>
      <c r="E1317" s="0" t="n">
        <v>2</v>
      </c>
      <c r="F1317" s="28" t="s">
        <v>104</v>
      </c>
      <c r="G1317" s="28" t="s">
        <v>144</v>
      </c>
      <c r="H1317" s="28" t="s">
        <v>64</v>
      </c>
      <c r="I1317" s="28" t="s">
        <v>65</v>
      </c>
      <c r="J1317" s="28" t="s">
        <v>71</v>
      </c>
      <c r="K1317" s="28" t="s">
        <v>84</v>
      </c>
      <c r="L1317" s="28" t="s">
        <v>138</v>
      </c>
      <c r="M1317" s="28" t="s">
        <v>88</v>
      </c>
      <c r="N1317" s="28" t="s">
        <v>140</v>
      </c>
      <c r="O1317" s="29" t="n">
        <v>20</v>
      </c>
      <c r="P1317" s="30" t="n">
        <v>84.46</v>
      </c>
      <c r="Q1317" s="30" t="n">
        <v>49.47</v>
      </c>
      <c r="R1317" s="30" t="n">
        <f aca="false">ROUND(O1317*P1317,2)</f>
        <v>1689.2</v>
      </c>
      <c r="S1317" s="30" t="n">
        <f aca="false">ROUND(O1317*Q1317,2)</f>
        <v>989.4</v>
      </c>
      <c r="T1317" s="30" t="n">
        <f aca="false">ROUND(R1317*SUMIFS(Parametros!$E$23:$E$38,Parametros!$B$23:$B$38,J1317,Parametros!$C$23:$C$38,C1317,Parametros!$D$23:$D$38,D1317),2)</f>
        <v>114.87</v>
      </c>
      <c r="U1317" s="30" t="n">
        <f aca="false">R1317-S1317-T1317</f>
        <v>584.93</v>
      </c>
    </row>
    <row r="1318" customFormat="false" ht="15" hidden="false" customHeight="false" outlineLevel="0" collapsed="false">
      <c r="A1318" s="0" t="n">
        <v>1317</v>
      </c>
      <c r="B1318" s="27" t="n">
        <v>45701</v>
      </c>
      <c r="C1318" s="0" t="n">
        <v>2025</v>
      </c>
      <c r="D1318" s="28" t="s">
        <v>61</v>
      </c>
      <c r="E1318" s="0" t="n">
        <v>2</v>
      </c>
      <c r="F1318" s="28" t="s">
        <v>104</v>
      </c>
      <c r="G1318" s="28" t="s">
        <v>144</v>
      </c>
      <c r="H1318" s="28" t="s">
        <v>64</v>
      </c>
      <c r="I1318" s="28" t="s">
        <v>65</v>
      </c>
      <c r="J1318" s="28" t="s">
        <v>66</v>
      </c>
      <c r="K1318" s="28" t="s">
        <v>90</v>
      </c>
      <c r="L1318" s="28" t="s">
        <v>141</v>
      </c>
      <c r="M1318" s="28" t="s">
        <v>92</v>
      </c>
      <c r="N1318" s="28" t="s">
        <v>142</v>
      </c>
      <c r="O1318" s="29" t="n">
        <v>40</v>
      </c>
      <c r="P1318" s="30" t="n">
        <v>129.17</v>
      </c>
      <c r="Q1318" s="30" t="n">
        <v>78.33</v>
      </c>
      <c r="R1318" s="30" t="n">
        <f aca="false">ROUND(O1318*P1318,2)</f>
        <v>5166.8</v>
      </c>
      <c r="S1318" s="30" t="n">
        <f aca="false">ROUND(O1318*Q1318,2)</f>
        <v>3133.2</v>
      </c>
      <c r="T1318" s="30" t="n">
        <f aca="false">ROUND(R1318*SUMIFS(Parametros!$E$23:$E$38,Parametros!$B$23:$B$38,J1318,Parametros!$C$23:$C$38,C1318,Parametros!$D$23:$D$38,D1318),2)</f>
        <v>67.17</v>
      </c>
      <c r="U1318" s="30" t="n">
        <f aca="false">R1318-S1318-T1318</f>
        <v>1966.43</v>
      </c>
    </row>
    <row r="1319" customFormat="false" ht="15" hidden="false" customHeight="false" outlineLevel="0" collapsed="false">
      <c r="A1319" s="0" t="n">
        <v>1318</v>
      </c>
      <c r="B1319" s="27" t="n">
        <v>45708</v>
      </c>
      <c r="C1319" s="0" t="n">
        <v>2025</v>
      </c>
      <c r="D1319" s="28" t="s">
        <v>61</v>
      </c>
      <c r="E1319" s="0" t="n">
        <v>2</v>
      </c>
      <c r="F1319" s="28" t="s">
        <v>104</v>
      </c>
      <c r="G1319" s="28" t="s">
        <v>144</v>
      </c>
      <c r="H1319" s="28" t="s">
        <v>64</v>
      </c>
      <c r="I1319" s="28" t="s">
        <v>65</v>
      </c>
      <c r="J1319" s="28" t="s">
        <v>71</v>
      </c>
      <c r="K1319" s="28" t="s">
        <v>90</v>
      </c>
      <c r="L1319" s="28" t="s">
        <v>141</v>
      </c>
      <c r="M1319" s="28" t="s">
        <v>92</v>
      </c>
      <c r="N1319" s="28" t="s">
        <v>142</v>
      </c>
      <c r="O1319" s="29" t="n">
        <v>30</v>
      </c>
      <c r="P1319" s="30" t="n">
        <v>129.17</v>
      </c>
      <c r="Q1319" s="30" t="n">
        <v>78.33</v>
      </c>
      <c r="R1319" s="30" t="n">
        <f aca="false">ROUND(O1319*P1319,2)</f>
        <v>3875.1</v>
      </c>
      <c r="S1319" s="30" t="n">
        <f aca="false">ROUND(O1319*Q1319,2)</f>
        <v>2349.9</v>
      </c>
      <c r="T1319" s="30" t="n">
        <f aca="false">ROUND(R1319*SUMIFS(Parametros!$E$23:$E$38,Parametros!$B$23:$B$38,J1319,Parametros!$C$23:$C$38,C1319,Parametros!$D$23:$D$38,D1319),2)</f>
        <v>263.51</v>
      </c>
      <c r="U1319" s="30" t="n">
        <f aca="false">R1319-S1319-T1319</f>
        <v>1261.69</v>
      </c>
    </row>
    <row r="1320" customFormat="false" ht="15" hidden="false" customHeight="false" outlineLevel="0" collapsed="false">
      <c r="A1320" s="0" t="n">
        <v>1319</v>
      </c>
      <c r="B1320" s="27" t="n">
        <v>45715</v>
      </c>
      <c r="C1320" s="0" t="n">
        <v>2025</v>
      </c>
      <c r="D1320" s="28" t="s">
        <v>61</v>
      </c>
      <c r="E1320" s="0" t="n">
        <v>2</v>
      </c>
      <c r="F1320" s="28" t="s">
        <v>104</v>
      </c>
      <c r="G1320" s="28" t="s">
        <v>144</v>
      </c>
      <c r="H1320" s="28" t="s">
        <v>64</v>
      </c>
      <c r="I1320" s="28" t="s">
        <v>65</v>
      </c>
      <c r="J1320" s="28" t="s">
        <v>66</v>
      </c>
      <c r="K1320" s="28" t="s">
        <v>90</v>
      </c>
      <c r="L1320" s="28" t="s">
        <v>141</v>
      </c>
      <c r="M1320" s="28" t="s">
        <v>94</v>
      </c>
      <c r="N1320" s="28" t="s">
        <v>143</v>
      </c>
      <c r="O1320" s="29" t="n">
        <v>41</v>
      </c>
      <c r="P1320" s="30" t="n">
        <v>34.78</v>
      </c>
      <c r="Q1320" s="30" t="n">
        <v>18.39</v>
      </c>
      <c r="R1320" s="30" t="n">
        <f aca="false">ROUND(O1320*P1320,2)</f>
        <v>1425.98</v>
      </c>
      <c r="S1320" s="30" t="n">
        <f aca="false">ROUND(O1320*Q1320,2)</f>
        <v>753.99</v>
      </c>
      <c r="T1320" s="30" t="n">
        <f aca="false">ROUND(R1320*SUMIFS(Parametros!$E$23:$E$38,Parametros!$B$23:$B$38,J1320,Parametros!$C$23:$C$38,C1320,Parametros!$D$23:$D$38,D1320),2)</f>
        <v>18.54</v>
      </c>
      <c r="U1320" s="30" t="n">
        <f aca="false">R1320-S1320-T1320</f>
        <v>653.45</v>
      </c>
    </row>
    <row r="1321" customFormat="false" ht="15" hidden="false" customHeight="false" outlineLevel="0" collapsed="false">
      <c r="A1321" s="0" t="n">
        <v>1320</v>
      </c>
      <c r="B1321" s="27" t="n">
        <v>45695</v>
      </c>
      <c r="C1321" s="0" t="n">
        <v>2025</v>
      </c>
      <c r="D1321" s="28" t="s">
        <v>61</v>
      </c>
      <c r="E1321" s="0" t="n">
        <v>2</v>
      </c>
      <c r="F1321" s="28" t="s">
        <v>104</v>
      </c>
      <c r="G1321" s="28" t="s">
        <v>144</v>
      </c>
      <c r="H1321" s="28" t="s">
        <v>64</v>
      </c>
      <c r="I1321" s="28" t="s">
        <v>65</v>
      </c>
      <c r="J1321" s="28" t="s">
        <v>71</v>
      </c>
      <c r="K1321" s="28" t="s">
        <v>90</v>
      </c>
      <c r="L1321" s="28" t="s">
        <v>141</v>
      </c>
      <c r="M1321" s="28" t="s">
        <v>94</v>
      </c>
      <c r="N1321" s="28" t="s">
        <v>143</v>
      </c>
      <c r="O1321" s="29" t="n">
        <v>27</v>
      </c>
      <c r="P1321" s="30" t="n">
        <v>34.78</v>
      </c>
      <c r="Q1321" s="30" t="n">
        <v>18.39</v>
      </c>
      <c r="R1321" s="30" t="n">
        <f aca="false">ROUND(O1321*P1321,2)</f>
        <v>939.06</v>
      </c>
      <c r="S1321" s="30" t="n">
        <f aca="false">ROUND(O1321*Q1321,2)</f>
        <v>496.53</v>
      </c>
      <c r="T1321" s="30" t="n">
        <f aca="false">ROUND(R1321*SUMIFS(Parametros!$E$23:$E$38,Parametros!$B$23:$B$38,J1321,Parametros!$C$23:$C$38,C1321,Parametros!$D$23:$D$38,D1321),2)</f>
        <v>63.86</v>
      </c>
      <c r="U1321" s="30" t="n">
        <f aca="false">R1321-S1321-T1321</f>
        <v>378.67</v>
      </c>
    </row>
    <row r="1322" customFormat="false" ht="15" hidden="false" customHeight="false" outlineLevel="0" collapsed="false">
      <c r="A1322" s="0" t="n">
        <v>1321</v>
      </c>
      <c r="B1322" s="27" t="n">
        <v>45702</v>
      </c>
      <c r="C1322" s="0" t="n">
        <v>2025</v>
      </c>
      <c r="D1322" s="28" t="s">
        <v>61</v>
      </c>
      <c r="E1322" s="0" t="n">
        <v>2</v>
      </c>
      <c r="F1322" s="28" t="s">
        <v>104</v>
      </c>
      <c r="G1322" s="28" t="s">
        <v>144</v>
      </c>
      <c r="H1322" s="28" t="s">
        <v>96</v>
      </c>
      <c r="I1322" s="28" t="s">
        <v>97</v>
      </c>
      <c r="J1322" s="28" t="s">
        <v>66</v>
      </c>
      <c r="K1322" s="28" t="s">
        <v>67</v>
      </c>
      <c r="L1322" s="28" t="s">
        <v>130</v>
      </c>
      <c r="M1322" s="28" t="s">
        <v>69</v>
      </c>
      <c r="N1322" s="28" t="s">
        <v>131</v>
      </c>
      <c r="O1322" s="29" t="n">
        <v>8</v>
      </c>
      <c r="P1322" s="30" t="n">
        <v>1155.06</v>
      </c>
      <c r="Q1322" s="30" t="n">
        <v>766.32</v>
      </c>
      <c r="R1322" s="30" t="n">
        <f aca="false">ROUND(O1322*P1322,2)</f>
        <v>9240.48</v>
      </c>
      <c r="S1322" s="30" t="n">
        <f aca="false">ROUND(O1322*Q1322,2)</f>
        <v>6130.56</v>
      </c>
      <c r="T1322" s="30" t="n">
        <f aca="false">ROUND(R1322*SUMIFS(Parametros!$E$23:$E$38,Parametros!$B$23:$B$38,J1322,Parametros!$C$23:$C$38,C1322,Parametros!$D$23:$D$38,D1322),2)</f>
        <v>120.13</v>
      </c>
      <c r="U1322" s="30" t="n">
        <f aca="false">R1322-S1322-T1322</f>
        <v>2989.79</v>
      </c>
    </row>
    <row r="1323" customFormat="false" ht="15" hidden="false" customHeight="false" outlineLevel="0" collapsed="false">
      <c r="A1323" s="0" t="n">
        <v>1322</v>
      </c>
      <c r="B1323" s="27" t="n">
        <v>45709</v>
      </c>
      <c r="C1323" s="0" t="n">
        <v>2025</v>
      </c>
      <c r="D1323" s="28" t="s">
        <v>61</v>
      </c>
      <c r="E1323" s="0" t="n">
        <v>2</v>
      </c>
      <c r="F1323" s="28" t="s">
        <v>104</v>
      </c>
      <c r="G1323" s="28" t="s">
        <v>144</v>
      </c>
      <c r="H1323" s="28" t="s">
        <v>96</v>
      </c>
      <c r="I1323" s="28" t="s">
        <v>97</v>
      </c>
      <c r="J1323" s="28" t="s">
        <v>71</v>
      </c>
      <c r="K1323" s="28" t="s">
        <v>67</v>
      </c>
      <c r="L1323" s="28" t="s">
        <v>130</v>
      </c>
      <c r="M1323" s="28" t="s">
        <v>69</v>
      </c>
      <c r="N1323" s="28" t="s">
        <v>131</v>
      </c>
      <c r="O1323" s="29" t="n">
        <v>6</v>
      </c>
      <c r="P1323" s="30" t="n">
        <v>1155.06</v>
      </c>
      <c r="Q1323" s="30" t="n">
        <v>766.32</v>
      </c>
      <c r="R1323" s="30" t="n">
        <f aca="false">ROUND(O1323*P1323,2)</f>
        <v>6930.36</v>
      </c>
      <c r="S1323" s="30" t="n">
        <f aca="false">ROUND(O1323*Q1323,2)</f>
        <v>4597.92</v>
      </c>
      <c r="T1323" s="30" t="n">
        <f aca="false">ROUND(R1323*SUMIFS(Parametros!$E$23:$E$38,Parametros!$B$23:$B$38,J1323,Parametros!$C$23:$C$38,C1323,Parametros!$D$23:$D$38,D1323),2)</f>
        <v>471.26</v>
      </c>
      <c r="U1323" s="30" t="n">
        <f aca="false">R1323-S1323-T1323</f>
        <v>1861.18</v>
      </c>
    </row>
    <row r="1324" customFormat="false" ht="15" hidden="false" customHeight="false" outlineLevel="0" collapsed="false">
      <c r="A1324" s="0" t="n">
        <v>1323</v>
      </c>
      <c r="B1324" s="27" t="n">
        <v>45689</v>
      </c>
      <c r="C1324" s="0" t="n">
        <v>2025</v>
      </c>
      <c r="D1324" s="28" t="s">
        <v>61</v>
      </c>
      <c r="E1324" s="0" t="n">
        <v>2</v>
      </c>
      <c r="F1324" s="28" t="s">
        <v>104</v>
      </c>
      <c r="G1324" s="28" t="s">
        <v>144</v>
      </c>
      <c r="H1324" s="28" t="s">
        <v>96</v>
      </c>
      <c r="I1324" s="28" t="s">
        <v>97</v>
      </c>
      <c r="J1324" s="28" t="s">
        <v>66</v>
      </c>
      <c r="K1324" s="28" t="s">
        <v>67</v>
      </c>
      <c r="L1324" s="28" t="s">
        <v>130</v>
      </c>
      <c r="M1324" s="28" t="s">
        <v>72</v>
      </c>
      <c r="N1324" s="28" t="s">
        <v>132</v>
      </c>
      <c r="O1324" s="29" t="n">
        <v>10</v>
      </c>
      <c r="P1324" s="30" t="n">
        <v>433.15</v>
      </c>
      <c r="Q1324" s="30" t="n">
        <v>280.42</v>
      </c>
      <c r="R1324" s="30" t="n">
        <f aca="false">ROUND(O1324*P1324,2)</f>
        <v>4331.5</v>
      </c>
      <c r="S1324" s="30" t="n">
        <f aca="false">ROUND(O1324*Q1324,2)</f>
        <v>2804.2</v>
      </c>
      <c r="T1324" s="30" t="n">
        <f aca="false">ROUND(R1324*SUMIFS(Parametros!$E$23:$E$38,Parametros!$B$23:$B$38,J1324,Parametros!$C$23:$C$38,C1324,Parametros!$D$23:$D$38,D1324),2)</f>
        <v>56.31</v>
      </c>
      <c r="U1324" s="30" t="n">
        <f aca="false">R1324-S1324-T1324</f>
        <v>1470.99</v>
      </c>
    </row>
    <row r="1325" customFormat="false" ht="15" hidden="false" customHeight="false" outlineLevel="0" collapsed="false">
      <c r="A1325" s="0" t="n">
        <v>1324</v>
      </c>
      <c r="B1325" s="27" t="n">
        <v>45696</v>
      </c>
      <c r="C1325" s="0" t="n">
        <v>2025</v>
      </c>
      <c r="D1325" s="28" t="s">
        <v>61</v>
      </c>
      <c r="E1325" s="0" t="n">
        <v>2</v>
      </c>
      <c r="F1325" s="28" t="s">
        <v>104</v>
      </c>
      <c r="G1325" s="28" t="s">
        <v>144</v>
      </c>
      <c r="H1325" s="28" t="s">
        <v>96</v>
      </c>
      <c r="I1325" s="28" t="s">
        <v>97</v>
      </c>
      <c r="J1325" s="28" t="s">
        <v>71</v>
      </c>
      <c r="K1325" s="28" t="s">
        <v>67</v>
      </c>
      <c r="L1325" s="28" t="s">
        <v>130</v>
      </c>
      <c r="M1325" s="28" t="s">
        <v>72</v>
      </c>
      <c r="N1325" s="28" t="s">
        <v>132</v>
      </c>
      <c r="O1325" s="29" t="n">
        <v>7</v>
      </c>
      <c r="P1325" s="30" t="n">
        <v>433.15</v>
      </c>
      <c r="Q1325" s="30" t="n">
        <v>280.42</v>
      </c>
      <c r="R1325" s="30" t="n">
        <f aca="false">ROUND(O1325*P1325,2)</f>
        <v>3032.05</v>
      </c>
      <c r="S1325" s="30" t="n">
        <f aca="false">ROUND(O1325*Q1325,2)</f>
        <v>1962.94</v>
      </c>
      <c r="T1325" s="30" t="n">
        <f aca="false">ROUND(R1325*SUMIFS(Parametros!$E$23:$E$38,Parametros!$B$23:$B$38,J1325,Parametros!$C$23:$C$38,C1325,Parametros!$D$23:$D$38,D1325),2)</f>
        <v>206.18</v>
      </c>
      <c r="U1325" s="30" t="n">
        <f aca="false">R1325-S1325-T1325</f>
        <v>862.93</v>
      </c>
    </row>
    <row r="1326" customFormat="false" ht="15" hidden="false" customHeight="false" outlineLevel="0" collapsed="false">
      <c r="A1326" s="0" t="n">
        <v>1325</v>
      </c>
      <c r="B1326" s="27" t="n">
        <v>45703</v>
      </c>
      <c r="C1326" s="0" t="n">
        <v>2025</v>
      </c>
      <c r="D1326" s="28" t="s">
        <v>61</v>
      </c>
      <c r="E1326" s="0" t="n">
        <v>2</v>
      </c>
      <c r="F1326" s="28" t="s">
        <v>104</v>
      </c>
      <c r="G1326" s="28" t="s">
        <v>144</v>
      </c>
      <c r="H1326" s="28" t="s">
        <v>96</v>
      </c>
      <c r="I1326" s="28" t="s">
        <v>97</v>
      </c>
      <c r="J1326" s="28" t="s">
        <v>66</v>
      </c>
      <c r="K1326" s="28" t="s">
        <v>67</v>
      </c>
      <c r="L1326" s="28" t="s">
        <v>130</v>
      </c>
      <c r="M1326" s="28" t="s">
        <v>74</v>
      </c>
      <c r="N1326" s="28" t="s">
        <v>133</v>
      </c>
      <c r="O1326" s="29" t="n">
        <v>8</v>
      </c>
      <c r="P1326" s="30" t="n">
        <v>1588.21</v>
      </c>
      <c r="Q1326" s="30" t="n">
        <v>1155.66</v>
      </c>
      <c r="R1326" s="30" t="n">
        <f aca="false">ROUND(O1326*P1326,2)</f>
        <v>12705.68</v>
      </c>
      <c r="S1326" s="30" t="n">
        <f aca="false">ROUND(O1326*Q1326,2)</f>
        <v>9245.28</v>
      </c>
      <c r="T1326" s="30" t="n">
        <f aca="false">ROUND(R1326*SUMIFS(Parametros!$E$23:$E$38,Parametros!$B$23:$B$38,J1326,Parametros!$C$23:$C$38,C1326,Parametros!$D$23:$D$38,D1326),2)</f>
        <v>165.17</v>
      </c>
      <c r="U1326" s="30" t="n">
        <f aca="false">R1326-S1326-T1326</f>
        <v>3295.23</v>
      </c>
    </row>
    <row r="1327" customFormat="false" ht="15" hidden="false" customHeight="false" outlineLevel="0" collapsed="false">
      <c r="A1327" s="0" t="n">
        <v>1326</v>
      </c>
      <c r="B1327" s="27" t="n">
        <v>45710</v>
      </c>
      <c r="C1327" s="0" t="n">
        <v>2025</v>
      </c>
      <c r="D1327" s="28" t="s">
        <v>61</v>
      </c>
      <c r="E1327" s="0" t="n">
        <v>2</v>
      </c>
      <c r="F1327" s="28" t="s">
        <v>104</v>
      </c>
      <c r="G1327" s="28" t="s">
        <v>144</v>
      </c>
      <c r="H1327" s="28" t="s">
        <v>96</v>
      </c>
      <c r="I1327" s="28" t="s">
        <v>97</v>
      </c>
      <c r="J1327" s="28" t="s">
        <v>71</v>
      </c>
      <c r="K1327" s="28" t="s">
        <v>67</v>
      </c>
      <c r="L1327" s="28" t="s">
        <v>130</v>
      </c>
      <c r="M1327" s="28" t="s">
        <v>74</v>
      </c>
      <c r="N1327" s="28" t="s">
        <v>133</v>
      </c>
      <c r="O1327" s="29" t="n">
        <v>6</v>
      </c>
      <c r="P1327" s="30" t="n">
        <v>1588.21</v>
      </c>
      <c r="Q1327" s="30" t="n">
        <v>1155.66</v>
      </c>
      <c r="R1327" s="30" t="n">
        <f aca="false">ROUND(O1327*P1327,2)</f>
        <v>9529.26</v>
      </c>
      <c r="S1327" s="30" t="n">
        <f aca="false">ROUND(O1327*Q1327,2)</f>
        <v>6933.96</v>
      </c>
      <c r="T1327" s="30" t="n">
        <f aca="false">ROUND(R1327*SUMIFS(Parametros!$E$23:$E$38,Parametros!$B$23:$B$38,J1327,Parametros!$C$23:$C$38,C1327,Parametros!$D$23:$D$38,D1327),2)</f>
        <v>647.99</v>
      </c>
      <c r="U1327" s="30" t="n">
        <f aca="false">R1327-S1327-T1327</f>
        <v>1947.31</v>
      </c>
    </row>
    <row r="1328" customFormat="false" ht="15" hidden="false" customHeight="false" outlineLevel="0" collapsed="false">
      <c r="A1328" s="0" t="n">
        <v>1327</v>
      </c>
      <c r="B1328" s="27" t="n">
        <v>45690</v>
      </c>
      <c r="C1328" s="0" t="n">
        <v>2025</v>
      </c>
      <c r="D1328" s="28" t="s">
        <v>61</v>
      </c>
      <c r="E1328" s="0" t="n">
        <v>2</v>
      </c>
      <c r="F1328" s="28" t="s">
        <v>104</v>
      </c>
      <c r="G1328" s="28" t="s">
        <v>144</v>
      </c>
      <c r="H1328" s="28" t="s">
        <v>96</v>
      </c>
      <c r="I1328" s="28" t="s">
        <v>97</v>
      </c>
      <c r="J1328" s="28" t="s">
        <v>66</v>
      </c>
      <c r="K1328" s="28" t="s">
        <v>76</v>
      </c>
      <c r="L1328" s="28" t="s">
        <v>134</v>
      </c>
      <c r="M1328" s="28" t="s">
        <v>78</v>
      </c>
      <c r="N1328" s="28" t="s">
        <v>135</v>
      </c>
      <c r="O1328" s="29" t="n">
        <v>46</v>
      </c>
      <c r="P1328" s="30" t="n">
        <v>27.82</v>
      </c>
      <c r="Q1328" s="30" t="n">
        <v>13.84</v>
      </c>
      <c r="R1328" s="30" t="n">
        <f aca="false">ROUND(O1328*P1328,2)</f>
        <v>1279.72</v>
      </c>
      <c r="S1328" s="30" t="n">
        <f aca="false">ROUND(O1328*Q1328,2)</f>
        <v>636.64</v>
      </c>
      <c r="T1328" s="30" t="n">
        <f aca="false">ROUND(R1328*SUMIFS(Parametros!$E$23:$E$38,Parametros!$B$23:$B$38,J1328,Parametros!$C$23:$C$38,C1328,Parametros!$D$23:$D$38,D1328),2)</f>
        <v>16.64</v>
      </c>
      <c r="U1328" s="30" t="n">
        <f aca="false">R1328-S1328-T1328</f>
        <v>626.44</v>
      </c>
    </row>
    <row r="1329" customFormat="false" ht="15" hidden="false" customHeight="false" outlineLevel="0" collapsed="false">
      <c r="A1329" s="0" t="n">
        <v>1328</v>
      </c>
      <c r="B1329" s="27" t="n">
        <v>45697</v>
      </c>
      <c r="C1329" s="0" t="n">
        <v>2025</v>
      </c>
      <c r="D1329" s="28" t="s">
        <v>61</v>
      </c>
      <c r="E1329" s="0" t="n">
        <v>2</v>
      </c>
      <c r="F1329" s="28" t="s">
        <v>104</v>
      </c>
      <c r="G1329" s="28" t="s">
        <v>144</v>
      </c>
      <c r="H1329" s="28" t="s">
        <v>96</v>
      </c>
      <c r="I1329" s="28" t="s">
        <v>97</v>
      </c>
      <c r="J1329" s="28" t="s">
        <v>71</v>
      </c>
      <c r="K1329" s="28" t="s">
        <v>76</v>
      </c>
      <c r="L1329" s="28" t="s">
        <v>134</v>
      </c>
      <c r="M1329" s="28" t="s">
        <v>78</v>
      </c>
      <c r="N1329" s="28" t="s">
        <v>135</v>
      </c>
      <c r="O1329" s="29" t="n">
        <v>25</v>
      </c>
      <c r="P1329" s="30" t="n">
        <v>27.82</v>
      </c>
      <c r="Q1329" s="30" t="n">
        <v>13.84</v>
      </c>
      <c r="R1329" s="30" t="n">
        <f aca="false">ROUND(O1329*P1329,2)</f>
        <v>695.5</v>
      </c>
      <c r="S1329" s="30" t="n">
        <f aca="false">ROUND(O1329*Q1329,2)</f>
        <v>346</v>
      </c>
      <c r="T1329" s="30" t="n">
        <f aca="false">ROUND(R1329*SUMIFS(Parametros!$E$23:$E$38,Parametros!$B$23:$B$38,J1329,Parametros!$C$23:$C$38,C1329,Parametros!$D$23:$D$38,D1329),2)</f>
        <v>47.29</v>
      </c>
      <c r="U1329" s="30" t="n">
        <f aca="false">R1329-S1329-T1329</f>
        <v>302.21</v>
      </c>
    </row>
    <row r="1330" customFormat="false" ht="15" hidden="false" customHeight="false" outlineLevel="0" collapsed="false">
      <c r="A1330" s="0" t="n">
        <v>1329</v>
      </c>
      <c r="B1330" s="27" t="n">
        <v>45704</v>
      </c>
      <c r="C1330" s="0" t="n">
        <v>2025</v>
      </c>
      <c r="D1330" s="28" t="s">
        <v>61</v>
      </c>
      <c r="E1330" s="0" t="n">
        <v>2</v>
      </c>
      <c r="F1330" s="28" t="s">
        <v>104</v>
      </c>
      <c r="G1330" s="28" t="s">
        <v>144</v>
      </c>
      <c r="H1330" s="28" t="s">
        <v>96</v>
      </c>
      <c r="I1330" s="28" t="s">
        <v>97</v>
      </c>
      <c r="J1330" s="28" t="s">
        <v>66</v>
      </c>
      <c r="K1330" s="28" t="s">
        <v>76</v>
      </c>
      <c r="L1330" s="28" t="s">
        <v>134</v>
      </c>
      <c r="M1330" s="28" t="s">
        <v>80</v>
      </c>
      <c r="N1330" s="28" t="s">
        <v>136</v>
      </c>
      <c r="O1330" s="29" t="n">
        <v>43</v>
      </c>
      <c r="P1330" s="30" t="n">
        <v>94.39</v>
      </c>
      <c r="Q1330" s="30" t="n">
        <v>49.41</v>
      </c>
      <c r="R1330" s="30" t="n">
        <f aca="false">ROUND(O1330*P1330,2)</f>
        <v>4058.77</v>
      </c>
      <c r="S1330" s="30" t="n">
        <f aca="false">ROUND(O1330*Q1330,2)</f>
        <v>2124.63</v>
      </c>
      <c r="T1330" s="30" t="n">
        <f aca="false">ROUND(R1330*SUMIFS(Parametros!$E$23:$E$38,Parametros!$B$23:$B$38,J1330,Parametros!$C$23:$C$38,C1330,Parametros!$D$23:$D$38,D1330),2)</f>
        <v>52.76</v>
      </c>
      <c r="U1330" s="30" t="n">
        <f aca="false">R1330-S1330-T1330</f>
        <v>1881.38</v>
      </c>
    </row>
    <row r="1331" customFormat="false" ht="15" hidden="false" customHeight="false" outlineLevel="0" collapsed="false">
      <c r="A1331" s="0" t="n">
        <v>1330</v>
      </c>
      <c r="B1331" s="27" t="n">
        <v>45711</v>
      </c>
      <c r="C1331" s="0" t="n">
        <v>2025</v>
      </c>
      <c r="D1331" s="28" t="s">
        <v>61</v>
      </c>
      <c r="E1331" s="0" t="n">
        <v>2</v>
      </c>
      <c r="F1331" s="28" t="s">
        <v>104</v>
      </c>
      <c r="G1331" s="28" t="s">
        <v>144</v>
      </c>
      <c r="H1331" s="28" t="s">
        <v>96</v>
      </c>
      <c r="I1331" s="28" t="s">
        <v>97</v>
      </c>
      <c r="J1331" s="28" t="s">
        <v>71</v>
      </c>
      <c r="K1331" s="28" t="s">
        <v>76</v>
      </c>
      <c r="L1331" s="28" t="s">
        <v>134</v>
      </c>
      <c r="M1331" s="28" t="s">
        <v>80</v>
      </c>
      <c r="N1331" s="28" t="s">
        <v>136</v>
      </c>
      <c r="O1331" s="29" t="n">
        <v>34</v>
      </c>
      <c r="P1331" s="30" t="n">
        <v>94.39</v>
      </c>
      <c r="Q1331" s="30" t="n">
        <v>49.41</v>
      </c>
      <c r="R1331" s="30" t="n">
        <f aca="false">ROUND(O1331*P1331,2)</f>
        <v>3209.26</v>
      </c>
      <c r="S1331" s="30" t="n">
        <f aca="false">ROUND(O1331*Q1331,2)</f>
        <v>1679.94</v>
      </c>
      <c r="T1331" s="30" t="n">
        <f aca="false">ROUND(R1331*SUMIFS(Parametros!$E$23:$E$38,Parametros!$B$23:$B$38,J1331,Parametros!$C$23:$C$38,C1331,Parametros!$D$23:$D$38,D1331),2)</f>
        <v>218.23</v>
      </c>
      <c r="U1331" s="30" t="n">
        <f aca="false">R1331-S1331-T1331</f>
        <v>1311.09</v>
      </c>
    </row>
    <row r="1332" customFormat="false" ht="15" hidden="false" customHeight="false" outlineLevel="0" collapsed="false">
      <c r="A1332" s="0" t="n">
        <v>1331</v>
      </c>
      <c r="B1332" s="27" t="n">
        <v>45691</v>
      </c>
      <c r="C1332" s="0" t="n">
        <v>2025</v>
      </c>
      <c r="D1332" s="28" t="s">
        <v>61</v>
      </c>
      <c r="E1332" s="0" t="n">
        <v>2</v>
      </c>
      <c r="F1332" s="28" t="s">
        <v>104</v>
      </c>
      <c r="G1332" s="28" t="s">
        <v>144</v>
      </c>
      <c r="H1332" s="28" t="s">
        <v>96</v>
      </c>
      <c r="I1332" s="28" t="s">
        <v>97</v>
      </c>
      <c r="J1332" s="28" t="s">
        <v>66</v>
      </c>
      <c r="K1332" s="28" t="s">
        <v>76</v>
      </c>
      <c r="L1332" s="28" t="s">
        <v>134</v>
      </c>
      <c r="M1332" s="28" t="s">
        <v>82</v>
      </c>
      <c r="N1332" s="28" t="s">
        <v>137</v>
      </c>
      <c r="O1332" s="29" t="n">
        <v>46</v>
      </c>
      <c r="P1332" s="30" t="n">
        <v>64.58</v>
      </c>
      <c r="Q1332" s="30" t="n">
        <v>36.49</v>
      </c>
      <c r="R1332" s="30" t="n">
        <f aca="false">ROUND(O1332*P1332,2)</f>
        <v>2970.68</v>
      </c>
      <c r="S1332" s="30" t="n">
        <f aca="false">ROUND(O1332*Q1332,2)</f>
        <v>1678.54</v>
      </c>
      <c r="T1332" s="30" t="n">
        <f aca="false">ROUND(R1332*SUMIFS(Parametros!$E$23:$E$38,Parametros!$B$23:$B$38,J1332,Parametros!$C$23:$C$38,C1332,Parametros!$D$23:$D$38,D1332),2)</f>
        <v>38.62</v>
      </c>
      <c r="U1332" s="30" t="n">
        <f aca="false">R1332-S1332-T1332</f>
        <v>1253.52</v>
      </c>
    </row>
    <row r="1333" customFormat="false" ht="15" hidden="false" customHeight="false" outlineLevel="0" collapsed="false">
      <c r="A1333" s="0" t="n">
        <v>1332</v>
      </c>
      <c r="B1333" s="27" t="n">
        <v>45698</v>
      </c>
      <c r="C1333" s="0" t="n">
        <v>2025</v>
      </c>
      <c r="D1333" s="28" t="s">
        <v>61</v>
      </c>
      <c r="E1333" s="0" t="n">
        <v>2</v>
      </c>
      <c r="F1333" s="28" t="s">
        <v>104</v>
      </c>
      <c r="G1333" s="28" t="s">
        <v>144</v>
      </c>
      <c r="H1333" s="28" t="s">
        <v>96</v>
      </c>
      <c r="I1333" s="28" t="s">
        <v>97</v>
      </c>
      <c r="J1333" s="28" t="s">
        <v>71</v>
      </c>
      <c r="K1333" s="28" t="s">
        <v>76</v>
      </c>
      <c r="L1333" s="28" t="s">
        <v>134</v>
      </c>
      <c r="M1333" s="28" t="s">
        <v>82</v>
      </c>
      <c r="N1333" s="28" t="s">
        <v>137</v>
      </c>
      <c r="O1333" s="29" t="n">
        <v>27</v>
      </c>
      <c r="P1333" s="30" t="n">
        <v>64.58</v>
      </c>
      <c r="Q1333" s="30" t="n">
        <v>36.49</v>
      </c>
      <c r="R1333" s="30" t="n">
        <f aca="false">ROUND(O1333*P1333,2)</f>
        <v>1743.66</v>
      </c>
      <c r="S1333" s="30" t="n">
        <f aca="false">ROUND(O1333*Q1333,2)</f>
        <v>985.23</v>
      </c>
      <c r="T1333" s="30" t="n">
        <f aca="false">ROUND(R1333*SUMIFS(Parametros!$E$23:$E$38,Parametros!$B$23:$B$38,J1333,Parametros!$C$23:$C$38,C1333,Parametros!$D$23:$D$38,D1333),2)</f>
        <v>118.57</v>
      </c>
      <c r="U1333" s="30" t="n">
        <f aca="false">R1333-S1333-T1333</f>
        <v>639.86</v>
      </c>
    </row>
    <row r="1334" customFormat="false" ht="15" hidden="false" customHeight="false" outlineLevel="0" collapsed="false">
      <c r="A1334" s="0" t="n">
        <v>1333</v>
      </c>
      <c r="B1334" s="27" t="n">
        <v>45705</v>
      </c>
      <c r="C1334" s="0" t="n">
        <v>2025</v>
      </c>
      <c r="D1334" s="28" t="s">
        <v>61</v>
      </c>
      <c r="E1334" s="0" t="n">
        <v>2</v>
      </c>
      <c r="F1334" s="28" t="s">
        <v>104</v>
      </c>
      <c r="G1334" s="28" t="s">
        <v>144</v>
      </c>
      <c r="H1334" s="28" t="s">
        <v>96</v>
      </c>
      <c r="I1334" s="28" t="s">
        <v>97</v>
      </c>
      <c r="J1334" s="28" t="s">
        <v>66</v>
      </c>
      <c r="K1334" s="28" t="s">
        <v>84</v>
      </c>
      <c r="L1334" s="28" t="s">
        <v>138</v>
      </c>
      <c r="M1334" s="28" t="s">
        <v>86</v>
      </c>
      <c r="N1334" s="28" t="s">
        <v>139</v>
      </c>
      <c r="O1334" s="29" t="n">
        <v>23</v>
      </c>
      <c r="P1334" s="30" t="n">
        <v>119.23</v>
      </c>
      <c r="Q1334" s="30" t="n">
        <v>65.51</v>
      </c>
      <c r="R1334" s="30" t="n">
        <f aca="false">ROUND(O1334*P1334,2)</f>
        <v>2742.29</v>
      </c>
      <c r="S1334" s="30" t="n">
        <f aca="false">ROUND(O1334*Q1334,2)</f>
        <v>1506.73</v>
      </c>
      <c r="T1334" s="30" t="n">
        <f aca="false">ROUND(R1334*SUMIFS(Parametros!$E$23:$E$38,Parametros!$B$23:$B$38,J1334,Parametros!$C$23:$C$38,C1334,Parametros!$D$23:$D$38,D1334),2)</f>
        <v>35.65</v>
      </c>
      <c r="U1334" s="30" t="n">
        <f aca="false">R1334-S1334-T1334</f>
        <v>1199.91</v>
      </c>
    </row>
    <row r="1335" customFormat="false" ht="15" hidden="false" customHeight="false" outlineLevel="0" collapsed="false">
      <c r="A1335" s="0" t="n">
        <v>1334</v>
      </c>
      <c r="B1335" s="27" t="n">
        <v>45712</v>
      </c>
      <c r="C1335" s="0" t="n">
        <v>2025</v>
      </c>
      <c r="D1335" s="28" t="s">
        <v>61</v>
      </c>
      <c r="E1335" s="0" t="n">
        <v>2</v>
      </c>
      <c r="F1335" s="28" t="s">
        <v>104</v>
      </c>
      <c r="G1335" s="28" t="s">
        <v>144</v>
      </c>
      <c r="H1335" s="28" t="s">
        <v>96</v>
      </c>
      <c r="I1335" s="28" t="s">
        <v>97</v>
      </c>
      <c r="J1335" s="28" t="s">
        <v>71</v>
      </c>
      <c r="K1335" s="28" t="s">
        <v>84</v>
      </c>
      <c r="L1335" s="28" t="s">
        <v>138</v>
      </c>
      <c r="M1335" s="28" t="s">
        <v>86</v>
      </c>
      <c r="N1335" s="28" t="s">
        <v>139</v>
      </c>
      <c r="O1335" s="29" t="n">
        <v>15</v>
      </c>
      <c r="P1335" s="30" t="n">
        <v>119.23</v>
      </c>
      <c r="Q1335" s="30" t="n">
        <v>65.51</v>
      </c>
      <c r="R1335" s="30" t="n">
        <f aca="false">ROUND(O1335*P1335,2)</f>
        <v>1788.45</v>
      </c>
      <c r="S1335" s="30" t="n">
        <f aca="false">ROUND(O1335*Q1335,2)</f>
        <v>982.65</v>
      </c>
      <c r="T1335" s="30" t="n">
        <f aca="false">ROUND(R1335*SUMIFS(Parametros!$E$23:$E$38,Parametros!$B$23:$B$38,J1335,Parametros!$C$23:$C$38,C1335,Parametros!$D$23:$D$38,D1335),2)</f>
        <v>121.61</v>
      </c>
      <c r="U1335" s="30" t="n">
        <f aca="false">R1335-S1335-T1335</f>
        <v>684.19</v>
      </c>
    </row>
    <row r="1336" customFormat="false" ht="15" hidden="false" customHeight="false" outlineLevel="0" collapsed="false">
      <c r="A1336" s="0" t="n">
        <v>1335</v>
      </c>
      <c r="B1336" s="27" t="n">
        <v>45692</v>
      </c>
      <c r="C1336" s="0" t="n">
        <v>2025</v>
      </c>
      <c r="D1336" s="28" t="s">
        <v>61</v>
      </c>
      <c r="E1336" s="0" t="n">
        <v>2</v>
      </c>
      <c r="F1336" s="28" t="s">
        <v>104</v>
      </c>
      <c r="G1336" s="28" t="s">
        <v>144</v>
      </c>
      <c r="H1336" s="28" t="s">
        <v>96</v>
      </c>
      <c r="I1336" s="28" t="s">
        <v>97</v>
      </c>
      <c r="J1336" s="28" t="s">
        <v>66</v>
      </c>
      <c r="K1336" s="28" t="s">
        <v>84</v>
      </c>
      <c r="L1336" s="28" t="s">
        <v>138</v>
      </c>
      <c r="M1336" s="28" t="s">
        <v>88</v>
      </c>
      <c r="N1336" s="28" t="s">
        <v>140</v>
      </c>
      <c r="O1336" s="29" t="n">
        <v>18</v>
      </c>
      <c r="P1336" s="30" t="n">
        <v>84.46</v>
      </c>
      <c r="Q1336" s="30" t="n">
        <v>49.47</v>
      </c>
      <c r="R1336" s="30" t="n">
        <f aca="false">ROUND(O1336*P1336,2)</f>
        <v>1520.28</v>
      </c>
      <c r="S1336" s="30" t="n">
        <f aca="false">ROUND(O1336*Q1336,2)</f>
        <v>890.46</v>
      </c>
      <c r="T1336" s="30" t="n">
        <f aca="false">ROUND(R1336*SUMIFS(Parametros!$E$23:$E$38,Parametros!$B$23:$B$38,J1336,Parametros!$C$23:$C$38,C1336,Parametros!$D$23:$D$38,D1336),2)</f>
        <v>19.76</v>
      </c>
      <c r="U1336" s="30" t="n">
        <f aca="false">R1336-S1336-T1336</f>
        <v>610.06</v>
      </c>
    </row>
    <row r="1337" customFormat="false" ht="15" hidden="false" customHeight="false" outlineLevel="0" collapsed="false">
      <c r="A1337" s="0" t="n">
        <v>1336</v>
      </c>
      <c r="B1337" s="27" t="n">
        <v>45699</v>
      </c>
      <c r="C1337" s="0" t="n">
        <v>2025</v>
      </c>
      <c r="D1337" s="28" t="s">
        <v>61</v>
      </c>
      <c r="E1337" s="0" t="n">
        <v>2</v>
      </c>
      <c r="F1337" s="28" t="s">
        <v>104</v>
      </c>
      <c r="G1337" s="28" t="s">
        <v>144</v>
      </c>
      <c r="H1337" s="28" t="s">
        <v>96</v>
      </c>
      <c r="I1337" s="28" t="s">
        <v>97</v>
      </c>
      <c r="J1337" s="28" t="s">
        <v>71</v>
      </c>
      <c r="K1337" s="28" t="s">
        <v>84</v>
      </c>
      <c r="L1337" s="28" t="s">
        <v>138</v>
      </c>
      <c r="M1337" s="28" t="s">
        <v>88</v>
      </c>
      <c r="N1337" s="28" t="s">
        <v>140</v>
      </c>
      <c r="O1337" s="29" t="n">
        <v>15</v>
      </c>
      <c r="P1337" s="30" t="n">
        <v>84.46</v>
      </c>
      <c r="Q1337" s="30" t="n">
        <v>49.47</v>
      </c>
      <c r="R1337" s="30" t="n">
        <f aca="false">ROUND(O1337*P1337,2)</f>
        <v>1266.9</v>
      </c>
      <c r="S1337" s="30" t="n">
        <f aca="false">ROUND(O1337*Q1337,2)</f>
        <v>742.05</v>
      </c>
      <c r="T1337" s="30" t="n">
        <f aca="false">ROUND(R1337*SUMIFS(Parametros!$E$23:$E$38,Parametros!$B$23:$B$38,J1337,Parametros!$C$23:$C$38,C1337,Parametros!$D$23:$D$38,D1337),2)</f>
        <v>86.15</v>
      </c>
      <c r="U1337" s="30" t="n">
        <f aca="false">R1337-S1337-T1337</f>
        <v>438.7</v>
      </c>
    </row>
    <row r="1338" customFormat="false" ht="15" hidden="false" customHeight="false" outlineLevel="0" collapsed="false">
      <c r="A1338" s="0" t="n">
        <v>1337</v>
      </c>
      <c r="B1338" s="27" t="n">
        <v>45706</v>
      </c>
      <c r="C1338" s="0" t="n">
        <v>2025</v>
      </c>
      <c r="D1338" s="28" t="s">
        <v>61</v>
      </c>
      <c r="E1338" s="0" t="n">
        <v>2</v>
      </c>
      <c r="F1338" s="28" t="s">
        <v>104</v>
      </c>
      <c r="G1338" s="28" t="s">
        <v>144</v>
      </c>
      <c r="H1338" s="28" t="s">
        <v>96</v>
      </c>
      <c r="I1338" s="28" t="s">
        <v>97</v>
      </c>
      <c r="J1338" s="28" t="s">
        <v>66</v>
      </c>
      <c r="K1338" s="28" t="s">
        <v>90</v>
      </c>
      <c r="L1338" s="28" t="s">
        <v>141</v>
      </c>
      <c r="M1338" s="28" t="s">
        <v>92</v>
      </c>
      <c r="N1338" s="28" t="s">
        <v>142</v>
      </c>
      <c r="O1338" s="29" t="n">
        <v>24</v>
      </c>
      <c r="P1338" s="30" t="n">
        <v>129.17</v>
      </c>
      <c r="Q1338" s="30" t="n">
        <v>78.33</v>
      </c>
      <c r="R1338" s="30" t="n">
        <f aca="false">ROUND(O1338*P1338,2)</f>
        <v>3100.08</v>
      </c>
      <c r="S1338" s="30" t="n">
        <f aca="false">ROUND(O1338*Q1338,2)</f>
        <v>1879.92</v>
      </c>
      <c r="T1338" s="30" t="n">
        <f aca="false">ROUND(R1338*SUMIFS(Parametros!$E$23:$E$38,Parametros!$B$23:$B$38,J1338,Parametros!$C$23:$C$38,C1338,Parametros!$D$23:$D$38,D1338),2)</f>
        <v>40.3</v>
      </c>
      <c r="U1338" s="30" t="n">
        <f aca="false">R1338-S1338-T1338</f>
        <v>1179.86</v>
      </c>
    </row>
    <row r="1339" customFormat="false" ht="15" hidden="false" customHeight="false" outlineLevel="0" collapsed="false">
      <c r="A1339" s="0" t="n">
        <v>1338</v>
      </c>
      <c r="B1339" s="27" t="n">
        <v>45713</v>
      </c>
      <c r="C1339" s="0" t="n">
        <v>2025</v>
      </c>
      <c r="D1339" s="28" t="s">
        <v>61</v>
      </c>
      <c r="E1339" s="0" t="n">
        <v>2</v>
      </c>
      <c r="F1339" s="28" t="s">
        <v>104</v>
      </c>
      <c r="G1339" s="28" t="s">
        <v>144</v>
      </c>
      <c r="H1339" s="28" t="s">
        <v>96</v>
      </c>
      <c r="I1339" s="28" t="s">
        <v>97</v>
      </c>
      <c r="J1339" s="28" t="s">
        <v>71</v>
      </c>
      <c r="K1339" s="28" t="s">
        <v>90</v>
      </c>
      <c r="L1339" s="28" t="s">
        <v>141</v>
      </c>
      <c r="M1339" s="28" t="s">
        <v>92</v>
      </c>
      <c r="N1339" s="28" t="s">
        <v>142</v>
      </c>
      <c r="O1339" s="29" t="n">
        <v>20</v>
      </c>
      <c r="P1339" s="30" t="n">
        <v>129.17</v>
      </c>
      <c r="Q1339" s="30" t="n">
        <v>78.33</v>
      </c>
      <c r="R1339" s="30" t="n">
        <f aca="false">ROUND(O1339*P1339,2)</f>
        <v>2583.4</v>
      </c>
      <c r="S1339" s="30" t="n">
        <f aca="false">ROUND(O1339*Q1339,2)</f>
        <v>1566.6</v>
      </c>
      <c r="T1339" s="30" t="n">
        <f aca="false">ROUND(R1339*SUMIFS(Parametros!$E$23:$E$38,Parametros!$B$23:$B$38,J1339,Parametros!$C$23:$C$38,C1339,Parametros!$D$23:$D$38,D1339),2)</f>
        <v>175.67</v>
      </c>
      <c r="U1339" s="30" t="n">
        <f aca="false">R1339-S1339-T1339</f>
        <v>841.13</v>
      </c>
    </row>
    <row r="1340" customFormat="false" ht="15" hidden="false" customHeight="false" outlineLevel="0" collapsed="false">
      <c r="A1340" s="0" t="n">
        <v>1339</v>
      </c>
      <c r="B1340" s="27" t="n">
        <v>45693</v>
      </c>
      <c r="C1340" s="0" t="n">
        <v>2025</v>
      </c>
      <c r="D1340" s="28" t="s">
        <v>61</v>
      </c>
      <c r="E1340" s="0" t="n">
        <v>2</v>
      </c>
      <c r="F1340" s="28" t="s">
        <v>104</v>
      </c>
      <c r="G1340" s="28" t="s">
        <v>144</v>
      </c>
      <c r="H1340" s="28" t="s">
        <v>96</v>
      </c>
      <c r="I1340" s="28" t="s">
        <v>97</v>
      </c>
      <c r="J1340" s="28" t="s">
        <v>66</v>
      </c>
      <c r="K1340" s="28" t="s">
        <v>90</v>
      </c>
      <c r="L1340" s="28" t="s">
        <v>141</v>
      </c>
      <c r="M1340" s="28" t="s">
        <v>94</v>
      </c>
      <c r="N1340" s="28" t="s">
        <v>143</v>
      </c>
      <c r="O1340" s="29" t="n">
        <v>27</v>
      </c>
      <c r="P1340" s="30" t="n">
        <v>34.78</v>
      </c>
      <c r="Q1340" s="30" t="n">
        <v>18.39</v>
      </c>
      <c r="R1340" s="30" t="n">
        <f aca="false">ROUND(O1340*P1340,2)</f>
        <v>939.06</v>
      </c>
      <c r="S1340" s="30" t="n">
        <f aca="false">ROUND(O1340*Q1340,2)</f>
        <v>496.53</v>
      </c>
      <c r="T1340" s="30" t="n">
        <f aca="false">ROUND(R1340*SUMIFS(Parametros!$E$23:$E$38,Parametros!$B$23:$B$38,J1340,Parametros!$C$23:$C$38,C1340,Parametros!$D$23:$D$38,D1340),2)</f>
        <v>12.21</v>
      </c>
      <c r="U1340" s="30" t="n">
        <f aca="false">R1340-S1340-T1340</f>
        <v>430.32</v>
      </c>
    </row>
    <row r="1341" customFormat="false" ht="15" hidden="false" customHeight="false" outlineLevel="0" collapsed="false">
      <c r="A1341" s="0" t="n">
        <v>1340</v>
      </c>
      <c r="B1341" s="27" t="n">
        <v>45700</v>
      </c>
      <c r="C1341" s="0" t="n">
        <v>2025</v>
      </c>
      <c r="D1341" s="28" t="s">
        <v>61</v>
      </c>
      <c r="E1341" s="0" t="n">
        <v>2</v>
      </c>
      <c r="F1341" s="28" t="s">
        <v>104</v>
      </c>
      <c r="G1341" s="28" t="s">
        <v>144</v>
      </c>
      <c r="H1341" s="28" t="s">
        <v>96</v>
      </c>
      <c r="I1341" s="28" t="s">
        <v>97</v>
      </c>
      <c r="J1341" s="28" t="s">
        <v>71</v>
      </c>
      <c r="K1341" s="28" t="s">
        <v>90</v>
      </c>
      <c r="L1341" s="28" t="s">
        <v>141</v>
      </c>
      <c r="M1341" s="28" t="s">
        <v>94</v>
      </c>
      <c r="N1341" s="28" t="s">
        <v>143</v>
      </c>
      <c r="O1341" s="29" t="n">
        <v>17</v>
      </c>
      <c r="P1341" s="30" t="n">
        <v>34.78</v>
      </c>
      <c r="Q1341" s="30" t="n">
        <v>18.39</v>
      </c>
      <c r="R1341" s="30" t="n">
        <f aca="false">ROUND(O1341*P1341,2)</f>
        <v>591.26</v>
      </c>
      <c r="S1341" s="30" t="n">
        <f aca="false">ROUND(O1341*Q1341,2)</f>
        <v>312.63</v>
      </c>
      <c r="T1341" s="30" t="n">
        <f aca="false">ROUND(R1341*SUMIFS(Parametros!$E$23:$E$38,Parametros!$B$23:$B$38,J1341,Parametros!$C$23:$C$38,C1341,Parametros!$D$23:$D$38,D1341),2)</f>
        <v>40.21</v>
      </c>
      <c r="U1341" s="30" t="n">
        <f aca="false">R1341-S1341-T1341</f>
        <v>238.42</v>
      </c>
    </row>
    <row r="1342" customFormat="false" ht="15" hidden="false" customHeight="false" outlineLevel="0" collapsed="false">
      <c r="A1342" s="0" t="n">
        <v>1341</v>
      </c>
      <c r="B1342" s="27" t="n">
        <v>45707</v>
      </c>
      <c r="C1342" s="0" t="n">
        <v>2025</v>
      </c>
      <c r="D1342" s="28" t="s">
        <v>61</v>
      </c>
      <c r="E1342" s="0" t="n">
        <v>2</v>
      </c>
      <c r="F1342" s="28" t="s">
        <v>104</v>
      </c>
      <c r="G1342" s="28" t="s">
        <v>144</v>
      </c>
      <c r="H1342" s="28" t="s">
        <v>98</v>
      </c>
      <c r="I1342" s="28" t="s">
        <v>99</v>
      </c>
      <c r="J1342" s="28" t="s">
        <v>66</v>
      </c>
      <c r="K1342" s="28" t="s">
        <v>67</v>
      </c>
      <c r="L1342" s="28" t="s">
        <v>130</v>
      </c>
      <c r="M1342" s="28" t="s">
        <v>69</v>
      </c>
      <c r="N1342" s="28" t="s">
        <v>131</v>
      </c>
      <c r="O1342" s="29" t="n">
        <v>7</v>
      </c>
      <c r="P1342" s="30" t="n">
        <v>1155.06</v>
      </c>
      <c r="Q1342" s="30" t="n">
        <v>766.32</v>
      </c>
      <c r="R1342" s="30" t="n">
        <f aca="false">ROUND(O1342*P1342,2)</f>
        <v>8085.42</v>
      </c>
      <c r="S1342" s="30" t="n">
        <f aca="false">ROUND(O1342*Q1342,2)</f>
        <v>5364.24</v>
      </c>
      <c r="T1342" s="30" t="n">
        <f aca="false">ROUND(R1342*SUMIFS(Parametros!$E$23:$E$38,Parametros!$B$23:$B$38,J1342,Parametros!$C$23:$C$38,C1342,Parametros!$D$23:$D$38,D1342),2)</f>
        <v>105.11</v>
      </c>
      <c r="U1342" s="30" t="n">
        <f aca="false">R1342-S1342-T1342</f>
        <v>2616.07</v>
      </c>
    </row>
    <row r="1343" customFormat="false" ht="15" hidden="false" customHeight="false" outlineLevel="0" collapsed="false">
      <c r="A1343" s="0" t="n">
        <v>1342</v>
      </c>
      <c r="B1343" s="27" t="n">
        <v>45714</v>
      </c>
      <c r="C1343" s="0" t="n">
        <v>2025</v>
      </c>
      <c r="D1343" s="28" t="s">
        <v>61</v>
      </c>
      <c r="E1343" s="0" t="n">
        <v>2</v>
      </c>
      <c r="F1343" s="28" t="s">
        <v>104</v>
      </c>
      <c r="G1343" s="28" t="s">
        <v>144</v>
      </c>
      <c r="H1343" s="28" t="s">
        <v>98</v>
      </c>
      <c r="I1343" s="28" t="s">
        <v>99</v>
      </c>
      <c r="J1343" s="28" t="s">
        <v>71</v>
      </c>
      <c r="K1343" s="28" t="s">
        <v>67</v>
      </c>
      <c r="L1343" s="28" t="s">
        <v>130</v>
      </c>
      <c r="M1343" s="28" t="s">
        <v>69</v>
      </c>
      <c r="N1343" s="28" t="s">
        <v>131</v>
      </c>
      <c r="O1343" s="29" t="n">
        <v>5</v>
      </c>
      <c r="P1343" s="30" t="n">
        <v>1155.06</v>
      </c>
      <c r="Q1343" s="30" t="n">
        <v>766.32</v>
      </c>
      <c r="R1343" s="30" t="n">
        <f aca="false">ROUND(O1343*P1343,2)</f>
        <v>5775.3</v>
      </c>
      <c r="S1343" s="30" t="n">
        <f aca="false">ROUND(O1343*Q1343,2)</f>
        <v>3831.6</v>
      </c>
      <c r="T1343" s="30" t="n">
        <f aca="false">ROUND(R1343*SUMIFS(Parametros!$E$23:$E$38,Parametros!$B$23:$B$38,J1343,Parametros!$C$23:$C$38,C1343,Parametros!$D$23:$D$38,D1343),2)</f>
        <v>392.72</v>
      </c>
      <c r="U1343" s="30" t="n">
        <f aca="false">R1343-S1343-T1343</f>
        <v>1550.98</v>
      </c>
    </row>
    <row r="1344" customFormat="false" ht="15" hidden="false" customHeight="false" outlineLevel="0" collapsed="false">
      <c r="A1344" s="0" t="n">
        <v>1343</v>
      </c>
      <c r="B1344" s="27" t="n">
        <v>45694</v>
      </c>
      <c r="C1344" s="0" t="n">
        <v>2025</v>
      </c>
      <c r="D1344" s="28" t="s">
        <v>61</v>
      </c>
      <c r="E1344" s="0" t="n">
        <v>2</v>
      </c>
      <c r="F1344" s="28" t="s">
        <v>104</v>
      </c>
      <c r="G1344" s="28" t="s">
        <v>144</v>
      </c>
      <c r="H1344" s="28" t="s">
        <v>98</v>
      </c>
      <c r="I1344" s="28" t="s">
        <v>99</v>
      </c>
      <c r="J1344" s="28" t="s">
        <v>66</v>
      </c>
      <c r="K1344" s="28" t="s">
        <v>67</v>
      </c>
      <c r="L1344" s="28" t="s">
        <v>130</v>
      </c>
      <c r="M1344" s="28" t="s">
        <v>72</v>
      </c>
      <c r="N1344" s="28" t="s">
        <v>132</v>
      </c>
      <c r="O1344" s="29" t="n">
        <v>7</v>
      </c>
      <c r="P1344" s="30" t="n">
        <v>433.15</v>
      </c>
      <c r="Q1344" s="30" t="n">
        <v>280.42</v>
      </c>
      <c r="R1344" s="30" t="n">
        <f aca="false">ROUND(O1344*P1344,2)</f>
        <v>3032.05</v>
      </c>
      <c r="S1344" s="30" t="n">
        <f aca="false">ROUND(O1344*Q1344,2)</f>
        <v>1962.94</v>
      </c>
      <c r="T1344" s="30" t="n">
        <f aca="false">ROUND(R1344*SUMIFS(Parametros!$E$23:$E$38,Parametros!$B$23:$B$38,J1344,Parametros!$C$23:$C$38,C1344,Parametros!$D$23:$D$38,D1344),2)</f>
        <v>39.42</v>
      </c>
      <c r="U1344" s="30" t="n">
        <f aca="false">R1344-S1344-T1344</f>
        <v>1029.69</v>
      </c>
    </row>
    <row r="1345" customFormat="false" ht="15" hidden="false" customHeight="false" outlineLevel="0" collapsed="false">
      <c r="A1345" s="0" t="n">
        <v>1344</v>
      </c>
      <c r="B1345" s="27" t="n">
        <v>45701</v>
      </c>
      <c r="C1345" s="0" t="n">
        <v>2025</v>
      </c>
      <c r="D1345" s="28" t="s">
        <v>61</v>
      </c>
      <c r="E1345" s="0" t="n">
        <v>2</v>
      </c>
      <c r="F1345" s="28" t="s">
        <v>104</v>
      </c>
      <c r="G1345" s="28" t="s">
        <v>144</v>
      </c>
      <c r="H1345" s="28" t="s">
        <v>98</v>
      </c>
      <c r="I1345" s="28" t="s">
        <v>99</v>
      </c>
      <c r="J1345" s="28" t="s">
        <v>71</v>
      </c>
      <c r="K1345" s="28" t="s">
        <v>67</v>
      </c>
      <c r="L1345" s="28" t="s">
        <v>130</v>
      </c>
      <c r="M1345" s="28" t="s">
        <v>72</v>
      </c>
      <c r="N1345" s="28" t="s">
        <v>132</v>
      </c>
      <c r="O1345" s="29" t="n">
        <v>5</v>
      </c>
      <c r="P1345" s="30" t="n">
        <v>433.15</v>
      </c>
      <c r="Q1345" s="30" t="n">
        <v>280.42</v>
      </c>
      <c r="R1345" s="30" t="n">
        <f aca="false">ROUND(O1345*P1345,2)</f>
        <v>2165.75</v>
      </c>
      <c r="S1345" s="30" t="n">
        <f aca="false">ROUND(O1345*Q1345,2)</f>
        <v>1402.1</v>
      </c>
      <c r="T1345" s="30" t="n">
        <f aca="false">ROUND(R1345*SUMIFS(Parametros!$E$23:$E$38,Parametros!$B$23:$B$38,J1345,Parametros!$C$23:$C$38,C1345,Parametros!$D$23:$D$38,D1345),2)</f>
        <v>147.27</v>
      </c>
      <c r="U1345" s="30" t="n">
        <f aca="false">R1345-S1345-T1345</f>
        <v>616.38</v>
      </c>
    </row>
    <row r="1346" customFormat="false" ht="15" hidden="false" customHeight="false" outlineLevel="0" collapsed="false">
      <c r="A1346" s="0" t="n">
        <v>1345</v>
      </c>
      <c r="B1346" s="27" t="n">
        <v>45708</v>
      </c>
      <c r="C1346" s="0" t="n">
        <v>2025</v>
      </c>
      <c r="D1346" s="28" t="s">
        <v>61</v>
      </c>
      <c r="E1346" s="0" t="n">
        <v>2</v>
      </c>
      <c r="F1346" s="28" t="s">
        <v>104</v>
      </c>
      <c r="G1346" s="28" t="s">
        <v>144</v>
      </c>
      <c r="H1346" s="28" t="s">
        <v>98</v>
      </c>
      <c r="I1346" s="28" t="s">
        <v>99</v>
      </c>
      <c r="J1346" s="28" t="s">
        <v>66</v>
      </c>
      <c r="K1346" s="28" t="s">
        <v>67</v>
      </c>
      <c r="L1346" s="28" t="s">
        <v>130</v>
      </c>
      <c r="M1346" s="28" t="s">
        <v>74</v>
      </c>
      <c r="N1346" s="28" t="s">
        <v>133</v>
      </c>
      <c r="O1346" s="29" t="n">
        <v>6</v>
      </c>
      <c r="P1346" s="30" t="n">
        <v>1588.21</v>
      </c>
      <c r="Q1346" s="30" t="n">
        <v>1155.66</v>
      </c>
      <c r="R1346" s="30" t="n">
        <f aca="false">ROUND(O1346*P1346,2)</f>
        <v>9529.26</v>
      </c>
      <c r="S1346" s="30" t="n">
        <f aca="false">ROUND(O1346*Q1346,2)</f>
        <v>6933.96</v>
      </c>
      <c r="T1346" s="30" t="n">
        <f aca="false">ROUND(R1346*SUMIFS(Parametros!$E$23:$E$38,Parametros!$B$23:$B$38,J1346,Parametros!$C$23:$C$38,C1346,Parametros!$D$23:$D$38,D1346),2)</f>
        <v>123.88</v>
      </c>
      <c r="U1346" s="30" t="n">
        <f aca="false">R1346-S1346-T1346</f>
        <v>2471.42</v>
      </c>
    </row>
    <row r="1347" customFormat="false" ht="15" hidden="false" customHeight="false" outlineLevel="0" collapsed="false">
      <c r="A1347" s="0" t="n">
        <v>1346</v>
      </c>
      <c r="B1347" s="27" t="n">
        <v>45715</v>
      </c>
      <c r="C1347" s="0" t="n">
        <v>2025</v>
      </c>
      <c r="D1347" s="28" t="s">
        <v>61</v>
      </c>
      <c r="E1347" s="0" t="n">
        <v>2</v>
      </c>
      <c r="F1347" s="28" t="s">
        <v>104</v>
      </c>
      <c r="G1347" s="28" t="s">
        <v>144</v>
      </c>
      <c r="H1347" s="28" t="s">
        <v>98</v>
      </c>
      <c r="I1347" s="28" t="s">
        <v>99</v>
      </c>
      <c r="J1347" s="28" t="s">
        <v>71</v>
      </c>
      <c r="K1347" s="28" t="s">
        <v>67</v>
      </c>
      <c r="L1347" s="28" t="s">
        <v>130</v>
      </c>
      <c r="M1347" s="28" t="s">
        <v>74</v>
      </c>
      <c r="N1347" s="28" t="s">
        <v>133</v>
      </c>
      <c r="O1347" s="29" t="n">
        <v>4</v>
      </c>
      <c r="P1347" s="30" t="n">
        <v>1588.21</v>
      </c>
      <c r="Q1347" s="30" t="n">
        <v>1155.66</v>
      </c>
      <c r="R1347" s="30" t="n">
        <f aca="false">ROUND(O1347*P1347,2)</f>
        <v>6352.84</v>
      </c>
      <c r="S1347" s="30" t="n">
        <f aca="false">ROUND(O1347*Q1347,2)</f>
        <v>4622.64</v>
      </c>
      <c r="T1347" s="30" t="n">
        <f aca="false">ROUND(R1347*SUMIFS(Parametros!$E$23:$E$38,Parametros!$B$23:$B$38,J1347,Parametros!$C$23:$C$38,C1347,Parametros!$D$23:$D$38,D1347),2)</f>
        <v>431.99</v>
      </c>
      <c r="U1347" s="30" t="n">
        <f aca="false">R1347-S1347-T1347</f>
        <v>1298.21</v>
      </c>
    </row>
    <row r="1348" customFormat="false" ht="15" hidden="false" customHeight="false" outlineLevel="0" collapsed="false">
      <c r="A1348" s="0" t="n">
        <v>1347</v>
      </c>
      <c r="B1348" s="27" t="n">
        <v>45695</v>
      </c>
      <c r="C1348" s="0" t="n">
        <v>2025</v>
      </c>
      <c r="D1348" s="28" t="s">
        <v>61</v>
      </c>
      <c r="E1348" s="0" t="n">
        <v>2</v>
      </c>
      <c r="F1348" s="28" t="s">
        <v>104</v>
      </c>
      <c r="G1348" s="28" t="s">
        <v>144</v>
      </c>
      <c r="H1348" s="28" t="s">
        <v>98</v>
      </c>
      <c r="I1348" s="28" t="s">
        <v>99</v>
      </c>
      <c r="J1348" s="28" t="s">
        <v>66</v>
      </c>
      <c r="K1348" s="28" t="s">
        <v>76</v>
      </c>
      <c r="L1348" s="28" t="s">
        <v>134</v>
      </c>
      <c r="M1348" s="28" t="s">
        <v>78</v>
      </c>
      <c r="N1348" s="28" t="s">
        <v>135</v>
      </c>
      <c r="O1348" s="29" t="n">
        <v>35</v>
      </c>
      <c r="P1348" s="30" t="n">
        <v>27.82</v>
      </c>
      <c r="Q1348" s="30" t="n">
        <v>13.84</v>
      </c>
      <c r="R1348" s="30" t="n">
        <f aca="false">ROUND(O1348*P1348,2)</f>
        <v>973.7</v>
      </c>
      <c r="S1348" s="30" t="n">
        <f aca="false">ROUND(O1348*Q1348,2)</f>
        <v>484.4</v>
      </c>
      <c r="T1348" s="30" t="n">
        <f aca="false">ROUND(R1348*SUMIFS(Parametros!$E$23:$E$38,Parametros!$B$23:$B$38,J1348,Parametros!$C$23:$C$38,C1348,Parametros!$D$23:$D$38,D1348),2)</f>
        <v>12.66</v>
      </c>
      <c r="U1348" s="30" t="n">
        <f aca="false">R1348-S1348-T1348</f>
        <v>476.64</v>
      </c>
    </row>
    <row r="1349" customFormat="false" ht="15" hidden="false" customHeight="false" outlineLevel="0" collapsed="false">
      <c r="A1349" s="0" t="n">
        <v>1348</v>
      </c>
      <c r="B1349" s="27" t="n">
        <v>45702</v>
      </c>
      <c r="C1349" s="0" t="n">
        <v>2025</v>
      </c>
      <c r="D1349" s="28" t="s">
        <v>61</v>
      </c>
      <c r="E1349" s="0" t="n">
        <v>2</v>
      </c>
      <c r="F1349" s="28" t="s">
        <v>104</v>
      </c>
      <c r="G1349" s="28" t="s">
        <v>144</v>
      </c>
      <c r="H1349" s="28" t="s">
        <v>98</v>
      </c>
      <c r="I1349" s="28" t="s">
        <v>99</v>
      </c>
      <c r="J1349" s="28" t="s">
        <v>71</v>
      </c>
      <c r="K1349" s="28" t="s">
        <v>76</v>
      </c>
      <c r="L1349" s="28" t="s">
        <v>134</v>
      </c>
      <c r="M1349" s="28" t="s">
        <v>78</v>
      </c>
      <c r="N1349" s="28" t="s">
        <v>135</v>
      </c>
      <c r="O1349" s="29" t="n">
        <v>24</v>
      </c>
      <c r="P1349" s="30" t="n">
        <v>27.82</v>
      </c>
      <c r="Q1349" s="30" t="n">
        <v>13.84</v>
      </c>
      <c r="R1349" s="30" t="n">
        <f aca="false">ROUND(O1349*P1349,2)</f>
        <v>667.68</v>
      </c>
      <c r="S1349" s="30" t="n">
        <f aca="false">ROUND(O1349*Q1349,2)</f>
        <v>332.16</v>
      </c>
      <c r="T1349" s="30" t="n">
        <f aca="false">ROUND(R1349*SUMIFS(Parametros!$E$23:$E$38,Parametros!$B$23:$B$38,J1349,Parametros!$C$23:$C$38,C1349,Parametros!$D$23:$D$38,D1349),2)</f>
        <v>45.4</v>
      </c>
      <c r="U1349" s="30" t="n">
        <f aca="false">R1349-S1349-T1349</f>
        <v>290.12</v>
      </c>
    </row>
    <row r="1350" customFormat="false" ht="15" hidden="false" customHeight="false" outlineLevel="0" collapsed="false">
      <c r="A1350" s="0" t="n">
        <v>1349</v>
      </c>
      <c r="B1350" s="27" t="n">
        <v>45709</v>
      </c>
      <c r="C1350" s="0" t="n">
        <v>2025</v>
      </c>
      <c r="D1350" s="28" t="s">
        <v>61</v>
      </c>
      <c r="E1350" s="0" t="n">
        <v>2</v>
      </c>
      <c r="F1350" s="28" t="s">
        <v>104</v>
      </c>
      <c r="G1350" s="28" t="s">
        <v>144</v>
      </c>
      <c r="H1350" s="28" t="s">
        <v>98</v>
      </c>
      <c r="I1350" s="28" t="s">
        <v>99</v>
      </c>
      <c r="J1350" s="28" t="s">
        <v>66</v>
      </c>
      <c r="K1350" s="28" t="s">
        <v>76</v>
      </c>
      <c r="L1350" s="28" t="s">
        <v>134</v>
      </c>
      <c r="M1350" s="28" t="s">
        <v>80</v>
      </c>
      <c r="N1350" s="28" t="s">
        <v>136</v>
      </c>
      <c r="O1350" s="29" t="n">
        <v>27</v>
      </c>
      <c r="P1350" s="30" t="n">
        <v>94.39</v>
      </c>
      <c r="Q1350" s="30" t="n">
        <v>49.41</v>
      </c>
      <c r="R1350" s="30" t="n">
        <f aca="false">ROUND(O1350*P1350,2)</f>
        <v>2548.53</v>
      </c>
      <c r="S1350" s="30" t="n">
        <f aca="false">ROUND(O1350*Q1350,2)</f>
        <v>1334.07</v>
      </c>
      <c r="T1350" s="30" t="n">
        <f aca="false">ROUND(R1350*SUMIFS(Parametros!$E$23:$E$38,Parametros!$B$23:$B$38,J1350,Parametros!$C$23:$C$38,C1350,Parametros!$D$23:$D$38,D1350),2)</f>
        <v>33.13</v>
      </c>
      <c r="U1350" s="30" t="n">
        <f aca="false">R1350-S1350-T1350</f>
        <v>1181.33</v>
      </c>
    </row>
    <row r="1351" customFormat="false" ht="15" hidden="false" customHeight="false" outlineLevel="0" collapsed="false">
      <c r="A1351" s="0" t="n">
        <v>1350</v>
      </c>
      <c r="B1351" s="27" t="n">
        <v>45689</v>
      </c>
      <c r="C1351" s="0" t="n">
        <v>2025</v>
      </c>
      <c r="D1351" s="28" t="s">
        <v>61</v>
      </c>
      <c r="E1351" s="0" t="n">
        <v>2</v>
      </c>
      <c r="F1351" s="28" t="s">
        <v>104</v>
      </c>
      <c r="G1351" s="28" t="s">
        <v>144</v>
      </c>
      <c r="H1351" s="28" t="s">
        <v>98</v>
      </c>
      <c r="I1351" s="28" t="s">
        <v>99</v>
      </c>
      <c r="J1351" s="28" t="s">
        <v>71</v>
      </c>
      <c r="K1351" s="28" t="s">
        <v>76</v>
      </c>
      <c r="L1351" s="28" t="s">
        <v>134</v>
      </c>
      <c r="M1351" s="28" t="s">
        <v>80</v>
      </c>
      <c r="N1351" s="28" t="s">
        <v>136</v>
      </c>
      <c r="O1351" s="29" t="n">
        <v>18</v>
      </c>
      <c r="P1351" s="30" t="n">
        <v>94.39</v>
      </c>
      <c r="Q1351" s="30" t="n">
        <v>49.41</v>
      </c>
      <c r="R1351" s="30" t="n">
        <f aca="false">ROUND(O1351*P1351,2)</f>
        <v>1699.02</v>
      </c>
      <c r="S1351" s="30" t="n">
        <f aca="false">ROUND(O1351*Q1351,2)</f>
        <v>889.38</v>
      </c>
      <c r="T1351" s="30" t="n">
        <f aca="false">ROUND(R1351*SUMIFS(Parametros!$E$23:$E$38,Parametros!$B$23:$B$38,J1351,Parametros!$C$23:$C$38,C1351,Parametros!$D$23:$D$38,D1351),2)</f>
        <v>115.53</v>
      </c>
      <c r="U1351" s="30" t="n">
        <f aca="false">R1351-S1351-T1351</f>
        <v>694.11</v>
      </c>
    </row>
    <row r="1352" customFormat="false" ht="15" hidden="false" customHeight="false" outlineLevel="0" collapsed="false">
      <c r="A1352" s="0" t="n">
        <v>1351</v>
      </c>
      <c r="B1352" s="27" t="n">
        <v>45696</v>
      </c>
      <c r="C1352" s="0" t="n">
        <v>2025</v>
      </c>
      <c r="D1352" s="28" t="s">
        <v>61</v>
      </c>
      <c r="E1352" s="0" t="n">
        <v>2</v>
      </c>
      <c r="F1352" s="28" t="s">
        <v>104</v>
      </c>
      <c r="G1352" s="28" t="s">
        <v>144</v>
      </c>
      <c r="H1352" s="28" t="s">
        <v>98</v>
      </c>
      <c r="I1352" s="28" t="s">
        <v>99</v>
      </c>
      <c r="J1352" s="28" t="s">
        <v>66</v>
      </c>
      <c r="K1352" s="28" t="s">
        <v>76</v>
      </c>
      <c r="L1352" s="28" t="s">
        <v>134</v>
      </c>
      <c r="M1352" s="28" t="s">
        <v>82</v>
      </c>
      <c r="N1352" s="28" t="s">
        <v>137</v>
      </c>
      <c r="O1352" s="29" t="n">
        <v>27</v>
      </c>
      <c r="P1352" s="30" t="n">
        <v>64.58</v>
      </c>
      <c r="Q1352" s="30" t="n">
        <v>36.49</v>
      </c>
      <c r="R1352" s="30" t="n">
        <f aca="false">ROUND(O1352*P1352,2)</f>
        <v>1743.66</v>
      </c>
      <c r="S1352" s="30" t="n">
        <f aca="false">ROUND(O1352*Q1352,2)</f>
        <v>985.23</v>
      </c>
      <c r="T1352" s="30" t="n">
        <f aca="false">ROUND(R1352*SUMIFS(Parametros!$E$23:$E$38,Parametros!$B$23:$B$38,J1352,Parametros!$C$23:$C$38,C1352,Parametros!$D$23:$D$38,D1352),2)</f>
        <v>22.67</v>
      </c>
      <c r="U1352" s="30" t="n">
        <f aca="false">R1352-S1352-T1352</f>
        <v>735.76</v>
      </c>
    </row>
    <row r="1353" customFormat="false" ht="15" hidden="false" customHeight="false" outlineLevel="0" collapsed="false">
      <c r="A1353" s="0" t="n">
        <v>1352</v>
      </c>
      <c r="B1353" s="27" t="n">
        <v>45703</v>
      </c>
      <c r="C1353" s="0" t="n">
        <v>2025</v>
      </c>
      <c r="D1353" s="28" t="s">
        <v>61</v>
      </c>
      <c r="E1353" s="0" t="n">
        <v>2</v>
      </c>
      <c r="F1353" s="28" t="s">
        <v>104</v>
      </c>
      <c r="G1353" s="28" t="s">
        <v>144</v>
      </c>
      <c r="H1353" s="28" t="s">
        <v>98</v>
      </c>
      <c r="I1353" s="28" t="s">
        <v>99</v>
      </c>
      <c r="J1353" s="28" t="s">
        <v>71</v>
      </c>
      <c r="K1353" s="28" t="s">
        <v>76</v>
      </c>
      <c r="L1353" s="28" t="s">
        <v>134</v>
      </c>
      <c r="M1353" s="28" t="s">
        <v>82</v>
      </c>
      <c r="N1353" s="28" t="s">
        <v>137</v>
      </c>
      <c r="O1353" s="29" t="n">
        <v>24</v>
      </c>
      <c r="P1353" s="30" t="n">
        <v>64.58</v>
      </c>
      <c r="Q1353" s="30" t="n">
        <v>36.49</v>
      </c>
      <c r="R1353" s="30" t="n">
        <f aca="false">ROUND(O1353*P1353,2)</f>
        <v>1549.92</v>
      </c>
      <c r="S1353" s="30" t="n">
        <f aca="false">ROUND(O1353*Q1353,2)</f>
        <v>875.76</v>
      </c>
      <c r="T1353" s="30" t="n">
        <f aca="false">ROUND(R1353*SUMIFS(Parametros!$E$23:$E$38,Parametros!$B$23:$B$38,J1353,Parametros!$C$23:$C$38,C1353,Parametros!$D$23:$D$38,D1353),2)</f>
        <v>105.39</v>
      </c>
      <c r="U1353" s="30" t="n">
        <f aca="false">R1353-S1353-T1353</f>
        <v>568.77</v>
      </c>
    </row>
    <row r="1354" customFormat="false" ht="15" hidden="false" customHeight="false" outlineLevel="0" collapsed="false">
      <c r="A1354" s="0" t="n">
        <v>1353</v>
      </c>
      <c r="B1354" s="27" t="n">
        <v>45710</v>
      </c>
      <c r="C1354" s="0" t="n">
        <v>2025</v>
      </c>
      <c r="D1354" s="28" t="s">
        <v>61</v>
      </c>
      <c r="E1354" s="0" t="n">
        <v>2</v>
      </c>
      <c r="F1354" s="28" t="s">
        <v>104</v>
      </c>
      <c r="G1354" s="28" t="s">
        <v>144</v>
      </c>
      <c r="H1354" s="28" t="s">
        <v>98</v>
      </c>
      <c r="I1354" s="28" t="s">
        <v>99</v>
      </c>
      <c r="J1354" s="28" t="s">
        <v>66</v>
      </c>
      <c r="K1354" s="28" t="s">
        <v>84</v>
      </c>
      <c r="L1354" s="28" t="s">
        <v>138</v>
      </c>
      <c r="M1354" s="28" t="s">
        <v>86</v>
      </c>
      <c r="N1354" s="28" t="s">
        <v>139</v>
      </c>
      <c r="O1354" s="29" t="n">
        <v>16</v>
      </c>
      <c r="P1354" s="30" t="n">
        <v>119.23</v>
      </c>
      <c r="Q1354" s="30" t="n">
        <v>65.51</v>
      </c>
      <c r="R1354" s="30" t="n">
        <f aca="false">ROUND(O1354*P1354,2)</f>
        <v>1907.68</v>
      </c>
      <c r="S1354" s="30" t="n">
        <f aca="false">ROUND(O1354*Q1354,2)</f>
        <v>1048.16</v>
      </c>
      <c r="T1354" s="30" t="n">
        <f aca="false">ROUND(R1354*SUMIFS(Parametros!$E$23:$E$38,Parametros!$B$23:$B$38,J1354,Parametros!$C$23:$C$38,C1354,Parametros!$D$23:$D$38,D1354),2)</f>
        <v>24.8</v>
      </c>
      <c r="U1354" s="30" t="n">
        <f aca="false">R1354-S1354-T1354</f>
        <v>834.72</v>
      </c>
    </row>
    <row r="1355" customFormat="false" ht="15" hidden="false" customHeight="false" outlineLevel="0" collapsed="false">
      <c r="A1355" s="0" t="n">
        <v>1354</v>
      </c>
      <c r="B1355" s="27" t="n">
        <v>45690</v>
      </c>
      <c r="C1355" s="0" t="n">
        <v>2025</v>
      </c>
      <c r="D1355" s="28" t="s">
        <v>61</v>
      </c>
      <c r="E1355" s="0" t="n">
        <v>2</v>
      </c>
      <c r="F1355" s="28" t="s">
        <v>104</v>
      </c>
      <c r="G1355" s="28" t="s">
        <v>144</v>
      </c>
      <c r="H1355" s="28" t="s">
        <v>98</v>
      </c>
      <c r="I1355" s="28" t="s">
        <v>99</v>
      </c>
      <c r="J1355" s="28" t="s">
        <v>71</v>
      </c>
      <c r="K1355" s="28" t="s">
        <v>84</v>
      </c>
      <c r="L1355" s="28" t="s">
        <v>138</v>
      </c>
      <c r="M1355" s="28" t="s">
        <v>86</v>
      </c>
      <c r="N1355" s="28" t="s">
        <v>139</v>
      </c>
      <c r="O1355" s="29" t="n">
        <v>11</v>
      </c>
      <c r="P1355" s="30" t="n">
        <v>119.23</v>
      </c>
      <c r="Q1355" s="30" t="n">
        <v>65.51</v>
      </c>
      <c r="R1355" s="30" t="n">
        <f aca="false">ROUND(O1355*P1355,2)</f>
        <v>1311.53</v>
      </c>
      <c r="S1355" s="30" t="n">
        <f aca="false">ROUND(O1355*Q1355,2)</f>
        <v>720.61</v>
      </c>
      <c r="T1355" s="30" t="n">
        <f aca="false">ROUND(R1355*SUMIFS(Parametros!$E$23:$E$38,Parametros!$B$23:$B$38,J1355,Parametros!$C$23:$C$38,C1355,Parametros!$D$23:$D$38,D1355),2)</f>
        <v>89.18</v>
      </c>
      <c r="U1355" s="30" t="n">
        <f aca="false">R1355-S1355-T1355</f>
        <v>501.74</v>
      </c>
    </row>
    <row r="1356" customFormat="false" ht="15" hidden="false" customHeight="false" outlineLevel="0" collapsed="false">
      <c r="A1356" s="0" t="n">
        <v>1355</v>
      </c>
      <c r="B1356" s="27" t="n">
        <v>45697</v>
      </c>
      <c r="C1356" s="0" t="n">
        <v>2025</v>
      </c>
      <c r="D1356" s="28" t="s">
        <v>61</v>
      </c>
      <c r="E1356" s="0" t="n">
        <v>2</v>
      </c>
      <c r="F1356" s="28" t="s">
        <v>104</v>
      </c>
      <c r="G1356" s="28" t="s">
        <v>144</v>
      </c>
      <c r="H1356" s="28" t="s">
        <v>98</v>
      </c>
      <c r="I1356" s="28" t="s">
        <v>99</v>
      </c>
      <c r="J1356" s="28" t="s">
        <v>66</v>
      </c>
      <c r="K1356" s="28" t="s">
        <v>84</v>
      </c>
      <c r="L1356" s="28" t="s">
        <v>138</v>
      </c>
      <c r="M1356" s="28" t="s">
        <v>88</v>
      </c>
      <c r="N1356" s="28" t="s">
        <v>140</v>
      </c>
      <c r="O1356" s="29" t="n">
        <v>15</v>
      </c>
      <c r="P1356" s="30" t="n">
        <v>84.46</v>
      </c>
      <c r="Q1356" s="30" t="n">
        <v>49.47</v>
      </c>
      <c r="R1356" s="30" t="n">
        <f aca="false">ROUND(O1356*P1356,2)</f>
        <v>1266.9</v>
      </c>
      <c r="S1356" s="30" t="n">
        <f aca="false">ROUND(O1356*Q1356,2)</f>
        <v>742.05</v>
      </c>
      <c r="T1356" s="30" t="n">
        <f aca="false">ROUND(R1356*SUMIFS(Parametros!$E$23:$E$38,Parametros!$B$23:$B$38,J1356,Parametros!$C$23:$C$38,C1356,Parametros!$D$23:$D$38,D1356),2)</f>
        <v>16.47</v>
      </c>
      <c r="U1356" s="30" t="n">
        <f aca="false">R1356-S1356-T1356</f>
        <v>508.38</v>
      </c>
    </row>
    <row r="1357" customFormat="false" ht="15" hidden="false" customHeight="false" outlineLevel="0" collapsed="false">
      <c r="A1357" s="0" t="n">
        <v>1356</v>
      </c>
      <c r="B1357" s="27" t="n">
        <v>45704</v>
      </c>
      <c r="C1357" s="0" t="n">
        <v>2025</v>
      </c>
      <c r="D1357" s="28" t="s">
        <v>61</v>
      </c>
      <c r="E1357" s="0" t="n">
        <v>2</v>
      </c>
      <c r="F1357" s="28" t="s">
        <v>104</v>
      </c>
      <c r="G1357" s="28" t="s">
        <v>144</v>
      </c>
      <c r="H1357" s="28" t="s">
        <v>98</v>
      </c>
      <c r="I1357" s="28" t="s">
        <v>99</v>
      </c>
      <c r="J1357" s="28" t="s">
        <v>71</v>
      </c>
      <c r="K1357" s="28" t="s">
        <v>84</v>
      </c>
      <c r="L1357" s="28" t="s">
        <v>138</v>
      </c>
      <c r="M1357" s="28" t="s">
        <v>88</v>
      </c>
      <c r="N1357" s="28" t="s">
        <v>140</v>
      </c>
      <c r="O1357" s="29" t="n">
        <v>11</v>
      </c>
      <c r="P1357" s="30" t="n">
        <v>84.46</v>
      </c>
      <c r="Q1357" s="30" t="n">
        <v>49.47</v>
      </c>
      <c r="R1357" s="30" t="n">
        <f aca="false">ROUND(O1357*P1357,2)</f>
        <v>929.06</v>
      </c>
      <c r="S1357" s="30" t="n">
        <f aca="false">ROUND(O1357*Q1357,2)</f>
        <v>544.17</v>
      </c>
      <c r="T1357" s="30" t="n">
        <f aca="false">ROUND(R1357*SUMIFS(Parametros!$E$23:$E$38,Parametros!$B$23:$B$38,J1357,Parametros!$C$23:$C$38,C1357,Parametros!$D$23:$D$38,D1357),2)</f>
        <v>63.18</v>
      </c>
      <c r="U1357" s="30" t="n">
        <f aca="false">R1357-S1357-T1357</f>
        <v>321.71</v>
      </c>
    </row>
    <row r="1358" customFormat="false" ht="15" hidden="false" customHeight="false" outlineLevel="0" collapsed="false">
      <c r="A1358" s="0" t="n">
        <v>1357</v>
      </c>
      <c r="B1358" s="27" t="n">
        <v>45711</v>
      </c>
      <c r="C1358" s="0" t="n">
        <v>2025</v>
      </c>
      <c r="D1358" s="28" t="s">
        <v>61</v>
      </c>
      <c r="E1358" s="0" t="n">
        <v>2</v>
      </c>
      <c r="F1358" s="28" t="s">
        <v>104</v>
      </c>
      <c r="G1358" s="28" t="s">
        <v>144</v>
      </c>
      <c r="H1358" s="28" t="s">
        <v>98</v>
      </c>
      <c r="I1358" s="28" t="s">
        <v>99</v>
      </c>
      <c r="J1358" s="28" t="s">
        <v>66</v>
      </c>
      <c r="K1358" s="28" t="s">
        <v>90</v>
      </c>
      <c r="L1358" s="28" t="s">
        <v>141</v>
      </c>
      <c r="M1358" s="28" t="s">
        <v>92</v>
      </c>
      <c r="N1358" s="28" t="s">
        <v>142</v>
      </c>
      <c r="O1358" s="29" t="n">
        <v>18</v>
      </c>
      <c r="P1358" s="30" t="n">
        <v>129.17</v>
      </c>
      <c r="Q1358" s="30" t="n">
        <v>78.33</v>
      </c>
      <c r="R1358" s="30" t="n">
        <f aca="false">ROUND(O1358*P1358,2)</f>
        <v>2325.06</v>
      </c>
      <c r="S1358" s="30" t="n">
        <f aca="false">ROUND(O1358*Q1358,2)</f>
        <v>1409.94</v>
      </c>
      <c r="T1358" s="30" t="n">
        <f aca="false">ROUND(R1358*SUMIFS(Parametros!$E$23:$E$38,Parametros!$B$23:$B$38,J1358,Parametros!$C$23:$C$38,C1358,Parametros!$D$23:$D$38,D1358),2)</f>
        <v>30.23</v>
      </c>
      <c r="U1358" s="30" t="n">
        <f aca="false">R1358-S1358-T1358</f>
        <v>884.89</v>
      </c>
    </row>
    <row r="1359" customFormat="false" ht="15" hidden="false" customHeight="false" outlineLevel="0" collapsed="false">
      <c r="A1359" s="0" t="n">
        <v>1358</v>
      </c>
      <c r="B1359" s="27" t="n">
        <v>45691</v>
      </c>
      <c r="C1359" s="0" t="n">
        <v>2025</v>
      </c>
      <c r="D1359" s="28" t="s">
        <v>61</v>
      </c>
      <c r="E1359" s="0" t="n">
        <v>2</v>
      </c>
      <c r="F1359" s="28" t="s">
        <v>104</v>
      </c>
      <c r="G1359" s="28" t="s">
        <v>144</v>
      </c>
      <c r="H1359" s="28" t="s">
        <v>98</v>
      </c>
      <c r="I1359" s="28" t="s">
        <v>99</v>
      </c>
      <c r="J1359" s="28" t="s">
        <v>71</v>
      </c>
      <c r="K1359" s="28" t="s">
        <v>90</v>
      </c>
      <c r="L1359" s="28" t="s">
        <v>141</v>
      </c>
      <c r="M1359" s="28" t="s">
        <v>92</v>
      </c>
      <c r="N1359" s="28" t="s">
        <v>142</v>
      </c>
      <c r="O1359" s="29" t="n">
        <v>11</v>
      </c>
      <c r="P1359" s="30" t="n">
        <v>129.17</v>
      </c>
      <c r="Q1359" s="30" t="n">
        <v>78.33</v>
      </c>
      <c r="R1359" s="30" t="n">
        <f aca="false">ROUND(O1359*P1359,2)</f>
        <v>1420.87</v>
      </c>
      <c r="S1359" s="30" t="n">
        <f aca="false">ROUND(O1359*Q1359,2)</f>
        <v>861.63</v>
      </c>
      <c r="T1359" s="30" t="n">
        <f aca="false">ROUND(R1359*SUMIFS(Parametros!$E$23:$E$38,Parametros!$B$23:$B$38,J1359,Parametros!$C$23:$C$38,C1359,Parametros!$D$23:$D$38,D1359),2)</f>
        <v>96.62</v>
      </c>
      <c r="U1359" s="30" t="n">
        <f aca="false">R1359-S1359-T1359</f>
        <v>462.62</v>
      </c>
    </row>
    <row r="1360" customFormat="false" ht="15" hidden="false" customHeight="false" outlineLevel="0" collapsed="false">
      <c r="A1360" s="0" t="n">
        <v>1359</v>
      </c>
      <c r="B1360" s="27" t="n">
        <v>45698</v>
      </c>
      <c r="C1360" s="0" t="n">
        <v>2025</v>
      </c>
      <c r="D1360" s="28" t="s">
        <v>61</v>
      </c>
      <c r="E1360" s="0" t="n">
        <v>2</v>
      </c>
      <c r="F1360" s="28" t="s">
        <v>104</v>
      </c>
      <c r="G1360" s="28" t="s">
        <v>144</v>
      </c>
      <c r="H1360" s="28" t="s">
        <v>98</v>
      </c>
      <c r="I1360" s="28" t="s">
        <v>99</v>
      </c>
      <c r="J1360" s="28" t="s">
        <v>66</v>
      </c>
      <c r="K1360" s="28" t="s">
        <v>90</v>
      </c>
      <c r="L1360" s="28" t="s">
        <v>141</v>
      </c>
      <c r="M1360" s="28" t="s">
        <v>94</v>
      </c>
      <c r="N1360" s="28" t="s">
        <v>143</v>
      </c>
      <c r="O1360" s="29" t="n">
        <v>17</v>
      </c>
      <c r="P1360" s="30" t="n">
        <v>34.78</v>
      </c>
      <c r="Q1360" s="30" t="n">
        <v>18.39</v>
      </c>
      <c r="R1360" s="30" t="n">
        <f aca="false">ROUND(O1360*P1360,2)</f>
        <v>591.26</v>
      </c>
      <c r="S1360" s="30" t="n">
        <f aca="false">ROUND(O1360*Q1360,2)</f>
        <v>312.63</v>
      </c>
      <c r="T1360" s="30" t="n">
        <f aca="false">ROUND(R1360*SUMIFS(Parametros!$E$23:$E$38,Parametros!$B$23:$B$38,J1360,Parametros!$C$23:$C$38,C1360,Parametros!$D$23:$D$38,D1360),2)</f>
        <v>7.69</v>
      </c>
      <c r="U1360" s="30" t="n">
        <f aca="false">R1360-S1360-T1360</f>
        <v>270.94</v>
      </c>
    </row>
    <row r="1361" customFormat="false" ht="15" hidden="false" customHeight="false" outlineLevel="0" collapsed="false">
      <c r="A1361" s="0" t="n">
        <v>1360</v>
      </c>
      <c r="B1361" s="27" t="n">
        <v>45705</v>
      </c>
      <c r="C1361" s="0" t="n">
        <v>2025</v>
      </c>
      <c r="D1361" s="28" t="s">
        <v>61</v>
      </c>
      <c r="E1361" s="0" t="n">
        <v>2</v>
      </c>
      <c r="F1361" s="28" t="s">
        <v>104</v>
      </c>
      <c r="G1361" s="28" t="s">
        <v>144</v>
      </c>
      <c r="H1361" s="28" t="s">
        <v>98</v>
      </c>
      <c r="I1361" s="28" t="s">
        <v>99</v>
      </c>
      <c r="J1361" s="28" t="s">
        <v>71</v>
      </c>
      <c r="K1361" s="28" t="s">
        <v>90</v>
      </c>
      <c r="L1361" s="28" t="s">
        <v>141</v>
      </c>
      <c r="M1361" s="28" t="s">
        <v>94</v>
      </c>
      <c r="N1361" s="28" t="s">
        <v>143</v>
      </c>
      <c r="O1361" s="29" t="n">
        <v>11</v>
      </c>
      <c r="P1361" s="30" t="n">
        <v>34.78</v>
      </c>
      <c r="Q1361" s="30" t="n">
        <v>18.39</v>
      </c>
      <c r="R1361" s="30" t="n">
        <f aca="false">ROUND(O1361*P1361,2)</f>
        <v>382.58</v>
      </c>
      <c r="S1361" s="30" t="n">
        <f aca="false">ROUND(O1361*Q1361,2)</f>
        <v>202.29</v>
      </c>
      <c r="T1361" s="30" t="n">
        <f aca="false">ROUND(R1361*SUMIFS(Parametros!$E$23:$E$38,Parametros!$B$23:$B$38,J1361,Parametros!$C$23:$C$38,C1361,Parametros!$D$23:$D$38,D1361),2)</f>
        <v>26.02</v>
      </c>
      <c r="U1361" s="30" t="n">
        <f aca="false">R1361-S1361-T1361</f>
        <v>154.27</v>
      </c>
    </row>
    <row r="1362" customFormat="false" ht="15" hidden="false" customHeight="false" outlineLevel="0" collapsed="false">
      <c r="A1362" s="0" t="n">
        <v>1361</v>
      </c>
      <c r="B1362" s="27" t="n">
        <v>45712</v>
      </c>
      <c r="C1362" s="0" t="n">
        <v>2025</v>
      </c>
      <c r="D1362" s="28" t="s">
        <v>61</v>
      </c>
      <c r="E1362" s="0" t="n">
        <v>2</v>
      </c>
      <c r="F1362" s="28" t="s">
        <v>104</v>
      </c>
      <c r="G1362" s="28" t="s">
        <v>144</v>
      </c>
      <c r="H1362" s="28" t="s">
        <v>100</v>
      </c>
      <c r="I1362" s="28" t="s">
        <v>101</v>
      </c>
      <c r="J1362" s="28" t="s">
        <v>66</v>
      </c>
      <c r="K1362" s="28" t="s">
        <v>67</v>
      </c>
      <c r="L1362" s="28" t="s">
        <v>130</v>
      </c>
      <c r="M1362" s="28" t="s">
        <v>69</v>
      </c>
      <c r="N1362" s="28" t="s">
        <v>131</v>
      </c>
      <c r="O1362" s="29" t="n">
        <v>5</v>
      </c>
      <c r="P1362" s="30" t="n">
        <v>1155.06</v>
      </c>
      <c r="Q1362" s="30" t="n">
        <v>766.32</v>
      </c>
      <c r="R1362" s="30" t="n">
        <f aca="false">ROUND(O1362*P1362,2)</f>
        <v>5775.3</v>
      </c>
      <c r="S1362" s="30" t="n">
        <f aca="false">ROUND(O1362*Q1362,2)</f>
        <v>3831.6</v>
      </c>
      <c r="T1362" s="30" t="n">
        <f aca="false">ROUND(R1362*SUMIFS(Parametros!$E$23:$E$38,Parametros!$B$23:$B$38,J1362,Parametros!$C$23:$C$38,C1362,Parametros!$D$23:$D$38,D1362),2)</f>
        <v>75.08</v>
      </c>
      <c r="U1362" s="30" t="n">
        <f aca="false">R1362-S1362-T1362</f>
        <v>1868.62</v>
      </c>
    </row>
    <row r="1363" customFormat="false" ht="15" hidden="false" customHeight="false" outlineLevel="0" collapsed="false">
      <c r="A1363" s="0" t="n">
        <v>1362</v>
      </c>
      <c r="B1363" s="27" t="n">
        <v>45692</v>
      </c>
      <c r="C1363" s="0" t="n">
        <v>2025</v>
      </c>
      <c r="D1363" s="28" t="s">
        <v>61</v>
      </c>
      <c r="E1363" s="0" t="n">
        <v>2</v>
      </c>
      <c r="F1363" s="28" t="s">
        <v>104</v>
      </c>
      <c r="G1363" s="28" t="s">
        <v>144</v>
      </c>
      <c r="H1363" s="28" t="s">
        <v>100</v>
      </c>
      <c r="I1363" s="28" t="s">
        <v>101</v>
      </c>
      <c r="J1363" s="28" t="s">
        <v>71</v>
      </c>
      <c r="K1363" s="28" t="s">
        <v>67</v>
      </c>
      <c r="L1363" s="28" t="s">
        <v>130</v>
      </c>
      <c r="M1363" s="28" t="s">
        <v>69</v>
      </c>
      <c r="N1363" s="28" t="s">
        <v>131</v>
      </c>
      <c r="O1363" s="29" t="n">
        <v>4</v>
      </c>
      <c r="P1363" s="30" t="n">
        <v>1155.06</v>
      </c>
      <c r="Q1363" s="30" t="n">
        <v>766.32</v>
      </c>
      <c r="R1363" s="30" t="n">
        <f aca="false">ROUND(O1363*P1363,2)</f>
        <v>4620.24</v>
      </c>
      <c r="S1363" s="30" t="n">
        <f aca="false">ROUND(O1363*Q1363,2)</f>
        <v>3065.28</v>
      </c>
      <c r="T1363" s="30" t="n">
        <f aca="false">ROUND(R1363*SUMIFS(Parametros!$E$23:$E$38,Parametros!$B$23:$B$38,J1363,Parametros!$C$23:$C$38,C1363,Parametros!$D$23:$D$38,D1363),2)</f>
        <v>314.18</v>
      </c>
      <c r="U1363" s="30" t="n">
        <f aca="false">R1363-S1363-T1363</f>
        <v>1240.78</v>
      </c>
    </row>
    <row r="1364" customFormat="false" ht="15" hidden="false" customHeight="false" outlineLevel="0" collapsed="false">
      <c r="A1364" s="0" t="n">
        <v>1363</v>
      </c>
      <c r="B1364" s="27" t="n">
        <v>45699</v>
      </c>
      <c r="C1364" s="0" t="n">
        <v>2025</v>
      </c>
      <c r="D1364" s="28" t="s">
        <v>61</v>
      </c>
      <c r="E1364" s="0" t="n">
        <v>2</v>
      </c>
      <c r="F1364" s="28" t="s">
        <v>104</v>
      </c>
      <c r="G1364" s="28" t="s">
        <v>144</v>
      </c>
      <c r="H1364" s="28" t="s">
        <v>100</v>
      </c>
      <c r="I1364" s="28" t="s">
        <v>101</v>
      </c>
      <c r="J1364" s="28" t="s">
        <v>66</v>
      </c>
      <c r="K1364" s="28" t="s">
        <v>67</v>
      </c>
      <c r="L1364" s="28" t="s">
        <v>130</v>
      </c>
      <c r="M1364" s="28" t="s">
        <v>72</v>
      </c>
      <c r="N1364" s="28" t="s">
        <v>132</v>
      </c>
      <c r="O1364" s="29" t="n">
        <v>6</v>
      </c>
      <c r="P1364" s="30" t="n">
        <v>433.15</v>
      </c>
      <c r="Q1364" s="30" t="n">
        <v>280.42</v>
      </c>
      <c r="R1364" s="30" t="n">
        <f aca="false">ROUND(O1364*P1364,2)</f>
        <v>2598.9</v>
      </c>
      <c r="S1364" s="30" t="n">
        <f aca="false">ROUND(O1364*Q1364,2)</f>
        <v>1682.52</v>
      </c>
      <c r="T1364" s="30" t="n">
        <f aca="false">ROUND(R1364*SUMIFS(Parametros!$E$23:$E$38,Parametros!$B$23:$B$38,J1364,Parametros!$C$23:$C$38,C1364,Parametros!$D$23:$D$38,D1364),2)</f>
        <v>33.79</v>
      </c>
      <c r="U1364" s="30" t="n">
        <f aca="false">R1364-S1364-T1364</f>
        <v>882.59</v>
      </c>
    </row>
    <row r="1365" customFormat="false" ht="15" hidden="false" customHeight="false" outlineLevel="0" collapsed="false">
      <c r="A1365" s="0" t="n">
        <v>1364</v>
      </c>
      <c r="B1365" s="27" t="n">
        <v>45706</v>
      </c>
      <c r="C1365" s="0" t="n">
        <v>2025</v>
      </c>
      <c r="D1365" s="28" t="s">
        <v>61</v>
      </c>
      <c r="E1365" s="0" t="n">
        <v>2</v>
      </c>
      <c r="F1365" s="28" t="s">
        <v>104</v>
      </c>
      <c r="G1365" s="28" t="s">
        <v>144</v>
      </c>
      <c r="H1365" s="28" t="s">
        <v>100</v>
      </c>
      <c r="I1365" s="28" t="s">
        <v>101</v>
      </c>
      <c r="J1365" s="28" t="s">
        <v>71</v>
      </c>
      <c r="K1365" s="28" t="s">
        <v>67</v>
      </c>
      <c r="L1365" s="28" t="s">
        <v>130</v>
      </c>
      <c r="M1365" s="28" t="s">
        <v>72</v>
      </c>
      <c r="N1365" s="28" t="s">
        <v>132</v>
      </c>
      <c r="O1365" s="29" t="n">
        <v>3</v>
      </c>
      <c r="P1365" s="30" t="n">
        <v>433.15</v>
      </c>
      <c r="Q1365" s="30" t="n">
        <v>280.42</v>
      </c>
      <c r="R1365" s="30" t="n">
        <f aca="false">ROUND(O1365*P1365,2)</f>
        <v>1299.45</v>
      </c>
      <c r="S1365" s="30" t="n">
        <f aca="false">ROUND(O1365*Q1365,2)</f>
        <v>841.26</v>
      </c>
      <c r="T1365" s="30" t="n">
        <f aca="false">ROUND(R1365*SUMIFS(Parametros!$E$23:$E$38,Parametros!$B$23:$B$38,J1365,Parametros!$C$23:$C$38,C1365,Parametros!$D$23:$D$38,D1365),2)</f>
        <v>88.36</v>
      </c>
      <c r="U1365" s="30" t="n">
        <f aca="false">R1365-S1365-T1365</f>
        <v>369.83</v>
      </c>
    </row>
    <row r="1366" customFormat="false" ht="15" hidden="false" customHeight="false" outlineLevel="0" collapsed="false">
      <c r="A1366" s="0" t="n">
        <v>1365</v>
      </c>
      <c r="B1366" s="27" t="n">
        <v>45713</v>
      </c>
      <c r="C1366" s="0" t="n">
        <v>2025</v>
      </c>
      <c r="D1366" s="28" t="s">
        <v>61</v>
      </c>
      <c r="E1366" s="0" t="n">
        <v>2</v>
      </c>
      <c r="F1366" s="28" t="s">
        <v>104</v>
      </c>
      <c r="G1366" s="28" t="s">
        <v>144</v>
      </c>
      <c r="H1366" s="28" t="s">
        <v>100</v>
      </c>
      <c r="I1366" s="28" t="s">
        <v>101</v>
      </c>
      <c r="J1366" s="28" t="s">
        <v>66</v>
      </c>
      <c r="K1366" s="28" t="s">
        <v>67</v>
      </c>
      <c r="L1366" s="28" t="s">
        <v>130</v>
      </c>
      <c r="M1366" s="28" t="s">
        <v>74</v>
      </c>
      <c r="N1366" s="28" t="s">
        <v>133</v>
      </c>
      <c r="O1366" s="29" t="n">
        <v>5</v>
      </c>
      <c r="P1366" s="30" t="n">
        <v>1588.21</v>
      </c>
      <c r="Q1366" s="30" t="n">
        <v>1155.66</v>
      </c>
      <c r="R1366" s="30" t="n">
        <f aca="false">ROUND(O1366*P1366,2)</f>
        <v>7941.05</v>
      </c>
      <c r="S1366" s="30" t="n">
        <f aca="false">ROUND(O1366*Q1366,2)</f>
        <v>5778.3</v>
      </c>
      <c r="T1366" s="30" t="n">
        <f aca="false">ROUND(R1366*SUMIFS(Parametros!$E$23:$E$38,Parametros!$B$23:$B$38,J1366,Parametros!$C$23:$C$38,C1366,Parametros!$D$23:$D$38,D1366),2)</f>
        <v>103.23</v>
      </c>
      <c r="U1366" s="30" t="n">
        <f aca="false">R1366-S1366-T1366</f>
        <v>2059.52</v>
      </c>
    </row>
    <row r="1367" customFormat="false" ht="15" hidden="false" customHeight="false" outlineLevel="0" collapsed="false">
      <c r="A1367" s="0" t="n">
        <v>1366</v>
      </c>
      <c r="B1367" s="27" t="n">
        <v>45693</v>
      </c>
      <c r="C1367" s="0" t="n">
        <v>2025</v>
      </c>
      <c r="D1367" s="28" t="s">
        <v>61</v>
      </c>
      <c r="E1367" s="0" t="n">
        <v>2</v>
      </c>
      <c r="F1367" s="28" t="s">
        <v>104</v>
      </c>
      <c r="G1367" s="28" t="s">
        <v>144</v>
      </c>
      <c r="H1367" s="28" t="s">
        <v>100</v>
      </c>
      <c r="I1367" s="28" t="s">
        <v>101</v>
      </c>
      <c r="J1367" s="28" t="s">
        <v>71</v>
      </c>
      <c r="K1367" s="28" t="s">
        <v>67</v>
      </c>
      <c r="L1367" s="28" t="s">
        <v>130</v>
      </c>
      <c r="M1367" s="28" t="s">
        <v>74</v>
      </c>
      <c r="N1367" s="28" t="s">
        <v>133</v>
      </c>
      <c r="O1367" s="29" t="n">
        <v>4</v>
      </c>
      <c r="P1367" s="30" t="n">
        <v>1588.21</v>
      </c>
      <c r="Q1367" s="30" t="n">
        <v>1155.66</v>
      </c>
      <c r="R1367" s="30" t="n">
        <f aca="false">ROUND(O1367*P1367,2)</f>
        <v>6352.84</v>
      </c>
      <c r="S1367" s="30" t="n">
        <f aca="false">ROUND(O1367*Q1367,2)</f>
        <v>4622.64</v>
      </c>
      <c r="T1367" s="30" t="n">
        <f aca="false">ROUND(R1367*SUMIFS(Parametros!$E$23:$E$38,Parametros!$B$23:$B$38,J1367,Parametros!$C$23:$C$38,C1367,Parametros!$D$23:$D$38,D1367),2)</f>
        <v>431.99</v>
      </c>
      <c r="U1367" s="30" t="n">
        <f aca="false">R1367-S1367-T1367</f>
        <v>1298.21</v>
      </c>
    </row>
    <row r="1368" customFormat="false" ht="15" hidden="false" customHeight="false" outlineLevel="0" collapsed="false">
      <c r="A1368" s="0" t="n">
        <v>1367</v>
      </c>
      <c r="B1368" s="27" t="n">
        <v>45700</v>
      </c>
      <c r="C1368" s="0" t="n">
        <v>2025</v>
      </c>
      <c r="D1368" s="28" t="s">
        <v>61</v>
      </c>
      <c r="E1368" s="0" t="n">
        <v>2</v>
      </c>
      <c r="F1368" s="28" t="s">
        <v>104</v>
      </c>
      <c r="G1368" s="28" t="s">
        <v>144</v>
      </c>
      <c r="H1368" s="28" t="s">
        <v>100</v>
      </c>
      <c r="I1368" s="28" t="s">
        <v>101</v>
      </c>
      <c r="J1368" s="28" t="s">
        <v>66</v>
      </c>
      <c r="K1368" s="28" t="s">
        <v>76</v>
      </c>
      <c r="L1368" s="28" t="s">
        <v>134</v>
      </c>
      <c r="M1368" s="28" t="s">
        <v>78</v>
      </c>
      <c r="N1368" s="28" t="s">
        <v>135</v>
      </c>
      <c r="O1368" s="29" t="n">
        <v>28</v>
      </c>
      <c r="P1368" s="30" t="n">
        <v>27.82</v>
      </c>
      <c r="Q1368" s="30" t="n">
        <v>13.84</v>
      </c>
      <c r="R1368" s="30" t="n">
        <f aca="false">ROUND(O1368*P1368,2)</f>
        <v>778.96</v>
      </c>
      <c r="S1368" s="30" t="n">
        <f aca="false">ROUND(O1368*Q1368,2)</f>
        <v>387.52</v>
      </c>
      <c r="T1368" s="30" t="n">
        <f aca="false">ROUND(R1368*SUMIFS(Parametros!$E$23:$E$38,Parametros!$B$23:$B$38,J1368,Parametros!$C$23:$C$38,C1368,Parametros!$D$23:$D$38,D1368),2)</f>
        <v>10.13</v>
      </c>
      <c r="U1368" s="30" t="n">
        <f aca="false">R1368-S1368-T1368</f>
        <v>381.31</v>
      </c>
    </row>
    <row r="1369" customFormat="false" ht="15" hidden="false" customHeight="false" outlineLevel="0" collapsed="false">
      <c r="A1369" s="0" t="n">
        <v>1368</v>
      </c>
      <c r="B1369" s="27" t="n">
        <v>45707</v>
      </c>
      <c r="C1369" s="0" t="n">
        <v>2025</v>
      </c>
      <c r="D1369" s="28" t="s">
        <v>61</v>
      </c>
      <c r="E1369" s="0" t="n">
        <v>2</v>
      </c>
      <c r="F1369" s="28" t="s">
        <v>104</v>
      </c>
      <c r="G1369" s="28" t="s">
        <v>144</v>
      </c>
      <c r="H1369" s="28" t="s">
        <v>100</v>
      </c>
      <c r="I1369" s="28" t="s">
        <v>101</v>
      </c>
      <c r="J1369" s="28" t="s">
        <v>71</v>
      </c>
      <c r="K1369" s="28" t="s">
        <v>76</v>
      </c>
      <c r="L1369" s="28" t="s">
        <v>134</v>
      </c>
      <c r="M1369" s="28" t="s">
        <v>78</v>
      </c>
      <c r="N1369" s="28" t="s">
        <v>135</v>
      </c>
      <c r="O1369" s="29" t="n">
        <v>15</v>
      </c>
      <c r="P1369" s="30" t="n">
        <v>27.82</v>
      </c>
      <c r="Q1369" s="30" t="n">
        <v>13.84</v>
      </c>
      <c r="R1369" s="30" t="n">
        <f aca="false">ROUND(O1369*P1369,2)</f>
        <v>417.3</v>
      </c>
      <c r="S1369" s="30" t="n">
        <f aca="false">ROUND(O1369*Q1369,2)</f>
        <v>207.6</v>
      </c>
      <c r="T1369" s="30" t="n">
        <f aca="false">ROUND(R1369*SUMIFS(Parametros!$E$23:$E$38,Parametros!$B$23:$B$38,J1369,Parametros!$C$23:$C$38,C1369,Parametros!$D$23:$D$38,D1369),2)</f>
        <v>28.38</v>
      </c>
      <c r="U1369" s="30" t="n">
        <f aca="false">R1369-S1369-T1369</f>
        <v>181.32</v>
      </c>
    </row>
    <row r="1370" customFormat="false" ht="15" hidden="false" customHeight="false" outlineLevel="0" collapsed="false">
      <c r="A1370" s="0" t="n">
        <v>1369</v>
      </c>
      <c r="B1370" s="27" t="n">
        <v>45714</v>
      </c>
      <c r="C1370" s="0" t="n">
        <v>2025</v>
      </c>
      <c r="D1370" s="28" t="s">
        <v>61</v>
      </c>
      <c r="E1370" s="0" t="n">
        <v>2</v>
      </c>
      <c r="F1370" s="28" t="s">
        <v>104</v>
      </c>
      <c r="G1370" s="28" t="s">
        <v>144</v>
      </c>
      <c r="H1370" s="28" t="s">
        <v>100</v>
      </c>
      <c r="I1370" s="28" t="s">
        <v>101</v>
      </c>
      <c r="J1370" s="28" t="s">
        <v>66</v>
      </c>
      <c r="K1370" s="28" t="s">
        <v>76</v>
      </c>
      <c r="L1370" s="28" t="s">
        <v>134</v>
      </c>
      <c r="M1370" s="28" t="s">
        <v>80</v>
      </c>
      <c r="N1370" s="28" t="s">
        <v>136</v>
      </c>
      <c r="O1370" s="29" t="n">
        <v>24</v>
      </c>
      <c r="P1370" s="30" t="n">
        <v>94.39</v>
      </c>
      <c r="Q1370" s="30" t="n">
        <v>49.41</v>
      </c>
      <c r="R1370" s="30" t="n">
        <f aca="false">ROUND(O1370*P1370,2)</f>
        <v>2265.36</v>
      </c>
      <c r="S1370" s="30" t="n">
        <f aca="false">ROUND(O1370*Q1370,2)</f>
        <v>1185.84</v>
      </c>
      <c r="T1370" s="30" t="n">
        <f aca="false">ROUND(R1370*SUMIFS(Parametros!$E$23:$E$38,Parametros!$B$23:$B$38,J1370,Parametros!$C$23:$C$38,C1370,Parametros!$D$23:$D$38,D1370),2)</f>
        <v>29.45</v>
      </c>
      <c r="U1370" s="30" t="n">
        <f aca="false">R1370-S1370-T1370</f>
        <v>1050.07</v>
      </c>
    </row>
    <row r="1371" customFormat="false" ht="15" hidden="false" customHeight="false" outlineLevel="0" collapsed="false">
      <c r="A1371" s="0" t="n">
        <v>1370</v>
      </c>
      <c r="B1371" s="27" t="n">
        <v>45694</v>
      </c>
      <c r="C1371" s="0" t="n">
        <v>2025</v>
      </c>
      <c r="D1371" s="28" t="s">
        <v>61</v>
      </c>
      <c r="E1371" s="0" t="n">
        <v>2</v>
      </c>
      <c r="F1371" s="28" t="s">
        <v>104</v>
      </c>
      <c r="G1371" s="28" t="s">
        <v>144</v>
      </c>
      <c r="H1371" s="28" t="s">
        <v>100</v>
      </c>
      <c r="I1371" s="28" t="s">
        <v>101</v>
      </c>
      <c r="J1371" s="28" t="s">
        <v>71</v>
      </c>
      <c r="K1371" s="28" t="s">
        <v>76</v>
      </c>
      <c r="L1371" s="28" t="s">
        <v>134</v>
      </c>
      <c r="M1371" s="28" t="s">
        <v>80</v>
      </c>
      <c r="N1371" s="28" t="s">
        <v>136</v>
      </c>
      <c r="O1371" s="29" t="n">
        <v>17</v>
      </c>
      <c r="P1371" s="30" t="n">
        <v>94.39</v>
      </c>
      <c r="Q1371" s="30" t="n">
        <v>49.41</v>
      </c>
      <c r="R1371" s="30" t="n">
        <f aca="false">ROUND(O1371*P1371,2)</f>
        <v>1604.63</v>
      </c>
      <c r="S1371" s="30" t="n">
        <f aca="false">ROUND(O1371*Q1371,2)</f>
        <v>839.97</v>
      </c>
      <c r="T1371" s="30" t="n">
        <f aca="false">ROUND(R1371*SUMIFS(Parametros!$E$23:$E$38,Parametros!$B$23:$B$38,J1371,Parametros!$C$23:$C$38,C1371,Parametros!$D$23:$D$38,D1371),2)</f>
        <v>109.11</v>
      </c>
      <c r="U1371" s="30" t="n">
        <f aca="false">R1371-S1371-T1371</f>
        <v>655.55</v>
      </c>
    </row>
    <row r="1372" customFormat="false" ht="15" hidden="false" customHeight="false" outlineLevel="0" collapsed="false">
      <c r="A1372" s="0" t="n">
        <v>1371</v>
      </c>
      <c r="B1372" s="27" t="n">
        <v>45701</v>
      </c>
      <c r="C1372" s="0" t="n">
        <v>2025</v>
      </c>
      <c r="D1372" s="28" t="s">
        <v>61</v>
      </c>
      <c r="E1372" s="0" t="n">
        <v>2</v>
      </c>
      <c r="F1372" s="28" t="s">
        <v>104</v>
      </c>
      <c r="G1372" s="28" t="s">
        <v>144</v>
      </c>
      <c r="H1372" s="28" t="s">
        <v>100</v>
      </c>
      <c r="I1372" s="28" t="s">
        <v>101</v>
      </c>
      <c r="J1372" s="28" t="s">
        <v>66</v>
      </c>
      <c r="K1372" s="28" t="s">
        <v>76</v>
      </c>
      <c r="L1372" s="28" t="s">
        <v>134</v>
      </c>
      <c r="M1372" s="28" t="s">
        <v>82</v>
      </c>
      <c r="N1372" s="28" t="s">
        <v>137</v>
      </c>
      <c r="O1372" s="29" t="n">
        <v>23</v>
      </c>
      <c r="P1372" s="30" t="n">
        <v>64.58</v>
      </c>
      <c r="Q1372" s="30" t="n">
        <v>36.49</v>
      </c>
      <c r="R1372" s="30" t="n">
        <f aca="false">ROUND(O1372*P1372,2)</f>
        <v>1485.34</v>
      </c>
      <c r="S1372" s="30" t="n">
        <f aca="false">ROUND(O1372*Q1372,2)</f>
        <v>839.27</v>
      </c>
      <c r="T1372" s="30" t="n">
        <f aca="false">ROUND(R1372*SUMIFS(Parametros!$E$23:$E$38,Parametros!$B$23:$B$38,J1372,Parametros!$C$23:$C$38,C1372,Parametros!$D$23:$D$38,D1372),2)</f>
        <v>19.31</v>
      </c>
      <c r="U1372" s="30" t="n">
        <f aca="false">R1372-S1372-T1372</f>
        <v>626.76</v>
      </c>
    </row>
    <row r="1373" customFormat="false" ht="15" hidden="false" customHeight="false" outlineLevel="0" collapsed="false">
      <c r="A1373" s="0" t="n">
        <v>1372</v>
      </c>
      <c r="B1373" s="27" t="n">
        <v>45708</v>
      </c>
      <c r="C1373" s="0" t="n">
        <v>2025</v>
      </c>
      <c r="D1373" s="28" t="s">
        <v>61</v>
      </c>
      <c r="E1373" s="0" t="n">
        <v>2</v>
      </c>
      <c r="F1373" s="28" t="s">
        <v>104</v>
      </c>
      <c r="G1373" s="28" t="s">
        <v>144</v>
      </c>
      <c r="H1373" s="28" t="s">
        <v>100</v>
      </c>
      <c r="I1373" s="28" t="s">
        <v>101</v>
      </c>
      <c r="J1373" s="28" t="s">
        <v>71</v>
      </c>
      <c r="K1373" s="28" t="s">
        <v>76</v>
      </c>
      <c r="L1373" s="28" t="s">
        <v>134</v>
      </c>
      <c r="M1373" s="28" t="s">
        <v>82</v>
      </c>
      <c r="N1373" s="28" t="s">
        <v>137</v>
      </c>
      <c r="O1373" s="29" t="n">
        <v>18</v>
      </c>
      <c r="P1373" s="30" t="n">
        <v>64.58</v>
      </c>
      <c r="Q1373" s="30" t="n">
        <v>36.49</v>
      </c>
      <c r="R1373" s="30" t="n">
        <f aca="false">ROUND(O1373*P1373,2)</f>
        <v>1162.44</v>
      </c>
      <c r="S1373" s="30" t="n">
        <f aca="false">ROUND(O1373*Q1373,2)</f>
        <v>656.82</v>
      </c>
      <c r="T1373" s="30" t="n">
        <f aca="false">ROUND(R1373*SUMIFS(Parametros!$E$23:$E$38,Parametros!$B$23:$B$38,J1373,Parametros!$C$23:$C$38,C1373,Parametros!$D$23:$D$38,D1373),2)</f>
        <v>79.05</v>
      </c>
      <c r="U1373" s="30" t="n">
        <f aca="false">R1373-S1373-T1373</f>
        <v>426.57</v>
      </c>
    </row>
    <row r="1374" customFormat="false" ht="15" hidden="false" customHeight="false" outlineLevel="0" collapsed="false">
      <c r="A1374" s="0" t="n">
        <v>1373</v>
      </c>
      <c r="B1374" s="27" t="n">
        <v>45715</v>
      </c>
      <c r="C1374" s="0" t="n">
        <v>2025</v>
      </c>
      <c r="D1374" s="28" t="s">
        <v>61</v>
      </c>
      <c r="E1374" s="0" t="n">
        <v>2</v>
      </c>
      <c r="F1374" s="28" t="s">
        <v>104</v>
      </c>
      <c r="G1374" s="28" t="s">
        <v>144</v>
      </c>
      <c r="H1374" s="28" t="s">
        <v>100</v>
      </c>
      <c r="I1374" s="28" t="s">
        <v>101</v>
      </c>
      <c r="J1374" s="28" t="s">
        <v>66</v>
      </c>
      <c r="K1374" s="28" t="s">
        <v>84</v>
      </c>
      <c r="L1374" s="28" t="s">
        <v>138</v>
      </c>
      <c r="M1374" s="28" t="s">
        <v>86</v>
      </c>
      <c r="N1374" s="28" t="s">
        <v>139</v>
      </c>
      <c r="O1374" s="29" t="n">
        <v>12</v>
      </c>
      <c r="P1374" s="30" t="n">
        <v>119.23</v>
      </c>
      <c r="Q1374" s="30" t="n">
        <v>65.51</v>
      </c>
      <c r="R1374" s="30" t="n">
        <f aca="false">ROUND(O1374*P1374,2)</f>
        <v>1430.76</v>
      </c>
      <c r="S1374" s="30" t="n">
        <f aca="false">ROUND(O1374*Q1374,2)</f>
        <v>786.12</v>
      </c>
      <c r="T1374" s="30" t="n">
        <f aca="false">ROUND(R1374*SUMIFS(Parametros!$E$23:$E$38,Parametros!$B$23:$B$38,J1374,Parametros!$C$23:$C$38,C1374,Parametros!$D$23:$D$38,D1374),2)</f>
        <v>18.6</v>
      </c>
      <c r="U1374" s="30" t="n">
        <f aca="false">R1374-S1374-T1374</f>
        <v>626.04</v>
      </c>
    </row>
    <row r="1375" customFormat="false" ht="15" hidden="false" customHeight="false" outlineLevel="0" collapsed="false">
      <c r="A1375" s="0" t="n">
        <v>1374</v>
      </c>
      <c r="B1375" s="27" t="n">
        <v>45695</v>
      </c>
      <c r="C1375" s="0" t="n">
        <v>2025</v>
      </c>
      <c r="D1375" s="28" t="s">
        <v>61</v>
      </c>
      <c r="E1375" s="0" t="n">
        <v>2</v>
      </c>
      <c r="F1375" s="28" t="s">
        <v>104</v>
      </c>
      <c r="G1375" s="28" t="s">
        <v>144</v>
      </c>
      <c r="H1375" s="28" t="s">
        <v>100</v>
      </c>
      <c r="I1375" s="28" t="s">
        <v>101</v>
      </c>
      <c r="J1375" s="28" t="s">
        <v>71</v>
      </c>
      <c r="K1375" s="28" t="s">
        <v>84</v>
      </c>
      <c r="L1375" s="28" t="s">
        <v>138</v>
      </c>
      <c r="M1375" s="28" t="s">
        <v>86</v>
      </c>
      <c r="N1375" s="28" t="s">
        <v>139</v>
      </c>
      <c r="O1375" s="29" t="n">
        <v>8</v>
      </c>
      <c r="P1375" s="30" t="n">
        <v>119.23</v>
      </c>
      <c r="Q1375" s="30" t="n">
        <v>65.51</v>
      </c>
      <c r="R1375" s="30" t="n">
        <f aca="false">ROUND(O1375*P1375,2)</f>
        <v>953.84</v>
      </c>
      <c r="S1375" s="30" t="n">
        <f aca="false">ROUND(O1375*Q1375,2)</f>
        <v>524.08</v>
      </c>
      <c r="T1375" s="30" t="n">
        <f aca="false">ROUND(R1375*SUMIFS(Parametros!$E$23:$E$38,Parametros!$B$23:$B$38,J1375,Parametros!$C$23:$C$38,C1375,Parametros!$D$23:$D$38,D1375),2)</f>
        <v>64.86</v>
      </c>
      <c r="U1375" s="30" t="n">
        <f aca="false">R1375-S1375-T1375</f>
        <v>364.9</v>
      </c>
    </row>
    <row r="1376" customFormat="false" ht="15" hidden="false" customHeight="false" outlineLevel="0" collapsed="false">
      <c r="A1376" s="0" t="n">
        <v>1375</v>
      </c>
      <c r="B1376" s="27" t="n">
        <v>45702</v>
      </c>
      <c r="C1376" s="0" t="n">
        <v>2025</v>
      </c>
      <c r="D1376" s="28" t="s">
        <v>61</v>
      </c>
      <c r="E1376" s="0" t="n">
        <v>2</v>
      </c>
      <c r="F1376" s="28" t="s">
        <v>104</v>
      </c>
      <c r="G1376" s="28" t="s">
        <v>144</v>
      </c>
      <c r="H1376" s="28" t="s">
        <v>100</v>
      </c>
      <c r="I1376" s="28" t="s">
        <v>101</v>
      </c>
      <c r="J1376" s="28" t="s">
        <v>66</v>
      </c>
      <c r="K1376" s="28" t="s">
        <v>84</v>
      </c>
      <c r="L1376" s="28" t="s">
        <v>138</v>
      </c>
      <c r="M1376" s="28" t="s">
        <v>88</v>
      </c>
      <c r="N1376" s="28" t="s">
        <v>140</v>
      </c>
      <c r="O1376" s="29" t="n">
        <v>9</v>
      </c>
      <c r="P1376" s="30" t="n">
        <v>84.46</v>
      </c>
      <c r="Q1376" s="30" t="n">
        <v>49.47</v>
      </c>
      <c r="R1376" s="30" t="n">
        <f aca="false">ROUND(O1376*P1376,2)</f>
        <v>760.14</v>
      </c>
      <c r="S1376" s="30" t="n">
        <f aca="false">ROUND(O1376*Q1376,2)</f>
        <v>445.23</v>
      </c>
      <c r="T1376" s="30" t="n">
        <f aca="false">ROUND(R1376*SUMIFS(Parametros!$E$23:$E$38,Parametros!$B$23:$B$38,J1376,Parametros!$C$23:$C$38,C1376,Parametros!$D$23:$D$38,D1376),2)</f>
        <v>9.88</v>
      </c>
      <c r="U1376" s="30" t="n">
        <f aca="false">R1376-S1376-T1376</f>
        <v>305.03</v>
      </c>
    </row>
    <row r="1377" customFormat="false" ht="15" hidden="false" customHeight="false" outlineLevel="0" collapsed="false">
      <c r="A1377" s="0" t="n">
        <v>1376</v>
      </c>
      <c r="B1377" s="27" t="n">
        <v>45709</v>
      </c>
      <c r="C1377" s="0" t="n">
        <v>2025</v>
      </c>
      <c r="D1377" s="28" t="s">
        <v>61</v>
      </c>
      <c r="E1377" s="0" t="n">
        <v>2</v>
      </c>
      <c r="F1377" s="28" t="s">
        <v>104</v>
      </c>
      <c r="G1377" s="28" t="s">
        <v>144</v>
      </c>
      <c r="H1377" s="28" t="s">
        <v>100</v>
      </c>
      <c r="I1377" s="28" t="s">
        <v>101</v>
      </c>
      <c r="J1377" s="28" t="s">
        <v>71</v>
      </c>
      <c r="K1377" s="28" t="s">
        <v>84</v>
      </c>
      <c r="L1377" s="28" t="s">
        <v>138</v>
      </c>
      <c r="M1377" s="28" t="s">
        <v>88</v>
      </c>
      <c r="N1377" s="28" t="s">
        <v>140</v>
      </c>
      <c r="O1377" s="29" t="n">
        <v>8</v>
      </c>
      <c r="P1377" s="30" t="n">
        <v>84.46</v>
      </c>
      <c r="Q1377" s="30" t="n">
        <v>49.47</v>
      </c>
      <c r="R1377" s="30" t="n">
        <f aca="false">ROUND(O1377*P1377,2)</f>
        <v>675.68</v>
      </c>
      <c r="S1377" s="30" t="n">
        <f aca="false">ROUND(O1377*Q1377,2)</f>
        <v>395.76</v>
      </c>
      <c r="T1377" s="30" t="n">
        <f aca="false">ROUND(R1377*SUMIFS(Parametros!$E$23:$E$38,Parametros!$B$23:$B$38,J1377,Parametros!$C$23:$C$38,C1377,Parametros!$D$23:$D$38,D1377),2)</f>
        <v>45.95</v>
      </c>
      <c r="U1377" s="30" t="n">
        <f aca="false">R1377-S1377-T1377</f>
        <v>233.97</v>
      </c>
    </row>
    <row r="1378" customFormat="false" ht="15" hidden="false" customHeight="false" outlineLevel="0" collapsed="false">
      <c r="A1378" s="0" t="n">
        <v>1377</v>
      </c>
      <c r="B1378" s="27" t="n">
        <v>45689</v>
      </c>
      <c r="C1378" s="0" t="n">
        <v>2025</v>
      </c>
      <c r="D1378" s="28" t="s">
        <v>61</v>
      </c>
      <c r="E1378" s="0" t="n">
        <v>2</v>
      </c>
      <c r="F1378" s="28" t="s">
        <v>104</v>
      </c>
      <c r="G1378" s="28" t="s">
        <v>144</v>
      </c>
      <c r="H1378" s="28" t="s">
        <v>100</v>
      </c>
      <c r="I1378" s="28" t="s">
        <v>101</v>
      </c>
      <c r="J1378" s="28" t="s">
        <v>66</v>
      </c>
      <c r="K1378" s="28" t="s">
        <v>90</v>
      </c>
      <c r="L1378" s="28" t="s">
        <v>141</v>
      </c>
      <c r="M1378" s="28" t="s">
        <v>92</v>
      </c>
      <c r="N1378" s="28" t="s">
        <v>142</v>
      </c>
      <c r="O1378" s="29" t="n">
        <v>16</v>
      </c>
      <c r="P1378" s="30" t="n">
        <v>129.17</v>
      </c>
      <c r="Q1378" s="30" t="n">
        <v>78.33</v>
      </c>
      <c r="R1378" s="30" t="n">
        <f aca="false">ROUND(O1378*P1378,2)</f>
        <v>2066.72</v>
      </c>
      <c r="S1378" s="30" t="n">
        <f aca="false">ROUND(O1378*Q1378,2)</f>
        <v>1253.28</v>
      </c>
      <c r="T1378" s="30" t="n">
        <f aca="false">ROUND(R1378*SUMIFS(Parametros!$E$23:$E$38,Parametros!$B$23:$B$38,J1378,Parametros!$C$23:$C$38,C1378,Parametros!$D$23:$D$38,D1378),2)</f>
        <v>26.87</v>
      </c>
      <c r="U1378" s="30" t="n">
        <f aca="false">R1378-S1378-T1378</f>
        <v>786.57</v>
      </c>
    </row>
    <row r="1379" customFormat="false" ht="15" hidden="false" customHeight="false" outlineLevel="0" collapsed="false">
      <c r="A1379" s="0" t="n">
        <v>1378</v>
      </c>
      <c r="B1379" s="27" t="n">
        <v>45696</v>
      </c>
      <c r="C1379" s="0" t="n">
        <v>2025</v>
      </c>
      <c r="D1379" s="28" t="s">
        <v>61</v>
      </c>
      <c r="E1379" s="0" t="n">
        <v>2</v>
      </c>
      <c r="F1379" s="28" t="s">
        <v>104</v>
      </c>
      <c r="G1379" s="28" t="s">
        <v>144</v>
      </c>
      <c r="H1379" s="28" t="s">
        <v>100</v>
      </c>
      <c r="I1379" s="28" t="s">
        <v>101</v>
      </c>
      <c r="J1379" s="28" t="s">
        <v>71</v>
      </c>
      <c r="K1379" s="28" t="s">
        <v>90</v>
      </c>
      <c r="L1379" s="28" t="s">
        <v>141</v>
      </c>
      <c r="M1379" s="28" t="s">
        <v>92</v>
      </c>
      <c r="N1379" s="28" t="s">
        <v>142</v>
      </c>
      <c r="O1379" s="29" t="n">
        <v>8</v>
      </c>
      <c r="P1379" s="30" t="n">
        <v>129.17</v>
      </c>
      <c r="Q1379" s="30" t="n">
        <v>78.33</v>
      </c>
      <c r="R1379" s="30" t="n">
        <f aca="false">ROUND(O1379*P1379,2)</f>
        <v>1033.36</v>
      </c>
      <c r="S1379" s="30" t="n">
        <f aca="false">ROUND(O1379*Q1379,2)</f>
        <v>626.64</v>
      </c>
      <c r="T1379" s="30" t="n">
        <f aca="false">ROUND(R1379*SUMIFS(Parametros!$E$23:$E$38,Parametros!$B$23:$B$38,J1379,Parametros!$C$23:$C$38,C1379,Parametros!$D$23:$D$38,D1379),2)</f>
        <v>70.27</v>
      </c>
      <c r="U1379" s="30" t="n">
        <f aca="false">R1379-S1379-T1379</f>
        <v>336.45</v>
      </c>
    </row>
    <row r="1380" customFormat="false" ht="15" hidden="false" customHeight="false" outlineLevel="0" collapsed="false">
      <c r="A1380" s="0" t="n">
        <v>1379</v>
      </c>
      <c r="B1380" s="27" t="n">
        <v>45703</v>
      </c>
      <c r="C1380" s="0" t="n">
        <v>2025</v>
      </c>
      <c r="D1380" s="28" t="s">
        <v>61</v>
      </c>
      <c r="E1380" s="0" t="n">
        <v>2</v>
      </c>
      <c r="F1380" s="28" t="s">
        <v>104</v>
      </c>
      <c r="G1380" s="28" t="s">
        <v>144</v>
      </c>
      <c r="H1380" s="28" t="s">
        <v>100</v>
      </c>
      <c r="I1380" s="28" t="s">
        <v>101</v>
      </c>
      <c r="J1380" s="28" t="s">
        <v>66</v>
      </c>
      <c r="K1380" s="28" t="s">
        <v>90</v>
      </c>
      <c r="L1380" s="28" t="s">
        <v>141</v>
      </c>
      <c r="M1380" s="28" t="s">
        <v>94</v>
      </c>
      <c r="N1380" s="28" t="s">
        <v>143</v>
      </c>
      <c r="O1380" s="29" t="n">
        <v>16</v>
      </c>
      <c r="P1380" s="30" t="n">
        <v>34.78</v>
      </c>
      <c r="Q1380" s="30" t="n">
        <v>18.39</v>
      </c>
      <c r="R1380" s="30" t="n">
        <f aca="false">ROUND(O1380*P1380,2)</f>
        <v>556.48</v>
      </c>
      <c r="S1380" s="30" t="n">
        <f aca="false">ROUND(O1380*Q1380,2)</f>
        <v>294.24</v>
      </c>
      <c r="T1380" s="30" t="n">
        <f aca="false">ROUND(R1380*SUMIFS(Parametros!$E$23:$E$38,Parametros!$B$23:$B$38,J1380,Parametros!$C$23:$C$38,C1380,Parametros!$D$23:$D$38,D1380),2)</f>
        <v>7.23</v>
      </c>
      <c r="U1380" s="30" t="n">
        <f aca="false">R1380-S1380-T1380</f>
        <v>255.01</v>
      </c>
    </row>
    <row r="1381" customFormat="false" ht="15" hidden="false" customHeight="false" outlineLevel="0" collapsed="false">
      <c r="A1381" s="0" t="n">
        <v>1380</v>
      </c>
      <c r="B1381" s="27" t="n">
        <v>45710</v>
      </c>
      <c r="C1381" s="0" t="n">
        <v>2025</v>
      </c>
      <c r="D1381" s="28" t="s">
        <v>61</v>
      </c>
      <c r="E1381" s="0" t="n">
        <v>2</v>
      </c>
      <c r="F1381" s="28" t="s">
        <v>104</v>
      </c>
      <c r="G1381" s="28" t="s">
        <v>144</v>
      </c>
      <c r="H1381" s="28" t="s">
        <v>100</v>
      </c>
      <c r="I1381" s="28" t="s">
        <v>101</v>
      </c>
      <c r="J1381" s="28" t="s">
        <v>71</v>
      </c>
      <c r="K1381" s="28" t="s">
        <v>90</v>
      </c>
      <c r="L1381" s="28" t="s">
        <v>141</v>
      </c>
      <c r="M1381" s="28" t="s">
        <v>94</v>
      </c>
      <c r="N1381" s="28" t="s">
        <v>143</v>
      </c>
      <c r="O1381" s="29" t="n">
        <v>10</v>
      </c>
      <c r="P1381" s="30" t="n">
        <v>34.78</v>
      </c>
      <c r="Q1381" s="30" t="n">
        <v>18.39</v>
      </c>
      <c r="R1381" s="30" t="n">
        <f aca="false">ROUND(O1381*P1381,2)</f>
        <v>347.8</v>
      </c>
      <c r="S1381" s="30" t="n">
        <f aca="false">ROUND(O1381*Q1381,2)</f>
        <v>183.9</v>
      </c>
      <c r="T1381" s="30" t="n">
        <f aca="false">ROUND(R1381*SUMIFS(Parametros!$E$23:$E$38,Parametros!$B$23:$B$38,J1381,Parametros!$C$23:$C$38,C1381,Parametros!$D$23:$D$38,D1381),2)</f>
        <v>23.65</v>
      </c>
      <c r="U1381" s="30" t="n">
        <f aca="false">R1381-S1381-T1381</f>
        <v>140.25</v>
      </c>
    </row>
    <row r="1382" customFormat="false" ht="15" hidden="false" customHeight="false" outlineLevel="0" collapsed="false">
      <c r="A1382" s="0" t="n">
        <v>1381</v>
      </c>
      <c r="B1382" s="27" t="n">
        <v>45690</v>
      </c>
      <c r="C1382" s="0" t="n">
        <v>2025</v>
      </c>
      <c r="D1382" s="28" t="s">
        <v>61</v>
      </c>
      <c r="E1382" s="0" t="n">
        <v>2</v>
      </c>
      <c r="F1382" s="28" t="s">
        <v>104</v>
      </c>
      <c r="G1382" s="28" t="s">
        <v>144</v>
      </c>
      <c r="H1382" s="28" t="s">
        <v>102</v>
      </c>
      <c r="I1382" s="28" t="s">
        <v>103</v>
      </c>
      <c r="J1382" s="28" t="s">
        <v>66</v>
      </c>
      <c r="K1382" s="28" t="s">
        <v>67</v>
      </c>
      <c r="L1382" s="28" t="s">
        <v>130</v>
      </c>
      <c r="M1382" s="28" t="s">
        <v>69</v>
      </c>
      <c r="N1382" s="28" t="s">
        <v>131</v>
      </c>
      <c r="O1382" s="29" t="n">
        <v>5</v>
      </c>
      <c r="P1382" s="30" t="n">
        <v>1155.06</v>
      </c>
      <c r="Q1382" s="30" t="n">
        <v>766.32</v>
      </c>
      <c r="R1382" s="30" t="n">
        <f aca="false">ROUND(O1382*P1382,2)</f>
        <v>5775.3</v>
      </c>
      <c r="S1382" s="30" t="n">
        <f aca="false">ROUND(O1382*Q1382,2)</f>
        <v>3831.6</v>
      </c>
      <c r="T1382" s="30" t="n">
        <f aca="false">ROUND(R1382*SUMIFS(Parametros!$E$23:$E$38,Parametros!$B$23:$B$38,J1382,Parametros!$C$23:$C$38,C1382,Parametros!$D$23:$D$38,D1382),2)</f>
        <v>75.08</v>
      </c>
      <c r="U1382" s="30" t="n">
        <f aca="false">R1382-S1382-T1382</f>
        <v>1868.62</v>
      </c>
    </row>
    <row r="1383" customFormat="false" ht="15" hidden="false" customHeight="false" outlineLevel="0" collapsed="false">
      <c r="A1383" s="0" t="n">
        <v>1382</v>
      </c>
      <c r="B1383" s="27" t="n">
        <v>45697</v>
      </c>
      <c r="C1383" s="0" t="n">
        <v>2025</v>
      </c>
      <c r="D1383" s="28" t="s">
        <v>61</v>
      </c>
      <c r="E1383" s="0" t="n">
        <v>2</v>
      </c>
      <c r="F1383" s="28" t="s">
        <v>104</v>
      </c>
      <c r="G1383" s="28" t="s">
        <v>144</v>
      </c>
      <c r="H1383" s="28" t="s">
        <v>102</v>
      </c>
      <c r="I1383" s="28" t="s">
        <v>103</v>
      </c>
      <c r="J1383" s="28" t="s">
        <v>71</v>
      </c>
      <c r="K1383" s="28" t="s">
        <v>67</v>
      </c>
      <c r="L1383" s="28" t="s">
        <v>130</v>
      </c>
      <c r="M1383" s="28" t="s">
        <v>69</v>
      </c>
      <c r="N1383" s="28" t="s">
        <v>131</v>
      </c>
      <c r="O1383" s="29" t="n">
        <v>3</v>
      </c>
      <c r="P1383" s="30" t="n">
        <v>1155.06</v>
      </c>
      <c r="Q1383" s="30" t="n">
        <v>766.32</v>
      </c>
      <c r="R1383" s="30" t="n">
        <f aca="false">ROUND(O1383*P1383,2)</f>
        <v>3465.18</v>
      </c>
      <c r="S1383" s="30" t="n">
        <f aca="false">ROUND(O1383*Q1383,2)</f>
        <v>2298.96</v>
      </c>
      <c r="T1383" s="30" t="n">
        <f aca="false">ROUND(R1383*SUMIFS(Parametros!$E$23:$E$38,Parametros!$B$23:$B$38,J1383,Parametros!$C$23:$C$38,C1383,Parametros!$D$23:$D$38,D1383),2)</f>
        <v>235.63</v>
      </c>
      <c r="U1383" s="30" t="n">
        <f aca="false">R1383-S1383-T1383</f>
        <v>930.59</v>
      </c>
    </row>
    <row r="1384" customFormat="false" ht="15" hidden="false" customHeight="false" outlineLevel="0" collapsed="false">
      <c r="A1384" s="0" t="n">
        <v>1383</v>
      </c>
      <c r="B1384" s="27" t="n">
        <v>45704</v>
      </c>
      <c r="C1384" s="0" t="n">
        <v>2025</v>
      </c>
      <c r="D1384" s="28" t="s">
        <v>61</v>
      </c>
      <c r="E1384" s="0" t="n">
        <v>2</v>
      </c>
      <c r="F1384" s="28" t="s">
        <v>104</v>
      </c>
      <c r="G1384" s="28" t="s">
        <v>144</v>
      </c>
      <c r="H1384" s="28" t="s">
        <v>102</v>
      </c>
      <c r="I1384" s="28" t="s">
        <v>103</v>
      </c>
      <c r="J1384" s="28" t="s">
        <v>66</v>
      </c>
      <c r="K1384" s="28" t="s">
        <v>67</v>
      </c>
      <c r="L1384" s="28" t="s">
        <v>130</v>
      </c>
      <c r="M1384" s="28" t="s">
        <v>72</v>
      </c>
      <c r="N1384" s="28" t="s">
        <v>132</v>
      </c>
      <c r="O1384" s="29" t="n">
        <v>6</v>
      </c>
      <c r="P1384" s="30" t="n">
        <v>433.15</v>
      </c>
      <c r="Q1384" s="30" t="n">
        <v>280.42</v>
      </c>
      <c r="R1384" s="30" t="n">
        <f aca="false">ROUND(O1384*P1384,2)</f>
        <v>2598.9</v>
      </c>
      <c r="S1384" s="30" t="n">
        <f aca="false">ROUND(O1384*Q1384,2)</f>
        <v>1682.52</v>
      </c>
      <c r="T1384" s="30" t="n">
        <f aca="false">ROUND(R1384*SUMIFS(Parametros!$E$23:$E$38,Parametros!$B$23:$B$38,J1384,Parametros!$C$23:$C$38,C1384,Parametros!$D$23:$D$38,D1384),2)</f>
        <v>33.79</v>
      </c>
      <c r="U1384" s="30" t="n">
        <f aca="false">R1384-S1384-T1384</f>
        <v>882.59</v>
      </c>
    </row>
    <row r="1385" customFormat="false" ht="15" hidden="false" customHeight="false" outlineLevel="0" collapsed="false">
      <c r="A1385" s="0" t="n">
        <v>1384</v>
      </c>
      <c r="B1385" s="27" t="n">
        <v>45711</v>
      </c>
      <c r="C1385" s="0" t="n">
        <v>2025</v>
      </c>
      <c r="D1385" s="28" t="s">
        <v>61</v>
      </c>
      <c r="E1385" s="0" t="n">
        <v>2</v>
      </c>
      <c r="F1385" s="28" t="s">
        <v>104</v>
      </c>
      <c r="G1385" s="28" t="s">
        <v>144</v>
      </c>
      <c r="H1385" s="28" t="s">
        <v>102</v>
      </c>
      <c r="I1385" s="28" t="s">
        <v>103</v>
      </c>
      <c r="J1385" s="28" t="s">
        <v>71</v>
      </c>
      <c r="K1385" s="28" t="s">
        <v>67</v>
      </c>
      <c r="L1385" s="28" t="s">
        <v>130</v>
      </c>
      <c r="M1385" s="28" t="s">
        <v>72</v>
      </c>
      <c r="N1385" s="28" t="s">
        <v>132</v>
      </c>
      <c r="O1385" s="29" t="n">
        <v>4</v>
      </c>
      <c r="P1385" s="30" t="n">
        <v>433.15</v>
      </c>
      <c r="Q1385" s="30" t="n">
        <v>280.42</v>
      </c>
      <c r="R1385" s="30" t="n">
        <f aca="false">ROUND(O1385*P1385,2)</f>
        <v>1732.6</v>
      </c>
      <c r="S1385" s="30" t="n">
        <f aca="false">ROUND(O1385*Q1385,2)</f>
        <v>1121.68</v>
      </c>
      <c r="T1385" s="30" t="n">
        <f aca="false">ROUND(R1385*SUMIFS(Parametros!$E$23:$E$38,Parametros!$B$23:$B$38,J1385,Parametros!$C$23:$C$38,C1385,Parametros!$D$23:$D$38,D1385),2)</f>
        <v>117.82</v>
      </c>
      <c r="U1385" s="30" t="n">
        <f aca="false">R1385-S1385-T1385</f>
        <v>493.1</v>
      </c>
    </row>
    <row r="1386" customFormat="false" ht="15" hidden="false" customHeight="false" outlineLevel="0" collapsed="false">
      <c r="A1386" s="0" t="n">
        <v>1385</v>
      </c>
      <c r="B1386" s="27" t="n">
        <v>45691</v>
      </c>
      <c r="C1386" s="0" t="n">
        <v>2025</v>
      </c>
      <c r="D1386" s="28" t="s">
        <v>61</v>
      </c>
      <c r="E1386" s="0" t="n">
        <v>2</v>
      </c>
      <c r="F1386" s="28" t="s">
        <v>104</v>
      </c>
      <c r="G1386" s="28" t="s">
        <v>144</v>
      </c>
      <c r="H1386" s="28" t="s">
        <v>102</v>
      </c>
      <c r="I1386" s="28" t="s">
        <v>103</v>
      </c>
      <c r="J1386" s="28" t="s">
        <v>66</v>
      </c>
      <c r="K1386" s="28" t="s">
        <v>67</v>
      </c>
      <c r="L1386" s="28" t="s">
        <v>130</v>
      </c>
      <c r="M1386" s="28" t="s">
        <v>74</v>
      </c>
      <c r="N1386" s="28" t="s">
        <v>133</v>
      </c>
      <c r="O1386" s="29" t="n">
        <v>5</v>
      </c>
      <c r="P1386" s="30" t="n">
        <v>1588.21</v>
      </c>
      <c r="Q1386" s="30" t="n">
        <v>1155.66</v>
      </c>
      <c r="R1386" s="30" t="n">
        <f aca="false">ROUND(O1386*P1386,2)</f>
        <v>7941.05</v>
      </c>
      <c r="S1386" s="30" t="n">
        <f aca="false">ROUND(O1386*Q1386,2)</f>
        <v>5778.3</v>
      </c>
      <c r="T1386" s="30" t="n">
        <f aca="false">ROUND(R1386*SUMIFS(Parametros!$E$23:$E$38,Parametros!$B$23:$B$38,J1386,Parametros!$C$23:$C$38,C1386,Parametros!$D$23:$D$38,D1386),2)</f>
        <v>103.23</v>
      </c>
      <c r="U1386" s="30" t="n">
        <f aca="false">R1386-S1386-T1386</f>
        <v>2059.52</v>
      </c>
    </row>
    <row r="1387" customFormat="false" ht="15" hidden="false" customHeight="false" outlineLevel="0" collapsed="false">
      <c r="A1387" s="0" t="n">
        <v>1386</v>
      </c>
      <c r="B1387" s="27" t="n">
        <v>45698</v>
      </c>
      <c r="C1387" s="0" t="n">
        <v>2025</v>
      </c>
      <c r="D1387" s="28" t="s">
        <v>61</v>
      </c>
      <c r="E1387" s="0" t="n">
        <v>2</v>
      </c>
      <c r="F1387" s="28" t="s">
        <v>104</v>
      </c>
      <c r="G1387" s="28" t="s">
        <v>144</v>
      </c>
      <c r="H1387" s="28" t="s">
        <v>102</v>
      </c>
      <c r="I1387" s="28" t="s">
        <v>103</v>
      </c>
      <c r="J1387" s="28" t="s">
        <v>71</v>
      </c>
      <c r="K1387" s="28" t="s">
        <v>67</v>
      </c>
      <c r="L1387" s="28" t="s">
        <v>130</v>
      </c>
      <c r="M1387" s="28" t="s">
        <v>74</v>
      </c>
      <c r="N1387" s="28" t="s">
        <v>133</v>
      </c>
      <c r="O1387" s="29" t="n">
        <v>4</v>
      </c>
      <c r="P1387" s="30" t="n">
        <v>1588.21</v>
      </c>
      <c r="Q1387" s="30" t="n">
        <v>1155.66</v>
      </c>
      <c r="R1387" s="30" t="n">
        <f aca="false">ROUND(O1387*P1387,2)</f>
        <v>6352.84</v>
      </c>
      <c r="S1387" s="30" t="n">
        <f aca="false">ROUND(O1387*Q1387,2)</f>
        <v>4622.64</v>
      </c>
      <c r="T1387" s="30" t="n">
        <f aca="false">ROUND(R1387*SUMIFS(Parametros!$E$23:$E$38,Parametros!$B$23:$B$38,J1387,Parametros!$C$23:$C$38,C1387,Parametros!$D$23:$D$38,D1387),2)</f>
        <v>431.99</v>
      </c>
      <c r="U1387" s="30" t="n">
        <f aca="false">R1387-S1387-T1387</f>
        <v>1298.21</v>
      </c>
    </row>
    <row r="1388" customFormat="false" ht="15" hidden="false" customHeight="false" outlineLevel="0" collapsed="false">
      <c r="A1388" s="0" t="n">
        <v>1387</v>
      </c>
      <c r="B1388" s="27" t="n">
        <v>45705</v>
      </c>
      <c r="C1388" s="0" t="n">
        <v>2025</v>
      </c>
      <c r="D1388" s="28" t="s">
        <v>61</v>
      </c>
      <c r="E1388" s="0" t="n">
        <v>2</v>
      </c>
      <c r="F1388" s="28" t="s">
        <v>104</v>
      </c>
      <c r="G1388" s="28" t="s">
        <v>144</v>
      </c>
      <c r="H1388" s="28" t="s">
        <v>102</v>
      </c>
      <c r="I1388" s="28" t="s">
        <v>103</v>
      </c>
      <c r="J1388" s="28" t="s">
        <v>66</v>
      </c>
      <c r="K1388" s="28" t="s">
        <v>76</v>
      </c>
      <c r="L1388" s="28" t="s">
        <v>134</v>
      </c>
      <c r="M1388" s="28" t="s">
        <v>78</v>
      </c>
      <c r="N1388" s="28" t="s">
        <v>135</v>
      </c>
      <c r="O1388" s="29" t="n">
        <v>25</v>
      </c>
      <c r="P1388" s="30" t="n">
        <v>27.82</v>
      </c>
      <c r="Q1388" s="30" t="n">
        <v>13.84</v>
      </c>
      <c r="R1388" s="30" t="n">
        <f aca="false">ROUND(O1388*P1388,2)</f>
        <v>695.5</v>
      </c>
      <c r="S1388" s="30" t="n">
        <f aca="false">ROUND(O1388*Q1388,2)</f>
        <v>346</v>
      </c>
      <c r="T1388" s="30" t="n">
        <f aca="false">ROUND(R1388*SUMIFS(Parametros!$E$23:$E$38,Parametros!$B$23:$B$38,J1388,Parametros!$C$23:$C$38,C1388,Parametros!$D$23:$D$38,D1388),2)</f>
        <v>9.04</v>
      </c>
      <c r="U1388" s="30" t="n">
        <f aca="false">R1388-S1388-T1388</f>
        <v>340.46</v>
      </c>
    </row>
    <row r="1389" customFormat="false" ht="15" hidden="false" customHeight="false" outlineLevel="0" collapsed="false">
      <c r="A1389" s="0" t="n">
        <v>1388</v>
      </c>
      <c r="B1389" s="27" t="n">
        <v>45712</v>
      </c>
      <c r="C1389" s="0" t="n">
        <v>2025</v>
      </c>
      <c r="D1389" s="28" t="s">
        <v>61</v>
      </c>
      <c r="E1389" s="0" t="n">
        <v>2</v>
      </c>
      <c r="F1389" s="28" t="s">
        <v>104</v>
      </c>
      <c r="G1389" s="28" t="s">
        <v>144</v>
      </c>
      <c r="H1389" s="28" t="s">
        <v>102</v>
      </c>
      <c r="I1389" s="28" t="s">
        <v>103</v>
      </c>
      <c r="J1389" s="28" t="s">
        <v>71</v>
      </c>
      <c r="K1389" s="28" t="s">
        <v>76</v>
      </c>
      <c r="L1389" s="28" t="s">
        <v>134</v>
      </c>
      <c r="M1389" s="28" t="s">
        <v>78</v>
      </c>
      <c r="N1389" s="28" t="s">
        <v>135</v>
      </c>
      <c r="O1389" s="29" t="n">
        <v>14</v>
      </c>
      <c r="P1389" s="30" t="n">
        <v>27.82</v>
      </c>
      <c r="Q1389" s="30" t="n">
        <v>13.84</v>
      </c>
      <c r="R1389" s="30" t="n">
        <f aca="false">ROUND(O1389*P1389,2)</f>
        <v>389.48</v>
      </c>
      <c r="S1389" s="30" t="n">
        <f aca="false">ROUND(O1389*Q1389,2)</f>
        <v>193.76</v>
      </c>
      <c r="T1389" s="30" t="n">
        <f aca="false">ROUND(R1389*SUMIFS(Parametros!$E$23:$E$38,Parametros!$B$23:$B$38,J1389,Parametros!$C$23:$C$38,C1389,Parametros!$D$23:$D$38,D1389),2)</f>
        <v>26.48</v>
      </c>
      <c r="U1389" s="30" t="n">
        <f aca="false">R1389-S1389-T1389</f>
        <v>169.24</v>
      </c>
    </row>
    <row r="1390" customFormat="false" ht="15" hidden="false" customHeight="false" outlineLevel="0" collapsed="false">
      <c r="A1390" s="0" t="n">
        <v>1389</v>
      </c>
      <c r="B1390" s="27" t="n">
        <v>45692</v>
      </c>
      <c r="C1390" s="0" t="n">
        <v>2025</v>
      </c>
      <c r="D1390" s="28" t="s">
        <v>61</v>
      </c>
      <c r="E1390" s="0" t="n">
        <v>2</v>
      </c>
      <c r="F1390" s="28" t="s">
        <v>104</v>
      </c>
      <c r="G1390" s="28" t="s">
        <v>144</v>
      </c>
      <c r="H1390" s="28" t="s">
        <v>102</v>
      </c>
      <c r="I1390" s="28" t="s">
        <v>103</v>
      </c>
      <c r="J1390" s="28" t="s">
        <v>66</v>
      </c>
      <c r="K1390" s="28" t="s">
        <v>76</v>
      </c>
      <c r="L1390" s="28" t="s">
        <v>134</v>
      </c>
      <c r="M1390" s="28" t="s">
        <v>80</v>
      </c>
      <c r="N1390" s="28" t="s">
        <v>136</v>
      </c>
      <c r="O1390" s="29" t="n">
        <v>22</v>
      </c>
      <c r="P1390" s="30" t="n">
        <v>94.39</v>
      </c>
      <c r="Q1390" s="30" t="n">
        <v>49.41</v>
      </c>
      <c r="R1390" s="30" t="n">
        <f aca="false">ROUND(O1390*P1390,2)</f>
        <v>2076.58</v>
      </c>
      <c r="S1390" s="30" t="n">
        <f aca="false">ROUND(O1390*Q1390,2)</f>
        <v>1087.02</v>
      </c>
      <c r="T1390" s="30" t="n">
        <f aca="false">ROUND(R1390*SUMIFS(Parametros!$E$23:$E$38,Parametros!$B$23:$B$38,J1390,Parametros!$C$23:$C$38,C1390,Parametros!$D$23:$D$38,D1390),2)</f>
        <v>27</v>
      </c>
      <c r="U1390" s="30" t="n">
        <f aca="false">R1390-S1390-T1390</f>
        <v>962.56</v>
      </c>
    </row>
    <row r="1391" customFormat="false" ht="15" hidden="false" customHeight="false" outlineLevel="0" collapsed="false">
      <c r="A1391" s="0" t="n">
        <v>1390</v>
      </c>
      <c r="B1391" s="27" t="n">
        <v>45699</v>
      </c>
      <c r="C1391" s="0" t="n">
        <v>2025</v>
      </c>
      <c r="D1391" s="28" t="s">
        <v>61</v>
      </c>
      <c r="E1391" s="0" t="n">
        <v>2</v>
      </c>
      <c r="F1391" s="28" t="s">
        <v>104</v>
      </c>
      <c r="G1391" s="28" t="s">
        <v>144</v>
      </c>
      <c r="H1391" s="28" t="s">
        <v>102</v>
      </c>
      <c r="I1391" s="28" t="s">
        <v>103</v>
      </c>
      <c r="J1391" s="28" t="s">
        <v>71</v>
      </c>
      <c r="K1391" s="28" t="s">
        <v>76</v>
      </c>
      <c r="L1391" s="28" t="s">
        <v>134</v>
      </c>
      <c r="M1391" s="28" t="s">
        <v>80</v>
      </c>
      <c r="N1391" s="28" t="s">
        <v>136</v>
      </c>
      <c r="O1391" s="29" t="n">
        <v>15</v>
      </c>
      <c r="P1391" s="30" t="n">
        <v>94.39</v>
      </c>
      <c r="Q1391" s="30" t="n">
        <v>49.41</v>
      </c>
      <c r="R1391" s="30" t="n">
        <f aca="false">ROUND(O1391*P1391,2)</f>
        <v>1415.85</v>
      </c>
      <c r="S1391" s="30" t="n">
        <f aca="false">ROUND(O1391*Q1391,2)</f>
        <v>741.15</v>
      </c>
      <c r="T1391" s="30" t="n">
        <f aca="false">ROUND(R1391*SUMIFS(Parametros!$E$23:$E$38,Parametros!$B$23:$B$38,J1391,Parametros!$C$23:$C$38,C1391,Parametros!$D$23:$D$38,D1391),2)</f>
        <v>96.28</v>
      </c>
      <c r="U1391" s="30" t="n">
        <f aca="false">R1391-S1391-T1391</f>
        <v>578.42</v>
      </c>
    </row>
    <row r="1392" customFormat="false" ht="15" hidden="false" customHeight="false" outlineLevel="0" collapsed="false">
      <c r="A1392" s="0" t="n">
        <v>1391</v>
      </c>
      <c r="B1392" s="27" t="n">
        <v>45706</v>
      </c>
      <c r="C1392" s="0" t="n">
        <v>2025</v>
      </c>
      <c r="D1392" s="28" t="s">
        <v>61</v>
      </c>
      <c r="E1392" s="0" t="n">
        <v>2</v>
      </c>
      <c r="F1392" s="28" t="s">
        <v>104</v>
      </c>
      <c r="G1392" s="28" t="s">
        <v>144</v>
      </c>
      <c r="H1392" s="28" t="s">
        <v>102</v>
      </c>
      <c r="I1392" s="28" t="s">
        <v>103</v>
      </c>
      <c r="J1392" s="28" t="s">
        <v>66</v>
      </c>
      <c r="K1392" s="28" t="s">
        <v>76</v>
      </c>
      <c r="L1392" s="28" t="s">
        <v>134</v>
      </c>
      <c r="M1392" s="28" t="s">
        <v>82</v>
      </c>
      <c r="N1392" s="28" t="s">
        <v>137</v>
      </c>
      <c r="O1392" s="29" t="n">
        <v>23</v>
      </c>
      <c r="P1392" s="30" t="n">
        <v>64.58</v>
      </c>
      <c r="Q1392" s="30" t="n">
        <v>36.49</v>
      </c>
      <c r="R1392" s="30" t="n">
        <f aca="false">ROUND(O1392*P1392,2)</f>
        <v>1485.34</v>
      </c>
      <c r="S1392" s="30" t="n">
        <f aca="false">ROUND(O1392*Q1392,2)</f>
        <v>839.27</v>
      </c>
      <c r="T1392" s="30" t="n">
        <f aca="false">ROUND(R1392*SUMIFS(Parametros!$E$23:$E$38,Parametros!$B$23:$B$38,J1392,Parametros!$C$23:$C$38,C1392,Parametros!$D$23:$D$38,D1392),2)</f>
        <v>19.31</v>
      </c>
      <c r="U1392" s="30" t="n">
        <f aca="false">R1392-S1392-T1392</f>
        <v>626.76</v>
      </c>
    </row>
    <row r="1393" customFormat="false" ht="15" hidden="false" customHeight="false" outlineLevel="0" collapsed="false">
      <c r="A1393" s="0" t="n">
        <v>1392</v>
      </c>
      <c r="B1393" s="27" t="n">
        <v>45713</v>
      </c>
      <c r="C1393" s="0" t="n">
        <v>2025</v>
      </c>
      <c r="D1393" s="28" t="s">
        <v>61</v>
      </c>
      <c r="E1393" s="0" t="n">
        <v>2</v>
      </c>
      <c r="F1393" s="28" t="s">
        <v>104</v>
      </c>
      <c r="G1393" s="28" t="s">
        <v>144</v>
      </c>
      <c r="H1393" s="28" t="s">
        <v>102</v>
      </c>
      <c r="I1393" s="28" t="s">
        <v>103</v>
      </c>
      <c r="J1393" s="28" t="s">
        <v>71</v>
      </c>
      <c r="K1393" s="28" t="s">
        <v>76</v>
      </c>
      <c r="L1393" s="28" t="s">
        <v>134</v>
      </c>
      <c r="M1393" s="28" t="s">
        <v>82</v>
      </c>
      <c r="N1393" s="28" t="s">
        <v>137</v>
      </c>
      <c r="O1393" s="29" t="n">
        <v>15</v>
      </c>
      <c r="P1393" s="30" t="n">
        <v>64.58</v>
      </c>
      <c r="Q1393" s="30" t="n">
        <v>36.49</v>
      </c>
      <c r="R1393" s="30" t="n">
        <f aca="false">ROUND(O1393*P1393,2)</f>
        <v>968.7</v>
      </c>
      <c r="S1393" s="30" t="n">
        <f aca="false">ROUND(O1393*Q1393,2)</f>
        <v>547.35</v>
      </c>
      <c r="T1393" s="30" t="n">
        <f aca="false">ROUND(R1393*SUMIFS(Parametros!$E$23:$E$38,Parametros!$B$23:$B$38,J1393,Parametros!$C$23:$C$38,C1393,Parametros!$D$23:$D$38,D1393),2)</f>
        <v>65.87</v>
      </c>
      <c r="U1393" s="30" t="n">
        <f aca="false">R1393-S1393-T1393</f>
        <v>355.48</v>
      </c>
    </row>
    <row r="1394" customFormat="false" ht="15" hidden="false" customHeight="false" outlineLevel="0" collapsed="false">
      <c r="A1394" s="0" t="n">
        <v>1393</v>
      </c>
      <c r="B1394" s="27" t="n">
        <v>45693</v>
      </c>
      <c r="C1394" s="0" t="n">
        <v>2025</v>
      </c>
      <c r="D1394" s="28" t="s">
        <v>61</v>
      </c>
      <c r="E1394" s="0" t="n">
        <v>2</v>
      </c>
      <c r="F1394" s="28" t="s">
        <v>104</v>
      </c>
      <c r="G1394" s="28" t="s">
        <v>144</v>
      </c>
      <c r="H1394" s="28" t="s">
        <v>102</v>
      </c>
      <c r="I1394" s="28" t="s">
        <v>103</v>
      </c>
      <c r="J1394" s="28" t="s">
        <v>66</v>
      </c>
      <c r="K1394" s="28" t="s">
        <v>84</v>
      </c>
      <c r="L1394" s="28" t="s">
        <v>138</v>
      </c>
      <c r="M1394" s="28" t="s">
        <v>86</v>
      </c>
      <c r="N1394" s="28" t="s">
        <v>139</v>
      </c>
      <c r="O1394" s="29" t="n">
        <v>11</v>
      </c>
      <c r="P1394" s="30" t="n">
        <v>119.23</v>
      </c>
      <c r="Q1394" s="30" t="n">
        <v>65.51</v>
      </c>
      <c r="R1394" s="30" t="n">
        <f aca="false">ROUND(O1394*P1394,2)</f>
        <v>1311.53</v>
      </c>
      <c r="S1394" s="30" t="n">
        <f aca="false">ROUND(O1394*Q1394,2)</f>
        <v>720.61</v>
      </c>
      <c r="T1394" s="30" t="n">
        <f aca="false">ROUND(R1394*SUMIFS(Parametros!$E$23:$E$38,Parametros!$B$23:$B$38,J1394,Parametros!$C$23:$C$38,C1394,Parametros!$D$23:$D$38,D1394),2)</f>
        <v>17.05</v>
      </c>
      <c r="U1394" s="30" t="n">
        <f aca="false">R1394-S1394-T1394</f>
        <v>573.87</v>
      </c>
    </row>
    <row r="1395" customFormat="false" ht="15" hidden="false" customHeight="false" outlineLevel="0" collapsed="false">
      <c r="A1395" s="0" t="n">
        <v>1394</v>
      </c>
      <c r="B1395" s="27" t="n">
        <v>45700</v>
      </c>
      <c r="C1395" s="0" t="n">
        <v>2025</v>
      </c>
      <c r="D1395" s="28" t="s">
        <v>61</v>
      </c>
      <c r="E1395" s="0" t="n">
        <v>2</v>
      </c>
      <c r="F1395" s="28" t="s">
        <v>104</v>
      </c>
      <c r="G1395" s="28" t="s">
        <v>144</v>
      </c>
      <c r="H1395" s="28" t="s">
        <v>102</v>
      </c>
      <c r="I1395" s="28" t="s">
        <v>103</v>
      </c>
      <c r="J1395" s="28" t="s">
        <v>71</v>
      </c>
      <c r="K1395" s="28" t="s">
        <v>84</v>
      </c>
      <c r="L1395" s="28" t="s">
        <v>138</v>
      </c>
      <c r="M1395" s="28" t="s">
        <v>86</v>
      </c>
      <c r="N1395" s="28" t="s">
        <v>139</v>
      </c>
      <c r="O1395" s="29" t="n">
        <v>7</v>
      </c>
      <c r="P1395" s="30" t="n">
        <v>119.23</v>
      </c>
      <c r="Q1395" s="30" t="n">
        <v>65.51</v>
      </c>
      <c r="R1395" s="30" t="n">
        <f aca="false">ROUND(O1395*P1395,2)</f>
        <v>834.61</v>
      </c>
      <c r="S1395" s="30" t="n">
        <f aca="false">ROUND(O1395*Q1395,2)</f>
        <v>458.57</v>
      </c>
      <c r="T1395" s="30" t="n">
        <f aca="false">ROUND(R1395*SUMIFS(Parametros!$E$23:$E$38,Parametros!$B$23:$B$38,J1395,Parametros!$C$23:$C$38,C1395,Parametros!$D$23:$D$38,D1395),2)</f>
        <v>56.75</v>
      </c>
      <c r="U1395" s="30" t="n">
        <f aca="false">R1395-S1395-T1395</f>
        <v>319.29</v>
      </c>
    </row>
    <row r="1396" customFormat="false" ht="15" hidden="false" customHeight="false" outlineLevel="0" collapsed="false">
      <c r="A1396" s="0" t="n">
        <v>1395</v>
      </c>
      <c r="B1396" s="27" t="n">
        <v>45707</v>
      </c>
      <c r="C1396" s="0" t="n">
        <v>2025</v>
      </c>
      <c r="D1396" s="28" t="s">
        <v>61</v>
      </c>
      <c r="E1396" s="0" t="n">
        <v>2</v>
      </c>
      <c r="F1396" s="28" t="s">
        <v>104</v>
      </c>
      <c r="G1396" s="28" t="s">
        <v>144</v>
      </c>
      <c r="H1396" s="28" t="s">
        <v>102</v>
      </c>
      <c r="I1396" s="28" t="s">
        <v>103</v>
      </c>
      <c r="J1396" s="28" t="s">
        <v>66</v>
      </c>
      <c r="K1396" s="28" t="s">
        <v>84</v>
      </c>
      <c r="L1396" s="28" t="s">
        <v>138</v>
      </c>
      <c r="M1396" s="28" t="s">
        <v>88</v>
      </c>
      <c r="N1396" s="28" t="s">
        <v>140</v>
      </c>
      <c r="O1396" s="29" t="n">
        <v>11</v>
      </c>
      <c r="P1396" s="30" t="n">
        <v>84.46</v>
      </c>
      <c r="Q1396" s="30" t="n">
        <v>49.47</v>
      </c>
      <c r="R1396" s="30" t="n">
        <f aca="false">ROUND(O1396*P1396,2)</f>
        <v>929.06</v>
      </c>
      <c r="S1396" s="30" t="n">
        <f aca="false">ROUND(O1396*Q1396,2)</f>
        <v>544.17</v>
      </c>
      <c r="T1396" s="30" t="n">
        <f aca="false">ROUND(R1396*SUMIFS(Parametros!$E$23:$E$38,Parametros!$B$23:$B$38,J1396,Parametros!$C$23:$C$38,C1396,Parametros!$D$23:$D$38,D1396),2)</f>
        <v>12.08</v>
      </c>
      <c r="U1396" s="30" t="n">
        <f aca="false">R1396-S1396-T1396</f>
        <v>372.81</v>
      </c>
    </row>
    <row r="1397" customFormat="false" ht="15" hidden="false" customHeight="false" outlineLevel="0" collapsed="false">
      <c r="A1397" s="0" t="n">
        <v>1396</v>
      </c>
      <c r="B1397" s="27" t="n">
        <v>45714</v>
      </c>
      <c r="C1397" s="0" t="n">
        <v>2025</v>
      </c>
      <c r="D1397" s="28" t="s">
        <v>61</v>
      </c>
      <c r="E1397" s="0" t="n">
        <v>2</v>
      </c>
      <c r="F1397" s="28" t="s">
        <v>104</v>
      </c>
      <c r="G1397" s="28" t="s">
        <v>144</v>
      </c>
      <c r="H1397" s="28" t="s">
        <v>102</v>
      </c>
      <c r="I1397" s="28" t="s">
        <v>103</v>
      </c>
      <c r="J1397" s="28" t="s">
        <v>71</v>
      </c>
      <c r="K1397" s="28" t="s">
        <v>84</v>
      </c>
      <c r="L1397" s="28" t="s">
        <v>138</v>
      </c>
      <c r="M1397" s="28" t="s">
        <v>88</v>
      </c>
      <c r="N1397" s="28" t="s">
        <v>140</v>
      </c>
      <c r="O1397" s="29" t="n">
        <v>7</v>
      </c>
      <c r="P1397" s="30" t="n">
        <v>84.46</v>
      </c>
      <c r="Q1397" s="30" t="n">
        <v>49.47</v>
      </c>
      <c r="R1397" s="30" t="n">
        <f aca="false">ROUND(O1397*P1397,2)</f>
        <v>591.22</v>
      </c>
      <c r="S1397" s="30" t="n">
        <f aca="false">ROUND(O1397*Q1397,2)</f>
        <v>346.29</v>
      </c>
      <c r="T1397" s="30" t="n">
        <f aca="false">ROUND(R1397*SUMIFS(Parametros!$E$23:$E$38,Parametros!$B$23:$B$38,J1397,Parametros!$C$23:$C$38,C1397,Parametros!$D$23:$D$38,D1397),2)</f>
        <v>40.2</v>
      </c>
      <c r="U1397" s="30" t="n">
        <f aca="false">R1397-S1397-T1397</f>
        <v>204.73</v>
      </c>
    </row>
    <row r="1398" customFormat="false" ht="15" hidden="false" customHeight="false" outlineLevel="0" collapsed="false">
      <c r="A1398" s="0" t="n">
        <v>1397</v>
      </c>
      <c r="B1398" s="27" t="n">
        <v>45694</v>
      </c>
      <c r="C1398" s="0" t="n">
        <v>2025</v>
      </c>
      <c r="D1398" s="28" t="s">
        <v>61</v>
      </c>
      <c r="E1398" s="0" t="n">
        <v>2</v>
      </c>
      <c r="F1398" s="28" t="s">
        <v>104</v>
      </c>
      <c r="G1398" s="28" t="s">
        <v>144</v>
      </c>
      <c r="H1398" s="28" t="s">
        <v>102</v>
      </c>
      <c r="I1398" s="28" t="s">
        <v>103</v>
      </c>
      <c r="J1398" s="28" t="s">
        <v>66</v>
      </c>
      <c r="K1398" s="28" t="s">
        <v>90</v>
      </c>
      <c r="L1398" s="28" t="s">
        <v>141</v>
      </c>
      <c r="M1398" s="28" t="s">
        <v>92</v>
      </c>
      <c r="N1398" s="28" t="s">
        <v>142</v>
      </c>
      <c r="O1398" s="29" t="n">
        <v>13</v>
      </c>
      <c r="P1398" s="30" t="n">
        <v>129.17</v>
      </c>
      <c r="Q1398" s="30" t="n">
        <v>78.33</v>
      </c>
      <c r="R1398" s="30" t="n">
        <f aca="false">ROUND(O1398*P1398,2)</f>
        <v>1679.21</v>
      </c>
      <c r="S1398" s="30" t="n">
        <f aca="false">ROUND(O1398*Q1398,2)</f>
        <v>1018.29</v>
      </c>
      <c r="T1398" s="30" t="n">
        <f aca="false">ROUND(R1398*SUMIFS(Parametros!$E$23:$E$38,Parametros!$B$23:$B$38,J1398,Parametros!$C$23:$C$38,C1398,Parametros!$D$23:$D$38,D1398),2)</f>
        <v>21.83</v>
      </c>
      <c r="U1398" s="30" t="n">
        <f aca="false">R1398-S1398-T1398</f>
        <v>639.09</v>
      </c>
    </row>
    <row r="1399" customFormat="false" ht="15" hidden="false" customHeight="false" outlineLevel="0" collapsed="false">
      <c r="A1399" s="0" t="n">
        <v>1398</v>
      </c>
      <c r="B1399" s="27" t="n">
        <v>45701</v>
      </c>
      <c r="C1399" s="0" t="n">
        <v>2025</v>
      </c>
      <c r="D1399" s="28" t="s">
        <v>61</v>
      </c>
      <c r="E1399" s="0" t="n">
        <v>2</v>
      </c>
      <c r="F1399" s="28" t="s">
        <v>104</v>
      </c>
      <c r="G1399" s="28" t="s">
        <v>144</v>
      </c>
      <c r="H1399" s="28" t="s">
        <v>102</v>
      </c>
      <c r="I1399" s="28" t="s">
        <v>103</v>
      </c>
      <c r="J1399" s="28" t="s">
        <v>71</v>
      </c>
      <c r="K1399" s="28" t="s">
        <v>90</v>
      </c>
      <c r="L1399" s="28" t="s">
        <v>141</v>
      </c>
      <c r="M1399" s="28" t="s">
        <v>92</v>
      </c>
      <c r="N1399" s="28" t="s">
        <v>142</v>
      </c>
      <c r="O1399" s="29" t="n">
        <v>10</v>
      </c>
      <c r="P1399" s="30" t="n">
        <v>129.17</v>
      </c>
      <c r="Q1399" s="30" t="n">
        <v>78.33</v>
      </c>
      <c r="R1399" s="30" t="n">
        <f aca="false">ROUND(O1399*P1399,2)</f>
        <v>1291.7</v>
      </c>
      <c r="S1399" s="30" t="n">
        <f aca="false">ROUND(O1399*Q1399,2)</f>
        <v>783.3</v>
      </c>
      <c r="T1399" s="30" t="n">
        <f aca="false">ROUND(R1399*SUMIFS(Parametros!$E$23:$E$38,Parametros!$B$23:$B$38,J1399,Parametros!$C$23:$C$38,C1399,Parametros!$D$23:$D$38,D1399),2)</f>
        <v>87.84</v>
      </c>
      <c r="U1399" s="30" t="n">
        <f aca="false">R1399-S1399-T1399</f>
        <v>420.56</v>
      </c>
    </row>
    <row r="1400" customFormat="false" ht="15" hidden="false" customHeight="false" outlineLevel="0" collapsed="false">
      <c r="A1400" s="0" t="n">
        <v>1399</v>
      </c>
      <c r="B1400" s="27" t="n">
        <v>45708</v>
      </c>
      <c r="C1400" s="0" t="n">
        <v>2025</v>
      </c>
      <c r="D1400" s="28" t="s">
        <v>61</v>
      </c>
      <c r="E1400" s="0" t="n">
        <v>2</v>
      </c>
      <c r="F1400" s="28" t="s">
        <v>104</v>
      </c>
      <c r="G1400" s="28" t="s">
        <v>144</v>
      </c>
      <c r="H1400" s="28" t="s">
        <v>102</v>
      </c>
      <c r="I1400" s="28" t="s">
        <v>103</v>
      </c>
      <c r="J1400" s="28" t="s">
        <v>66</v>
      </c>
      <c r="K1400" s="28" t="s">
        <v>90</v>
      </c>
      <c r="L1400" s="28" t="s">
        <v>141</v>
      </c>
      <c r="M1400" s="28" t="s">
        <v>94</v>
      </c>
      <c r="N1400" s="28" t="s">
        <v>143</v>
      </c>
      <c r="O1400" s="29" t="n">
        <v>14</v>
      </c>
      <c r="P1400" s="30" t="n">
        <v>34.78</v>
      </c>
      <c r="Q1400" s="30" t="n">
        <v>18.39</v>
      </c>
      <c r="R1400" s="30" t="n">
        <f aca="false">ROUND(O1400*P1400,2)</f>
        <v>486.92</v>
      </c>
      <c r="S1400" s="30" t="n">
        <f aca="false">ROUND(O1400*Q1400,2)</f>
        <v>257.46</v>
      </c>
      <c r="T1400" s="30" t="n">
        <f aca="false">ROUND(R1400*SUMIFS(Parametros!$E$23:$E$38,Parametros!$B$23:$B$38,J1400,Parametros!$C$23:$C$38,C1400,Parametros!$D$23:$D$38,D1400),2)</f>
        <v>6.33</v>
      </c>
      <c r="U1400" s="30" t="n">
        <f aca="false">R1400-S1400-T1400</f>
        <v>223.13</v>
      </c>
    </row>
    <row r="1401" customFormat="false" ht="15" hidden="false" customHeight="false" outlineLevel="0" collapsed="false">
      <c r="A1401" s="0" t="n">
        <v>1400</v>
      </c>
      <c r="B1401" s="27" t="n">
        <v>45715</v>
      </c>
      <c r="C1401" s="0" t="n">
        <v>2025</v>
      </c>
      <c r="D1401" s="28" t="s">
        <v>61</v>
      </c>
      <c r="E1401" s="0" t="n">
        <v>2</v>
      </c>
      <c r="F1401" s="28" t="s">
        <v>104</v>
      </c>
      <c r="G1401" s="28" t="s">
        <v>144</v>
      </c>
      <c r="H1401" s="28" t="s">
        <v>102</v>
      </c>
      <c r="I1401" s="28" t="s">
        <v>103</v>
      </c>
      <c r="J1401" s="28" t="s">
        <v>71</v>
      </c>
      <c r="K1401" s="28" t="s">
        <v>90</v>
      </c>
      <c r="L1401" s="28" t="s">
        <v>141</v>
      </c>
      <c r="M1401" s="28" t="s">
        <v>94</v>
      </c>
      <c r="N1401" s="28" t="s">
        <v>143</v>
      </c>
      <c r="O1401" s="29" t="n">
        <v>10</v>
      </c>
      <c r="P1401" s="30" t="n">
        <v>34.78</v>
      </c>
      <c r="Q1401" s="30" t="n">
        <v>18.39</v>
      </c>
      <c r="R1401" s="30" t="n">
        <f aca="false">ROUND(O1401*P1401,2)</f>
        <v>347.8</v>
      </c>
      <c r="S1401" s="30" t="n">
        <f aca="false">ROUND(O1401*Q1401,2)</f>
        <v>183.9</v>
      </c>
      <c r="T1401" s="30" t="n">
        <f aca="false">ROUND(R1401*SUMIFS(Parametros!$E$23:$E$38,Parametros!$B$23:$B$38,J1401,Parametros!$C$23:$C$38,C1401,Parametros!$D$23:$D$38,D1401),2)</f>
        <v>23.65</v>
      </c>
      <c r="U1401" s="30" t="n">
        <f aca="false">R1401-S1401-T1401</f>
        <v>140.25</v>
      </c>
    </row>
    <row r="1402" customFormat="false" ht="15" hidden="false" customHeight="false" outlineLevel="0" collapsed="false">
      <c r="A1402" s="0" t="n">
        <v>1401</v>
      </c>
      <c r="B1402" s="27" t="n">
        <v>45723</v>
      </c>
      <c r="C1402" s="0" t="n">
        <v>2025</v>
      </c>
      <c r="D1402" s="28" t="s">
        <v>61</v>
      </c>
      <c r="E1402" s="0" t="n">
        <v>3</v>
      </c>
      <c r="F1402" s="28" t="s">
        <v>106</v>
      </c>
      <c r="G1402" s="28" t="s">
        <v>145</v>
      </c>
      <c r="H1402" s="28" t="s">
        <v>64</v>
      </c>
      <c r="I1402" s="28" t="s">
        <v>65</v>
      </c>
      <c r="J1402" s="28" t="s">
        <v>66</v>
      </c>
      <c r="K1402" s="28" t="s">
        <v>67</v>
      </c>
      <c r="L1402" s="28" t="s">
        <v>130</v>
      </c>
      <c r="M1402" s="28" t="s">
        <v>69</v>
      </c>
      <c r="N1402" s="28" t="s">
        <v>131</v>
      </c>
      <c r="O1402" s="29" t="n">
        <v>19</v>
      </c>
      <c r="P1402" s="30" t="n">
        <v>1155.06</v>
      </c>
      <c r="Q1402" s="30" t="n">
        <v>766.32</v>
      </c>
      <c r="R1402" s="30" t="n">
        <f aca="false">ROUND(O1402*P1402,2)</f>
        <v>21946.14</v>
      </c>
      <c r="S1402" s="30" t="n">
        <f aca="false">ROUND(O1402*Q1402,2)</f>
        <v>14560.08</v>
      </c>
      <c r="T1402" s="30" t="n">
        <f aca="false">ROUND(R1402*SUMIFS(Parametros!$E$23:$E$38,Parametros!$B$23:$B$38,J1402,Parametros!$C$23:$C$38,C1402,Parametros!$D$23:$D$38,D1402),2)</f>
        <v>285.3</v>
      </c>
      <c r="U1402" s="30" t="n">
        <f aca="false">R1402-S1402-T1402</f>
        <v>7100.76</v>
      </c>
    </row>
    <row r="1403" customFormat="false" ht="15" hidden="false" customHeight="false" outlineLevel="0" collapsed="false">
      <c r="A1403" s="0" t="n">
        <v>1402</v>
      </c>
      <c r="B1403" s="27" t="n">
        <v>45730</v>
      </c>
      <c r="C1403" s="0" t="n">
        <v>2025</v>
      </c>
      <c r="D1403" s="28" t="s">
        <v>61</v>
      </c>
      <c r="E1403" s="0" t="n">
        <v>3</v>
      </c>
      <c r="F1403" s="28" t="s">
        <v>106</v>
      </c>
      <c r="G1403" s="28" t="s">
        <v>145</v>
      </c>
      <c r="H1403" s="28" t="s">
        <v>64</v>
      </c>
      <c r="I1403" s="28" t="s">
        <v>65</v>
      </c>
      <c r="J1403" s="28" t="s">
        <v>71</v>
      </c>
      <c r="K1403" s="28" t="s">
        <v>67</v>
      </c>
      <c r="L1403" s="28" t="s">
        <v>130</v>
      </c>
      <c r="M1403" s="28" t="s">
        <v>69</v>
      </c>
      <c r="N1403" s="28" t="s">
        <v>131</v>
      </c>
      <c r="O1403" s="29" t="n">
        <v>12</v>
      </c>
      <c r="P1403" s="30" t="n">
        <v>1155.06</v>
      </c>
      <c r="Q1403" s="30" t="n">
        <v>766.32</v>
      </c>
      <c r="R1403" s="30" t="n">
        <f aca="false">ROUND(O1403*P1403,2)</f>
        <v>13860.72</v>
      </c>
      <c r="S1403" s="30" t="n">
        <f aca="false">ROUND(O1403*Q1403,2)</f>
        <v>9195.84</v>
      </c>
      <c r="T1403" s="30" t="n">
        <f aca="false">ROUND(R1403*SUMIFS(Parametros!$E$23:$E$38,Parametros!$B$23:$B$38,J1403,Parametros!$C$23:$C$38,C1403,Parametros!$D$23:$D$38,D1403),2)</f>
        <v>942.53</v>
      </c>
      <c r="U1403" s="30" t="n">
        <f aca="false">R1403-S1403-T1403</f>
        <v>3722.35</v>
      </c>
    </row>
    <row r="1404" customFormat="false" ht="15" hidden="false" customHeight="false" outlineLevel="0" collapsed="false">
      <c r="A1404" s="0" t="n">
        <v>1403</v>
      </c>
      <c r="B1404" s="27" t="n">
        <v>45737</v>
      </c>
      <c r="C1404" s="0" t="n">
        <v>2025</v>
      </c>
      <c r="D1404" s="28" t="s">
        <v>61</v>
      </c>
      <c r="E1404" s="0" t="n">
        <v>3</v>
      </c>
      <c r="F1404" s="28" t="s">
        <v>106</v>
      </c>
      <c r="G1404" s="28" t="s">
        <v>145</v>
      </c>
      <c r="H1404" s="28" t="s">
        <v>64</v>
      </c>
      <c r="I1404" s="28" t="s">
        <v>65</v>
      </c>
      <c r="J1404" s="28" t="s">
        <v>66</v>
      </c>
      <c r="K1404" s="28" t="s">
        <v>67</v>
      </c>
      <c r="L1404" s="28" t="s">
        <v>130</v>
      </c>
      <c r="M1404" s="28" t="s">
        <v>72</v>
      </c>
      <c r="N1404" s="28" t="s">
        <v>132</v>
      </c>
      <c r="O1404" s="29" t="n">
        <v>23</v>
      </c>
      <c r="P1404" s="30" t="n">
        <v>433.15</v>
      </c>
      <c r="Q1404" s="30" t="n">
        <v>280.42</v>
      </c>
      <c r="R1404" s="30" t="n">
        <f aca="false">ROUND(O1404*P1404,2)</f>
        <v>9962.45</v>
      </c>
      <c r="S1404" s="30" t="n">
        <f aca="false">ROUND(O1404*Q1404,2)</f>
        <v>6449.66</v>
      </c>
      <c r="T1404" s="30" t="n">
        <f aca="false">ROUND(R1404*SUMIFS(Parametros!$E$23:$E$38,Parametros!$B$23:$B$38,J1404,Parametros!$C$23:$C$38,C1404,Parametros!$D$23:$D$38,D1404),2)</f>
        <v>129.51</v>
      </c>
      <c r="U1404" s="30" t="n">
        <f aca="false">R1404-S1404-T1404</f>
        <v>3383.28</v>
      </c>
    </row>
    <row r="1405" customFormat="false" ht="15" hidden="false" customHeight="false" outlineLevel="0" collapsed="false">
      <c r="A1405" s="0" t="n">
        <v>1404</v>
      </c>
      <c r="B1405" s="27" t="n">
        <v>45717</v>
      </c>
      <c r="C1405" s="0" t="n">
        <v>2025</v>
      </c>
      <c r="D1405" s="28" t="s">
        <v>61</v>
      </c>
      <c r="E1405" s="0" t="n">
        <v>3</v>
      </c>
      <c r="F1405" s="28" t="s">
        <v>106</v>
      </c>
      <c r="G1405" s="28" t="s">
        <v>145</v>
      </c>
      <c r="H1405" s="28" t="s">
        <v>64</v>
      </c>
      <c r="I1405" s="28" t="s">
        <v>65</v>
      </c>
      <c r="J1405" s="28" t="s">
        <v>71</v>
      </c>
      <c r="K1405" s="28" t="s">
        <v>67</v>
      </c>
      <c r="L1405" s="28" t="s">
        <v>130</v>
      </c>
      <c r="M1405" s="28" t="s">
        <v>72</v>
      </c>
      <c r="N1405" s="28" t="s">
        <v>132</v>
      </c>
      <c r="O1405" s="29" t="n">
        <v>16</v>
      </c>
      <c r="P1405" s="30" t="n">
        <v>433.15</v>
      </c>
      <c r="Q1405" s="30" t="n">
        <v>280.42</v>
      </c>
      <c r="R1405" s="30" t="n">
        <f aca="false">ROUND(O1405*P1405,2)</f>
        <v>6930.4</v>
      </c>
      <c r="S1405" s="30" t="n">
        <f aca="false">ROUND(O1405*Q1405,2)</f>
        <v>4486.72</v>
      </c>
      <c r="T1405" s="30" t="n">
        <f aca="false">ROUND(R1405*SUMIFS(Parametros!$E$23:$E$38,Parametros!$B$23:$B$38,J1405,Parametros!$C$23:$C$38,C1405,Parametros!$D$23:$D$38,D1405),2)</f>
        <v>471.27</v>
      </c>
      <c r="U1405" s="30" t="n">
        <f aca="false">R1405-S1405-T1405</f>
        <v>1972.41</v>
      </c>
    </row>
    <row r="1406" customFormat="false" ht="15" hidden="false" customHeight="false" outlineLevel="0" collapsed="false">
      <c r="A1406" s="0" t="n">
        <v>1405</v>
      </c>
      <c r="B1406" s="27" t="n">
        <v>45724</v>
      </c>
      <c r="C1406" s="0" t="n">
        <v>2025</v>
      </c>
      <c r="D1406" s="28" t="s">
        <v>61</v>
      </c>
      <c r="E1406" s="0" t="n">
        <v>3</v>
      </c>
      <c r="F1406" s="28" t="s">
        <v>106</v>
      </c>
      <c r="G1406" s="28" t="s">
        <v>145</v>
      </c>
      <c r="H1406" s="28" t="s">
        <v>64</v>
      </c>
      <c r="I1406" s="28" t="s">
        <v>65</v>
      </c>
      <c r="J1406" s="28" t="s">
        <v>66</v>
      </c>
      <c r="K1406" s="28" t="s">
        <v>67</v>
      </c>
      <c r="L1406" s="28" t="s">
        <v>130</v>
      </c>
      <c r="M1406" s="28" t="s">
        <v>74</v>
      </c>
      <c r="N1406" s="28" t="s">
        <v>133</v>
      </c>
      <c r="O1406" s="29" t="n">
        <v>20</v>
      </c>
      <c r="P1406" s="30" t="n">
        <v>1588.21</v>
      </c>
      <c r="Q1406" s="30" t="n">
        <v>1155.66</v>
      </c>
      <c r="R1406" s="30" t="n">
        <f aca="false">ROUND(O1406*P1406,2)</f>
        <v>31764.2</v>
      </c>
      <c r="S1406" s="30" t="n">
        <f aca="false">ROUND(O1406*Q1406,2)</f>
        <v>23113.2</v>
      </c>
      <c r="T1406" s="30" t="n">
        <f aca="false">ROUND(R1406*SUMIFS(Parametros!$E$23:$E$38,Parametros!$B$23:$B$38,J1406,Parametros!$C$23:$C$38,C1406,Parametros!$D$23:$D$38,D1406),2)</f>
        <v>412.93</v>
      </c>
      <c r="U1406" s="30" t="n">
        <f aca="false">R1406-S1406-T1406</f>
        <v>8238.07</v>
      </c>
    </row>
    <row r="1407" customFormat="false" ht="15" hidden="false" customHeight="false" outlineLevel="0" collapsed="false">
      <c r="A1407" s="0" t="n">
        <v>1406</v>
      </c>
      <c r="B1407" s="27" t="n">
        <v>45731</v>
      </c>
      <c r="C1407" s="0" t="n">
        <v>2025</v>
      </c>
      <c r="D1407" s="28" t="s">
        <v>61</v>
      </c>
      <c r="E1407" s="0" t="n">
        <v>3</v>
      </c>
      <c r="F1407" s="28" t="s">
        <v>106</v>
      </c>
      <c r="G1407" s="28" t="s">
        <v>145</v>
      </c>
      <c r="H1407" s="28" t="s">
        <v>64</v>
      </c>
      <c r="I1407" s="28" t="s">
        <v>65</v>
      </c>
      <c r="J1407" s="28" t="s">
        <v>71</v>
      </c>
      <c r="K1407" s="28" t="s">
        <v>67</v>
      </c>
      <c r="L1407" s="28" t="s">
        <v>130</v>
      </c>
      <c r="M1407" s="28" t="s">
        <v>74</v>
      </c>
      <c r="N1407" s="28" t="s">
        <v>133</v>
      </c>
      <c r="O1407" s="29" t="n">
        <v>15</v>
      </c>
      <c r="P1407" s="30" t="n">
        <v>1588.21</v>
      </c>
      <c r="Q1407" s="30" t="n">
        <v>1155.66</v>
      </c>
      <c r="R1407" s="30" t="n">
        <f aca="false">ROUND(O1407*P1407,2)</f>
        <v>23823.15</v>
      </c>
      <c r="S1407" s="30" t="n">
        <f aca="false">ROUND(O1407*Q1407,2)</f>
        <v>17334.9</v>
      </c>
      <c r="T1407" s="30" t="n">
        <f aca="false">ROUND(R1407*SUMIFS(Parametros!$E$23:$E$38,Parametros!$B$23:$B$38,J1407,Parametros!$C$23:$C$38,C1407,Parametros!$D$23:$D$38,D1407),2)</f>
        <v>1619.97</v>
      </c>
      <c r="U1407" s="30" t="n">
        <f aca="false">R1407-S1407-T1407</f>
        <v>4868.28</v>
      </c>
    </row>
    <row r="1408" customFormat="false" ht="15" hidden="false" customHeight="false" outlineLevel="0" collapsed="false">
      <c r="A1408" s="0" t="n">
        <v>1407</v>
      </c>
      <c r="B1408" s="27" t="n">
        <v>45738</v>
      </c>
      <c r="C1408" s="0" t="n">
        <v>2025</v>
      </c>
      <c r="D1408" s="28" t="s">
        <v>61</v>
      </c>
      <c r="E1408" s="0" t="n">
        <v>3</v>
      </c>
      <c r="F1408" s="28" t="s">
        <v>106</v>
      </c>
      <c r="G1408" s="28" t="s">
        <v>145</v>
      </c>
      <c r="H1408" s="28" t="s">
        <v>64</v>
      </c>
      <c r="I1408" s="28" t="s">
        <v>65</v>
      </c>
      <c r="J1408" s="28" t="s">
        <v>66</v>
      </c>
      <c r="K1408" s="28" t="s">
        <v>76</v>
      </c>
      <c r="L1408" s="28" t="s">
        <v>134</v>
      </c>
      <c r="M1408" s="28" t="s">
        <v>78</v>
      </c>
      <c r="N1408" s="28" t="s">
        <v>135</v>
      </c>
      <c r="O1408" s="29" t="n">
        <v>77</v>
      </c>
      <c r="P1408" s="30" t="n">
        <v>27.82</v>
      </c>
      <c r="Q1408" s="30" t="n">
        <v>13.84</v>
      </c>
      <c r="R1408" s="30" t="n">
        <f aca="false">ROUND(O1408*P1408,2)</f>
        <v>2142.14</v>
      </c>
      <c r="S1408" s="30" t="n">
        <f aca="false">ROUND(O1408*Q1408,2)</f>
        <v>1065.68</v>
      </c>
      <c r="T1408" s="30" t="n">
        <f aca="false">ROUND(R1408*SUMIFS(Parametros!$E$23:$E$38,Parametros!$B$23:$B$38,J1408,Parametros!$C$23:$C$38,C1408,Parametros!$D$23:$D$38,D1408),2)</f>
        <v>27.85</v>
      </c>
      <c r="U1408" s="30" t="n">
        <f aca="false">R1408-S1408-T1408</f>
        <v>1048.61</v>
      </c>
    </row>
    <row r="1409" customFormat="false" ht="15" hidden="false" customHeight="false" outlineLevel="0" collapsed="false">
      <c r="A1409" s="0" t="n">
        <v>1408</v>
      </c>
      <c r="B1409" s="27" t="n">
        <v>45718</v>
      </c>
      <c r="C1409" s="0" t="n">
        <v>2025</v>
      </c>
      <c r="D1409" s="28" t="s">
        <v>61</v>
      </c>
      <c r="E1409" s="0" t="n">
        <v>3</v>
      </c>
      <c r="F1409" s="28" t="s">
        <v>106</v>
      </c>
      <c r="G1409" s="28" t="s">
        <v>145</v>
      </c>
      <c r="H1409" s="28" t="s">
        <v>64</v>
      </c>
      <c r="I1409" s="28" t="s">
        <v>65</v>
      </c>
      <c r="J1409" s="28" t="s">
        <v>71</v>
      </c>
      <c r="K1409" s="28" t="s">
        <v>76</v>
      </c>
      <c r="L1409" s="28" t="s">
        <v>134</v>
      </c>
      <c r="M1409" s="28" t="s">
        <v>78</v>
      </c>
      <c r="N1409" s="28" t="s">
        <v>135</v>
      </c>
      <c r="O1409" s="29" t="n">
        <v>57</v>
      </c>
      <c r="P1409" s="30" t="n">
        <v>27.82</v>
      </c>
      <c r="Q1409" s="30" t="n">
        <v>13.84</v>
      </c>
      <c r="R1409" s="30" t="n">
        <f aca="false">ROUND(O1409*P1409,2)</f>
        <v>1585.74</v>
      </c>
      <c r="S1409" s="30" t="n">
        <f aca="false">ROUND(O1409*Q1409,2)</f>
        <v>788.88</v>
      </c>
      <c r="T1409" s="30" t="n">
        <f aca="false">ROUND(R1409*SUMIFS(Parametros!$E$23:$E$38,Parametros!$B$23:$B$38,J1409,Parametros!$C$23:$C$38,C1409,Parametros!$D$23:$D$38,D1409),2)</f>
        <v>107.83</v>
      </c>
      <c r="U1409" s="30" t="n">
        <f aca="false">R1409-S1409-T1409</f>
        <v>689.03</v>
      </c>
    </row>
    <row r="1410" customFormat="false" ht="15" hidden="false" customHeight="false" outlineLevel="0" collapsed="false">
      <c r="A1410" s="0" t="n">
        <v>1409</v>
      </c>
      <c r="B1410" s="27" t="n">
        <v>45725</v>
      </c>
      <c r="C1410" s="0" t="n">
        <v>2025</v>
      </c>
      <c r="D1410" s="28" t="s">
        <v>61</v>
      </c>
      <c r="E1410" s="0" t="n">
        <v>3</v>
      </c>
      <c r="F1410" s="28" t="s">
        <v>106</v>
      </c>
      <c r="G1410" s="28" t="s">
        <v>145</v>
      </c>
      <c r="H1410" s="28" t="s">
        <v>64</v>
      </c>
      <c r="I1410" s="28" t="s">
        <v>65</v>
      </c>
      <c r="J1410" s="28" t="s">
        <v>66</v>
      </c>
      <c r="K1410" s="28" t="s">
        <v>76</v>
      </c>
      <c r="L1410" s="28" t="s">
        <v>134</v>
      </c>
      <c r="M1410" s="28" t="s">
        <v>80</v>
      </c>
      <c r="N1410" s="28" t="s">
        <v>136</v>
      </c>
      <c r="O1410" s="29" t="n">
        <v>78</v>
      </c>
      <c r="P1410" s="30" t="n">
        <v>94.39</v>
      </c>
      <c r="Q1410" s="30" t="n">
        <v>49.41</v>
      </c>
      <c r="R1410" s="30" t="n">
        <f aca="false">ROUND(O1410*P1410,2)</f>
        <v>7362.42</v>
      </c>
      <c r="S1410" s="30" t="n">
        <f aca="false">ROUND(O1410*Q1410,2)</f>
        <v>3853.98</v>
      </c>
      <c r="T1410" s="30" t="n">
        <f aca="false">ROUND(R1410*SUMIFS(Parametros!$E$23:$E$38,Parametros!$B$23:$B$38,J1410,Parametros!$C$23:$C$38,C1410,Parametros!$D$23:$D$38,D1410),2)</f>
        <v>95.71</v>
      </c>
      <c r="U1410" s="30" t="n">
        <f aca="false">R1410-S1410-T1410</f>
        <v>3412.73</v>
      </c>
    </row>
    <row r="1411" customFormat="false" ht="15" hidden="false" customHeight="false" outlineLevel="0" collapsed="false">
      <c r="A1411" s="0" t="n">
        <v>1410</v>
      </c>
      <c r="B1411" s="27" t="n">
        <v>45732</v>
      </c>
      <c r="C1411" s="0" t="n">
        <v>2025</v>
      </c>
      <c r="D1411" s="28" t="s">
        <v>61</v>
      </c>
      <c r="E1411" s="0" t="n">
        <v>3</v>
      </c>
      <c r="F1411" s="28" t="s">
        <v>106</v>
      </c>
      <c r="G1411" s="28" t="s">
        <v>145</v>
      </c>
      <c r="H1411" s="28" t="s">
        <v>64</v>
      </c>
      <c r="I1411" s="28" t="s">
        <v>65</v>
      </c>
      <c r="J1411" s="28" t="s">
        <v>71</v>
      </c>
      <c r="K1411" s="28" t="s">
        <v>76</v>
      </c>
      <c r="L1411" s="28" t="s">
        <v>134</v>
      </c>
      <c r="M1411" s="28" t="s">
        <v>80</v>
      </c>
      <c r="N1411" s="28" t="s">
        <v>136</v>
      </c>
      <c r="O1411" s="29" t="n">
        <v>64</v>
      </c>
      <c r="P1411" s="30" t="n">
        <v>94.39</v>
      </c>
      <c r="Q1411" s="30" t="n">
        <v>49.41</v>
      </c>
      <c r="R1411" s="30" t="n">
        <f aca="false">ROUND(O1411*P1411,2)</f>
        <v>6040.96</v>
      </c>
      <c r="S1411" s="30" t="n">
        <f aca="false">ROUND(O1411*Q1411,2)</f>
        <v>3162.24</v>
      </c>
      <c r="T1411" s="30" t="n">
        <f aca="false">ROUND(R1411*SUMIFS(Parametros!$E$23:$E$38,Parametros!$B$23:$B$38,J1411,Parametros!$C$23:$C$38,C1411,Parametros!$D$23:$D$38,D1411),2)</f>
        <v>410.79</v>
      </c>
      <c r="U1411" s="30" t="n">
        <f aca="false">R1411-S1411-T1411</f>
        <v>2467.93</v>
      </c>
    </row>
    <row r="1412" customFormat="false" ht="15" hidden="false" customHeight="false" outlineLevel="0" collapsed="false">
      <c r="A1412" s="0" t="n">
        <v>1411</v>
      </c>
      <c r="B1412" s="27" t="n">
        <v>45739</v>
      </c>
      <c r="C1412" s="0" t="n">
        <v>2025</v>
      </c>
      <c r="D1412" s="28" t="s">
        <v>61</v>
      </c>
      <c r="E1412" s="0" t="n">
        <v>3</v>
      </c>
      <c r="F1412" s="28" t="s">
        <v>106</v>
      </c>
      <c r="G1412" s="28" t="s">
        <v>145</v>
      </c>
      <c r="H1412" s="28" t="s">
        <v>64</v>
      </c>
      <c r="I1412" s="28" t="s">
        <v>65</v>
      </c>
      <c r="J1412" s="28" t="s">
        <v>66</v>
      </c>
      <c r="K1412" s="28" t="s">
        <v>76</v>
      </c>
      <c r="L1412" s="28" t="s">
        <v>134</v>
      </c>
      <c r="M1412" s="28" t="s">
        <v>82</v>
      </c>
      <c r="N1412" s="28" t="s">
        <v>137</v>
      </c>
      <c r="O1412" s="29" t="n">
        <v>94</v>
      </c>
      <c r="P1412" s="30" t="n">
        <v>64.58</v>
      </c>
      <c r="Q1412" s="30" t="n">
        <v>36.49</v>
      </c>
      <c r="R1412" s="30" t="n">
        <f aca="false">ROUND(O1412*P1412,2)</f>
        <v>6070.52</v>
      </c>
      <c r="S1412" s="30" t="n">
        <f aca="false">ROUND(O1412*Q1412,2)</f>
        <v>3430.06</v>
      </c>
      <c r="T1412" s="30" t="n">
        <f aca="false">ROUND(R1412*SUMIFS(Parametros!$E$23:$E$38,Parametros!$B$23:$B$38,J1412,Parametros!$C$23:$C$38,C1412,Parametros!$D$23:$D$38,D1412),2)</f>
        <v>78.92</v>
      </c>
      <c r="U1412" s="30" t="n">
        <f aca="false">R1412-S1412-T1412</f>
        <v>2561.54</v>
      </c>
    </row>
    <row r="1413" customFormat="false" ht="15" hidden="false" customHeight="false" outlineLevel="0" collapsed="false">
      <c r="A1413" s="0" t="n">
        <v>1412</v>
      </c>
      <c r="B1413" s="27" t="n">
        <v>45719</v>
      </c>
      <c r="C1413" s="0" t="n">
        <v>2025</v>
      </c>
      <c r="D1413" s="28" t="s">
        <v>61</v>
      </c>
      <c r="E1413" s="0" t="n">
        <v>3</v>
      </c>
      <c r="F1413" s="28" t="s">
        <v>106</v>
      </c>
      <c r="G1413" s="28" t="s">
        <v>145</v>
      </c>
      <c r="H1413" s="28" t="s">
        <v>64</v>
      </c>
      <c r="I1413" s="28" t="s">
        <v>65</v>
      </c>
      <c r="J1413" s="28" t="s">
        <v>71</v>
      </c>
      <c r="K1413" s="28" t="s">
        <v>76</v>
      </c>
      <c r="L1413" s="28" t="s">
        <v>134</v>
      </c>
      <c r="M1413" s="28" t="s">
        <v>82</v>
      </c>
      <c r="N1413" s="28" t="s">
        <v>137</v>
      </c>
      <c r="O1413" s="29" t="n">
        <v>56</v>
      </c>
      <c r="P1413" s="30" t="n">
        <v>64.58</v>
      </c>
      <c r="Q1413" s="30" t="n">
        <v>36.49</v>
      </c>
      <c r="R1413" s="30" t="n">
        <f aca="false">ROUND(O1413*P1413,2)</f>
        <v>3616.48</v>
      </c>
      <c r="S1413" s="30" t="n">
        <f aca="false">ROUND(O1413*Q1413,2)</f>
        <v>2043.44</v>
      </c>
      <c r="T1413" s="30" t="n">
        <f aca="false">ROUND(R1413*SUMIFS(Parametros!$E$23:$E$38,Parametros!$B$23:$B$38,J1413,Parametros!$C$23:$C$38,C1413,Parametros!$D$23:$D$38,D1413),2)</f>
        <v>245.92</v>
      </c>
      <c r="U1413" s="30" t="n">
        <f aca="false">R1413-S1413-T1413</f>
        <v>1327.12</v>
      </c>
    </row>
    <row r="1414" customFormat="false" ht="15" hidden="false" customHeight="false" outlineLevel="0" collapsed="false">
      <c r="A1414" s="0" t="n">
        <v>1413</v>
      </c>
      <c r="B1414" s="27" t="n">
        <v>45726</v>
      </c>
      <c r="C1414" s="0" t="n">
        <v>2025</v>
      </c>
      <c r="D1414" s="28" t="s">
        <v>61</v>
      </c>
      <c r="E1414" s="0" t="n">
        <v>3</v>
      </c>
      <c r="F1414" s="28" t="s">
        <v>106</v>
      </c>
      <c r="G1414" s="28" t="s">
        <v>145</v>
      </c>
      <c r="H1414" s="28" t="s">
        <v>64</v>
      </c>
      <c r="I1414" s="28" t="s">
        <v>65</v>
      </c>
      <c r="J1414" s="28" t="s">
        <v>66</v>
      </c>
      <c r="K1414" s="28" t="s">
        <v>84</v>
      </c>
      <c r="L1414" s="28" t="s">
        <v>138</v>
      </c>
      <c r="M1414" s="28" t="s">
        <v>86</v>
      </c>
      <c r="N1414" s="28" t="s">
        <v>139</v>
      </c>
      <c r="O1414" s="29" t="n">
        <v>38</v>
      </c>
      <c r="P1414" s="30" t="n">
        <v>119.23</v>
      </c>
      <c r="Q1414" s="30" t="n">
        <v>65.51</v>
      </c>
      <c r="R1414" s="30" t="n">
        <f aca="false">ROUND(O1414*P1414,2)</f>
        <v>4530.74</v>
      </c>
      <c r="S1414" s="30" t="n">
        <f aca="false">ROUND(O1414*Q1414,2)</f>
        <v>2489.38</v>
      </c>
      <c r="T1414" s="30" t="n">
        <f aca="false">ROUND(R1414*SUMIFS(Parametros!$E$23:$E$38,Parametros!$B$23:$B$38,J1414,Parametros!$C$23:$C$38,C1414,Parametros!$D$23:$D$38,D1414),2)</f>
        <v>58.9</v>
      </c>
      <c r="U1414" s="30" t="n">
        <f aca="false">R1414-S1414-T1414</f>
        <v>1982.46</v>
      </c>
    </row>
    <row r="1415" customFormat="false" ht="15" hidden="false" customHeight="false" outlineLevel="0" collapsed="false">
      <c r="A1415" s="0" t="n">
        <v>1414</v>
      </c>
      <c r="B1415" s="27" t="n">
        <v>45733</v>
      </c>
      <c r="C1415" s="0" t="n">
        <v>2025</v>
      </c>
      <c r="D1415" s="28" t="s">
        <v>61</v>
      </c>
      <c r="E1415" s="0" t="n">
        <v>3</v>
      </c>
      <c r="F1415" s="28" t="s">
        <v>106</v>
      </c>
      <c r="G1415" s="28" t="s">
        <v>145</v>
      </c>
      <c r="H1415" s="28" t="s">
        <v>64</v>
      </c>
      <c r="I1415" s="28" t="s">
        <v>65</v>
      </c>
      <c r="J1415" s="28" t="s">
        <v>71</v>
      </c>
      <c r="K1415" s="28" t="s">
        <v>84</v>
      </c>
      <c r="L1415" s="28" t="s">
        <v>138</v>
      </c>
      <c r="M1415" s="28" t="s">
        <v>86</v>
      </c>
      <c r="N1415" s="28" t="s">
        <v>139</v>
      </c>
      <c r="O1415" s="29" t="n">
        <v>31</v>
      </c>
      <c r="P1415" s="30" t="n">
        <v>119.23</v>
      </c>
      <c r="Q1415" s="30" t="n">
        <v>65.51</v>
      </c>
      <c r="R1415" s="30" t="n">
        <f aca="false">ROUND(O1415*P1415,2)</f>
        <v>3696.13</v>
      </c>
      <c r="S1415" s="30" t="n">
        <f aca="false">ROUND(O1415*Q1415,2)</f>
        <v>2030.81</v>
      </c>
      <c r="T1415" s="30" t="n">
        <f aca="false">ROUND(R1415*SUMIFS(Parametros!$E$23:$E$38,Parametros!$B$23:$B$38,J1415,Parametros!$C$23:$C$38,C1415,Parametros!$D$23:$D$38,D1415),2)</f>
        <v>251.34</v>
      </c>
      <c r="U1415" s="30" t="n">
        <f aca="false">R1415-S1415-T1415</f>
        <v>1413.98</v>
      </c>
    </row>
    <row r="1416" customFormat="false" ht="15" hidden="false" customHeight="false" outlineLevel="0" collapsed="false">
      <c r="A1416" s="0" t="n">
        <v>1415</v>
      </c>
      <c r="B1416" s="27" t="n">
        <v>45740</v>
      </c>
      <c r="C1416" s="0" t="n">
        <v>2025</v>
      </c>
      <c r="D1416" s="28" t="s">
        <v>61</v>
      </c>
      <c r="E1416" s="0" t="n">
        <v>3</v>
      </c>
      <c r="F1416" s="28" t="s">
        <v>106</v>
      </c>
      <c r="G1416" s="28" t="s">
        <v>145</v>
      </c>
      <c r="H1416" s="28" t="s">
        <v>64</v>
      </c>
      <c r="I1416" s="28" t="s">
        <v>65</v>
      </c>
      <c r="J1416" s="28" t="s">
        <v>66</v>
      </c>
      <c r="K1416" s="28" t="s">
        <v>84</v>
      </c>
      <c r="L1416" s="28" t="s">
        <v>138</v>
      </c>
      <c r="M1416" s="28" t="s">
        <v>88</v>
      </c>
      <c r="N1416" s="28" t="s">
        <v>140</v>
      </c>
      <c r="O1416" s="29" t="n">
        <v>36</v>
      </c>
      <c r="P1416" s="30" t="n">
        <v>84.46</v>
      </c>
      <c r="Q1416" s="30" t="n">
        <v>49.47</v>
      </c>
      <c r="R1416" s="30" t="n">
        <f aca="false">ROUND(O1416*P1416,2)</f>
        <v>3040.56</v>
      </c>
      <c r="S1416" s="30" t="n">
        <f aca="false">ROUND(O1416*Q1416,2)</f>
        <v>1780.92</v>
      </c>
      <c r="T1416" s="30" t="n">
        <f aca="false">ROUND(R1416*SUMIFS(Parametros!$E$23:$E$38,Parametros!$B$23:$B$38,J1416,Parametros!$C$23:$C$38,C1416,Parametros!$D$23:$D$38,D1416),2)</f>
        <v>39.53</v>
      </c>
      <c r="U1416" s="30" t="n">
        <f aca="false">R1416-S1416-T1416</f>
        <v>1220.11</v>
      </c>
    </row>
    <row r="1417" customFormat="false" ht="15" hidden="false" customHeight="false" outlineLevel="0" collapsed="false">
      <c r="A1417" s="0" t="n">
        <v>1416</v>
      </c>
      <c r="B1417" s="27" t="n">
        <v>45720</v>
      </c>
      <c r="C1417" s="0" t="n">
        <v>2025</v>
      </c>
      <c r="D1417" s="28" t="s">
        <v>61</v>
      </c>
      <c r="E1417" s="0" t="n">
        <v>3</v>
      </c>
      <c r="F1417" s="28" t="s">
        <v>106</v>
      </c>
      <c r="G1417" s="28" t="s">
        <v>145</v>
      </c>
      <c r="H1417" s="28" t="s">
        <v>64</v>
      </c>
      <c r="I1417" s="28" t="s">
        <v>65</v>
      </c>
      <c r="J1417" s="28" t="s">
        <v>71</v>
      </c>
      <c r="K1417" s="28" t="s">
        <v>84</v>
      </c>
      <c r="L1417" s="28" t="s">
        <v>138</v>
      </c>
      <c r="M1417" s="28" t="s">
        <v>88</v>
      </c>
      <c r="N1417" s="28" t="s">
        <v>140</v>
      </c>
      <c r="O1417" s="29" t="n">
        <v>29</v>
      </c>
      <c r="P1417" s="30" t="n">
        <v>84.46</v>
      </c>
      <c r="Q1417" s="30" t="n">
        <v>49.47</v>
      </c>
      <c r="R1417" s="30" t="n">
        <f aca="false">ROUND(O1417*P1417,2)</f>
        <v>2449.34</v>
      </c>
      <c r="S1417" s="30" t="n">
        <f aca="false">ROUND(O1417*Q1417,2)</f>
        <v>1434.63</v>
      </c>
      <c r="T1417" s="30" t="n">
        <f aca="false">ROUND(R1417*SUMIFS(Parametros!$E$23:$E$38,Parametros!$B$23:$B$38,J1417,Parametros!$C$23:$C$38,C1417,Parametros!$D$23:$D$38,D1417),2)</f>
        <v>166.56</v>
      </c>
      <c r="U1417" s="30" t="n">
        <f aca="false">R1417-S1417-T1417</f>
        <v>848.15</v>
      </c>
    </row>
    <row r="1418" customFormat="false" ht="15" hidden="false" customHeight="false" outlineLevel="0" collapsed="false">
      <c r="A1418" s="0" t="n">
        <v>1417</v>
      </c>
      <c r="B1418" s="27" t="n">
        <v>45727</v>
      </c>
      <c r="C1418" s="0" t="n">
        <v>2025</v>
      </c>
      <c r="D1418" s="28" t="s">
        <v>61</v>
      </c>
      <c r="E1418" s="0" t="n">
        <v>3</v>
      </c>
      <c r="F1418" s="28" t="s">
        <v>106</v>
      </c>
      <c r="G1418" s="28" t="s">
        <v>145</v>
      </c>
      <c r="H1418" s="28" t="s">
        <v>64</v>
      </c>
      <c r="I1418" s="28" t="s">
        <v>65</v>
      </c>
      <c r="J1418" s="28" t="s">
        <v>66</v>
      </c>
      <c r="K1418" s="28" t="s">
        <v>90</v>
      </c>
      <c r="L1418" s="28" t="s">
        <v>141</v>
      </c>
      <c r="M1418" s="28" t="s">
        <v>92</v>
      </c>
      <c r="N1418" s="28" t="s">
        <v>142</v>
      </c>
      <c r="O1418" s="29" t="n">
        <v>60</v>
      </c>
      <c r="P1418" s="30" t="n">
        <v>129.17</v>
      </c>
      <c r="Q1418" s="30" t="n">
        <v>78.33</v>
      </c>
      <c r="R1418" s="30" t="n">
        <f aca="false">ROUND(O1418*P1418,2)</f>
        <v>7750.2</v>
      </c>
      <c r="S1418" s="30" t="n">
        <f aca="false">ROUND(O1418*Q1418,2)</f>
        <v>4699.8</v>
      </c>
      <c r="T1418" s="30" t="n">
        <f aca="false">ROUND(R1418*SUMIFS(Parametros!$E$23:$E$38,Parametros!$B$23:$B$38,J1418,Parametros!$C$23:$C$38,C1418,Parametros!$D$23:$D$38,D1418),2)</f>
        <v>100.75</v>
      </c>
      <c r="U1418" s="30" t="n">
        <f aca="false">R1418-S1418-T1418</f>
        <v>2949.65</v>
      </c>
    </row>
    <row r="1419" customFormat="false" ht="15" hidden="false" customHeight="false" outlineLevel="0" collapsed="false">
      <c r="A1419" s="0" t="n">
        <v>1418</v>
      </c>
      <c r="B1419" s="27" t="n">
        <v>45734</v>
      </c>
      <c r="C1419" s="0" t="n">
        <v>2025</v>
      </c>
      <c r="D1419" s="28" t="s">
        <v>61</v>
      </c>
      <c r="E1419" s="0" t="n">
        <v>3</v>
      </c>
      <c r="F1419" s="28" t="s">
        <v>106</v>
      </c>
      <c r="G1419" s="28" t="s">
        <v>145</v>
      </c>
      <c r="H1419" s="28" t="s">
        <v>64</v>
      </c>
      <c r="I1419" s="28" t="s">
        <v>65</v>
      </c>
      <c r="J1419" s="28" t="s">
        <v>71</v>
      </c>
      <c r="K1419" s="28" t="s">
        <v>90</v>
      </c>
      <c r="L1419" s="28" t="s">
        <v>141</v>
      </c>
      <c r="M1419" s="28" t="s">
        <v>92</v>
      </c>
      <c r="N1419" s="28" t="s">
        <v>142</v>
      </c>
      <c r="O1419" s="29" t="n">
        <v>34</v>
      </c>
      <c r="P1419" s="30" t="n">
        <v>129.17</v>
      </c>
      <c r="Q1419" s="30" t="n">
        <v>78.33</v>
      </c>
      <c r="R1419" s="30" t="n">
        <f aca="false">ROUND(O1419*P1419,2)</f>
        <v>4391.78</v>
      </c>
      <c r="S1419" s="30" t="n">
        <f aca="false">ROUND(O1419*Q1419,2)</f>
        <v>2663.22</v>
      </c>
      <c r="T1419" s="30" t="n">
        <f aca="false">ROUND(R1419*SUMIFS(Parametros!$E$23:$E$38,Parametros!$B$23:$B$38,J1419,Parametros!$C$23:$C$38,C1419,Parametros!$D$23:$D$38,D1419),2)</f>
        <v>298.64</v>
      </c>
      <c r="U1419" s="30" t="n">
        <f aca="false">R1419-S1419-T1419</f>
        <v>1429.92</v>
      </c>
    </row>
    <row r="1420" customFormat="false" ht="15" hidden="false" customHeight="false" outlineLevel="0" collapsed="false">
      <c r="A1420" s="0" t="n">
        <v>1419</v>
      </c>
      <c r="B1420" s="27" t="n">
        <v>45741</v>
      </c>
      <c r="C1420" s="0" t="n">
        <v>2025</v>
      </c>
      <c r="D1420" s="28" t="s">
        <v>61</v>
      </c>
      <c r="E1420" s="0" t="n">
        <v>3</v>
      </c>
      <c r="F1420" s="28" t="s">
        <v>106</v>
      </c>
      <c r="G1420" s="28" t="s">
        <v>145</v>
      </c>
      <c r="H1420" s="28" t="s">
        <v>64</v>
      </c>
      <c r="I1420" s="28" t="s">
        <v>65</v>
      </c>
      <c r="J1420" s="28" t="s">
        <v>66</v>
      </c>
      <c r="K1420" s="28" t="s">
        <v>90</v>
      </c>
      <c r="L1420" s="28" t="s">
        <v>141</v>
      </c>
      <c r="M1420" s="28" t="s">
        <v>94</v>
      </c>
      <c r="N1420" s="28" t="s">
        <v>143</v>
      </c>
      <c r="O1420" s="29" t="n">
        <v>44</v>
      </c>
      <c r="P1420" s="30" t="n">
        <v>34.78</v>
      </c>
      <c r="Q1420" s="30" t="n">
        <v>18.39</v>
      </c>
      <c r="R1420" s="30" t="n">
        <f aca="false">ROUND(O1420*P1420,2)</f>
        <v>1530.32</v>
      </c>
      <c r="S1420" s="30" t="n">
        <f aca="false">ROUND(O1420*Q1420,2)</f>
        <v>809.16</v>
      </c>
      <c r="T1420" s="30" t="n">
        <f aca="false">ROUND(R1420*SUMIFS(Parametros!$E$23:$E$38,Parametros!$B$23:$B$38,J1420,Parametros!$C$23:$C$38,C1420,Parametros!$D$23:$D$38,D1420),2)</f>
        <v>19.89</v>
      </c>
      <c r="U1420" s="30" t="n">
        <f aca="false">R1420-S1420-T1420</f>
        <v>701.27</v>
      </c>
    </row>
    <row r="1421" customFormat="false" ht="15" hidden="false" customHeight="false" outlineLevel="0" collapsed="false">
      <c r="A1421" s="0" t="n">
        <v>1420</v>
      </c>
      <c r="B1421" s="27" t="n">
        <v>45721</v>
      </c>
      <c r="C1421" s="0" t="n">
        <v>2025</v>
      </c>
      <c r="D1421" s="28" t="s">
        <v>61</v>
      </c>
      <c r="E1421" s="0" t="n">
        <v>3</v>
      </c>
      <c r="F1421" s="28" t="s">
        <v>106</v>
      </c>
      <c r="G1421" s="28" t="s">
        <v>145</v>
      </c>
      <c r="H1421" s="28" t="s">
        <v>64</v>
      </c>
      <c r="I1421" s="28" t="s">
        <v>65</v>
      </c>
      <c r="J1421" s="28" t="s">
        <v>71</v>
      </c>
      <c r="K1421" s="28" t="s">
        <v>90</v>
      </c>
      <c r="L1421" s="28" t="s">
        <v>141</v>
      </c>
      <c r="M1421" s="28" t="s">
        <v>94</v>
      </c>
      <c r="N1421" s="28" t="s">
        <v>143</v>
      </c>
      <c r="O1421" s="29" t="n">
        <v>34</v>
      </c>
      <c r="P1421" s="30" t="n">
        <v>34.78</v>
      </c>
      <c r="Q1421" s="30" t="n">
        <v>18.39</v>
      </c>
      <c r="R1421" s="30" t="n">
        <f aca="false">ROUND(O1421*P1421,2)</f>
        <v>1182.52</v>
      </c>
      <c r="S1421" s="30" t="n">
        <f aca="false">ROUND(O1421*Q1421,2)</f>
        <v>625.26</v>
      </c>
      <c r="T1421" s="30" t="n">
        <f aca="false">ROUND(R1421*SUMIFS(Parametros!$E$23:$E$38,Parametros!$B$23:$B$38,J1421,Parametros!$C$23:$C$38,C1421,Parametros!$D$23:$D$38,D1421),2)</f>
        <v>80.41</v>
      </c>
      <c r="U1421" s="30" t="n">
        <f aca="false">R1421-S1421-T1421</f>
        <v>476.85</v>
      </c>
    </row>
    <row r="1422" customFormat="false" ht="15" hidden="false" customHeight="false" outlineLevel="0" collapsed="false">
      <c r="A1422" s="0" t="n">
        <v>1421</v>
      </c>
      <c r="B1422" s="27" t="n">
        <v>45728</v>
      </c>
      <c r="C1422" s="0" t="n">
        <v>2025</v>
      </c>
      <c r="D1422" s="28" t="s">
        <v>61</v>
      </c>
      <c r="E1422" s="0" t="n">
        <v>3</v>
      </c>
      <c r="F1422" s="28" t="s">
        <v>106</v>
      </c>
      <c r="G1422" s="28" t="s">
        <v>145</v>
      </c>
      <c r="H1422" s="28" t="s">
        <v>96</v>
      </c>
      <c r="I1422" s="28" t="s">
        <v>97</v>
      </c>
      <c r="J1422" s="28" t="s">
        <v>66</v>
      </c>
      <c r="K1422" s="28" t="s">
        <v>67</v>
      </c>
      <c r="L1422" s="28" t="s">
        <v>130</v>
      </c>
      <c r="M1422" s="28" t="s">
        <v>69</v>
      </c>
      <c r="N1422" s="28" t="s">
        <v>131</v>
      </c>
      <c r="O1422" s="29" t="n">
        <v>10</v>
      </c>
      <c r="P1422" s="30" t="n">
        <v>1155.06</v>
      </c>
      <c r="Q1422" s="30" t="n">
        <v>766.32</v>
      </c>
      <c r="R1422" s="30" t="n">
        <f aca="false">ROUND(O1422*P1422,2)</f>
        <v>11550.6</v>
      </c>
      <c r="S1422" s="30" t="n">
        <f aca="false">ROUND(O1422*Q1422,2)</f>
        <v>7663.2</v>
      </c>
      <c r="T1422" s="30" t="n">
        <f aca="false">ROUND(R1422*SUMIFS(Parametros!$E$23:$E$38,Parametros!$B$23:$B$38,J1422,Parametros!$C$23:$C$38,C1422,Parametros!$D$23:$D$38,D1422),2)</f>
        <v>150.16</v>
      </c>
      <c r="U1422" s="30" t="n">
        <f aca="false">R1422-S1422-T1422</f>
        <v>3737.24</v>
      </c>
    </row>
    <row r="1423" customFormat="false" ht="15" hidden="false" customHeight="false" outlineLevel="0" collapsed="false">
      <c r="A1423" s="0" t="n">
        <v>1422</v>
      </c>
      <c r="B1423" s="27" t="n">
        <v>45735</v>
      </c>
      <c r="C1423" s="0" t="n">
        <v>2025</v>
      </c>
      <c r="D1423" s="28" t="s">
        <v>61</v>
      </c>
      <c r="E1423" s="0" t="n">
        <v>3</v>
      </c>
      <c r="F1423" s="28" t="s">
        <v>106</v>
      </c>
      <c r="G1423" s="28" t="s">
        <v>145</v>
      </c>
      <c r="H1423" s="28" t="s">
        <v>96</v>
      </c>
      <c r="I1423" s="28" t="s">
        <v>97</v>
      </c>
      <c r="J1423" s="28" t="s">
        <v>71</v>
      </c>
      <c r="K1423" s="28" t="s">
        <v>67</v>
      </c>
      <c r="L1423" s="28" t="s">
        <v>130</v>
      </c>
      <c r="M1423" s="28" t="s">
        <v>69</v>
      </c>
      <c r="N1423" s="28" t="s">
        <v>131</v>
      </c>
      <c r="O1423" s="29" t="n">
        <v>7</v>
      </c>
      <c r="P1423" s="30" t="n">
        <v>1155.06</v>
      </c>
      <c r="Q1423" s="30" t="n">
        <v>766.32</v>
      </c>
      <c r="R1423" s="30" t="n">
        <f aca="false">ROUND(O1423*P1423,2)</f>
        <v>8085.42</v>
      </c>
      <c r="S1423" s="30" t="n">
        <f aca="false">ROUND(O1423*Q1423,2)</f>
        <v>5364.24</v>
      </c>
      <c r="T1423" s="30" t="n">
        <f aca="false">ROUND(R1423*SUMIFS(Parametros!$E$23:$E$38,Parametros!$B$23:$B$38,J1423,Parametros!$C$23:$C$38,C1423,Parametros!$D$23:$D$38,D1423),2)</f>
        <v>549.81</v>
      </c>
      <c r="U1423" s="30" t="n">
        <f aca="false">R1423-S1423-T1423</f>
        <v>2171.37</v>
      </c>
    </row>
    <row r="1424" customFormat="false" ht="15" hidden="false" customHeight="false" outlineLevel="0" collapsed="false">
      <c r="A1424" s="0" t="n">
        <v>1423</v>
      </c>
      <c r="B1424" s="27" t="n">
        <v>45742</v>
      </c>
      <c r="C1424" s="0" t="n">
        <v>2025</v>
      </c>
      <c r="D1424" s="28" t="s">
        <v>61</v>
      </c>
      <c r="E1424" s="0" t="n">
        <v>3</v>
      </c>
      <c r="F1424" s="28" t="s">
        <v>106</v>
      </c>
      <c r="G1424" s="28" t="s">
        <v>145</v>
      </c>
      <c r="H1424" s="28" t="s">
        <v>96</v>
      </c>
      <c r="I1424" s="28" t="s">
        <v>97</v>
      </c>
      <c r="J1424" s="28" t="s">
        <v>66</v>
      </c>
      <c r="K1424" s="28" t="s">
        <v>67</v>
      </c>
      <c r="L1424" s="28" t="s">
        <v>130</v>
      </c>
      <c r="M1424" s="28" t="s">
        <v>72</v>
      </c>
      <c r="N1424" s="28" t="s">
        <v>132</v>
      </c>
      <c r="O1424" s="29" t="n">
        <v>11</v>
      </c>
      <c r="P1424" s="30" t="n">
        <v>433.15</v>
      </c>
      <c r="Q1424" s="30" t="n">
        <v>280.42</v>
      </c>
      <c r="R1424" s="30" t="n">
        <f aca="false">ROUND(O1424*P1424,2)</f>
        <v>4764.65</v>
      </c>
      <c r="S1424" s="30" t="n">
        <f aca="false">ROUND(O1424*Q1424,2)</f>
        <v>3084.62</v>
      </c>
      <c r="T1424" s="30" t="n">
        <f aca="false">ROUND(R1424*SUMIFS(Parametros!$E$23:$E$38,Parametros!$B$23:$B$38,J1424,Parametros!$C$23:$C$38,C1424,Parametros!$D$23:$D$38,D1424),2)</f>
        <v>61.94</v>
      </c>
      <c r="U1424" s="30" t="n">
        <f aca="false">R1424-S1424-T1424</f>
        <v>1618.09</v>
      </c>
    </row>
    <row r="1425" customFormat="false" ht="15" hidden="false" customHeight="false" outlineLevel="0" collapsed="false">
      <c r="A1425" s="0" t="n">
        <v>1424</v>
      </c>
      <c r="B1425" s="27" t="n">
        <v>45722</v>
      </c>
      <c r="C1425" s="0" t="n">
        <v>2025</v>
      </c>
      <c r="D1425" s="28" t="s">
        <v>61</v>
      </c>
      <c r="E1425" s="0" t="n">
        <v>3</v>
      </c>
      <c r="F1425" s="28" t="s">
        <v>106</v>
      </c>
      <c r="G1425" s="28" t="s">
        <v>145</v>
      </c>
      <c r="H1425" s="28" t="s">
        <v>96</v>
      </c>
      <c r="I1425" s="28" t="s">
        <v>97</v>
      </c>
      <c r="J1425" s="28" t="s">
        <v>71</v>
      </c>
      <c r="K1425" s="28" t="s">
        <v>67</v>
      </c>
      <c r="L1425" s="28" t="s">
        <v>130</v>
      </c>
      <c r="M1425" s="28" t="s">
        <v>72</v>
      </c>
      <c r="N1425" s="28" t="s">
        <v>132</v>
      </c>
      <c r="O1425" s="29" t="n">
        <v>8</v>
      </c>
      <c r="P1425" s="30" t="n">
        <v>433.15</v>
      </c>
      <c r="Q1425" s="30" t="n">
        <v>280.42</v>
      </c>
      <c r="R1425" s="30" t="n">
        <f aca="false">ROUND(O1425*P1425,2)</f>
        <v>3465.2</v>
      </c>
      <c r="S1425" s="30" t="n">
        <f aca="false">ROUND(O1425*Q1425,2)</f>
        <v>2243.36</v>
      </c>
      <c r="T1425" s="30" t="n">
        <f aca="false">ROUND(R1425*SUMIFS(Parametros!$E$23:$E$38,Parametros!$B$23:$B$38,J1425,Parametros!$C$23:$C$38,C1425,Parametros!$D$23:$D$38,D1425),2)</f>
        <v>235.63</v>
      </c>
      <c r="U1425" s="30" t="n">
        <f aca="false">R1425-S1425-T1425</f>
        <v>986.21</v>
      </c>
    </row>
    <row r="1426" customFormat="false" ht="15" hidden="false" customHeight="false" outlineLevel="0" collapsed="false">
      <c r="A1426" s="0" t="n">
        <v>1425</v>
      </c>
      <c r="B1426" s="27" t="n">
        <v>45729</v>
      </c>
      <c r="C1426" s="0" t="n">
        <v>2025</v>
      </c>
      <c r="D1426" s="28" t="s">
        <v>61</v>
      </c>
      <c r="E1426" s="0" t="n">
        <v>3</v>
      </c>
      <c r="F1426" s="28" t="s">
        <v>106</v>
      </c>
      <c r="G1426" s="28" t="s">
        <v>145</v>
      </c>
      <c r="H1426" s="28" t="s">
        <v>96</v>
      </c>
      <c r="I1426" s="28" t="s">
        <v>97</v>
      </c>
      <c r="J1426" s="28" t="s">
        <v>66</v>
      </c>
      <c r="K1426" s="28" t="s">
        <v>67</v>
      </c>
      <c r="L1426" s="28" t="s">
        <v>130</v>
      </c>
      <c r="M1426" s="28" t="s">
        <v>74</v>
      </c>
      <c r="N1426" s="28" t="s">
        <v>133</v>
      </c>
      <c r="O1426" s="29" t="n">
        <v>9</v>
      </c>
      <c r="P1426" s="30" t="n">
        <v>1588.21</v>
      </c>
      <c r="Q1426" s="30" t="n">
        <v>1155.66</v>
      </c>
      <c r="R1426" s="30" t="n">
        <f aca="false">ROUND(O1426*P1426,2)</f>
        <v>14293.89</v>
      </c>
      <c r="S1426" s="30" t="n">
        <f aca="false">ROUND(O1426*Q1426,2)</f>
        <v>10400.94</v>
      </c>
      <c r="T1426" s="30" t="n">
        <f aca="false">ROUND(R1426*SUMIFS(Parametros!$E$23:$E$38,Parametros!$B$23:$B$38,J1426,Parametros!$C$23:$C$38,C1426,Parametros!$D$23:$D$38,D1426),2)</f>
        <v>185.82</v>
      </c>
      <c r="U1426" s="30" t="n">
        <f aca="false">R1426-S1426-T1426</f>
        <v>3707.13</v>
      </c>
    </row>
    <row r="1427" customFormat="false" ht="15" hidden="false" customHeight="false" outlineLevel="0" collapsed="false">
      <c r="A1427" s="0" t="n">
        <v>1426</v>
      </c>
      <c r="B1427" s="27" t="n">
        <v>45736</v>
      </c>
      <c r="C1427" s="0" t="n">
        <v>2025</v>
      </c>
      <c r="D1427" s="28" t="s">
        <v>61</v>
      </c>
      <c r="E1427" s="0" t="n">
        <v>3</v>
      </c>
      <c r="F1427" s="28" t="s">
        <v>106</v>
      </c>
      <c r="G1427" s="28" t="s">
        <v>145</v>
      </c>
      <c r="H1427" s="28" t="s">
        <v>96</v>
      </c>
      <c r="I1427" s="28" t="s">
        <v>97</v>
      </c>
      <c r="J1427" s="28" t="s">
        <v>71</v>
      </c>
      <c r="K1427" s="28" t="s">
        <v>67</v>
      </c>
      <c r="L1427" s="28" t="s">
        <v>130</v>
      </c>
      <c r="M1427" s="28" t="s">
        <v>74</v>
      </c>
      <c r="N1427" s="28" t="s">
        <v>133</v>
      </c>
      <c r="O1427" s="29" t="n">
        <v>9</v>
      </c>
      <c r="P1427" s="30" t="n">
        <v>1588.21</v>
      </c>
      <c r="Q1427" s="30" t="n">
        <v>1155.66</v>
      </c>
      <c r="R1427" s="30" t="n">
        <f aca="false">ROUND(O1427*P1427,2)</f>
        <v>14293.89</v>
      </c>
      <c r="S1427" s="30" t="n">
        <f aca="false">ROUND(O1427*Q1427,2)</f>
        <v>10400.94</v>
      </c>
      <c r="T1427" s="30" t="n">
        <f aca="false">ROUND(R1427*SUMIFS(Parametros!$E$23:$E$38,Parametros!$B$23:$B$38,J1427,Parametros!$C$23:$C$38,C1427,Parametros!$D$23:$D$38,D1427),2)</f>
        <v>971.98</v>
      </c>
      <c r="U1427" s="30" t="n">
        <f aca="false">R1427-S1427-T1427</f>
        <v>2920.97</v>
      </c>
    </row>
    <row r="1428" customFormat="false" ht="15" hidden="false" customHeight="false" outlineLevel="0" collapsed="false">
      <c r="A1428" s="0" t="n">
        <v>1427</v>
      </c>
      <c r="B1428" s="27" t="n">
        <v>45743</v>
      </c>
      <c r="C1428" s="0" t="n">
        <v>2025</v>
      </c>
      <c r="D1428" s="28" t="s">
        <v>61</v>
      </c>
      <c r="E1428" s="0" t="n">
        <v>3</v>
      </c>
      <c r="F1428" s="28" t="s">
        <v>106</v>
      </c>
      <c r="G1428" s="28" t="s">
        <v>145</v>
      </c>
      <c r="H1428" s="28" t="s">
        <v>96</v>
      </c>
      <c r="I1428" s="28" t="s">
        <v>97</v>
      </c>
      <c r="J1428" s="28" t="s">
        <v>66</v>
      </c>
      <c r="K1428" s="28" t="s">
        <v>76</v>
      </c>
      <c r="L1428" s="28" t="s">
        <v>134</v>
      </c>
      <c r="M1428" s="28" t="s">
        <v>78</v>
      </c>
      <c r="N1428" s="28" t="s">
        <v>135</v>
      </c>
      <c r="O1428" s="29" t="n">
        <v>51</v>
      </c>
      <c r="P1428" s="30" t="n">
        <v>27.82</v>
      </c>
      <c r="Q1428" s="30" t="n">
        <v>13.84</v>
      </c>
      <c r="R1428" s="30" t="n">
        <f aca="false">ROUND(O1428*P1428,2)</f>
        <v>1418.82</v>
      </c>
      <c r="S1428" s="30" t="n">
        <f aca="false">ROUND(O1428*Q1428,2)</f>
        <v>705.84</v>
      </c>
      <c r="T1428" s="30" t="n">
        <f aca="false">ROUND(R1428*SUMIFS(Parametros!$E$23:$E$38,Parametros!$B$23:$B$38,J1428,Parametros!$C$23:$C$38,C1428,Parametros!$D$23:$D$38,D1428),2)</f>
        <v>18.44</v>
      </c>
      <c r="U1428" s="30" t="n">
        <f aca="false">R1428-S1428-T1428</f>
        <v>694.54</v>
      </c>
    </row>
    <row r="1429" customFormat="false" ht="15" hidden="false" customHeight="false" outlineLevel="0" collapsed="false">
      <c r="A1429" s="0" t="n">
        <v>1428</v>
      </c>
      <c r="B1429" s="27" t="n">
        <v>45723</v>
      </c>
      <c r="C1429" s="0" t="n">
        <v>2025</v>
      </c>
      <c r="D1429" s="28" t="s">
        <v>61</v>
      </c>
      <c r="E1429" s="0" t="n">
        <v>3</v>
      </c>
      <c r="F1429" s="28" t="s">
        <v>106</v>
      </c>
      <c r="G1429" s="28" t="s">
        <v>145</v>
      </c>
      <c r="H1429" s="28" t="s">
        <v>96</v>
      </c>
      <c r="I1429" s="28" t="s">
        <v>97</v>
      </c>
      <c r="J1429" s="28" t="s">
        <v>71</v>
      </c>
      <c r="K1429" s="28" t="s">
        <v>76</v>
      </c>
      <c r="L1429" s="28" t="s">
        <v>134</v>
      </c>
      <c r="M1429" s="28" t="s">
        <v>78</v>
      </c>
      <c r="N1429" s="28" t="s">
        <v>135</v>
      </c>
      <c r="O1429" s="29" t="n">
        <v>40</v>
      </c>
      <c r="P1429" s="30" t="n">
        <v>27.82</v>
      </c>
      <c r="Q1429" s="30" t="n">
        <v>13.84</v>
      </c>
      <c r="R1429" s="30" t="n">
        <f aca="false">ROUND(O1429*P1429,2)</f>
        <v>1112.8</v>
      </c>
      <c r="S1429" s="30" t="n">
        <f aca="false">ROUND(O1429*Q1429,2)</f>
        <v>553.6</v>
      </c>
      <c r="T1429" s="30" t="n">
        <f aca="false">ROUND(R1429*SUMIFS(Parametros!$E$23:$E$38,Parametros!$B$23:$B$38,J1429,Parametros!$C$23:$C$38,C1429,Parametros!$D$23:$D$38,D1429),2)</f>
        <v>75.67</v>
      </c>
      <c r="U1429" s="30" t="n">
        <f aca="false">R1429-S1429-T1429</f>
        <v>483.53</v>
      </c>
    </row>
    <row r="1430" customFormat="false" ht="15" hidden="false" customHeight="false" outlineLevel="0" collapsed="false">
      <c r="A1430" s="0" t="n">
        <v>1429</v>
      </c>
      <c r="B1430" s="27" t="n">
        <v>45730</v>
      </c>
      <c r="C1430" s="0" t="n">
        <v>2025</v>
      </c>
      <c r="D1430" s="28" t="s">
        <v>61</v>
      </c>
      <c r="E1430" s="0" t="n">
        <v>3</v>
      </c>
      <c r="F1430" s="28" t="s">
        <v>106</v>
      </c>
      <c r="G1430" s="28" t="s">
        <v>145</v>
      </c>
      <c r="H1430" s="28" t="s">
        <v>96</v>
      </c>
      <c r="I1430" s="28" t="s">
        <v>97</v>
      </c>
      <c r="J1430" s="28" t="s">
        <v>66</v>
      </c>
      <c r="K1430" s="28" t="s">
        <v>76</v>
      </c>
      <c r="L1430" s="28" t="s">
        <v>134</v>
      </c>
      <c r="M1430" s="28" t="s">
        <v>80</v>
      </c>
      <c r="N1430" s="28" t="s">
        <v>136</v>
      </c>
      <c r="O1430" s="29" t="n">
        <v>60</v>
      </c>
      <c r="P1430" s="30" t="n">
        <v>94.39</v>
      </c>
      <c r="Q1430" s="30" t="n">
        <v>49.41</v>
      </c>
      <c r="R1430" s="30" t="n">
        <f aca="false">ROUND(O1430*P1430,2)</f>
        <v>5663.4</v>
      </c>
      <c r="S1430" s="30" t="n">
        <f aca="false">ROUND(O1430*Q1430,2)</f>
        <v>2964.6</v>
      </c>
      <c r="T1430" s="30" t="n">
        <f aca="false">ROUND(R1430*SUMIFS(Parametros!$E$23:$E$38,Parametros!$B$23:$B$38,J1430,Parametros!$C$23:$C$38,C1430,Parametros!$D$23:$D$38,D1430),2)</f>
        <v>73.62</v>
      </c>
      <c r="U1430" s="30" t="n">
        <f aca="false">R1430-S1430-T1430</f>
        <v>2625.18</v>
      </c>
    </row>
    <row r="1431" customFormat="false" ht="15" hidden="false" customHeight="false" outlineLevel="0" collapsed="false">
      <c r="A1431" s="0" t="n">
        <v>1430</v>
      </c>
      <c r="B1431" s="27" t="n">
        <v>45737</v>
      </c>
      <c r="C1431" s="0" t="n">
        <v>2025</v>
      </c>
      <c r="D1431" s="28" t="s">
        <v>61</v>
      </c>
      <c r="E1431" s="0" t="n">
        <v>3</v>
      </c>
      <c r="F1431" s="28" t="s">
        <v>106</v>
      </c>
      <c r="G1431" s="28" t="s">
        <v>145</v>
      </c>
      <c r="H1431" s="28" t="s">
        <v>96</v>
      </c>
      <c r="I1431" s="28" t="s">
        <v>97</v>
      </c>
      <c r="J1431" s="28" t="s">
        <v>71</v>
      </c>
      <c r="K1431" s="28" t="s">
        <v>76</v>
      </c>
      <c r="L1431" s="28" t="s">
        <v>134</v>
      </c>
      <c r="M1431" s="28" t="s">
        <v>80</v>
      </c>
      <c r="N1431" s="28" t="s">
        <v>136</v>
      </c>
      <c r="O1431" s="29" t="n">
        <v>37</v>
      </c>
      <c r="P1431" s="30" t="n">
        <v>94.39</v>
      </c>
      <c r="Q1431" s="30" t="n">
        <v>49.41</v>
      </c>
      <c r="R1431" s="30" t="n">
        <f aca="false">ROUND(O1431*P1431,2)</f>
        <v>3492.43</v>
      </c>
      <c r="S1431" s="30" t="n">
        <f aca="false">ROUND(O1431*Q1431,2)</f>
        <v>1828.17</v>
      </c>
      <c r="T1431" s="30" t="n">
        <f aca="false">ROUND(R1431*SUMIFS(Parametros!$E$23:$E$38,Parametros!$B$23:$B$38,J1431,Parametros!$C$23:$C$38,C1431,Parametros!$D$23:$D$38,D1431),2)</f>
        <v>237.49</v>
      </c>
      <c r="U1431" s="30" t="n">
        <f aca="false">R1431-S1431-T1431</f>
        <v>1426.77</v>
      </c>
    </row>
    <row r="1432" customFormat="false" ht="15" hidden="false" customHeight="false" outlineLevel="0" collapsed="false">
      <c r="A1432" s="0" t="n">
        <v>1431</v>
      </c>
      <c r="B1432" s="27" t="n">
        <v>45717</v>
      </c>
      <c r="C1432" s="0" t="n">
        <v>2025</v>
      </c>
      <c r="D1432" s="28" t="s">
        <v>61</v>
      </c>
      <c r="E1432" s="0" t="n">
        <v>3</v>
      </c>
      <c r="F1432" s="28" t="s">
        <v>106</v>
      </c>
      <c r="G1432" s="28" t="s">
        <v>145</v>
      </c>
      <c r="H1432" s="28" t="s">
        <v>96</v>
      </c>
      <c r="I1432" s="28" t="s">
        <v>97</v>
      </c>
      <c r="J1432" s="28" t="s">
        <v>66</v>
      </c>
      <c r="K1432" s="28" t="s">
        <v>76</v>
      </c>
      <c r="L1432" s="28" t="s">
        <v>134</v>
      </c>
      <c r="M1432" s="28" t="s">
        <v>82</v>
      </c>
      <c r="N1432" s="28" t="s">
        <v>137</v>
      </c>
      <c r="O1432" s="29" t="n">
        <v>59</v>
      </c>
      <c r="P1432" s="30" t="n">
        <v>64.58</v>
      </c>
      <c r="Q1432" s="30" t="n">
        <v>36.49</v>
      </c>
      <c r="R1432" s="30" t="n">
        <f aca="false">ROUND(O1432*P1432,2)</f>
        <v>3810.22</v>
      </c>
      <c r="S1432" s="30" t="n">
        <f aca="false">ROUND(O1432*Q1432,2)</f>
        <v>2152.91</v>
      </c>
      <c r="T1432" s="30" t="n">
        <f aca="false">ROUND(R1432*SUMIFS(Parametros!$E$23:$E$38,Parametros!$B$23:$B$38,J1432,Parametros!$C$23:$C$38,C1432,Parametros!$D$23:$D$38,D1432),2)</f>
        <v>49.53</v>
      </c>
      <c r="U1432" s="30" t="n">
        <f aca="false">R1432-S1432-T1432</f>
        <v>1607.78</v>
      </c>
    </row>
    <row r="1433" customFormat="false" ht="15" hidden="false" customHeight="false" outlineLevel="0" collapsed="false">
      <c r="A1433" s="0" t="n">
        <v>1432</v>
      </c>
      <c r="B1433" s="27" t="n">
        <v>45724</v>
      </c>
      <c r="C1433" s="0" t="n">
        <v>2025</v>
      </c>
      <c r="D1433" s="28" t="s">
        <v>61</v>
      </c>
      <c r="E1433" s="0" t="n">
        <v>3</v>
      </c>
      <c r="F1433" s="28" t="s">
        <v>106</v>
      </c>
      <c r="G1433" s="28" t="s">
        <v>145</v>
      </c>
      <c r="H1433" s="28" t="s">
        <v>96</v>
      </c>
      <c r="I1433" s="28" t="s">
        <v>97</v>
      </c>
      <c r="J1433" s="28" t="s">
        <v>71</v>
      </c>
      <c r="K1433" s="28" t="s">
        <v>76</v>
      </c>
      <c r="L1433" s="28" t="s">
        <v>134</v>
      </c>
      <c r="M1433" s="28" t="s">
        <v>82</v>
      </c>
      <c r="N1433" s="28" t="s">
        <v>137</v>
      </c>
      <c r="O1433" s="29" t="n">
        <v>30</v>
      </c>
      <c r="P1433" s="30" t="n">
        <v>64.58</v>
      </c>
      <c r="Q1433" s="30" t="n">
        <v>36.49</v>
      </c>
      <c r="R1433" s="30" t="n">
        <f aca="false">ROUND(O1433*P1433,2)</f>
        <v>1937.4</v>
      </c>
      <c r="S1433" s="30" t="n">
        <f aca="false">ROUND(O1433*Q1433,2)</f>
        <v>1094.7</v>
      </c>
      <c r="T1433" s="30" t="n">
        <f aca="false">ROUND(R1433*SUMIFS(Parametros!$E$23:$E$38,Parametros!$B$23:$B$38,J1433,Parametros!$C$23:$C$38,C1433,Parametros!$D$23:$D$38,D1433),2)</f>
        <v>131.74</v>
      </c>
      <c r="U1433" s="30" t="n">
        <f aca="false">R1433-S1433-T1433</f>
        <v>710.96</v>
      </c>
    </row>
    <row r="1434" customFormat="false" ht="15" hidden="false" customHeight="false" outlineLevel="0" collapsed="false">
      <c r="A1434" s="0" t="n">
        <v>1433</v>
      </c>
      <c r="B1434" s="27" t="n">
        <v>45731</v>
      </c>
      <c r="C1434" s="0" t="n">
        <v>2025</v>
      </c>
      <c r="D1434" s="28" t="s">
        <v>61</v>
      </c>
      <c r="E1434" s="0" t="n">
        <v>3</v>
      </c>
      <c r="F1434" s="28" t="s">
        <v>106</v>
      </c>
      <c r="G1434" s="28" t="s">
        <v>145</v>
      </c>
      <c r="H1434" s="28" t="s">
        <v>96</v>
      </c>
      <c r="I1434" s="28" t="s">
        <v>97</v>
      </c>
      <c r="J1434" s="28" t="s">
        <v>66</v>
      </c>
      <c r="K1434" s="28" t="s">
        <v>84</v>
      </c>
      <c r="L1434" s="28" t="s">
        <v>138</v>
      </c>
      <c r="M1434" s="28" t="s">
        <v>86</v>
      </c>
      <c r="N1434" s="28" t="s">
        <v>139</v>
      </c>
      <c r="O1434" s="29" t="n">
        <v>23</v>
      </c>
      <c r="P1434" s="30" t="n">
        <v>119.23</v>
      </c>
      <c r="Q1434" s="30" t="n">
        <v>65.51</v>
      </c>
      <c r="R1434" s="30" t="n">
        <f aca="false">ROUND(O1434*P1434,2)</f>
        <v>2742.29</v>
      </c>
      <c r="S1434" s="30" t="n">
        <f aca="false">ROUND(O1434*Q1434,2)</f>
        <v>1506.73</v>
      </c>
      <c r="T1434" s="30" t="n">
        <f aca="false">ROUND(R1434*SUMIFS(Parametros!$E$23:$E$38,Parametros!$B$23:$B$38,J1434,Parametros!$C$23:$C$38,C1434,Parametros!$D$23:$D$38,D1434),2)</f>
        <v>35.65</v>
      </c>
      <c r="U1434" s="30" t="n">
        <f aca="false">R1434-S1434-T1434</f>
        <v>1199.91</v>
      </c>
    </row>
    <row r="1435" customFormat="false" ht="15" hidden="false" customHeight="false" outlineLevel="0" collapsed="false">
      <c r="A1435" s="0" t="n">
        <v>1434</v>
      </c>
      <c r="B1435" s="27" t="n">
        <v>45738</v>
      </c>
      <c r="C1435" s="0" t="n">
        <v>2025</v>
      </c>
      <c r="D1435" s="28" t="s">
        <v>61</v>
      </c>
      <c r="E1435" s="0" t="n">
        <v>3</v>
      </c>
      <c r="F1435" s="28" t="s">
        <v>106</v>
      </c>
      <c r="G1435" s="28" t="s">
        <v>145</v>
      </c>
      <c r="H1435" s="28" t="s">
        <v>96</v>
      </c>
      <c r="I1435" s="28" t="s">
        <v>97</v>
      </c>
      <c r="J1435" s="28" t="s">
        <v>71</v>
      </c>
      <c r="K1435" s="28" t="s">
        <v>84</v>
      </c>
      <c r="L1435" s="28" t="s">
        <v>138</v>
      </c>
      <c r="M1435" s="28" t="s">
        <v>86</v>
      </c>
      <c r="N1435" s="28" t="s">
        <v>139</v>
      </c>
      <c r="O1435" s="29" t="n">
        <v>15</v>
      </c>
      <c r="P1435" s="30" t="n">
        <v>119.23</v>
      </c>
      <c r="Q1435" s="30" t="n">
        <v>65.51</v>
      </c>
      <c r="R1435" s="30" t="n">
        <f aca="false">ROUND(O1435*P1435,2)</f>
        <v>1788.45</v>
      </c>
      <c r="S1435" s="30" t="n">
        <f aca="false">ROUND(O1435*Q1435,2)</f>
        <v>982.65</v>
      </c>
      <c r="T1435" s="30" t="n">
        <f aca="false">ROUND(R1435*SUMIFS(Parametros!$E$23:$E$38,Parametros!$B$23:$B$38,J1435,Parametros!$C$23:$C$38,C1435,Parametros!$D$23:$D$38,D1435),2)</f>
        <v>121.61</v>
      </c>
      <c r="U1435" s="30" t="n">
        <f aca="false">R1435-S1435-T1435</f>
        <v>684.19</v>
      </c>
    </row>
    <row r="1436" customFormat="false" ht="15" hidden="false" customHeight="false" outlineLevel="0" collapsed="false">
      <c r="A1436" s="0" t="n">
        <v>1435</v>
      </c>
      <c r="B1436" s="27" t="n">
        <v>45718</v>
      </c>
      <c r="C1436" s="0" t="n">
        <v>2025</v>
      </c>
      <c r="D1436" s="28" t="s">
        <v>61</v>
      </c>
      <c r="E1436" s="0" t="n">
        <v>3</v>
      </c>
      <c r="F1436" s="28" t="s">
        <v>106</v>
      </c>
      <c r="G1436" s="28" t="s">
        <v>145</v>
      </c>
      <c r="H1436" s="28" t="s">
        <v>96</v>
      </c>
      <c r="I1436" s="28" t="s">
        <v>97</v>
      </c>
      <c r="J1436" s="28" t="s">
        <v>66</v>
      </c>
      <c r="K1436" s="28" t="s">
        <v>84</v>
      </c>
      <c r="L1436" s="28" t="s">
        <v>138</v>
      </c>
      <c r="M1436" s="28" t="s">
        <v>88</v>
      </c>
      <c r="N1436" s="28" t="s">
        <v>140</v>
      </c>
      <c r="O1436" s="29" t="n">
        <v>20</v>
      </c>
      <c r="P1436" s="30" t="n">
        <v>84.46</v>
      </c>
      <c r="Q1436" s="30" t="n">
        <v>49.47</v>
      </c>
      <c r="R1436" s="30" t="n">
        <f aca="false">ROUND(O1436*P1436,2)</f>
        <v>1689.2</v>
      </c>
      <c r="S1436" s="30" t="n">
        <f aca="false">ROUND(O1436*Q1436,2)</f>
        <v>989.4</v>
      </c>
      <c r="T1436" s="30" t="n">
        <f aca="false">ROUND(R1436*SUMIFS(Parametros!$E$23:$E$38,Parametros!$B$23:$B$38,J1436,Parametros!$C$23:$C$38,C1436,Parametros!$D$23:$D$38,D1436),2)</f>
        <v>21.96</v>
      </c>
      <c r="U1436" s="30" t="n">
        <f aca="false">R1436-S1436-T1436</f>
        <v>677.84</v>
      </c>
    </row>
    <row r="1437" customFormat="false" ht="15" hidden="false" customHeight="false" outlineLevel="0" collapsed="false">
      <c r="A1437" s="0" t="n">
        <v>1436</v>
      </c>
      <c r="B1437" s="27" t="n">
        <v>45725</v>
      </c>
      <c r="C1437" s="0" t="n">
        <v>2025</v>
      </c>
      <c r="D1437" s="28" t="s">
        <v>61</v>
      </c>
      <c r="E1437" s="0" t="n">
        <v>3</v>
      </c>
      <c r="F1437" s="28" t="s">
        <v>106</v>
      </c>
      <c r="G1437" s="28" t="s">
        <v>145</v>
      </c>
      <c r="H1437" s="28" t="s">
        <v>96</v>
      </c>
      <c r="I1437" s="28" t="s">
        <v>97</v>
      </c>
      <c r="J1437" s="28" t="s">
        <v>71</v>
      </c>
      <c r="K1437" s="28" t="s">
        <v>84</v>
      </c>
      <c r="L1437" s="28" t="s">
        <v>138</v>
      </c>
      <c r="M1437" s="28" t="s">
        <v>88</v>
      </c>
      <c r="N1437" s="28" t="s">
        <v>140</v>
      </c>
      <c r="O1437" s="29" t="n">
        <v>16</v>
      </c>
      <c r="P1437" s="30" t="n">
        <v>84.46</v>
      </c>
      <c r="Q1437" s="30" t="n">
        <v>49.47</v>
      </c>
      <c r="R1437" s="30" t="n">
        <f aca="false">ROUND(O1437*P1437,2)</f>
        <v>1351.36</v>
      </c>
      <c r="S1437" s="30" t="n">
        <f aca="false">ROUND(O1437*Q1437,2)</f>
        <v>791.52</v>
      </c>
      <c r="T1437" s="30" t="n">
        <f aca="false">ROUND(R1437*SUMIFS(Parametros!$E$23:$E$38,Parametros!$B$23:$B$38,J1437,Parametros!$C$23:$C$38,C1437,Parametros!$D$23:$D$38,D1437),2)</f>
        <v>91.89</v>
      </c>
      <c r="U1437" s="30" t="n">
        <f aca="false">R1437-S1437-T1437</f>
        <v>467.95</v>
      </c>
    </row>
    <row r="1438" customFormat="false" ht="15" hidden="false" customHeight="false" outlineLevel="0" collapsed="false">
      <c r="A1438" s="0" t="n">
        <v>1437</v>
      </c>
      <c r="B1438" s="27" t="n">
        <v>45732</v>
      </c>
      <c r="C1438" s="0" t="n">
        <v>2025</v>
      </c>
      <c r="D1438" s="28" t="s">
        <v>61</v>
      </c>
      <c r="E1438" s="0" t="n">
        <v>3</v>
      </c>
      <c r="F1438" s="28" t="s">
        <v>106</v>
      </c>
      <c r="G1438" s="28" t="s">
        <v>145</v>
      </c>
      <c r="H1438" s="28" t="s">
        <v>96</v>
      </c>
      <c r="I1438" s="28" t="s">
        <v>97</v>
      </c>
      <c r="J1438" s="28" t="s">
        <v>66</v>
      </c>
      <c r="K1438" s="28" t="s">
        <v>90</v>
      </c>
      <c r="L1438" s="28" t="s">
        <v>141</v>
      </c>
      <c r="M1438" s="28" t="s">
        <v>92</v>
      </c>
      <c r="N1438" s="28" t="s">
        <v>142</v>
      </c>
      <c r="O1438" s="29" t="n">
        <v>29</v>
      </c>
      <c r="P1438" s="30" t="n">
        <v>129.17</v>
      </c>
      <c r="Q1438" s="30" t="n">
        <v>78.33</v>
      </c>
      <c r="R1438" s="30" t="n">
        <f aca="false">ROUND(O1438*P1438,2)</f>
        <v>3745.93</v>
      </c>
      <c r="S1438" s="30" t="n">
        <f aca="false">ROUND(O1438*Q1438,2)</f>
        <v>2271.57</v>
      </c>
      <c r="T1438" s="30" t="n">
        <f aca="false">ROUND(R1438*SUMIFS(Parametros!$E$23:$E$38,Parametros!$B$23:$B$38,J1438,Parametros!$C$23:$C$38,C1438,Parametros!$D$23:$D$38,D1438),2)</f>
        <v>48.7</v>
      </c>
      <c r="U1438" s="30" t="n">
        <f aca="false">R1438-S1438-T1438</f>
        <v>1425.66</v>
      </c>
    </row>
    <row r="1439" customFormat="false" ht="15" hidden="false" customHeight="false" outlineLevel="0" collapsed="false">
      <c r="A1439" s="0" t="n">
        <v>1438</v>
      </c>
      <c r="B1439" s="27" t="n">
        <v>45739</v>
      </c>
      <c r="C1439" s="0" t="n">
        <v>2025</v>
      </c>
      <c r="D1439" s="28" t="s">
        <v>61</v>
      </c>
      <c r="E1439" s="0" t="n">
        <v>3</v>
      </c>
      <c r="F1439" s="28" t="s">
        <v>106</v>
      </c>
      <c r="G1439" s="28" t="s">
        <v>145</v>
      </c>
      <c r="H1439" s="28" t="s">
        <v>96</v>
      </c>
      <c r="I1439" s="28" t="s">
        <v>97</v>
      </c>
      <c r="J1439" s="28" t="s">
        <v>71</v>
      </c>
      <c r="K1439" s="28" t="s">
        <v>90</v>
      </c>
      <c r="L1439" s="28" t="s">
        <v>141</v>
      </c>
      <c r="M1439" s="28" t="s">
        <v>92</v>
      </c>
      <c r="N1439" s="28" t="s">
        <v>142</v>
      </c>
      <c r="O1439" s="29" t="n">
        <v>23</v>
      </c>
      <c r="P1439" s="30" t="n">
        <v>129.17</v>
      </c>
      <c r="Q1439" s="30" t="n">
        <v>78.33</v>
      </c>
      <c r="R1439" s="30" t="n">
        <f aca="false">ROUND(O1439*P1439,2)</f>
        <v>2970.91</v>
      </c>
      <c r="S1439" s="30" t="n">
        <f aca="false">ROUND(O1439*Q1439,2)</f>
        <v>1801.59</v>
      </c>
      <c r="T1439" s="30" t="n">
        <f aca="false">ROUND(R1439*SUMIFS(Parametros!$E$23:$E$38,Parametros!$B$23:$B$38,J1439,Parametros!$C$23:$C$38,C1439,Parametros!$D$23:$D$38,D1439),2)</f>
        <v>202.02</v>
      </c>
      <c r="U1439" s="30" t="n">
        <f aca="false">R1439-S1439-T1439</f>
        <v>967.3</v>
      </c>
    </row>
    <row r="1440" customFormat="false" ht="15" hidden="false" customHeight="false" outlineLevel="0" collapsed="false">
      <c r="A1440" s="0" t="n">
        <v>1439</v>
      </c>
      <c r="B1440" s="27" t="n">
        <v>45719</v>
      </c>
      <c r="C1440" s="0" t="n">
        <v>2025</v>
      </c>
      <c r="D1440" s="28" t="s">
        <v>61</v>
      </c>
      <c r="E1440" s="0" t="n">
        <v>3</v>
      </c>
      <c r="F1440" s="28" t="s">
        <v>106</v>
      </c>
      <c r="G1440" s="28" t="s">
        <v>145</v>
      </c>
      <c r="H1440" s="28" t="s">
        <v>96</v>
      </c>
      <c r="I1440" s="28" t="s">
        <v>97</v>
      </c>
      <c r="J1440" s="28" t="s">
        <v>66</v>
      </c>
      <c r="K1440" s="28" t="s">
        <v>90</v>
      </c>
      <c r="L1440" s="28" t="s">
        <v>141</v>
      </c>
      <c r="M1440" s="28" t="s">
        <v>94</v>
      </c>
      <c r="N1440" s="28" t="s">
        <v>143</v>
      </c>
      <c r="O1440" s="29" t="n">
        <v>31</v>
      </c>
      <c r="P1440" s="30" t="n">
        <v>34.78</v>
      </c>
      <c r="Q1440" s="30" t="n">
        <v>18.39</v>
      </c>
      <c r="R1440" s="30" t="n">
        <f aca="false">ROUND(O1440*P1440,2)</f>
        <v>1078.18</v>
      </c>
      <c r="S1440" s="30" t="n">
        <f aca="false">ROUND(O1440*Q1440,2)</f>
        <v>570.09</v>
      </c>
      <c r="T1440" s="30" t="n">
        <f aca="false">ROUND(R1440*SUMIFS(Parametros!$E$23:$E$38,Parametros!$B$23:$B$38,J1440,Parametros!$C$23:$C$38,C1440,Parametros!$D$23:$D$38,D1440),2)</f>
        <v>14.02</v>
      </c>
      <c r="U1440" s="30" t="n">
        <f aca="false">R1440-S1440-T1440</f>
        <v>494.07</v>
      </c>
    </row>
    <row r="1441" customFormat="false" ht="15" hidden="false" customHeight="false" outlineLevel="0" collapsed="false">
      <c r="A1441" s="0" t="n">
        <v>1440</v>
      </c>
      <c r="B1441" s="27" t="n">
        <v>45726</v>
      </c>
      <c r="C1441" s="0" t="n">
        <v>2025</v>
      </c>
      <c r="D1441" s="28" t="s">
        <v>61</v>
      </c>
      <c r="E1441" s="0" t="n">
        <v>3</v>
      </c>
      <c r="F1441" s="28" t="s">
        <v>106</v>
      </c>
      <c r="G1441" s="28" t="s">
        <v>145</v>
      </c>
      <c r="H1441" s="28" t="s">
        <v>96</v>
      </c>
      <c r="I1441" s="28" t="s">
        <v>97</v>
      </c>
      <c r="J1441" s="28" t="s">
        <v>71</v>
      </c>
      <c r="K1441" s="28" t="s">
        <v>90</v>
      </c>
      <c r="L1441" s="28" t="s">
        <v>141</v>
      </c>
      <c r="M1441" s="28" t="s">
        <v>94</v>
      </c>
      <c r="N1441" s="28" t="s">
        <v>143</v>
      </c>
      <c r="O1441" s="29" t="n">
        <v>20</v>
      </c>
      <c r="P1441" s="30" t="n">
        <v>34.78</v>
      </c>
      <c r="Q1441" s="30" t="n">
        <v>18.39</v>
      </c>
      <c r="R1441" s="30" t="n">
        <f aca="false">ROUND(O1441*P1441,2)</f>
        <v>695.6</v>
      </c>
      <c r="S1441" s="30" t="n">
        <f aca="false">ROUND(O1441*Q1441,2)</f>
        <v>367.8</v>
      </c>
      <c r="T1441" s="30" t="n">
        <f aca="false">ROUND(R1441*SUMIFS(Parametros!$E$23:$E$38,Parametros!$B$23:$B$38,J1441,Parametros!$C$23:$C$38,C1441,Parametros!$D$23:$D$38,D1441),2)</f>
        <v>47.3</v>
      </c>
      <c r="U1441" s="30" t="n">
        <f aca="false">R1441-S1441-T1441</f>
        <v>280.5</v>
      </c>
    </row>
    <row r="1442" customFormat="false" ht="15" hidden="false" customHeight="false" outlineLevel="0" collapsed="false">
      <c r="A1442" s="0" t="n">
        <v>1441</v>
      </c>
      <c r="B1442" s="27" t="n">
        <v>45733</v>
      </c>
      <c r="C1442" s="0" t="n">
        <v>2025</v>
      </c>
      <c r="D1442" s="28" t="s">
        <v>61</v>
      </c>
      <c r="E1442" s="0" t="n">
        <v>3</v>
      </c>
      <c r="F1442" s="28" t="s">
        <v>106</v>
      </c>
      <c r="G1442" s="28" t="s">
        <v>145</v>
      </c>
      <c r="H1442" s="28" t="s">
        <v>98</v>
      </c>
      <c r="I1442" s="28" t="s">
        <v>99</v>
      </c>
      <c r="J1442" s="28" t="s">
        <v>66</v>
      </c>
      <c r="K1442" s="28" t="s">
        <v>67</v>
      </c>
      <c r="L1442" s="28" t="s">
        <v>130</v>
      </c>
      <c r="M1442" s="28" t="s">
        <v>69</v>
      </c>
      <c r="N1442" s="28" t="s">
        <v>131</v>
      </c>
      <c r="O1442" s="29" t="n">
        <v>8</v>
      </c>
      <c r="P1442" s="30" t="n">
        <v>1155.06</v>
      </c>
      <c r="Q1442" s="30" t="n">
        <v>766.32</v>
      </c>
      <c r="R1442" s="30" t="n">
        <f aca="false">ROUND(O1442*P1442,2)</f>
        <v>9240.48</v>
      </c>
      <c r="S1442" s="30" t="n">
        <f aca="false">ROUND(O1442*Q1442,2)</f>
        <v>6130.56</v>
      </c>
      <c r="T1442" s="30" t="n">
        <f aca="false">ROUND(R1442*SUMIFS(Parametros!$E$23:$E$38,Parametros!$B$23:$B$38,J1442,Parametros!$C$23:$C$38,C1442,Parametros!$D$23:$D$38,D1442),2)</f>
        <v>120.13</v>
      </c>
      <c r="U1442" s="30" t="n">
        <f aca="false">R1442-S1442-T1442</f>
        <v>2989.79</v>
      </c>
    </row>
    <row r="1443" customFormat="false" ht="15" hidden="false" customHeight="false" outlineLevel="0" collapsed="false">
      <c r="A1443" s="0" t="n">
        <v>1442</v>
      </c>
      <c r="B1443" s="27" t="n">
        <v>45740</v>
      </c>
      <c r="C1443" s="0" t="n">
        <v>2025</v>
      </c>
      <c r="D1443" s="28" t="s">
        <v>61</v>
      </c>
      <c r="E1443" s="0" t="n">
        <v>3</v>
      </c>
      <c r="F1443" s="28" t="s">
        <v>106</v>
      </c>
      <c r="G1443" s="28" t="s">
        <v>145</v>
      </c>
      <c r="H1443" s="28" t="s">
        <v>98</v>
      </c>
      <c r="I1443" s="28" t="s">
        <v>99</v>
      </c>
      <c r="J1443" s="28" t="s">
        <v>71</v>
      </c>
      <c r="K1443" s="28" t="s">
        <v>67</v>
      </c>
      <c r="L1443" s="28" t="s">
        <v>130</v>
      </c>
      <c r="M1443" s="28" t="s">
        <v>69</v>
      </c>
      <c r="N1443" s="28" t="s">
        <v>131</v>
      </c>
      <c r="O1443" s="29" t="n">
        <v>6</v>
      </c>
      <c r="P1443" s="30" t="n">
        <v>1155.06</v>
      </c>
      <c r="Q1443" s="30" t="n">
        <v>766.32</v>
      </c>
      <c r="R1443" s="30" t="n">
        <f aca="false">ROUND(O1443*P1443,2)</f>
        <v>6930.36</v>
      </c>
      <c r="S1443" s="30" t="n">
        <f aca="false">ROUND(O1443*Q1443,2)</f>
        <v>4597.92</v>
      </c>
      <c r="T1443" s="30" t="n">
        <f aca="false">ROUND(R1443*SUMIFS(Parametros!$E$23:$E$38,Parametros!$B$23:$B$38,J1443,Parametros!$C$23:$C$38,C1443,Parametros!$D$23:$D$38,D1443),2)</f>
        <v>471.26</v>
      </c>
      <c r="U1443" s="30" t="n">
        <f aca="false">R1443-S1443-T1443</f>
        <v>1861.18</v>
      </c>
    </row>
    <row r="1444" customFormat="false" ht="15" hidden="false" customHeight="false" outlineLevel="0" collapsed="false">
      <c r="A1444" s="0" t="n">
        <v>1443</v>
      </c>
      <c r="B1444" s="27" t="n">
        <v>45720</v>
      </c>
      <c r="C1444" s="0" t="n">
        <v>2025</v>
      </c>
      <c r="D1444" s="28" t="s">
        <v>61</v>
      </c>
      <c r="E1444" s="0" t="n">
        <v>3</v>
      </c>
      <c r="F1444" s="28" t="s">
        <v>106</v>
      </c>
      <c r="G1444" s="28" t="s">
        <v>145</v>
      </c>
      <c r="H1444" s="28" t="s">
        <v>98</v>
      </c>
      <c r="I1444" s="28" t="s">
        <v>99</v>
      </c>
      <c r="J1444" s="28" t="s">
        <v>66</v>
      </c>
      <c r="K1444" s="28" t="s">
        <v>67</v>
      </c>
      <c r="L1444" s="28" t="s">
        <v>130</v>
      </c>
      <c r="M1444" s="28" t="s">
        <v>72</v>
      </c>
      <c r="N1444" s="28" t="s">
        <v>132</v>
      </c>
      <c r="O1444" s="29" t="n">
        <v>9</v>
      </c>
      <c r="P1444" s="30" t="n">
        <v>433.15</v>
      </c>
      <c r="Q1444" s="30" t="n">
        <v>280.42</v>
      </c>
      <c r="R1444" s="30" t="n">
        <f aca="false">ROUND(O1444*P1444,2)</f>
        <v>3898.35</v>
      </c>
      <c r="S1444" s="30" t="n">
        <f aca="false">ROUND(O1444*Q1444,2)</f>
        <v>2523.78</v>
      </c>
      <c r="T1444" s="30" t="n">
        <f aca="false">ROUND(R1444*SUMIFS(Parametros!$E$23:$E$38,Parametros!$B$23:$B$38,J1444,Parametros!$C$23:$C$38,C1444,Parametros!$D$23:$D$38,D1444),2)</f>
        <v>50.68</v>
      </c>
      <c r="U1444" s="30" t="n">
        <f aca="false">R1444-S1444-T1444</f>
        <v>1323.89</v>
      </c>
    </row>
    <row r="1445" customFormat="false" ht="15" hidden="false" customHeight="false" outlineLevel="0" collapsed="false">
      <c r="A1445" s="0" t="n">
        <v>1444</v>
      </c>
      <c r="B1445" s="27" t="n">
        <v>45727</v>
      </c>
      <c r="C1445" s="0" t="n">
        <v>2025</v>
      </c>
      <c r="D1445" s="28" t="s">
        <v>61</v>
      </c>
      <c r="E1445" s="0" t="n">
        <v>3</v>
      </c>
      <c r="F1445" s="28" t="s">
        <v>106</v>
      </c>
      <c r="G1445" s="28" t="s">
        <v>145</v>
      </c>
      <c r="H1445" s="28" t="s">
        <v>98</v>
      </c>
      <c r="I1445" s="28" t="s">
        <v>99</v>
      </c>
      <c r="J1445" s="28" t="s">
        <v>71</v>
      </c>
      <c r="K1445" s="28" t="s">
        <v>67</v>
      </c>
      <c r="L1445" s="28" t="s">
        <v>130</v>
      </c>
      <c r="M1445" s="28" t="s">
        <v>72</v>
      </c>
      <c r="N1445" s="28" t="s">
        <v>132</v>
      </c>
      <c r="O1445" s="29" t="n">
        <v>5</v>
      </c>
      <c r="P1445" s="30" t="n">
        <v>433.15</v>
      </c>
      <c r="Q1445" s="30" t="n">
        <v>280.42</v>
      </c>
      <c r="R1445" s="30" t="n">
        <f aca="false">ROUND(O1445*P1445,2)</f>
        <v>2165.75</v>
      </c>
      <c r="S1445" s="30" t="n">
        <f aca="false">ROUND(O1445*Q1445,2)</f>
        <v>1402.1</v>
      </c>
      <c r="T1445" s="30" t="n">
        <f aca="false">ROUND(R1445*SUMIFS(Parametros!$E$23:$E$38,Parametros!$B$23:$B$38,J1445,Parametros!$C$23:$C$38,C1445,Parametros!$D$23:$D$38,D1445),2)</f>
        <v>147.27</v>
      </c>
      <c r="U1445" s="30" t="n">
        <f aca="false">R1445-S1445-T1445</f>
        <v>616.38</v>
      </c>
    </row>
    <row r="1446" customFormat="false" ht="15" hidden="false" customHeight="false" outlineLevel="0" collapsed="false">
      <c r="A1446" s="0" t="n">
        <v>1445</v>
      </c>
      <c r="B1446" s="27" t="n">
        <v>45734</v>
      </c>
      <c r="C1446" s="0" t="n">
        <v>2025</v>
      </c>
      <c r="D1446" s="28" t="s">
        <v>61</v>
      </c>
      <c r="E1446" s="0" t="n">
        <v>3</v>
      </c>
      <c r="F1446" s="28" t="s">
        <v>106</v>
      </c>
      <c r="G1446" s="28" t="s">
        <v>145</v>
      </c>
      <c r="H1446" s="28" t="s">
        <v>98</v>
      </c>
      <c r="I1446" s="28" t="s">
        <v>99</v>
      </c>
      <c r="J1446" s="28" t="s">
        <v>66</v>
      </c>
      <c r="K1446" s="28" t="s">
        <v>67</v>
      </c>
      <c r="L1446" s="28" t="s">
        <v>130</v>
      </c>
      <c r="M1446" s="28" t="s">
        <v>74</v>
      </c>
      <c r="N1446" s="28" t="s">
        <v>133</v>
      </c>
      <c r="O1446" s="29" t="n">
        <v>7</v>
      </c>
      <c r="P1446" s="30" t="n">
        <v>1588.21</v>
      </c>
      <c r="Q1446" s="30" t="n">
        <v>1155.66</v>
      </c>
      <c r="R1446" s="30" t="n">
        <f aca="false">ROUND(O1446*P1446,2)</f>
        <v>11117.47</v>
      </c>
      <c r="S1446" s="30" t="n">
        <f aca="false">ROUND(O1446*Q1446,2)</f>
        <v>8089.62</v>
      </c>
      <c r="T1446" s="30" t="n">
        <f aca="false">ROUND(R1446*SUMIFS(Parametros!$E$23:$E$38,Parametros!$B$23:$B$38,J1446,Parametros!$C$23:$C$38,C1446,Parametros!$D$23:$D$38,D1446),2)</f>
        <v>144.53</v>
      </c>
      <c r="U1446" s="30" t="n">
        <f aca="false">R1446-S1446-T1446</f>
        <v>2883.32</v>
      </c>
    </row>
    <row r="1447" customFormat="false" ht="15" hidden="false" customHeight="false" outlineLevel="0" collapsed="false">
      <c r="A1447" s="0" t="n">
        <v>1446</v>
      </c>
      <c r="B1447" s="27" t="n">
        <v>45741</v>
      </c>
      <c r="C1447" s="0" t="n">
        <v>2025</v>
      </c>
      <c r="D1447" s="28" t="s">
        <v>61</v>
      </c>
      <c r="E1447" s="0" t="n">
        <v>3</v>
      </c>
      <c r="F1447" s="28" t="s">
        <v>106</v>
      </c>
      <c r="G1447" s="28" t="s">
        <v>145</v>
      </c>
      <c r="H1447" s="28" t="s">
        <v>98</v>
      </c>
      <c r="I1447" s="28" t="s">
        <v>99</v>
      </c>
      <c r="J1447" s="28" t="s">
        <v>71</v>
      </c>
      <c r="K1447" s="28" t="s">
        <v>67</v>
      </c>
      <c r="L1447" s="28" t="s">
        <v>130</v>
      </c>
      <c r="M1447" s="28" t="s">
        <v>74</v>
      </c>
      <c r="N1447" s="28" t="s">
        <v>133</v>
      </c>
      <c r="O1447" s="29" t="n">
        <v>6</v>
      </c>
      <c r="P1447" s="30" t="n">
        <v>1588.21</v>
      </c>
      <c r="Q1447" s="30" t="n">
        <v>1155.66</v>
      </c>
      <c r="R1447" s="30" t="n">
        <f aca="false">ROUND(O1447*P1447,2)</f>
        <v>9529.26</v>
      </c>
      <c r="S1447" s="30" t="n">
        <f aca="false">ROUND(O1447*Q1447,2)</f>
        <v>6933.96</v>
      </c>
      <c r="T1447" s="30" t="n">
        <f aca="false">ROUND(R1447*SUMIFS(Parametros!$E$23:$E$38,Parametros!$B$23:$B$38,J1447,Parametros!$C$23:$C$38,C1447,Parametros!$D$23:$D$38,D1447),2)</f>
        <v>647.99</v>
      </c>
      <c r="U1447" s="30" t="n">
        <f aca="false">R1447-S1447-T1447</f>
        <v>1947.31</v>
      </c>
    </row>
    <row r="1448" customFormat="false" ht="15" hidden="false" customHeight="false" outlineLevel="0" collapsed="false">
      <c r="A1448" s="0" t="n">
        <v>1447</v>
      </c>
      <c r="B1448" s="27" t="n">
        <v>45721</v>
      </c>
      <c r="C1448" s="0" t="n">
        <v>2025</v>
      </c>
      <c r="D1448" s="28" t="s">
        <v>61</v>
      </c>
      <c r="E1448" s="0" t="n">
        <v>3</v>
      </c>
      <c r="F1448" s="28" t="s">
        <v>106</v>
      </c>
      <c r="G1448" s="28" t="s">
        <v>145</v>
      </c>
      <c r="H1448" s="28" t="s">
        <v>98</v>
      </c>
      <c r="I1448" s="28" t="s">
        <v>99</v>
      </c>
      <c r="J1448" s="28" t="s">
        <v>66</v>
      </c>
      <c r="K1448" s="28" t="s">
        <v>76</v>
      </c>
      <c r="L1448" s="28" t="s">
        <v>134</v>
      </c>
      <c r="M1448" s="28" t="s">
        <v>78</v>
      </c>
      <c r="N1448" s="28" t="s">
        <v>135</v>
      </c>
      <c r="O1448" s="29" t="n">
        <v>43</v>
      </c>
      <c r="P1448" s="30" t="n">
        <v>27.82</v>
      </c>
      <c r="Q1448" s="30" t="n">
        <v>13.84</v>
      </c>
      <c r="R1448" s="30" t="n">
        <f aca="false">ROUND(O1448*P1448,2)</f>
        <v>1196.26</v>
      </c>
      <c r="S1448" s="30" t="n">
        <f aca="false">ROUND(O1448*Q1448,2)</f>
        <v>595.12</v>
      </c>
      <c r="T1448" s="30" t="n">
        <f aca="false">ROUND(R1448*SUMIFS(Parametros!$E$23:$E$38,Parametros!$B$23:$B$38,J1448,Parametros!$C$23:$C$38,C1448,Parametros!$D$23:$D$38,D1448),2)</f>
        <v>15.55</v>
      </c>
      <c r="U1448" s="30" t="n">
        <f aca="false">R1448-S1448-T1448</f>
        <v>585.59</v>
      </c>
    </row>
    <row r="1449" customFormat="false" ht="15" hidden="false" customHeight="false" outlineLevel="0" collapsed="false">
      <c r="A1449" s="0" t="n">
        <v>1448</v>
      </c>
      <c r="B1449" s="27" t="n">
        <v>45728</v>
      </c>
      <c r="C1449" s="0" t="n">
        <v>2025</v>
      </c>
      <c r="D1449" s="28" t="s">
        <v>61</v>
      </c>
      <c r="E1449" s="0" t="n">
        <v>3</v>
      </c>
      <c r="F1449" s="28" t="s">
        <v>106</v>
      </c>
      <c r="G1449" s="28" t="s">
        <v>145</v>
      </c>
      <c r="H1449" s="28" t="s">
        <v>98</v>
      </c>
      <c r="I1449" s="28" t="s">
        <v>99</v>
      </c>
      <c r="J1449" s="28" t="s">
        <v>71</v>
      </c>
      <c r="K1449" s="28" t="s">
        <v>76</v>
      </c>
      <c r="L1449" s="28" t="s">
        <v>134</v>
      </c>
      <c r="M1449" s="28" t="s">
        <v>78</v>
      </c>
      <c r="N1449" s="28" t="s">
        <v>135</v>
      </c>
      <c r="O1449" s="29" t="n">
        <v>30</v>
      </c>
      <c r="P1449" s="30" t="n">
        <v>27.82</v>
      </c>
      <c r="Q1449" s="30" t="n">
        <v>13.84</v>
      </c>
      <c r="R1449" s="30" t="n">
        <f aca="false">ROUND(O1449*P1449,2)</f>
        <v>834.6</v>
      </c>
      <c r="S1449" s="30" t="n">
        <f aca="false">ROUND(O1449*Q1449,2)</f>
        <v>415.2</v>
      </c>
      <c r="T1449" s="30" t="n">
        <f aca="false">ROUND(R1449*SUMIFS(Parametros!$E$23:$E$38,Parametros!$B$23:$B$38,J1449,Parametros!$C$23:$C$38,C1449,Parametros!$D$23:$D$38,D1449),2)</f>
        <v>56.75</v>
      </c>
      <c r="U1449" s="30" t="n">
        <f aca="false">R1449-S1449-T1449</f>
        <v>362.65</v>
      </c>
    </row>
    <row r="1450" customFormat="false" ht="15" hidden="false" customHeight="false" outlineLevel="0" collapsed="false">
      <c r="A1450" s="0" t="n">
        <v>1449</v>
      </c>
      <c r="B1450" s="27" t="n">
        <v>45735</v>
      </c>
      <c r="C1450" s="0" t="n">
        <v>2025</v>
      </c>
      <c r="D1450" s="28" t="s">
        <v>61</v>
      </c>
      <c r="E1450" s="0" t="n">
        <v>3</v>
      </c>
      <c r="F1450" s="28" t="s">
        <v>106</v>
      </c>
      <c r="G1450" s="28" t="s">
        <v>145</v>
      </c>
      <c r="H1450" s="28" t="s">
        <v>98</v>
      </c>
      <c r="I1450" s="28" t="s">
        <v>99</v>
      </c>
      <c r="J1450" s="28" t="s">
        <v>66</v>
      </c>
      <c r="K1450" s="28" t="s">
        <v>76</v>
      </c>
      <c r="L1450" s="28" t="s">
        <v>134</v>
      </c>
      <c r="M1450" s="28" t="s">
        <v>80</v>
      </c>
      <c r="N1450" s="28" t="s">
        <v>136</v>
      </c>
      <c r="O1450" s="29" t="n">
        <v>40</v>
      </c>
      <c r="P1450" s="30" t="n">
        <v>94.39</v>
      </c>
      <c r="Q1450" s="30" t="n">
        <v>49.41</v>
      </c>
      <c r="R1450" s="30" t="n">
        <f aca="false">ROUND(O1450*P1450,2)</f>
        <v>3775.6</v>
      </c>
      <c r="S1450" s="30" t="n">
        <f aca="false">ROUND(O1450*Q1450,2)</f>
        <v>1976.4</v>
      </c>
      <c r="T1450" s="30" t="n">
        <f aca="false">ROUND(R1450*SUMIFS(Parametros!$E$23:$E$38,Parametros!$B$23:$B$38,J1450,Parametros!$C$23:$C$38,C1450,Parametros!$D$23:$D$38,D1450),2)</f>
        <v>49.08</v>
      </c>
      <c r="U1450" s="30" t="n">
        <f aca="false">R1450-S1450-T1450</f>
        <v>1750.12</v>
      </c>
    </row>
    <row r="1451" customFormat="false" ht="15" hidden="false" customHeight="false" outlineLevel="0" collapsed="false">
      <c r="A1451" s="0" t="n">
        <v>1450</v>
      </c>
      <c r="B1451" s="27" t="n">
        <v>45742</v>
      </c>
      <c r="C1451" s="0" t="n">
        <v>2025</v>
      </c>
      <c r="D1451" s="28" t="s">
        <v>61</v>
      </c>
      <c r="E1451" s="0" t="n">
        <v>3</v>
      </c>
      <c r="F1451" s="28" t="s">
        <v>106</v>
      </c>
      <c r="G1451" s="28" t="s">
        <v>145</v>
      </c>
      <c r="H1451" s="28" t="s">
        <v>98</v>
      </c>
      <c r="I1451" s="28" t="s">
        <v>99</v>
      </c>
      <c r="J1451" s="28" t="s">
        <v>71</v>
      </c>
      <c r="K1451" s="28" t="s">
        <v>76</v>
      </c>
      <c r="L1451" s="28" t="s">
        <v>134</v>
      </c>
      <c r="M1451" s="28" t="s">
        <v>80</v>
      </c>
      <c r="N1451" s="28" t="s">
        <v>136</v>
      </c>
      <c r="O1451" s="29" t="n">
        <v>28</v>
      </c>
      <c r="P1451" s="30" t="n">
        <v>94.39</v>
      </c>
      <c r="Q1451" s="30" t="n">
        <v>49.41</v>
      </c>
      <c r="R1451" s="30" t="n">
        <f aca="false">ROUND(O1451*P1451,2)</f>
        <v>2642.92</v>
      </c>
      <c r="S1451" s="30" t="n">
        <f aca="false">ROUND(O1451*Q1451,2)</f>
        <v>1383.48</v>
      </c>
      <c r="T1451" s="30" t="n">
        <f aca="false">ROUND(R1451*SUMIFS(Parametros!$E$23:$E$38,Parametros!$B$23:$B$38,J1451,Parametros!$C$23:$C$38,C1451,Parametros!$D$23:$D$38,D1451),2)</f>
        <v>179.72</v>
      </c>
      <c r="U1451" s="30" t="n">
        <f aca="false">R1451-S1451-T1451</f>
        <v>1079.72</v>
      </c>
    </row>
    <row r="1452" customFormat="false" ht="15" hidden="false" customHeight="false" outlineLevel="0" collapsed="false">
      <c r="A1452" s="0" t="n">
        <v>1451</v>
      </c>
      <c r="B1452" s="27" t="n">
        <v>45722</v>
      </c>
      <c r="C1452" s="0" t="n">
        <v>2025</v>
      </c>
      <c r="D1452" s="28" t="s">
        <v>61</v>
      </c>
      <c r="E1452" s="0" t="n">
        <v>3</v>
      </c>
      <c r="F1452" s="28" t="s">
        <v>106</v>
      </c>
      <c r="G1452" s="28" t="s">
        <v>145</v>
      </c>
      <c r="H1452" s="28" t="s">
        <v>98</v>
      </c>
      <c r="I1452" s="28" t="s">
        <v>99</v>
      </c>
      <c r="J1452" s="28" t="s">
        <v>66</v>
      </c>
      <c r="K1452" s="28" t="s">
        <v>76</v>
      </c>
      <c r="L1452" s="28" t="s">
        <v>134</v>
      </c>
      <c r="M1452" s="28" t="s">
        <v>82</v>
      </c>
      <c r="N1452" s="28" t="s">
        <v>137</v>
      </c>
      <c r="O1452" s="29" t="n">
        <v>35</v>
      </c>
      <c r="P1452" s="30" t="n">
        <v>64.58</v>
      </c>
      <c r="Q1452" s="30" t="n">
        <v>36.49</v>
      </c>
      <c r="R1452" s="30" t="n">
        <f aca="false">ROUND(O1452*P1452,2)</f>
        <v>2260.3</v>
      </c>
      <c r="S1452" s="30" t="n">
        <f aca="false">ROUND(O1452*Q1452,2)</f>
        <v>1277.15</v>
      </c>
      <c r="T1452" s="30" t="n">
        <f aca="false">ROUND(R1452*SUMIFS(Parametros!$E$23:$E$38,Parametros!$B$23:$B$38,J1452,Parametros!$C$23:$C$38,C1452,Parametros!$D$23:$D$38,D1452),2)</f>
        <v>29.38</v>
      </c>
      <c r="U1452" s="30" t="n">
        <f aca="false">R1452-S1452-T1452</f>
        <v>953.77</v>
      </c>
    </row>
    <row r="1453" customFormat="false" ht="15" hidden="false" customHeight="false" outlineLevel="0" collapsed="false">
      <c r="A1453" s="0" t="n">
        <v>1452</v>
      </c>
      <c r="B1453" s="27" t="n">
        <v>45729</v>
      </c>
      <c r="C1453" s="0" t="n">
        <v>2025</v>
      </c>
      <c r="D1453" s="28" t="s">
        <v>61</v>
      </c>
      <c r="E1453" s="0" t="n">
        <v>3</v>
      </c>
      <c r="F1453" s="28" t="s">
        <v>106</v>
      </c>
      <c r="G1453" s="28" t="s">
        <v>145</v>
      </c>
      <c r="H1453" s="28" t="s">
        <v>98</v>
      </c>
      <c r="I1453" s="28" t="s">
        <v>99</v>
      </c>
      <c r="J1453" s="28" t="s">
        <v>71</v>
      </c>
      <c r="K1453" s="28" t="s">
        <v>76</v>
      </c>
      <c r="L1453" s="28" t="s">
        <v>134</v>
      </c>
      <c r="M1453" s="28" t="s">
        <v>82</v>
      </c>
      <c r="N1453" s="28" t="s">
        <v>137</v>
      </c>
      <c r="O1453" s="29" t="n">
        <v>26</v>
      </c>
      <c r="P1453" s="30" t="n">
        <v>64.58</v>
      </c>
      <c r="Q1453" s="30" t="n">
        <v>36.49</v>
      </c>
      <c r="R1453" s="30" t="n">
        <f aca="false">ROUND(O1453*P1453,2)</f>
        <v>1679.08</v>
      </c>
      <c r="S1453" s="30" t="n">
        <f aca="false">ROUND(O1453*Q1453,2)</f>
        <v>948.74</v>
      </c>
      <c r="T1453" s="30" t="n">
        <f aca="false">ROUND(R1453*SUMIFS(Parametros!$E$23:$E$38,Parametros!$B$23:$B$38,J1453,Parametros!$C$23:$C$38,C1453,Parametros!$D$23:$D$38,D1453),2)</f>
        <v>114.18</v>
      </c>
      <c r="U1453" s="30" t="n">
        <f aca="false">R1453-S1453-T1453</f>
        <v>616.16</v>
      </c>
    </row>
    <row r="1454" customFormat="false" ht="15" hidden="false" customHeight="false" outlineLevel="0" collapsed="false">
      <c r="A1454" s="0" t="n">
        <v>1453</v>
      </c>
      <c r="B1454" s="27" t="n">
        <v>45736</v>
      </c>
      <c r="C1454" s="0" t="n">
        <v>2025</v>
      </c>
      <c r="D1454" s="28" t="s">
        <v>61</v>
      </c>
      <c r="E1454" s="0" t="n">
        <v>3</v>
      </c>
      <c r="F1454" s="28" t="s">
        <v>106</v>
      </c>
      <c r="G1454" s="28" t="s">
        <v>145</v>
      </c>
      <c r="H1454" s="28" t="s">
        <v>98</v>
      </c>
      <c r="I1454" s="28" t="s">
        <v>99</v>
      </c>
      <c r="J1454" s="28" t="s">
        <v>66</v>
      </c>
      <c r="K1454" s="28" t="s">
        <v>84</v>
      </c>
      <c r="L1454" s="28" t="s">
        <v>138</v>
      </c>
      <c r="M1454" s="28" t="s">
        <v>86</v>
      </c>
      <c r="N1454" s="28" t="s">
        <v>139</v>
      </c>
      <c r="O1454" s="29" t="n">
        <v>18</v>
      </c>
      <c r="P1454" s="30" t="n">
        <v>119.23</v>
      </c>
      <c r="Q1454" s="30" t="n">
        <v>65.51</v>
      </c>
      <c r="R1454" s="30" t="n">
        <f aca="false">ROUND(O1454*P1454,2)</f>
        <v>2146.14</v>
      </c>
      <c r="S1454" s="30" t="n">
        <f aca="false">ROUND(O1454*Q1454,2)</f>
        <v>1179.18</v>
      </c>
      <c r="T1454" s="30" t="n">
        <f aca="false">ROUND(R1454*SUMIFS(Parametros!$E$23:$E$38,Parametros!$B$23:$B$38,J1454,Parametros!$C$23:$C$38,C1454,Parametros!$D$23:$D$38,D1454),2)</f>
        <v>27.9</v>
      </c>
      <c r="U1454" s="30" t="n">
        <f aca="false">R1454-S1454-T1454</f>
        <v>939.06</v>
      </c>
    </row>
    <row r="1455" customFormat="false" ht="15" hidden="false" customHeight="false" outlineLevel="0" collapsed="false">
      <c r="A1455" s="0" t="n">
        <v>1454</v>
      </c>
      <c r="B1455" s="27" t="n">
        <v>45743</v>
      </c>
      <c r="C1455" s="0" t="n">
        <v>2025</v>
      </c>
      <c r="D1455" s="28" t="s">
        <v>61</v>
      </c>
      <c r="E1455" s="0" t="n">
        <v>3</v>
      </c>
      <c r="F1455" s="28" t="s">
        <v>106</v>
      </c>
      <c r="G1455" s="28" t="s">
        <v>145</v>
      </c>
      <c r="H1455" s="28" t="s">
        <v>98</v>
      </c>
      <c r="I1455" s="28" t="s">
        <v>99</v>
      </c>
      <c r="J1455" s="28" t="s">
        <v>71</v>
      </c>
      <c r="K1455" s="28" t="s">
        <v>84</v>
      </c>
      <c r="L1455" s="28" t="s">
        <v>138</v>
      </c>
      <c r="M1455" s="28" t="s">
        <v>86</v>
      </c>
      <c r="N1455" s="28" t="s">
        <v>139</v>
      </c>
      <c r="O1455" s="29" t="n">
        <v>10</v>
      </c>
      <c r="P1455" s="30" t="n">
        <v>119.23</v>
      </c>
      <c r="Q1455" s="30" t="n">
        <v>65.51</v>
      </c>
      <c r="R1455" s="30" t="n">
        <f aca="false">ROUND(O1455*P1455,2)</f>
        <v>1192.3</v>
      </c>
      <c r="S1455" s="30" t="n">
        <f aca="false">ROUND(O1455*Q1455,2)</f>
        <v>655.1</v>
      </c>
      <c r="T1455" s="30" t="n">
        <f aca="false">ROUND(R1455*SUMIFS(Parametros!$E$23:$E$38,Parametros!$B$23:$B$38,J1455,Parametros!$C$23:$C$38,C1455,Parametros!$D$23:$D$38,D1455),2)</f>
        <v>81.08</v>
      </c>
      <c r="U1455" s="30" t="n">
        <f aca="false">R1455-S1455-T1455</f>
        <v>456.12</v>
      </c>
    </row>
    <row r="1456" customFormat="false" ht="15" hidden="false" customHeight="false" outlineLevel="0" collapsed="false">
      <c r="A1456" s="0" t="n">
        <v>1455</v>
      </c>
      <c r="B1456" s="27" t="n">
        <v>45723</v>
      </c>
      <c r="C1456" s="0" t="n">
        <v>2025</v>
      </c>
      <c r="D1456" s="28" t="s">
        <v>61</v>
      </c>
      <c r="E1456" s="0" t="n">
        <v>3</v>
      </c>
      <c r="F1456" s="28" t="s">
        <v>106</v>
      </c>
      <c r="G1456" s="28" t="s">
        <v>145</v>
      </c>
      <c r="H1456" s="28" t="s">
        <v>98</v>
      </c>
      <c r="I1456" s="28" t="s">
        <v>99</v>
      </c>
      <c r="J1456" s="28" t="s">
        <v>66</v>
      </c>
      <c r="K1456" s="28" t="s">
        <v>84</v>
      </c>
      <c r="L1456" s="28" t="s">
        <v>138</v>
      </c>
      <c r="M1456" s="28" t="s">
        <v>88</v>
      </c>
      <c r="N1456" s="28" t="s">
        <v>140</v>
      </c>
      <c r="O1456" s="29" t="n">
        <v>15</v>
      </c>
      <c r="P1456" s="30" t="n">
        <v>84.46</v>
      </c>
      <c r="Q1456" s="30" t="n">
        <v>49.47</v>
      </c>
      <c r="R1456" s="30" t="n">
        <f aca="false">ROUND(O1456*P1456,2)</f>
        <v>1266.9</v>
      </c>
      <c r="S1456" s="30" t="n">
        <f aca="false">ROUND(O1456*Q1456,2)</f>
        <v>742.05</v>
      </c>
      <c r="T1456" s="30" t="n">
        <f aca="false">ROUND(R1456*SUMIFS(Parametros!$E$23:$E$38,Parametros!$B$23:$B$38,J1456,Parametros!$C$23:$C$38,C1456,Parametros!$D$23:$D$38,D1456),2)</f>
        <v>16.47</v>
      </c>
      <c r="U1456" s="30" t="n">
        <f aca="false">R1456-S1456-T1456</f>
        <v>508.38</v>
      </c>
    </row>
    <row r="1457" customFormat="false" ht="15" hidden="false" customHeight="false" outlineLevel="0" collapsed="false">
      <c r="A1457" s="0" t="n">
        <v>1456</v>
      </c>
      <c r="B1457" s="27" t="n">
        <v>45730</v>
      </c>
      <c r="C1457" s="0" t="n">
        <v>2025</v>
      </c>
      <c r="D1457" s="28" t="s">
        <v>61</v>
      </c>
      <c r="E1457" s="0" t="n">
        <v>3</v>
      </c>
      <c r="F1457" s="28" t="s">
        <v>106</v>
      </c>
      <c r="G1457" s="28" t="s">
        <v>145</v>
      </c>
      <c r="H1457" s="28" t="s">
        <v>98</v>
      </c>
      <c r="I1457" s="28" t="s">
        <v>99</v>
      </c>
      <c r="J1457" s="28" t="s">
        <v>71</v>
      </c>
      <c r="K1457" s="28" t="s">
        <v>84</v>
      </c>
      <c r="L1457" s="28" t="s">
        <v>138</v>
      </c>
      <c r="M1457" s="28" t="s">
        <v>88</v>
      </c>
      <c r="N1457" s="28" t="s">
        <v>140</v>
      </c>
      <c r="O1457" s="29" t="n">
        <v>10</v>
      </c>
      <c r="P1457" s="30" t="n">
        <v>84.46</v>
      </c>
      <c r="Q1457" s="30" t="n">
        <v>49.47</v>
      </c>
      <c r="R1457" s="30" t="n">
        <f aca="false">ROUND(O1457*P1457,2)</f>
        <v>844.6</v>
      </c>
      <c r="S1457" s="30" t="n">
        <f aca="false">ROUND(O1457*Q1457,2)</f>
        <v>494.7</v>
      </c>
      <c r="T1457" s="30" t="n">
        <f aca="false">ROUND(R1457*SUMIFS(Parametros!$E$23:$E$38,Parametros!$B$23:$B$38,J1457,Parametros!$C$23:$C$38,C1457,Parametros!$D$23:$D$38,D1457),2)</f>
        <v>57.43</v>
      </c>
      <c r="U1457" s="30" t="n">
        <f aca="false">R1457-S1457-T1457</f>
        <v>292.47</v>
      </c>
    </row>
    <row r="1458" customFormat="false" ht="15" hidden="false" customHeight="false" outlineLevel="0" collapsed="false">
      <c r="A1458" s="0" t="n">
        <v>1457</v>
      </c>
      <c r="B1458" s="27" t="n">
        <v>45737</v>
      </c>
      <c r="C1458" s="0" t="n">
        <v>2025</v>
      </c>
      <c r="D1458" s="28" t="s">
        <v>61</v>
      </c>
      <c r="E1458" s="0" t="n">
        <v>3</v>
      </c>
      <c r="F1458" s="28" t="s">
        <v>106</v>
      </c>
      <c r="G1458" s="28" t="s">
        <v>145</v>
      </c>
      <c r="H1458" s="28" t="s">
        <v>98</v>
      </c>
      <c r="I1458" s="28" t="s">
        <v>99</v>
      </c>
      <c r="J1458" s="28" t="s">
        <v>66</v>
      </c>
      <c r="K1458" s="28" t="s">
        <v>90</v>
      </c>
      <c r="L1458" s="28" t="s">
        <v>141</v>
      </c>
      <c r="M1458" s="28" t="s">
        <v>92</v>
      </c>
      <c r="N1458" s="28" t="s">
        <v>142</v>
      </c>
      <c r="O1458" s="29" t="n">
        <v>26</v>
      </c>
      <c r="P1458" s="30" t="n">
        <v>129.17</v>
      </c>
      <c r="Q1458" s="30" t="n">
        <v>78.33</v>
      </c>
      <c r="R1458" s="30" t="n">
        <f aca="false">ROUND(O1458*P1458,2)</f>
        <v>3358.42</v>
      </c>
      <c r="S1458" s="30" t="n">
        <f aca="false">ROUND(O1458*Q1458,2)</f>
        <v>2036.58</v>
      </c>
      <c r="T1458" s="30" t="n">
        <f aca="false">ROUND(R1458*SUMIFS(Parametros!$E$23:$E$38,Parametros!$B$23:$B$38,J1458,Parametros!$C$23:$C$38,C1458,Parametros!$D$23:$D$38,D1458),2)</f>
        <v>43.66</v>
      </c>
      <c r="U1458" s="30" t="n">
        <f aca="false">R1458-S1458-T1458</f>
        <v>1278.18</v>
      </c>
    </row>
    <row r="1459" customFormat="false" ht="15" hidden="false" customHeight="false" outlineLevel="0" collapsed="false">
      <c r="A1459" s="0" t="n">
        <v>1458</v>
      </c>
      <c r="B1459" s="27" t="n">
        <v>45717</v>
      </c>
      <c r="C1459" s="0" t="n">
        <v>2025</v>
      </c>
      <c r="D1459" s="28" t="s">
        <v>61</v>
      </c>
      <c r="E1459" s="0" t="n">
        <v>3</v>
      </c>
      <c r="F1459" s="28" t="s">
        <v>106</v>
      </c>
      <c r="G1459" s="28" t="s">
        <v>145</v>
      </c>
      <c r="H1459" s="28" t="s">
        <v>98</v>
      </c>
      <c r="I1459" s="28" t="s">
        <v>99</v>
      </c>
      <c r="J1459" s="28" t="s">
        <v>71</v>
      </c>
      <c r="K1459" s="28" t="s">
        <v>90</v>
      </c>
      <c r="L1459" s="28" t="s">
        <v>141</v>
      </c>
      <c r="M1459" s="28" t="s">
        <v>92</v>
      </c>
      <c r="N1459" s="28" t="s">
        <v>142</v>
      </c>
      <c r="O1459" s="29" t="n">
        <v>18</v>
      </c>
      <c r="P1459" s="30" t="n">
        <v>129.17</v>
      </c>
      <c r="Q1459" s="30" t="n">
        <v>78.33</v>
      </c>
      <c r="R1459" s="30" t="n">
        <f aca="false">ROUND(O1459*P1459,2)</f>
        <v>2325.06</v>
      </c>
      <c r="S1459" s="30" t="n">
        <f aca="false">ROUND(O1459*Q1459,2)</f>
        <v>1409.94</v>
      </c>
      <c r="T1459" s="30" t="n">
        <f aca="false">ROUND(R1459*SUMIFS(Parametros!$E$23:$E$38,Parametros!$B$23:$B$38,J1459,Parametros!$C$23:$C$38,C1459,Parametros!$D$23:$D$38,D1459),2)</f>
        <v>158.1</v>
      </c>
      <c r="U1459" s="30" t="n">
        <f aca="false">R1459-S1459-T1459</f>
        <v>757.02</v>
      </c>
    </row>
    <row r="1460" customFormat="false" ht="15" hidden="false" customHeight="false" outlineLevel="0" collapsed="false">
      <c r="A1460" s="0" t="n">
        <v>1459</v>
      </c>
      <c r="B1460" s="27" t="n">
        <v>45724</v>
      </c>
      <c r="C1460" s="0" t="n">
        <v>2025</v>
      </c>
      <c r="D1460" s="28" t="s">
        <v>61</v>
      </c>
      <c r="E1460" s="0" t="n">
        <v>3</v>
      </c>
      <c r="F1460" s="28" t="s">
        <v>106</v>
      </c>
      <c r="G1460" s="28" t="s">
        <v>145</v>
      </c>
      <c r="H1460" s="28" t="s">
        <v>98</v>
      </c>
      <c r="I1460" s="28" t="s">
        <v>99</v>
      </c>
      <c r="J1460" s="28" t="s">
        <v>66</v>
      </c>
      <c r="K1460" s="28" t="s">
        <v>90</v>
      </c>
      <c r="L1460" s="28" t="s">
        <v>141</v>
      </c>
      <c r="M1460" s="28" t="s">
        <v>94</v>
      </c>
      <c r="N1460" s="28" t="s">
        <v>143</v>
      </c>
      <c r="O1460" s="29" t="n">
        <v>25</v>
      </c>
      <c r="P1460" s="30" t="n">
        <v>34.78</v>
      </c>
      <c r="Q1460" s="30" t="n">
        <v>18.39</v>
      </c>
      <c r="R1460" s="30" t="n">
        <f aca="false">ROUND(O1460*P1460,2)</f>
        <v>869.5</v>
      </c>
      <c r="S1460" s="30" t="n">
        <f aca="false">ROUND(O1460*Q1460,2)</f>
        <v>459.75</v>
      </c>
      <c r="T1460" s="30" t="n">
        <f aca="false">ROUND(R1460*SUMIFS(Parametros!$E$23:$E$38,Parametros!$B$23:$B$38,J1460,Parametros!$C$23:$C$38,C1460,Parametros!$D$23:$D$38,D1460),2)</f>
        <v>11.3</v>
      </c>
      <c r="U1460" s="30" t="n">
        <f aca="false">R1460-S1460-T1460</f>
        <v>398.45</v>
      </c>
    </row>
    <row r="1461" customFormat="false" ht="15" hidden="false" customHeight="false" outlineLevel="0" collapsed="false">
      <c r="A1461" s="0" t="n">
        <v>1460</v>
      </c>
      <c r="B1461" s="27" t="n">
        <v>45731</v>
      </c>
      <c r="C1461" s="0" t="n">
        <v>2025</v>
      </c>
      <c r="D1461" s="28" t="s">
        <v>61</v>
      </c>
      <c r="E1461" s="0" t="n">
        <v>3</v>
      </c>
      <c r="F1461" s="28" t="s">
        <v>106</v>
      </c>
      <c r="G1461" s="28" t="s">
        <v>145</v>
      </c>
      <c r="H1461" s="28" t="s">
        <v>98</v>
      </c>
      <c r="I1461" s="28" t="s">
        <v>99</v>
      </c>
      <c r="J1461" s="28" t="s">
        <v>71</v>
      </c>
      <c r="K1461" s="28" t="s">
        <v>90</v>
      </c>
      <c r="L1461" s="28" t="s">
        <v>141</v>
      </c>
      <c r="M1461" s="28" t="s">
        <v>94</v>
      </c>
      <c r="N1461" s="28" t="s">
        <v>143</v>
      </c>
      <c r="O1461" s="29" t="n">
        <v>13</v>
      </c>
      <c r="P1461" s="30" t="n">
        <v>34.78</v>
      </c>
      <c r="Q1461" s="30" t="n">
        <v>18.39</v>
      </c>
      <c r="R1461" s="30" t="n">
        <f aca="false">ROUND(O1461*P1461,2)</f>
        <v>452.14</v>
      </c>
      <c r="S1461" s="30" t="n">
        <f aca="false">ROUND(O1461*Q1461,2)</f>
        <v>239.07</v>
      </c>
      <c r="T1461" s="30" t="n">
        <f aca="false">ROUND(R1461*SUMIFS(Parametros!$E$23:$E$38,Parametros!$B$23:$B$38,J1461,Parametros!$C$23:$C$38,C1461,Parametros!$D$23:$D$38,D1461),2)</f>
        <v>30.75</v>
      </c>
      <c r="U1461" s="30" t="n">
        <f aca="false">R1461-S1461-T1461</f>
        <v>182.32</v>
      </c>
    </row>
    <row r="1462" customFormat="false" ht="15" hidden="false" customHeight="false" outlineLevel="0" collapsed="false">
      <c r="A1462" s="0" t="n">
        <v>1461</v>
      </c>
      <c r="B1462" s="27" t="n">
        <v>45738</v>
      </c>
      <c r="C1462" s="0" t="n">
        <v>2025</v>
      </c>
      <c r="D1462" s="28" t="s">
        <v>61</v>
      </c>
      <c r="E1462" s="0" t="n">
        <v>3</v>
      </c>
      <c r="F1462" s="28" t="s">
        <v>106</v>
      </c>
      <c r="G1462" s="28" t="s">
        <v>145</v>
      </c>
      <c r="H1462" s="28" t="s">
        <v>100</v>
      </c>
      <c r="I1462" s="28" t="s">
        <v>101</v>
      </c>
      <c r="J1462" s="28" t="s">
        <v>66</v>
      </c>
      <c r="K1462" s="28" t="s">
        <v>67</v>
      </c>
      <c r="L1462" s="28" t="s">
        <v>130</v>
      </c>
      <c r="M1462" s="28" t="s">
        <v>69</v>
      </c>
      <c r="N1462" s="28" t="s">
        <v>131</v>
      </c>
      <c r="O1462" s="29" t="n">
        <v>5</v>
      </c>
      <c r="P1462" s="30" t="n">
        <v>1155.06</v>
      </c>
      <c r="Q1462" s="30" t="n">
        <v>766.32</v>
      </c>
      <c r="R1462" s="30" t="n">
        <f aca="false">ROUND(O1462*P1462,2)</f>
        <v>5775.3</v>
      </c>
      <c r="S1462" s="30" t="n">
        <f aca="false">ROUND(O1462*Q1462,2)</f>
        <v>3831.6</v>
      </c>
      <c r="T1462" s="30" t="n">
        <f aca="false">ROUND(R1462*SUMIFS(Parametros!$E$23:$E$38,Parametros!$B$23:$B$38,J1462,Parametros!$C$23:$C$38,C1462,Parametros!$D$23:$D$38,D1462),2)</f>
        <v>75.08</v>
      </c>
      <c r="U1462" s="30" t="n">
        <f aca="false">R1462-S1462-T1462</f>
        <v>1868.62</v>
      </c>
    </row>
    <row r="1463" customFormat="false" ht="15" hidden="false" customHeight="false" outlineLevel="0" collapsed="false">
      <c r="A1463" s="0" t="n">
        <v>1462</v>
      </c>
      <c r="B1463" s="27" t="n">
        <v>45718</v>
      </c>
      <c r="C1463" s="0" t="n">
        <v>2025</v>
      </c>
      <c r="D1463" s="28" t="s">
        <v>61</v>
      </c>
      <c r="E1463" s="0" t="n">
        <v>3</v>
      </c>
      <c r="F1463" s="28" t="s">
        <v>106</v>
      </c>
      <c r="G1463" s="28" t="s">
        <v>145</v>
      </c>
      <c r="H1463" s="28" t="s">
        <v>100</v>
      </c>
      <c r="I1463" s="28" t="s">
        <v>101</v>
      </c>
      <c r="J1463" s="28" t="s">
        <v>71</v>
      </c>
      <c r="K1463" s="28" t="s">
        <v>67</v>
      </c>
      <c r="L1463" s="28" t="s">
        <v>130</v>
      </c>
      <c r="M1463" s="28" t="s">
        <v>69</v>
      </c>
      <c r="N1463" s="28" t="s">
        <v>131</v>
      </c>
      <c r="O1463" s="29" t="n">
        <v>5</v>
      </c>
      <c r="P1463" s="30" t="n">
        <v>1155.06</v>
      </c>
      <c r="Q1463" s="30" t="n">
        <v>766.32</v>
      </c>
      <c r="R1463" s="30" t="n">
        <f aca="false">ROUND(O1463*P1463,2)</f>
        <v>5775.3</v>
      </c>
      <c r="S1463" s="30" t="n">
        <f aca="false">ROUND(O1463*Q1463,2)</f>
        <v>3831.6</v>
      </c>
      <c r="T1463" s="30" t="n">
        <f aca="false">ROUND(R1463*SUMIFS(Parametros!$E$23:$E$38,Parametros!$B$23:$B$38,J1463,Parametros!$C$23:$C$38,C1463,Parametros!$D$23:$D$38,D1463),2)</f>
        <v>392.72</v>
      </c>
      <c r="U1463" s="30" t="n">
        <f aca="false">R1463-S1463-T1463</f>
        <v>1550.98</v>
      </c>
    </row>
    <row r="1464" customFormat="false" ht="15" hidden="false" customHeight="false" outlineLevel="0" collapsed="false">
      <c r="A1464" s="0" t="n">
        <v>1463</v>
      </c>
      <c r="B1464" s="27" t="n">
        <v>45725</v>
      </c>
      <c r="C1464" s="0" t="n">
        <v>2025</v>
      </c>
      <c r="D1464" s="28" t="s">
        <v>61</v>
      </c>
      <c r="E1464" s="0" t="n">
        <v>3</v>
      </c>
      <c r="F1464" s="28" t="s">
        <v>106</v>
      </c>
      <c r="G1464" s="28" t="s">
        <v>145</v>
      </c>
      <c r="H1464" s="28" t="s">
        <v>100</v>
      </c>
      <c r="I1464" s="28" t="s">
        <v>101</v>
      </c>
      <c r="J1464" s="28" t="s">
        <v>66</v>
      </c>
      <c r="K1464" s="28" t="s">
        <v>67</v>
      </c>
      <c r="L1464" s="28" t="s">
        <v>130</v>
      </c>
      <c r="M1464" s="28" t="s">
        <v>72</v>
      </c>
      <c r="N1464" s="28" t="s">
        <v>132</v>
      </c>
      <c r="O1464" s="29" t="n">
        <v>6</v>
      </c>
      <c r="P1464" s="30" t="n">
        <v>433.15</v>
      </c>
      <c r="Q1464" s="30" t="n">
        <v>280.42</v>
      </c>
      <c r="R1464" s="30" t="n">
        <f aca="false">ROUND(O1464*P1464,2)</f>
        <v>2598.9</v>
      </c>
      <c r="S1464" s="30" t="n">
        <f aca="false">ROUND(O1464*Q1464,2)</f>
        <v>1682.52</v>
      </c>
      <c r="T1464" s="30" t="n">
        <f aca="false">ROUND(R1464*SUMIFS(Parametros!$E$23:$E$38,Parametros!$B$23:$B$38,J1464,Parametros!$C$23:$C$38,C1464,Parametros!$D$23:$D$38,D1464),2)</f>
        <v>33.79</v>
      </c>
      <c r="U1464" s="30" t="n">
        <f aca="false">R1464-S1464-T1464</f>
        <v>882.59</v>
      </c>
    </row>
    <row r="1465" customFormat="false" ht="15" hidden="false" customHeight="false" outlineLevel="0" collapsed="false">
      <c r="A1465" s="0" t="n">
        <v>1464</v>
      </c>
      <c r="B1465" s="27" t="n">
        <v>45732</v>
      </c>
      <c r="C1465" s="0" t="n">
        <v>2025</v>
      </c>
      <c r="D1465" s="28" t="s">
        <v>61</v>
      </c>
      <c r="E1465" s="0" t="n">
        <v>3</v>
      </c>
      <c r="F1465" s="28" t="s">
        <v>106</v>
      </c>
      <c r="G1465" s="28" t="s">
        <v>145</v>
      </c>
      <c r="H1465" s="28" t="s">
        <v>100</v>
      </c>
      <c r="I1465" s="28" t="s">
        <v>101</v>
      </c>
      <c r="J1465" s="28" t="s">
        <v>71</v>
      </c>
      <c r="K1465" s="28" t="s">
        <v>67</v>
      </c>
      <c r="L1465" s="28" t="s">
        <v>130</v>
      </c>
      <c r="M1465" s="28" t="s">
        <v>72</v>
      </c>
      <c r="N1465" s="28" t="s">
        <v>132</v>
      </c>
      <c r="O1465" s="29" t="n">
        <v>4</v>
      </c>
      <c r="P1465" s="30" t="n">
        <v>433.15</v>
      </c>
      <c r="Q1465" s="30" t="n">
        <v>280.42</v>
      </c>
      <c r="R1465" s="30" t="n">
        <f aca="false">ROUND(O1465*P1465,2)</f>
        <v>1732.6</v>
      </c>
      <c r="S1465" s="30" t="n">
        <f aca="false">ROUND(O1465*Q1465,2)</f>
        <v>1121.68</v>
      </c>
      <c r="T1465" s="30" t="n">
        <f aca="false">ROUND(R1465*SUMIFS(Parametros!$E$23:$E$38,Parametros!$B$23:$B$38,J1465,Parametros!$C$23:$C$38,C1465,Parametros!$D$23:$D$38,D1465),2)</f>
        <v>117.82</v>
      </c>
      <c r="U1465" s="30" t="n">
        <f aca="false">R1465-S1465-T1465</f>
        <v>493.1</v>
      </c>
    </row>
    <row r="1466" customFormat="false" ht="15" hidden="false" customHeight="false" outlineLevel="0" collapsed="false">
      <c r="A1466" s="0" t="n">
        <v>1465</v>
      </c>
      <c r="B1466" s="27" t="n">
        <v>45739</v>
      </c>
      <c r="C1466" s="0" t="n">
        <v>2025</v>
      </c>
      <c r="D1466" s="28" t="s">
        <v>61</v>
      </c>
      <c r="E1466" s="0" t="n">
        <v>3</v>
      </c>
      <c r="F1466" s="28" t="s">
        <v>106</v>
      </c>
      <c r="G1466" s="28" t="s">
        <v>145</v>
      </c>
      <c r="H1466" s="28" t="s">
        <v>100</v>
      </c>
      <c r="I1466" s="28" t="s">
        <v>101</v>
      </c>
      <c r="J1466" s="28" t="s">
        <v>66</v>
      </c>
      <c r="K1466" s="28" t="s">
        <v>67</v>
      </c>
      <c r="L1466" s="28" t="s">
        <v>130</v>
      </c>
      <c r="M1466" s="28" t="s">
        <v>74</v>
      </c>
      <c r="N1466" s="28" t="s">
        <v>133</v>
      </c>
      <c r="O1466" s="29" t="n">
        <v>6</v>
      </c>
      <c r="P1466" s="30" t="n">
        <v>1588.21</v>
      </c>
      <c r="Q1466" s="30" t="n">
        <v>1155.66</v>
      </c>
      <c r="R1466" s="30" t="n">
        <f aca="false">ROUND(O1466*P1466,2)</f>
        <v>9529.26</v>
      </c>
      <c r="S1466" s="30" t="n">
        <f aca="false">ROUND(O1466*Q1466,2)</f>
        <v>6933.96</v>
      </c>
      <c r="T1466" s="30" t="n">
        <f aca="false">ROUND(R1466*SUMIFS(Parametros!$E$23:$E$38,Parametros!$B$23:$B$38,J1466,Parametros!$C$23:$C$38,C1466,Parametros!$D$23:$D$38,D1466),2)</f>
        <v>123.88</v>
      </c>
      <c r="U1466" s="30" t="n">
        <f aca="false">R1466-S1466-T1466</f>
        <v>2471.42</v>
      </c>
    </row>
    <row r="1467" customFormat="false" ht="15" hidden="false" customHeight="false" outlineLevel="0" collapsed="false">
      <c r="A1467" s="0" t="n">
        <v>1466</v>
      </c>
      <c r="B1467" s="27" t="n">
        <v>45719</v>
      </c>
      <c r="C1467" s="0" t="n">
        <v>2025</v>
      </c>
      <c r="D1467" s="28" t="s">
        <v>61</v>
      </c>
      <c r="E1467" s="0" t="n">
        <v>3</v>
      </c>
      <c r="F1467" s="28" t="s">
        <v>106</v>
      </c>
      <c r="G1467" s="28" t="s">
        <v>145</v>
      </c>
      <c r="H1467" s="28" t="s">
        <v>100</v>
      </c>
      <c r="I1467" s="28" t="s">
        <v>101</v>
      </c>
      <c r="J1467" s="28" t="s">
        <v>71</v>
      </c>
      <c r="K1467" s="28" t="s">
        <v>67</v>
      </c>
      <c r="L1467" s="28" t="s">
        <v>130</v>
      </c>
      <c r="M1467" s="28" t="s">
        <v>74</v>
      </c>
      <c r="N1467" s="28" t="s">
        <v>133</v>
      </c>
      <c r="O1467" s="29" t="n">
        <v>4</v>
      </c>
      <c r="P1467" s="30" t="n">
        <v>1588.21</v>
      </c>
      <c r="Q1467" s="30" t="n">
        <v>1155.66</v>
      </c>
      <c r="R1467" s="30" t="n">
        <f aca="false">ROUND(O1467*P1467,2)</f>
        <v>6352.84</v>
      </c>
      <c r="S1467" s="30" t="n">
        <f aca="false">ROUND(O1467*Q1467,2)</f>
        <v>4622.64</v>
      </c>
      <c r="T1467" s="30" t="n">
        <f aca="false">ROUND(R1467*SUMIFS(Parametros!$E$23:$E$38,Parametros!$B$23:$B$38,J1467,Parametros!$C$23:$C$38,C1467,Parametros!$D$23:$D$38,D1467),2)</f>
        <v>431.99</v>
      </c>
      <c r="U1467" s="30" t="n">
        <f aca="false">R1467-S1467-T1467</f>
        <v>1298.21</v>
      </c>
    </row>
    <row r="1468" customFormat="false" ht="15" hidden="false" customHeight="false" outlineLevel="0" collapsed="false">
      <c r="A1468" s="0" t="n">
        <v>1467</v>
      </c>
      <c r="B1468" s="27" t="n">
        <v>45726</v>
      </c>
      <c r="C1468" s="0" t="n">
        <v>2025</v>
      </c>
      <c r="D1468" s="28" t="s">
        <v>61</v>
      </c>
      <c r="E1468" s="0" t="n">
        <v>3</v>
      </c>
      <c r="F1468" s="28" t="s">
        <v>106</v>
      </c>
      <c r="G1468" s="28" t="s">
        <v>145</v>
      </c>
      <c r="H1468" s="28" t="s">
        <v>100</v>
      </c>
      <c r="I1468" s="28" t="s">
        <v>101</v>
      </c>
      <c r="J1468" s="28" t="s">
        <v>66</v>
      </c>
      <c r="K1468" s="28" t="s">
        <v>76</v>
      </c>
      <c r="L1468" s="28" t="s">
        <v>134</v>
      </c>
      <c r="M1468" s="28" t="s">
        <v>78</v>
      </c>
      <c r="N1468" s="28" t="s">
        <v>135</v>
      </c>
      <c r="O1468" s="29" t="n">
        <v>23</v>
      </c>
      <c r="P1468" s="30" t="n">
        <v>27.82</v>
      </c>
      <c r="Q1468" s="30" t="n">
        <v>13.84</v>
      </c>
      <c r="R1468" s="30" t="n">
        <f aca="false">ROUND(O1468*P1468,2)</f>
        <v>639.86</v>
      </c>
      <c r="S1468" s="30" t="n">
        <f aca="false">ROUND(O1468*Q1468,2)</f>
        <v>318.32</v>
      </c>
      <c r="T1468" s="30" t="n">
        <f aca="false">ROUND(R1468*SUMIFS(Parametros!$E$23:$E$38,Parametros!$B$23:$B$38,J1468,Parametros!$C$23:$C$38,C1468,Parametros!$D$23:$D$38,D1468),2)</f>
        <v>8.32</v>
      </c>
      <c r="U1468" s="30" t="n">
        <f aca="false">R1468-S1468-T1468</f>
        <v>313.22</v>
      </c>
    </row>
    <row r="1469" customFormat="false" ht="15" hidden="false" customHeight="false" outlineLevel="0" collapsed="false">
      <c r="A1469" s="0" t="n">
        <v>1468</v>
      </c>
      <c r="B1469" s="27" t="n">
        <v>45733</v>
      </c>
      <c r="C1469" s="0" t="n">
        <v>2025</v>
      </c>
      <c r="D1469" s="28" t="s">
        <v>61</v>
      </c>
      <c r="E1469" s="0" t="n">
        <v>3</v>
      </c>
      <c r="F1469" s="28" t="s">
        <v>106</v>
      </c>
      <c r="G1469" s="28" t="s">
        <v>145</v>
      </c>
      <c r="H1469" s="28" t="s">
        <v>100</v>
      </c>
      <c r="I1469" s="28" t="s">
        <v>101</v>
      </c>
      <c r="J1469" s="28" t="s">
        <v>71</v>
      </c>
      <c r="K1469" s="28" t="s">
        <v>76</v>
      </c>
      <c r="L1469" s="28" t="s">
        <v>134</v>
      </c>
      <c r="M1469" s="28" t="s">
        <v>78</v>
      </c>
      <c r="N1469" s="28" t="s">
        <v>135</v>
      </c>
      <c r="O1469" s="29" t="n">
        <v>20</v>
      </c>
      <c r="P1469" s="30" t="n">
        <v>27.82</v>
      </c>
      <c r="Q1469" s="30" t="n">
        <v>13.84</v>
      </c>
      <c r="R1469" s="30" t="n">
        <f aca="false">ROUND(O1469*P1469,2)</f>
        <v>556.4</v>
      </c>
      <c r="S1469" s="30" t="n">
        <f aca="false">ROUND(O1469*Q1469,2)</f>
        <v>276.8</v>
      </c>
      <c r="T1469" s="30" t="n">
        <f aca="false">ROUND(R1469*SUMIFS(Parametros!$E$23:$E$38,Parametros!$B$23:$B$38,J1469,Parametros!$C$23:$C$38,C1469,Parametros!$D$23:$D$38,D1469),2)</f>
        <v>37.84</v>
      </c>
      <c r="U1469" s="30" t="n">
        <f aca="false">R1469-S1469-T1469</f>
        <v>241.76</v>
      </c>
    </row>
    <row r="1470" customFormat="false" ht="15" hidden="false" customHeight="false" outlineLevel="0" collapsed="false">
      <c r="A1470" s="0" t="n">
        <v>1469</v>
      </c>
      <c r="B1470" s="27" t="n">
        <v>45740</v>
      </c>
      <c r="C1470" s="0" t="n">
        <v>2025</v>
      </c>
      <c r="D1470" s="28" t="s">
        <v>61</v>
      </c>
      <c r="E1470" s="0" t="n">
        <v>3</v>
      </c>
      <c r="F1470" s="28" t="s">
        <v>106</v>
      </c>
      <c r="G1470" s="28" t="s">
        <v>145</v>
      </c>
      <c r="H1470" s="28" t="s">
        <v>100</v>
      </c>
      <c r="I1470" s="28" t="s">
        <v>101</v>
      </c>
      <c r="J1470" s="28" t="s">
        <v>66</v>
      </c>
      <c r="K1470" s="28" t="s">
        <v>76</v>
      </c>
      <c r="L1470" s="28" t="s">
        <v>134</v>
      </c>
      <c r="M1470" s="28" t="s">
        <v>80</v>
      </c>
      <c r="N1470" s="28" t="s">
        <v>136</v>
      </c>
      <c r="O1470" s="29" t="n">
        <v>30</v>
      </c>
      <c r="P1470" s="30" t="n">
        <v>94.39</v>
      </c>
      <c r="Q1470" s="30" t="n">
        <v>49.41</v>
      </c>
      <c r="R1470" s="30" t="n">
        <f aca="false">ROUND(O1470*P1470,2)</f>
        <v>2831.7</v>
      </c>
      <c r="S1470" s="30" t="n">
        <f aca="false">ROUND(O1470*Q1470,2)</f>
        <v>1482.3</v>
      </c>
      <c r="T1470" s="30" t="n">
        <f aca="false">ROUND(R1470*SUMIFS(Parametros!$E$23:$E$38,Parametros!$B$23:$B$38,J1470,Parametros!$C$23:$C$38,C1470,Parametros!$D$23:$D$38,D1470),2)</f>
        <v>36.81</v>
      </c>
      <c r="U1470" s="30" t="n">
        <f aca="false">R1470-S1470-T1470</f>
        <v>1312.59</v>
      </c>
    </row>
    <row r="1471" customFormat="false" ht="15" hidden="false" customHeight="false" outlineLevel="0" collapsed="false">
      <c r="A1471" s="0" t="n">
        <v>1470</v>
      </c>
      <c r="B1471" s="27" t="n">
        <v>45720</v>
      </c>
      <c r="C1471" s="0" t="n">
        <v>2025</v>
      </c>
      <c r="D1471" s="28" t="s">
        <v>61</v>
      </c>
      <c r="E1471" s="0" t="n">
        <v>3</v>
      </c>
      <c r="F1471" s="28" t="s">
        <v>106</v>
      </c>
      <c r="G1471" s="28" t="s">
        <v>145</v>
      </c>
      <c r="H1471" s="28" t="s">
        <v>100</v>
      </c>
      <c r="I1471" s="28" t="s">
        <v>101</v>
      </c>
      <c r="J1471" s="28" t="s">
        <v>71</v>
      </c>
      <c r="K1471" s="28" t="s">
        <v>76</v>
      </c>
      <c r="L1471" s="28" t="s">
        <v>134</v>
      </c>
      <c r="M1471" s="28" t="s">
        <v>80</v>
      </c>
      <c r="N1471" s="28" t="s">
        <v>136</v>
      </c>
      <c r="O1471" s="29" t="n">
        <v>23</v>
      </c>
      <c r="P1471" s="30" t="n">
        <v>94.39</v>
      </c>
      <c r="Q1471" s="30" t="n">
        <v>49.41</v>
      </c>
      <c r="R1471" s="30" t="n">
        <f aca="false">ROUND(O1471*P1471,2)</f>
        <v>2170.97</v>
      </c>
      <c r="S1471" s="30" t="n">
        <f aca="false">ROUND(O1471*Q1471,2)</f>
        <v>1136.43</v>
      </c>
      <c r="T1471" s="30" t="n">
        <f aca="false">ROUND(R1471*SUMIFS(Parametros!$E$23:$E$38,Parametros!$B$23:$B$38,J1471,Parametros!$C$23:$C$38,C1471,Parametros!$D$23:$D$38,D1471),2)</f>
        <v>147.63</v>
      </c>
      <c r="U1471" s="30" t="n">
        <f aca="false">R1471-S1471-T1471</f>
        <v>886.91</v>
      </c>
    </row>
    <row r="1472" customFormat="false" ht="15" hidden="false" customHeight="false" outlineLevel="0" collapsed="false">
      <c r="A1472" s="0" t="n">
        <v>1471</v>
      </c>
      <c r="B1472" s="27" t="n">
        <v>45727</v>
      </c>
      <c r="C1472" s="0" t="n">
        <v>2025</v>
      </c>
      <c r="D1472" s="28" t="s">
        <v>61</v>
      </c>
      <c r="E1472" s="0" t="n">
        <v>3</v>
      </c>
      <c r="F1472" s="28" t="s">
        <v>106</v>
      </c>
      <c r="G1472" s="28" t="s">
        <v>145</v>
      </c>
      <c r="H1472" s="28" t="s">
        <v>100</v>
      </c>
      <c r="I1472" s="28" t="s">
        <v>101</v>
      </c>
      <c r="J1472" s="28" t="s">
        <v>66</v>
      </c>
      <c r="K1472" s="28" t="s">
        <v>76</v>
      </c>
      <c r="L1472" s="28" t="s">
        <v>134</v>
      </c>
      <c r="M1472" s="28" t="s">
        <v>82</v>
      </c>
      <c r="N1472" s="28" t="s">
        <v>137</v>
      </c>
      <c r="O1472" s="29" t="n">
        <v>31</v>
      </c>
      <c r="P1472" s="30" t="n">
        <v>64.58</v>
      </c>
      <c r="Q1472" s="30" t="n">
        <v>36.49</v>
      </c>
      <c r="R1472" s="30" t="n">
        <f aca="false">ROUND(O1472*P1472,2)</f>
        <v>2001.98</v>
      </c>
      <c r="S1472" s="30" t="n">
        <f aca="false">ROUND(O1472*Q1472,2)</f>
        <v>1131.19</v>
      </c>
      <c r="T1472" s="30" t="n">
        <f aca="false">ROUND(R1472*SUMIFS(Parametros!$E$23:$E$38,Parametros!$B$23:$B$38,J1472,Parametros!$C$23:$C$38,C1472,Parametros!$D$23:$D$38,D1472),2)</f>
        <v>26.03</v>
      </c>
      <c r="U1472" s="30" t="n">
        <f aca="false">R1472-S1472-T1472</f>
        <v>844.76</v>
      </c>
    </row>
    <row r="1473" customFormat="false" ht="15" hidden="false" customHeight="false" outlineLevel="0" collapsed="false">
      <c r="A1473" s="0" t="n">
        <v>1472</v>
      </c>
      <c r="B1473" s="27" t="n">
        <v>45734</v>
      </c>
      <c r="C1473" s="0" t="n">
        <v>2025</v>
      </c>
      <c r="D1473" s="28" t="s">
        <v>61</v>
      </c>
      <c r="E1473" s="0" t="n">
        <v>3</v>
      </c>
      <c r="F1473" s="28" t="s">
        <v>106</v>
      </c>
      <c r="G1473" s="28" t="s">
        <v>145</v>
      </c>
      <c r="H1473" s="28" t="s">
        <v>100</v>
      </c>
      <c r="I1473" s="28" t="s">
        <v>101</v>
      </c>
      <c r="J1473" s="28" t="s">
        <v>71</v>
      </c>
      <c r="K1473" s="28" t="s">
        <v>76</v>
      </c>
      <c r="L1473" s="28" t="s">
        <v>134</v>
      </c>
      <c r="M1473" s="28" t="s">
        <v>82</v>
      </c>
      <c r="N1473" s="28" t="s">
        <v>137</v>
      </c>
      <c r="O1473" s="29" t="n">
        <v>20</v>
      </c>
      <c r="P1473" s="30" t="n">
        <v>64.58</v>
      </c>
      <c r="Q1473" s="30" t="n">
        <v>36.49</v>
      </c>
      <c r="R1473" s="30" t="n">
        <f aca="false">ROUND(O1473*P1473,2)</f>
        <v>1291.6</v>
      </c>
      <c r="S1473" s="30" t="n">
        <f aca="false">ROUND(O1473*Q1473,2)</f>
        <v>729.8</v>
      </c>
      <c r="T1473" s="30" t="n">
        <f aca="false">ROUND(R1473*SUMIFS(Parametros!$E$23:$E$38,Parametros!$B$23:$B$38,J1473,Parametros!$C$23:$C$38,C1473,Parametros!$D$23:$D$38,D1473),2)</f>
        <v>87.83</v>
      </c>
      <c r="U1473" s="30" t="n">
        <f aca="false">R1473-S1473-T1473</f>
        <v>473.97</v>
      </c>
    </row>
    <row r="1474" customFormat="false" ht="15" hidden="false" customHeight="false" outlineLevel="0" collapsed="false">
      <c r="A1474" s="0" t="n">
        <v>1473</v>
      </c>
      <c r="B1474" s="27" t="n">
        <v>45741</v>
      </c>
      <c r="C1474" s="0" t="n">
        <v>2025</v>
      </c>
      <c r="D1474" s="28" t="s">
        <v>61</v>
      </c>
      <c r="E1474" s="0" t="n">
        <v>3</v>
      </c>
      <c r="F1474" s="28" t="s">
        <v>106</v>
      </c>
      <c r="G1474" s="28" t="s">
        <v>145</v>
      </c>
      <c r="H1474" s="28" t="s">
        <v>100</v>
      </c>
      <c r="I1474" s="28" t="s">
        <v>101</v>
      </c>
      <c r="J1474" s="28" t="s">
        <v>66</v>
      </c>
      <c r="K1474" s="28" t="s">
        <v>84</v>
      </c>
      <c r="L1474" s="28" t="s">
        <v>138</v>
      </c>
      <c r="M1474" s="28" t="s">
        <v>86</v>
      </c>
      <c r="N1474" s="28" t="s">
        <v>139</v>
      </c>
      <c r="O1474" s="29" t="n">
        <v>12</v>
      </c>
      <c r="P1474" s="30" t="n">
        <v>119.23</v>
      </c>
      <c r="Q1474" s="30" t="n">
        <v>65.51</v>
      </c>
      <c r="R1474" s="30" t="n">
        <f aca="false">ROUND(O1474*P1474,2)</f>
        <v>1430.76</v>
      </c>
      <c r="S1474" s="30" t="n">
        <f aca="false">ROUND(O1474*Q1474,2)</f>
        <v>786.12</v>
      </c>
      <c r="T1474" s="30" t="n">
        <f aca="false">ROUND(R1474*SUMIFS(Parametros!$E$23:$E$38,Parametros!$B$23:$B$38,J1474,Parametros!$C$23:$C$38,C1474,Parametros!$D$23:$D$38,D1474),2)</f>
        <v>18.6</v>
      </c>
      <c r="U1474" s="30" t="n">
        <f aca="false">R1474-S1474-T1474</f>
        <v>626.04</v>
      </c>
    </row>
    <row r="1475" customFormat="false" ht="15" hidden="false" customHeight="false" outlineLevel="0" collapsed="false">
      <c r="A1475" s="0" t="n">
        <v>1474</v>
      </c>
      <c r="B1475" s="27" t="n">
        <v>45721</v>
      </c>
      <c r="C1475" s="0" t="n">
        <v>2025</v>
      </c>
      <c r="D1475" s="28" t="s">
        <v>61</v>
      </c>
      <c r="E1475" s="0" t="n">
        <v>3</v>
      </c>
      <c r="F1475" s="28" t="s">
        <v>106</v>
      </c>
      <c r="G1475" s="28" t="s">
        <v>145</v>
      </c>
      <c r="H1475" s="28" t="s">
        <v>100</v>
      </c>
      <c r="I1475" s="28" t="s">
        <v>101</v>
      </c>
      <c r="J1475" s="28" t="s">
        <v>71</v>
      </c>
      <c r="K1475" s="28" t="s">
        <v>84</v>
      </c>
      <c r="L1475" s="28" t="s">
        <v>138</v>
      </c>
      <c r="M1475" s="28" t="s">
        <v>86</v>
      </c>
      <c r="N1475" s="28" t="s">
        <v>139</v>
      </c>
      <c r="O1475" s="29" t="n">
        <v>8</v>
      </c>
      <c r="P1475" s="30" t="n">
        <v>119.23</v>
      </c>
      <c r="Q1475" s="30" t="n">
        <v>65.51</v>
      </c>
      <c r="R1475" s="30" t="n">
        <f aca="false">ROUND(O1475*P1475,2)</f>
        <v>953.84</v>
      </c>
      <c r="S1475" s="30" t="n">
        <f aca="false">ROUND(O1475*Q1475,2)</f>
        <v>524.08</v>
      </c>
      <c r="T1475" s="30" t="n">
        <f aca="false">ROUND(R1475*SUMIFS(Parametros!$E$23:$E$38,Parametros!$B$23:$B$38,J1475,Parametros!$C$23:$C$38,C1475,Parametros!$D$23:$D$38,D1475),2)</f>
        <v>64.86</v>
      </c>
      <c r="U1475" s="30" t="n">
        <f aca="false">R1475-S1475-T1475</f>
        <v>364.9</v>
      </c>
    </row>
    <row r="1476" customFormat="false" ht="15" hidden="false" customHeight="false" outlineLevel="0" collapsed="false">
      <c r="A1476" s="0" t="n">
        <v>1475</v>
      </c>
      <c r="B1476" s="27" t="n">
        <v>45728</v>
      </c>
      <c r="C1476" s="0" t="n">
        <v>2025</v>
      </c>
      <c r="D1476" s="28" t="s">
        <v>61</v>
      </c>
      <c r="E1476" s="0" t="n">
        <v>3</v>
      </c>
      <c r="F1476" s="28" t="s">
        <v>106</v>
      </c>
      <c r="G1476" s="28" t="s">
        <v>145</v>
      </c>
      <c r="H1476" s="28" t="s">
        <v>100</v>
      </c>
      <c r="I1476" s="28" t="s">
        <v>101</v>
      </c>
      <c r="J1476" s="28" t="s">
        <v>66</v>
      </c>
      <c r="K1476" s="28" t="s">
        <v>84</v>
      </c>
      <c r="L1476" s="28" t="s">
        <v>138</v>
      </c>
      <c r="M1476" s="28" t="s">
        <v>88</v>
      </c>
      <c r="N1476" s="28" t="s">
        <v>140</v>
      </c>
      <c r="O1476" s="29" t="n">
        <v>13</v>
      </c>
      <c r="P1476" s="30" t="n">
        <v>84.46</v>
      </c>
      <c r="Q1476" s="30" t="n">
        <v>49.47</v>
      </c>
      <c r="R1476" s="30" t="n">
        <f aca="false">ROUND(O1476*P1476,2)</f>
        <v>1097.98</v>
      </c>
      <c r="S1476" s="30" t="n">
        <f aca="false">ROUND(O1476*Q1476,2)</f>
        <v>643.11</v>
      </c>
      <c r="T1476" s="30" t="n">
        <f aca="false">ROUND(R1476*SUMIFS(Parametros!$E$23:$E$38,Parametros!$B$23:$B$38,J1476,Parametros!$C$23:$C$38,C1476,Parametros!$D$23:$D$38,D1476),2)</f>
        <v>14.27</v>
      </c>
      <c r="U1476" s="30" t="n">
        <f aca="false">R1476-S1476-T1476</f>
        <v>440.6</v>
      </c>
    </row>
    <row r="1477" customFormat="false" ht="15" hidden="false" customHeight="false" outlineLevel="0" collapsed="false">
      <c r="A1477" s="0" t="n">
        <v>1476</v>
      </c>
      <c r="B1477" s="27" t="n">
        <v>45735</v>
      </c>
      <c r="C1477" s="0" t="n">
        <v>2025</v>
      </c>
      <c r="D1477" s="28" t="s">
        <v>61</v>
      </c>
      <c r="E1477" s="0" t="n">
        <v>3</v>
      </c>
      <c r="F1477" s="28" t="s">
        <v>106</v>
      </c>
      <c r="G1477" s="28" t="s">
        <v>145</v>
      </c>
      <c r="H1477" s="28" t="s">
        <v>100</v>
      </c>
      <c r="I1477" s="28" t="s">
        <v>101</v>
      </c>
      <c r="J1477" s="28" t="s">
        <v>71</v>
      </c>
      <c r="K1477" s="28" t="s">
        <v>84</v>
      </c>
      <c r="L1477" s="28" t="s">
        <v>138</v>
      </c>
      <c r="M1477" s="28" t="s">
        <v>88</v>
      </c>
      <c r="N1477" s="28" t="s">
        <v>140</v>
      </c>
      <c r="O1477" s="29" t="n">
        <v>10</v>
      </c>
      <c r="P1477" s="30" t="n">
        <v>84.46</v>
      </c>
      <c r="Q1477" s="30" t="n">
        <v>49.47</v>
      </c>
      <c r="R1477" s="30" t="n">
        <f aca="false">ROUND(O1477*P1477,2)</f>
        <v>844.6</v>
      </c>
      <c r="S1477" s="30" t="n">
        <f aca="false">ROUND(O1477*Q1477,2)</f>
        <v>494.7</v>
      </c>
      <c r="T1477" s="30" t="n">
        <f aca="false">ROUND(R1477*SUMIFS(Parametros!$E$23:$E$38,Parametros!$B$23:$B$38,J1477,Parametros!$C$23:$C$38,C1477,Parametros!$D$23:$D$38,D1477),2)</f>
        <v>57.43</v>
      </c>
      <c r="U1477" s="30" t="n">
        <f aca="false">R1477-S1477-T1477</f>
        <v>292.47</v>
      </c>
    </row>
    <row r="1478" customFormat="false" ht="15" hidden="false" customHeight="false" outlineLevel="0" collapsed="false">
      <c r="A1478" s="0" t="n">
        <v>1477</v>
      </c>
      <c r="B1478" s="27" t="n">
        <v>45742</v>
      </c>
      <c r="C1478" s="0" t="n">
        <v>2025</v>
      </c>
      <c r="D1478" s="28" t="s">
        <v>61</v>
      </c>
      <c r="E1478" s="0" t="n">
        <v>3</v>
      </c>
      <c r="F1478" s="28" t="s">
        <v>106</v>
      </c>
      <c r="G1478" s="28" t="s">
        <v>145</v>
      </c>
      <c r="H1478" s="28" t="s">
        <v>100</v>
      </c>
      <c r="I1478" s="28" t="s">
        <v>101</v>
      </c>
      <c r="J1478" s="28" t="s">
        <v>66</v>
      </c>
      <c r="K1478" s="28" t="s">
        <v>90</v>
      </c>
      <c r="L1478" s="28" t="s">
        <v>141</v>
      </c>
      <c r="M1478" s="28" t="s">
        <v>92</v>
      </c>
      <c r="N1478" s="28" t="s">
        <v>142</v>
      </c>
      <c r="O1478" s="29" t="n">
        <v>19</v>
      </c>
      <c r="P1478" s="30" t="n">
        <v>129.17</v>
      </c>
      <c r="Q1478" s="30" t="n">
        <v>78.33</v>
      </c>
      <c r="R1478" s="30" t="n">
        <f aca="false">ROUND(O1478*P1478,2)</f>
        <v>2454.23</v>
      </c>
      <c r="S1478" s="30" t="n">
        <f aca="false">ROUND(O1478*Q1478,2)</f>
        <v>1488.27</v>
      </c>
      <c r="T1478" s="30" t="n">
        <f aca="false">ROUND(R1478*SUMIFS(Parametros!$E$23:$E$38,Parametros!$B$23:$B$38,J1478,Parametros!$C$23:$C$38,C1478,Parametros!$D$23:$D$38,D1478),2)</f>
        <v>31.9</v>
      </c>
      <c r="U1478" s="30" t="n">
        <f aca="false">R1478-S1478-T1478</f>
        <v>934.06</v>
      </c>
    </row>
    <row r="1479" customFormat="false" ht="15" hidden="false" customHeight="false" outlineLevel="0" collapsed="false">
      <c r="A1479" s="0" t="n">
        <v>1478</v>
      </c>
      <c r="B1479" s="27" t="n">
        <v>45722</v>
      </c>
      <c r="C1479" s="0" t="n">
        <v>2025</v>
      </c>
      <c r="D1479" s="28" t="s">
        <v>61</v>
      </c>
      <c r="E1479" s="0" t="n">
        <v>3</v>
      </c>
      <c r="F1479" s="28" t="s">
        <v>106</v>
      </c>
      <c r="G1479" s="28" t="s">
        <v>145</v>
      </c>
      <c r="H1479" s="28" t="s">
        <v>100</v>
      </c>
      <c r="I1479" s="28" t="s">
        <v>101</v>
      </c>
      <c r="J1479" s="28" t="s">
        <v>71</v>
      </c>
      <c r="K1479" s="28" t="s">
        <v>90</v>
      </c>
      <c r="L1479" s="28" t="s">
        <v>141</v>
      </c>
      <c r="M1479" s="28" t="s">
        <v>92</v>
      </c>
      <c r="N1479" s="28" t="s">
        <v>142</v>
      </c>
      <c r="O1479" s="29" t="n">
        <v>10</v>
      </c>
      <c r="P1479" s="30" t="n">
        <v>129.17</v>
      </c>
      <c r="Q1479" s="30" t="n">
        <v>78.33</v>
      </c>
      <c r="R1479" s="30" t="n">
        <f aca="false">ROUND(O1479*P1479,2)</f>
        <v>1291.7</v>
      </c>
      <c r="S1479" s="30" t="n">
        <f aca="false">ROUND(O1479*Q1479,2)</f>
        <v>783.3</v>
      </c>
      <c r="T1479" s="30" t="n">
        <f aca="false">ROUND(R1479*SUMIFS(Parametros!$E$23:$E$38,Parametros!$B$23:$B$38,J1479,Parametros!$C$23:$C$38,C1479,Parametros!$D$23:$D$38,D1479),2)</f>
        <v>87.84</v>
      </c>
      <c r="U1479" s="30" t="n">
        <f aca="false">R1479-S1479-T1479</f>
        <v>420.56</v>
      </c>
    </row>
    <row r="1480" customFormat="false" ht="15" hidden="false" customHeight="false" outlineLevel="0" collapsed="false">
      <c r="A1480" s="0" t="n">
        <v>1479</v>
      </c>
      <c r="B1480" s="27" t="n">
        <v>45729</v>
      </c>
      <c r="C1480" s="0" t="n">
        <v>2025</v>
      </c>
      <c r="D1480" s="28" t="s">
        <v>61</v>
      </c>
      <c r="E1480" s="0" t="n">
        <v>3</v>
      </c>
      <c r="F1480" s="28" t="s">
        <v>106</v>
      </c>
      <c r="G1480" s="28" t="s">
        <v>145</v>
      </c>
      <c r="H1480" s="28" t="s">
        <v>100</v>
      </c>
      <c r="I1480" s="28" t="s">
        <v>101</v>
      </c>
      <c r="J1480" s="28" t="s">
        <v>66</v>
      </c>
      <c r="K1480" s="28" t="s">
        <v>90</v>
      </c>
      <c r="L1480" s="28" t="s">
        <v>141</v>
      </c>
      <c r="M1480" s="28" t="s">
        <v>94</v>
      </c>
      <c r="N1480" s="28" t="s">
        <v>143</v>
      </c>
      <c r="O1480" s="29" t="n">
        <v>16</v>
      </c>
      <c r="P1480" s="30" t="n">
        <v>34.78</v>
      </c>
      <c r="Q1480" s="30" t="n">
        <v>18.39</v>
      </c>
      <c r="R1480" s="30" t="n">
        <f aca="false">ROUND(O1480*P1480,2)</f>
        <v>556.48</v>
      </c>
      <c r="S1480" s="30" t="n">
        <f aca="false">ROUND(O1480*Q1480,2)</f>
        <v>294.24</v>
      </c>
      <c r="T1480" s="30" t="n">
        <f aca="false">ROUND(R1480*SUMIFS(Parametros!$E$23:$E$38,Parametros!$B$23:$B$38,J1480,Parametros!$C$23:$C$38,C1480,Parametros!$D$23:$D$38,D1480),2)</f>
        <v>7.23</v>
      </c>
      <c r="U1480" s="30" t="n">
        <f aca="false">R1480-S1480-T1480</f>
        <v>255.01</v>
      </c>
    </row>
    <row r="1481" customFormat="false" ht="15" hidden="false" customHeight="false" outlineLevel="0" collapsed="false">
      <c r="A1481" s="0" t="n">
        <v>1480</v>
      </c>
      <c r="B1481" s="27" t="n">
        <v>45736</v>
      </c>
      <c r="C1481" s="0" t="n">
        <v>2025</v>
      </c>
      <c r="D1481" s="28" t="s">
        <v>61</v>
      </c>
      <c r="E1481" s="0" t="n">
        <v>3</v>
      </c>
      <c r="F1481" s="28" t="s">
        <v>106</v>
      </c>
      <c r="G1481" s="28" t="s">
        <v>145</v>
      </c>
      <c r="H1481" s="28" t="s">
        <v>100</v>
      </c>
      <c r="I1481" s="28" t="s">
        <v>101</v>
      </c>
      <c r="J1481" s="28" t="s">
        <v>71</v>
      </c>
      <c r="K1481" s="28" t="s">
        <v>90</v>
      </c>
      <c r="L1481" s="28" t="s">
        <v>141</v>
      </c>
      <c r="M1481" s="28" t="s">
        <v>94</v>
      </c>
      <c r="N1481" s="28" t="s">
        <v>143</v>
      </c>
      <c r="O1481" s="29" t="n">
        <v>10</v>
      </c>
      <c r="P1481" s="30" t="n">
        <v>34.78</v>
      </c>
      <c r="Q1481" s="30" t="n">
        <v>18.39</v>
      </c>
      <c r="R1481" s="30" t="n">
        <f aca="false">ROUND(O1481*P1481,2)</f>
        <v>347.8</v>
      </c>
      <c r="S1481" s="30" t="n">
        <f aca="false">ROUND(O1481*Q1481,2)</f>
        <v>183.9</v>
      </c>
      <c r="T1481" s="30" t="n">
        <f aca="false">ROUND(R1481*SUMIFS(Parametros!$E$23:$E$38,Parametros!$B$23:$B$38,J1481,Parametros!$C$23:$C$38,C1481,Parametros!$D$23:$D$38,D1481),2)</f>
        <v>23.65</v>
      </c>
      <c r="U1481" s="30" t="n">
        <f aca="false">R1481-S1481-T1481</f>
        <v>140.25</v>
      </c>
    </row>
    <row r="1482" customFormat="false" ht="15" hidden="false" customHeight="false" outlineLevel="0" collapsed="false">
      <c r="A1482" s="0" t="n">
        <v>1481</v>
      </c>
      <c r="B1482" s="27" t="n">
        <v>45743</v>
      </c>
      <c r="C1482" s="0" t="n">
        <v>2025</v>
      </c>
      <c r="D1482" s="28" t="s">
        <v>61</v>
      </c>
      <c r="E1482" s="0" t="n">
        <v>3</v>
      </c>
      <c r="F1482" s="28" t="s">
        <v>106</v>
      </c>
      <c r="G1482" s="28" t="s">
        <v>145</v>
      </c>
      <c r="H1482" s="28" t="s">
        <v>102</v>
      </c>
      <c r="I1482" s="28" t="s">
        <v>103</v>
      </c>
      <c r="J1482" s="28" t="s">
        <v>66</v>
      </c>
      <c r="K1482" s="28" t="s">
        <v>67</v>
      </c>
      <c r="L1482" s="28" t="s">
        <v>130</v>
      </c>
      <c r="M1482" s="28" t="s">
        <v>69</v>
      </c>
      <c r="N1482" s="28" t="s">
        <v>131</v>
      </c>
      <c r="O1482" s="29" t="n">
        <v>7</v>
      </c>
      <c r="P1482" s="30" t="n">
        <v>1155.06</v>
      </c>
      <c r="Q1482" s="30" t="n">
        <v>766.32</v>
      </c>
      <c r="R1482" s="30" t="n">
        <f aca="false">ROUND(O1482*P1482,2)</f>
        <v>8085.42</v>
      </c>
      <c r="S1482" s="30" t="n">
        <f aca="false">ROUND(O1482*Q1482,2)</f>
        <v>5364.24</v>
      </c>
      <c r="T1482" s="30" t="n">
        <f aca="false">ROUND(R1482*SUMIFS(Parametros!$E$23:$E$38,Parametros!$B$23:$B$38,J1482,Parametros!$C$23:$C$38,C1482,Parametros!$D$23:$D$38,D1482),2)</f>
        <v>105.11</v>
      </c>
      <c r="U1482" s="30" t="n">
        <f aca="false">R1482-S1482-T1482</f>
        <v>2616.07</v>
      </c>
    </row>
    <row r="1483" customFormat="false" ht="15" hidden="false" customHeight="false" outlineLevel="0" collapsed="false">
      <c r="A1483" s="0" t="n">
        <v>1482</v>
      </c>
      <c r="B1483" s="27" t="n">
        <v>45723</v>
      </c>
      <c r="C1483" s="0" t="n">
        <v>2025</v>
      </c>
      <c r="D1483" s="28" t="s">
        <v>61</v>
      </c>
      <c r="E1483" s="0" t="n">
        <v>3</v>
      </c>
      <c r="F1483" s="28" t="s">
        <v>106</v>
      </c>
      <c r="G1483" s="28" t="s">
        <v>145</v>
      </c>
      <c r="H1483" s="28" t="s">
        <v>102</v>
      </c>
      <c r="I1483" s="28" t="s">
        <v>103</v>
      </c>
      <c r="J1483" s="28" t="s">
        <v>71</v>
      </c>
      <c r="K1483" s="28" t="s">
        <v>67</v>
      </c>
      <c r="L1483" s="28" t="s">
        <v>130</v>
      </c>
      <c r="M1483" s="28" t="s">
        <v>69</v>
      </c>
      <c r="N1483" s="28" t="s">
        <v>131</v>
      </c>
      <c r="O1483" s="29" t="n">
        <v>5</v>
      </c>
      <c r="P1483" s="30" t="n">
        <v>1155.06</v>
      </c>
      <c r="Q1483" s="30" t="n">
        <v>766.32</v>
      </c>
      <c r="R1483" s="30" t="n">
        <f aca="false">ROUND(O1483*P1483,2)</f>
        <v>5775.3</v>
      </c>
      <c r="S1483" s="30" t="n">
        <f aca="false">ROUND(O1483*Q1483,2)</f>
        <v>3831.6</v>
      </c>
      <c r="T1483" s="30" t="n">
        <f aca="false">ROUND(R1483*SUMIFS(Parametros!$E$23:$E$38,Parametros!$B$23:$B$38,J1483,Parametros!$C$23:$C$38,C1483,Parametros!$D$23:$D$38,D1483),2)</f>
        <v>392.72</v>
      </c>
      <c r="U1483" s="30" t="n">
        <f aca="false">R1483-S1483-T1483</f>
        <v>1550.98</v>
      </c>
    </row>
    <row r="1484" customFormat="false" ht="15" hidden="false" customHeight="false" outlineLevel="0" collapsed="false">
      <c r="A1484" s="0" t="n">
        <v>1483</v>
      </c>
      <c r="B1484" s="27" t="n">
        <v>45730</v>
      </c>
      <c r="C1484" s="0" t="n">
        <v>2025</v>
      </c>
      <c r="D1484" s="28" t="s">
        <v>61</v>
      </c>
      <c r="E1484" s="0" t="n">
        <v>3</v>
      </c>
      <c r="F1484" s="28" t="s">
        <v>106</v>
      </c>
      <c r="G1484" s="28" t="s">
        <v>145</v>
      </c>
      <c r="H1484" s="28" t="s">
        <v>102</v>
      </c>
      <c r="I1484" s="28" t="s">
        <v>103</v>
      </c>
      <c r="J1484" s="28" t="s">
        <v>66</v>
      </c>
      <c r="K1484" s="28" t="s">
        <v>67</v>
      </c>
      <c r="L1484" s="28" t="s">
        <v>130</v>
      </c>
      <c r="M1484" s="28" t="s">
        <v>72</v>
      </c>
      <c r="N1484" s="28" t="s">
        <v>132</v>
      </c>
      <c r="O1484" s="29" t="n">
        <v>7</v>
      </c>
      <c r="P1484" s="30" t="n">
        <v>433.15</v>
      </c>
      <c r="Q1484" s="30" t="n">
        <v>280.42</v>
      </c>
      <c r="R1484" s="30" t="n">
        <f aca="false">ROUND(O1484*P1484,2)</f>
        <v>3032.05</v>
      </c>
      <c r="S1484" s="30" t="n">
        <f aca="false">ROUND(O1484*Q1484,2)</f>
        <v>1962.94</v>
      </c>
      <c r="T1484" s="30" t="n">
        <f aca="false">ROUND(R1484*SUMIFS(Parametros!$E$23:$E$38,Parametros!$B$23:$B$38,J1484,Parametros!$C$23:$C$38,C1484,Parametros!$D$23:$D$38,D1484),2)</f>
        <v>39.42</v>
      </c>
      <c r="U1484" s="30" t="n">
        <f aca="false">R1484-S1484-T1484</f>
        <v>1029.69</v>
      </c>
    </row>
    <row r="1485" customFormat="false" ht="15" hidden="false" customHeight="false" outlineLevel="0" collapsed="false">
      <c r="A1485" s="0" t="n">
        <v>1484</v>
      </c>
      <c r="B1485" s="27" t="n">
        <v>45737</v>
      </c>
      <c r="C1485" s="0" t="n">
        <v>2025</v>
      </c>
      <c r="D1485" s="28" t="s">
        <v>61</v>
      </c>
      <c r="E1485" s="0" t="n">
        <v>3</v>
      </c>
      <c r="F1485" s="28" t="s">
        <v>106</v>
      </c>
      <c r="G1485" s="28" t="s">
        <v>145</v>
      </c>
      <c r="H1485" s="28" t="s">
        <v>102</v>
      </c>
      <c r="I1485" s="28" t="s">
        <v>103</v>
      </c>
      <c r="J1485" s="28" t="s">
        <v>71</v>
      </c>
      <c r="K1485" s="28" t="s">
        <v>67</v>
      </c>
      <c r="L1485" s="28" t="s">
        <v>130</v>
      </c>
      <c r="M1485" s="28" t="s">
        <v>72</v>
      </c>
      <c r="N1485" s="28" t="s">
        <v>132</v>
      </c>
      <c r="O1485" s="29" t="n">
        <v>5</v>
      </c>
      <c r="P1485" s="30" t="n">
        <v>433.15</v>
      </c>
      <c r="Q1485" s="30" t="n">
        <v>280.42</v>
      </c>
      <c r="R1485" s="30" t="n">
        <f aca="false">ROUND(O1485*P1485,2)</f>
        <v>2165.75</v>
      </c>
      <c r="S1485" s="30" t="n">
        <f aca="false">ROUND(O1485*Q1485,2)</f>
        <v>1402.1</v>
      </c>
      <c r="T1485" s="30" t="n">
        <f aca="false">ROUND(R1485*SUMIFS(Parametros!$E$23:$E$38,Parametros!$B$23:$B$38,J1485,Parametros!$C$23:$C$38,C1485,Parametros!$D$23:$D$38,D1485),2)</f>
        <v>147.27</v>
      </c>
      <c r="U1485" s="30" t="n">
        <f aca="false">R1485-S1485-T1485</f>
        <v>616.38</v>
      </c>
    </row>
    <row r="1486" customFormat="false" ht="15" hidden="false" customHeight="false" outlineLevel="0" collapsed="false">
      <c r="A1486" s="0" t="n">
        <v>1485</v>
      </c>
      <c r="B1486" s="27" t="n">
        <v>45717</v>
      </c>
      <c r="C1486" s="0" t="n">
        <v>2025</v>
      </c>
      <c r="D1486" s="28" t="s">
        <v>61</v>
      </c>
      <c r="E1486" s="0" t="n">
        <v>3</v>
      </c>
      <c r="F1486" s="28" t="s">
        <v>106</v>
      </c>
      <c r="G1486" s="28" t="s">
        <v>145</v>
      </c>
      <c r="H1486" s="28" t="s">
        <v>102</v>
      </c>
      <c r="I1486" s="28" t="s">
        <v>103</v>
      </c>
      <c r="J1486" s="28" t="s">
        <v>66</v>
      </c>
      <c r="K1486" s="28" t="s">
        <v>67</v>
      </c>
      <c r="L1486" s="28" t="s">
        <v>130</v>
      </c>
      <c r="M1486" s="28" t="s">
        <v>74</v>
      </c>
      <c r="N1486" s="28" t="s">
        <v>133</v>
      </c>
      <c r="O1486" s="29" t="n">
        <v>6</v>
      </c>
      <c r="P1486" s="30" t="n">
        <v>1588.21</v>
      </c>
      <c r="Q1486" s="30" t="n">
        <v>1155.66</v>
      </c>
      <c r="R1486" s="30" t="n">
        <f aca="false">ROUND(O1486*P1486,2)</f>
        <v>9529.26</v>
      </c>
      <c r="S1486" s="30" t="n">
        <f aca="false">ROUND(O1486*Q1486,2)</f>
        <v>6933.96</v>
      </c>
      <c r="T1486" s="30" t="n">
        <f aca="false">ROUND(R1486*SUMIFS(Parametros!$E$23:$E$38,Parametros!$B$23:$B$38,J1486,Parametros!$C$23:$C$38,C1486,Parametros!$D$23:$D$38,D1486),2)</f>
        <v>123.88</v>
      </c>
      <c r="U1486" s="30" t="n">
        <f aca="false">R1486-S1486-T1486</f>
        <v>2471.42</v>
      </c>
    </row>
    <row r="1487" customFormat="false" ht="15" hidden="false" customHeight="false" outlineLevel="0" collapsed="false">
      <c r="A1487" s="0" t="n">
        <v>1486</v>
      </c>
      <c r="B1487" s="27" t="n">
        <v>45724</v>
      </c>
      <c r="C1487" s="0" t="n">
        <v>2025</v>
      </c>
      <c r="D1487" s="28" t="s">
        <v>61</v>
      </c>
      <c r="E1487" s="0" t="n">
        <v>3</v>
      </c>
      <c r="F1487" s="28" t="s">
        <v>106</v>
      </c>
      <c r="G1487" s="28" t="s">
        <v>145</v>
      </c>
      <c r="H1487" s="28" t="s">
        <v>102</v>
      </c>
      <c r="I1487" s="28" t="s">
        <v>103</v>
      </c>
      <c r="J1487" s="28" t="s">
        <v>71</v>
      </c>
      <c r="K1487" s="28" t="s">
        <v>67</v>
      </c>
      <c r="L1487" s="28" t="s">
        <v>130</v>
      </c>
      <c r="M1487" s="28" t="s">
        <v>74</v>
      </c>
      <c r="N1487" s="28" t="s">
        <v>133</v>
      </c>
      <c r="O1487" s="29" t="n">
        <v>4</v>
      </c>
      <c r="P1487" s="30" t="n">
        <v>1588.21</v>
      </c>
      <c r="Q1487" s="30" t="n">
        <v>1155.66</v>
      </c>
      <c r="R1487" s="30" t="n">
        <f aca="false">ROUND(O1487*P1487,2)</f>
        <v>6352.84</v>
      </c>
      <c r="S1487" s="30" t="n">
        <f aca="false">ROUND(O1487*Q1487,2)</f>
        <v>4622.64</v>
      </c>
      <c r="T1487" s="30" t="n">
        <f aca="false">ROUND(R1487*SUMIFS(Parametros!$E$23:$E$38,Parametros!$B$23:$B$38,J1487,Parametros!$C$23:$C$38,C1487,Parametros!$D$23:$D$38,D1487),2)</f>
        <v>431.99</v>
      </c>
      <c r="U1487" s="30" t="n">
        <f aca="false">R1487-S1487-T1487</f>
        <v>1298.21</v>
      </c>
    </row>
    <row r="1488" customFormat="false" ht="15" hidden="false" customHeight="false" outlineLevel="0" collapsed="false">
      <c r="A1488" s="0" t="n">
        <v>1487</v>
      </c>
      <c r="B1488" s="27" t="n">
        <v>45731</v>
      </c>
      <c r="C1488" s="0" t="n">
        <v>2025</v>
      </c>
      <c r="D1488" s="28" t="s">
        <v>61</v>
      </c>
      <c r="E1488" s="0" t="n">
        <v>3</v>
      </c>
      <c r="F1488" s="28" t="s">
        <v>106</v>
      </c>
      <c r="G1488" s="28" t="s">
        <v>145</v>
      </c>
      <c r="H1488" s="28" t="s">
        <v>102</v>
      </c>
      <c r="I1488" s="28" t="s">
        <v>103</v>
      </c>
      <c r="J1488" s="28" t="s">
        <v>66</v>
      </c>
      <c r="K1488" s="28" t="s">
        <v>76</v>
      </c>
      <c r="L1488" s="28" t="s">
        <v>134</v>
      </c>
      <c r="M1488" s="28" t="s">
        <v>78</v>
      </c>
      <c r="N1488" s="28" t="s">
        <v>135</v>
      </c>
      <c r="O1488" s="29" t="n">
        <v>25</v>
      </c>
      <c r="P1488" s="30" t="n">
        <v>27.82</v>
      </c>
      <c r="Q1488" s="30" t="n">
        <v>13.84</v>
      </c>
      <c r="R1488" s="30" t="n">
        <f aca="false">ROUND(O1488*P1488,2)</f>
        <v>695.5</v>
      </c>
      <c r="S1488" s="30" t="n">
        <f aca="false">ROUND(O1488*Q1488,2)</f>
        <v>346</v>
      </c>
      <c r="T1488" s="30" t="n">
        <f aca="false">ROUND(R1488*SUMIFS(Parametros!$E$23:$E$38,Parametros!$B$23:$B$38,J1488,Parametros!$C$23:$C$38,C1488,Parametros!$D$23:$D$38,D1488),2)</f>
        <v>9.04</v>
      </c>
      <c r="U1488" s="30" t="n">
        <f aca="false">R1488-S1488-T1488</f>
        <v>340.46</v>
      </c>
    </row>
    <row r="1489" customFormat="false" ht="15" hidden="false" customHeight="false" outlineLevel="0" collapsed="false">
      <c r="A1489" s="0" t="n">
        <v>1488</v>
      </c>
      <c r="B1489" s="27" t="n">
        <v>45738</v>
      </c>
      <c r="C1489" s="0" t="n">
        <v>2025</v>
      </c>
      <c r="D1489" s="28" t="s">
        <v>61</v>
      </c>
      <c r="E1489" s="0" t="n">
        <v>3</v>
      </c>
      <c r="F1489" s="28" t="s">
        <v>106</v>
      </c>
      <c r="G1489" s="28" t="s">
        <v>145</v>
      </c>
      <c r="H1489" s="28" t="s">
        <v>102</v>
      </c>
      <c r="I1489" s="28" t="s">
        <v>103</v>
      </c>
      <c r="J1489" s="28" t="s">
        <v>71</v>
      </c>
      <c r="K1489" s="28" t="s">
        <v>76</v>
      </c>
      <c r="L1489" s="28" t="s">
        <v>134</v>
      </c>
      <c r="M1489" s="28" t="s">
        <v>78</v>
      </c>
      <c r="N1489" s="28" t="s">
        <v>135</v>
      </c>
      <c r="O1489" s="29" t="n">
        <v>17</v>
      </c>
      <c r="P1489" s="30" t="n">
        <v>27.82</v>
      </c>
      <c r="Q1489" s="30" t="n">
        <v>13.84</v>
      </c>
      <c r="R1489" s="30" t="n">
        <f aca="false">ROUND(O1489*P1489,2)</f>
        <v>472.94</v>
      </c>
      <c r="S1489" s="30" t="n">
        <f aca="false">ROUND(O1489*Q1489,2)</f>
        <v>235.28</v>
      </c>
      <c r="T1489" s="30" t="n">
        <f aca="false">ROUND(R1489*SUMIFS(Parametros!$E$23:$E$38,Parametros!$B$23:$B$38,J1489,Parametros!$C$23:$C$38,C1489,Parametros!$D$23:$D$38,D1489),2)</f>
        <v>32.16</v>
      </c>
      <c r="U1489" s="30" t="n">
        <f aca="false">R1489-S1489-T1489</f>
        <v>205.5</v>
      </c>
    </row>
    <row r="1490" customFormat="false" ht="15" hidden="false" customHeight="false" outlineLevel="0" collapsed="false">
      <c r="A1490" s="0" t="n">
        <v>1489</v>
      </c>
      <c r="B1490" s="27" t="n">
        <v>45718</v>
      </c>
      <c r="C1490" s="0" t="n">
        <v>2025</v>
      </c>
      <c r="D1490" s="28" t="s">
        <v>61</v>
      </c>
      <c r="E1490" s="0" t="n">
        <v>3</v>
      </c>
      <c r="F1490" s="28" t="s">
        <v>106</v>
      </c>
      <c r="G1490" s="28" t="s">
        <v>145</v>
      </c>
      <c r="H1490" s="28" t="s">
        <v>102</v>
      </c>
      <c r="I1490" s="28" t="s">
        <v>103</v>
      </c>
      <c r="J1490" s="28" t="s">
        <v>66</v>
      </c>
      <c r="K1490" s="28" t="s">
        <v>76</v>
      </c>
      <c r="L1490" s="28" t="s">
        <v>134</v>
      </c>
      <c r="M1490" s="28" t="s">
        <v>80</v>
      </c>
      <c r="N1490" s="28" t="s">
        <v>136</v>
      </c>
      <c r="O1490" s="29" t="n">
        <v>28</v>
      </c>
      <c r="P1490" s="30" t="n">
        <v>94.39</v>
      </c>
      <c r="Q1490" s="30" t="n">
        <v>49.41</v>
      </c>
      <c r="R1490" s="30" t="n">
        <f aca="false">ROUND(O1490*P1490,2)</f>
        <v>2642.92</v>
      </c>
      <c r="S1490" s="30" t="n">
        <f aca="false">ROUND(O1490*Q1490,2)</f>
        <v>1383.48</v>
      </c>
      <c r="T1490" s="30" t="n">
        <f aca="false">ROUND(R1490*SUMIFS(Parametros!$E$23:$E$38,Parametros!$B$23:$B$38,J1490,Parametros!$C$23:$C$38,C1490,Parametros!$D$23:$D$38,D1490),2)</f>
        <v>34.36</v>
      </c>
      <c r="U1490" s="30" t="n">
        <f aca="false">R1490-S1490-T1490</f>
        <v>1225.08</v>
      </c>
    </row>
    <row r="1491" customFormat="false" ht="15" hidden="false" customHeight="false" outlineLevel="0" collapsed="false">
      <c r="A1491" s="0" t="n">
        <v>1490</v>
      </c>
      <c r="B1491" s="27" t="n">
        <v>45725</v>
      </c>
      <c r="C1491" s="0" t="n">
        <v>2025</v>
      </c>
      <c r="D1491" s="28" t="s">
        <v>61</v>
      </c>
      <c r="E1491" s="0" t="n">
        <v>3</v>
      </c>
      <c r="F1491" s="28" t="s">
        <v>106</v>
      </c>
      <c r="G1491" s="28" t="s">
        <v>145</v>
      </c>
      <c r="H1491" s="28" t="s">
        <v>102</v>
      </c>
      <c r="I1491" s="28" t="s">
        <v>103</v>
      </c>
      <c r="J1491" s="28" t="s">
        <v>71</v>
      </c>
      <c r="K1491" s="28" t="s">
        <v>76</v>
      </c>
      <c r="L1491" s="28" t="s">
        <v>134</v>
      </c>
      <c r="M1491" s="28" t="s">
        <v>80</v>
      </c>
      <c r="N1491" s="28" t="s">
        <v>136</v>
      </c>
      <c r="O1491" s="29" t="n">
        <v>19</v>
      </c>
      <c r="P1491" s="30" t="n">
        <v>94.39</v>
      </c>
      <c r="Q1491" s="30" t="n">
        <v>49.41</v>
      </c>
      <c r="R1491" s="30" t="n">
        <f aca="false">ROUND(O1491*P1491,2)</f>
        <v>1793.41</v>
      </c>
      <c r="S1491" s="30" t="n">
        <f aca="false">ROUND(O1491*Q1491,2)</f>
        <v>938.79</v>
      </c>
      <c r="T1491" s="30" t="n">
        <f aca="false">ROUND(R1491*SUMIFS(Parametros!$E$23:$E$38,Parametros!$B$23:$B$38,J1491,Parametros!$C$23:$C$38,C1491,Parametros!$D$23:$D$38,D1491),2)</f>
        <v>121.95</v>
      </c>
      <c r="U1491" s="30" t="n">
        <f aca="false">R1491-S1491-T1491</f>
        <v>732.67</v>
      </c>
    </row>
    <row r="1492" customFormat="false" ht="15" hidden="false" customHeight="false" outlineLevel="0" collapsed="false">
      <c r="A1492" s="0" t="n">
        <v>1491</v>
      </c>
      <c r="B1492" s="27" t="n">
        <v>45732</v>
      </c>
      <c r="C1492" s="0" t="n">
        <v>2025</v>
      </c>
      <c r="D1492" s="28" t="s">
        <v>61</v>
      </c>
      <c r="E1492" s="0" t="n">
        <v>3</v>
      </c>
      <c r="F1492" s="28" t="s">
        <v>106</v>
      </c>
      <c r="G1492" s="28" t="s">
        <v>145</v>
      </c>
      <c r="H1492" s="28" t="s">
        <v>102</v>
      </c>
      <c r="I1492" s="28" t="s">
        <v>103</v>
      </c>
      <c r="J1492" s="28" t="s">
        <v>66</v>
      </c>
      <c r="K1492" s="28" t="s">
        <v>76</v>
      </c>
      <c r="L1492" s="28" t="s">
        <v>134</v>
      </c>
      <c r="M1492" s="28" t="s">
        <v>82</v>
      </c>
      <c r="N1492" s="28" t="s">
        <v>137</v>
      </c>
      <c r="O1492" s="29" t="n">
        <v>30</v>
      </c>
      <c r="P1492" s="30" t="n">
        <v>64.58</v>
      </c>
      <c r="Q1492" s="30" t="n">
        <v>36.49</v>
      </c>
      <c r="R1492" s="30" t="n">
        <f aca="false">ROUND(O1492*P1492,2)</f>
        <v>1937.4</v>
      </c>
      <c r="S1492" s="30" t="n">
        <f aca="false">ROUND(O1492*Q1492,2)</f>
        <v>1094.7</v>
      </c>
      <c r="T1492" s="30" t="n">
        <f aca="false">ROUND(R1492*SUMIFS(Parametros!$E$23:$E$38,Parametros!$B$23:$B$38,J1492,Parametros!$C$23:$C$38,C1492,Parametros!$D$23:$D$38,D1492),2)</f>
        <v>25.19</v>
      </c>
      <c r="U1492" s="30" t="n">
        <f aca="false">R1492-S1492-T1492</f>
        <v>817.51</v>
      </c>
    </row>
    <row r="1493" customFormat="false" ht="15" hidden="false" customHeight="false" outlineLevel="0" collapsed="false">
      <c r="A1493" s="0" t="n">
        <v>1492</v>
      </c>
      <c r="B1493" s="27" t="n">
        <v>45739</v>
      </c>
      <c r="C1493" s="0" t="n">
        <v>2025</v>
      </c>
      <c r="D1493" s="28" t="s">
        <v>61</v>
      </c>
      <c r="E1493" s="0" t="n">
        <v>3</v>
      </c>
      <c r="F1493" s="28" t="s">
        <v>106</v>
      </c>
      <c r="G1493" s="28" t="s">
        <v>145</v>
      </c>
      <c r="H1493" s="28" t="s">
        <v>102</v>
      </c>
      <c r="I1493" s="28" t="s">
        <v>103</v>
      </c>
      <c r="J1493" s="28" t="s">
        <v>71</v>
      </c>
      <c r="K1493" s="28" t="s">
        <v>76</v>
      </c>
      <c r="L1493" s="28" t="s">
        <v>134</v>
      </c>
      <c r="M1493" s="28" t="s">
        <v>82</v>
      </c>
      <c r="N1493" s="28" t="s">
        <v>137</v>
      </c>
      <c r="O1493" s="29" t="n">
        <v>21</v>
      </c>
      <c r="P1493" s="30" t="n">
        <v>64.58</v>
      </c>
      <c r="Q1493" s="30" t="n">
        <v>36.49</v>
      </c>
      <c r="R1493" s="30" t="n">
        <f aca="false">ROUND(O1493*P1493,2)</f>
        <v>1356.18</v>
      </c>
      <c r="S1493" s="30" t="n">
        <f aca="false">ROUND(O1493*Q1493,2)</f>
        <v>766.29</v>
      </c>
      <c r="T1493" s="30" t="n">
        <f aca="false">ROUND(R1493*SUMIFS(Parametros!$E$23:$E$38,Parametros!$B$23:$B$38,J1493,Parametros!$C$23:$C$38,C1493,Parametros!$D$23:$D$38,D1493),2)</f>
        <v>92.22</v>
      </c>
      <c r="U1493" s="30" t="n">
        <f aca="false">R1493-S1493-T1493</f>
        <v>497.67</v>
      </c>
    </row>
    <row r="1494" customFormat="false" ht="15" hidden="false" customHeight="false" outlineLevel="0" collapsed="false">
      <c r="A1494" s="0" t="n">
        <v>1493</v>
      </c>
      <c r="B1494" s="27" t="n">
        <v>45719</v>
      </c>
      <c r="C1494" s="0" t="n">
        <v>2025</v>
      </c>
      <c r="D1494" s="28" t="s">
        <v>61</v>
      </c>
      <c r="E1494" s="0" t="n">
        <v>3</v>
      </c>
      <c r="F1494" s="28" t="s">
        <v>106</v>
      </c>
      <c r="G1494" s="28" t="s">
        <v>145</v>
      </c>
      <c r="H1494" s="28" t="s">
        <v>102</v>
      </c>
      <c r="I1494" s="28" t="s">
        <v>103</v>
      </c>
      <c r="J1494" s="28" t="s">
        <v>66</v>
      </c>
      <c r="K1494" s="28" t="s">
        <v>84</v>
      </c>
      <c r="L1494" s="28" t="s">
        <v>138</v>
      </c>
      <c r="M1494" s="28" t="s">
        <v>86</v>
      </c>
      <c r="N1494" s="28" t="s">
        <v>139</v>
      </c>
      <c r="O1494" s="29" t="n">
        <v>12</v>
      </c>
      <c r="P1494" s="30" t="n">
        <v>119.23</v>
      </c>
      <c r="Q1494" s="30" t="n">
        <v>65.51</v>
      </c>
      <c r="R1494" s="30" t="n">
        <f aca="false">ROUND(O1494*P1494,2)</f>
        <v>1430.76</v>
      </c>
      <c r="S1494" s="30" t="n">
        <f aca="false">ROUND(O1494*Q1494,2)</f>
        <v>786.12</v>
      </c>
      <c r="T1494" s="30" t="n">
        <f aca="false">ROUND(R1494*SUMIFS(Parametros!$E$23:$E$38,Parametros!$B$23:$B$38,J1494,Parametros!$C$23:$C$38,C1494,Parametros!$D$23:$D$38,D1494),2)</f>
        <v>18.6</v>
      </c>
      <c r="U1494" s="30" t="n">
        <f aca="false">R1494-S1494-T1494</f>
        <v>626.04</v>
      </c>
    </row>
    <row r="1495" customFormat="false" ht="15" hidden="false" customHeight="false" outlineLevel="0" collapsed="false">
      <c r="A1495" s="0" t="n">
        <v>1494</v>
      </c>
      <c r="B1495" s="27" t="n">
        <v>45726</v>
      </c>
      <c r="C1495" s="0" t="n">
        <v>2025</v>
      </c>
      <c r="D1495" s="28" t="s">
        <v>61</v>
      </c>
      <c r="E1495" s="0" t="n">
        <v>3</v>
      </c>
      <c r="F1495" s="28" t="s">
        <v>106</v>
      </c>
      <c r="G1495" s="28" t="s">
        <v>145</v>
      </c>
      <c r="H1495" s="28" t="s">
        <v>102</v>
      </c>
      <c r="I1495" s="28" t="s">
        <v>103</v>
      </c>
      <c r="J1495" s="28" t="s">
        <v>71</v>
      </c>
      <c r="K1495" s="28" t="s">
        <v>84</v>
      </c>
      <c r="L1495" s="28" t="s">
        <v>138</v>
      </c>
      <c r="M1495" s="28" t="s">
        <v>86</v>
      </c>
      <c r="N1495" s="28" t="s">
        <v>139</v>
      </c>
      <c r="O1495" s="29" t="n">
        <v>9</v>
      </c>
      <c r="P1495" s="30" t="n">
        <v>119.23</v>
      </c>
      <c r="Q1495" s="30" t="n">
        <v>65.51</v>
      </c>
      <c r="R1495" s="30" t="n">
        <f aca="false">ROUND(O1495*P1495,2)</f>
        <v>1073.07</v>
      </c>
      <c r="S1495" s="30" t="n">
        <f aca="false">ROUND(O1495*Q1495,2)</f>
        <v>589.59</v>
      </c>
      <c r="T1495" s="30" t="n">
        <f aca="false">ROUND(R1495*SUMIFS(Parametros!$E$23:$E$38,Parametros!$B$23:$B$38,J1495,Parametros!$C$23:$C$38,C1495,Parametros!$D$23:$D$38,D1495),2)</f>
        <v>72.97</v>
      </c>
      <c r="U1495" s="30" t="n">
        <f aca="false">R1495-S1495-T1495</f>
        <v>410.51</v>
      </c>
    </row>
    <row r="1496" customFormat="false" ht="15" hidden="false" customHeight="false" outlineLevel="0" collapsed="false">
      <c r="A1496" s="0" t="n">
        <v>1495</v>
      </c>
      <c r="B1496" s="27" t="n">
        <v>45733</v>
      </c>
      <c r="C1496" s="0" t="n">
        <v>2025</v>
      </c>
      <c r="D1496" s="28" t="s">
        <v>61</v>
      </c>
      <c r="E1496" s="0" t="n">
        <v>3</v>
      </c>
      <c r="F1496" s="28" t="s">
        <v>106</v>
      </c>
      <c r="G1496" s="28" t="s">
        <v>145</v>
      </c>
      <c r="H1496" s="28" t="s">
        <v>102</v>
      </c>
      <c r="I1496" s="28" t="s">
        <v>103</v>
      </c>
      <c r="J1496" s="28" t="s">
        <v>66</v>
      </c>
      <c r="K1496" s="28" t="s">
        <v>84</v>
      </c>
      <c r="L1496" s="28" t="s">
        <v>138</v>
      </c>
      <c r="M1496" s="28" t="s">
        <v>88</v>
      </c>
      <c r="N1496" s="28" t="s">
        <v>140</v>
      </c>
      <c r="O1496" s="29" t="n">
        <v>13</v>
      </c>
      <c r="P1496" s="30" t="n">
        <v>84.46</v>
      </c>
      <c r="Q1496" s="30" t="n">
        <v>49.47</v>
      </c>
      <c r="R1496" s="30" t="n">
        <f aca="false">ROUND(O1496*P1496,2)</f>
        <v>1097.98</v>
      </c>
      <c r="S1496" s="30" t="n">
        <f aca="false">ROUND(O1496*Q1496,2)</f>
        <v>643.11</v>
      </c>
      <c r="T1496" s="30" t="n">
        <f aca="false">ROUND(R1496*SUMIFS(Parametros!$E$23:$E$38,Parametros!$B$23:$B$38,J1496,Parametros!$C$23:$C$38,C1496,Parametros!$D$23:$D$38,D1496),2)</f>
        <v>14.27</v>
      </c>
      <c r="U1496" s="30" t="n">
        <f aca="false">R1496-S1496-T1496</f>
        <v>440.6</v>
      </c>
    </row>
    <row r="1497" customFormat="false" ht="15" hidden="false" customHeight="false" outlineLevel="0" collapsed="false">
      <c r="A1497" s="0" t="n">
        <v>1496</v>
      </c>
      <c r="B1497" s="27" t="n">
        <v>45740</v>
      </c>
      <c r="C1497" s="0" t="n">
        <v>2025</v>
      </c>
      <c r="D1497" s="28" t="s">
        <v>61</v>
      </c>
      <c r="E1497" s="0" t="n">
        <v>3</v>
      </c>
      <c r="F1497" s="28" t="s">
        <v>106</v>
      </c>
      <c r="G1497" s="28" t="s">
        <v>145</v>
      </c>
      <c r="H1497" s="28" t="s">
        <v>102</v>
      </c>
      <c r="I1497" s="28" t="s">
        <v>103</v>
      </c>
      <c r="J1497" s="28" t="s">
        <v>71</v>
      </c>
      <c r="K1497" s="28" t="s">
        <v>84</v>
      </c>
      <c r="L1497" s="28" t="s">
        <v>138</v>
      </c>
      <c r="M1497" s="28" t="s">
        <v>88</v>
      </c>
      <c r="N1497" s="28" t="s">
        <v>140</v>
      </c>
      <c r="O1497" s="29" t="n">
        <v>8</v>
      </c>
      <c r="P1497" s="30" t="n">
        <v>84.46</v>
      </c>
      <c r="Q1497" s="30" t="n">
        <v>49.47</v>
      </c>
      <c r="R1497" s="30" t="n">
        <f aca="false">ROUND(O1497*P1497,2)</f>
        <v>675.68</v>
      </c>
      <c r="S1497" s="30" t="n">
        <f aca="false">ROUND(O1497*Q1497,2)</f>
        <v>395.76</v>
      </c>
      <c r="T1497" s="30" t="n">
        <f aca="false">ROUND(R1497*SUMIFS(Parametros!$E$23:$E$38,Parametros!$B$23:$B$38,J1497,Parametros!$C$23:$C$38,C1497,Parametros!$D$23:$D$38,D1497),2)</f>
        <v>45.95</v>
      </c>
      <c r="U1497" s="30" t="n">
        <f aca="false">R1497-S1497-T1497</f>
        <v>233.97</v>
      </c>
    </row>
    <row r="1498" customFormat="false" ht="15" hidden="false" customHeight="false" outlineLevel="0" collapsed="false">
      <c r="A1498" s="0" t="n">
        <v>1497</v>
      </c>
      <c r="B1498" s="27" t="n">
        <v>45720</v>
      </c>
      <c r="C1498" s="0" t="n">
        <v>2025</v>
      </c>
      <c r="D1498" s="28" t="s">
        <v>61</v>
      </c>
      <c r="E1498" s="0" t="n">
        <v>3</v>
      </c>
      <c r="F1498" s="28" t="s">
        <v>106</v>
      </c>
      <c r="G1498" s="28" t="s">
        <v>145</v>
      </c>
      <c r="H1498" s="28" t="s">
        <v>102</v>
      </c>
      <c r="I1498" s="28" t="s">
        <v>103</v>
      </c>
      <c r="J1498" s="28" t="s">
        <v>66</v>
      </c>
      <c r="K1498" s="28" t="s">
        <v>90</v>
      </c>
      <c r="L1498" s="28" t="s">
        <v>141</v>
      </c>
      <c r="M1498" s="28" t="s">
        <v>92</v>
      </c>
      <c r="N1498" s="28" t="s">
        <v>142</v>
      </c>
      <c r="O1498" s="29" t="n">
        <v>18</v>
      </c>
      <c r="P1498" s="30" t="n">
        <v>129.17</v>
      </c>
      <c r="Q1498" s="30" t="n">
        <v>78.33</v>
      </c>
      <c r="R1498" s="30" t="n">
        <f aca="false">ROUND(O1498*P1498,2)</f>
        <v>2325.06</v>
      </c>
      <c r="S1498" s="30" t="n">
        <f aca="false">ROUND(O1498*Q1498,2)</f>
        <v>1409.94</v>
      </c>
      <c r="T1498" s="30" t="n">
        <f aca="false">ROUND(R1498*SUMIFS(Parametros!$E$23:$E$38,Parametros!$B$23:$B$38,J1498,Parametros!$C$23:$C$38,C1498,Parametros!$D$23:$D$38,D1498),2)</f>
        <v>30.23</v>
      </c>
      <c r="U1498" s="30" t="n">
        <f aca="false">R1498-S1498-T1498</f>
        <v>884.89</v>
      </c>
    </row>
    <row r="1499" customFormat="false" ht="15" hidden="false" customHeight="false" outlineLevel="0" collapsed="false">
      <c r="A1499" s="0" t="n">
        <v>1498</v>
      </c>
      <c r="B1499" s="27" t="n">
        <v>45727</v>
      </c>
      <c r="C1499" s="0" t="n">
        <v>2025</v>
      </c>
      <c r="D1499" s="28" t="s">
        <v>61</v>
      </c>
      <c r="E1499" s="0" t="n">
        <v>3</v>
      </c>
      <c r="F1499" s="28" t="s">
        <v>106</v>
      </c>
      <c r="G1499" s="28" t="s">
        <v>145</v>
      </c>
      <c r="H1499" s="28" t="s">
        <v>102</v>
      </c>
      <c r="I1499" s="28" t="s">
        <v>103</v>
      </c>
      <c r="J1499" s="28" t="s">
        <v>71</v>
      </c>
      <c r="K1499" s="28" t="s">
        <v>90</v>
      </c>
      <c r="L1499" s="28" t="s">
        <v>141</v>
      </c>
      <c r="M1499" s="28" t="s">
        <v>92</v>
      </c>
      <c r="N1499" s="28" t="s">
        <v>142</v>
      </c>
      <c r="O1499" s="29" t="n">
        <v>11</v>
      </c>
      <c r="P1499" s="30" t="n">
        <v>129.17</v>
      </c>
      <c r="Q1499" s="30" t="n">
        <v>78.33</v>
      </c>
      <c r="R1499" s="30" t="n">
        <f aca="false">ROUND(O1499*P1499,2)</f>
        <v>1420.87</v>
      </c>
      <c r="S1499" s="30" t="n">
        <f aca="false">ROUND(O1499*Q1499,2)</f>
        <v>861.63</v>
      </c>
      <c r="T1499" s="30" t="n">
        <f aca="false">ROUND(R1499*SUMIFS(Parametros!$E$23:$E$38,Parametros!$B$23:$B$38,J1499,Parametros!$C$23:$C$38,C1499,Parametros!$D$23:$D$38,D1499),2)</f>
        <v>96.62</v>
      </c>
      <c r="U1499" s="30" t="n">
        <f aca="false">R1499-S1499-T1499</f>
        <v>462.62</v>
      </c>
    </row>
    <row r="1500" customFormat="false" ht="15" hidden="false" customHeight="false" outlineLevel="0" collapsed="false">
      <c r="A1500" s="0" t="n">
        <v>1499</v>
      </c>
      <c r="B1500" s="27" t="n">
        <v>45734</v>
      </c>
      <c r="C1500" s="0" t="n">
        <v>2025</v>
      </c>
      <c r="D1500" s="28" t="s">
        <v>61</v>
      </c>
      <c r="E1500" s="0" t="n">
        <v>3</v>
      </c>
      <c r="F1500" s="28" t="s">
        <v>106</v>
      </c>
      <c r="G1500" s="28" t="s">
        <v>145</v>
      </c>
      <c r="H1500" s="28" t="s">
        <v>102</v>
      </c>
      <c r="I1500" s="28" t="s">
        <v>103</v>
      </c>
      <c r="J1500" s="28" t="s">
        <v>66</v>
      </c>
      <c r="K1500" s="28" t="s">
        <v>90</v>
      </c>
      <c r="L1500" s="28" t="s">
        <v>141</v>
      </c>
      <c r="M1500" s="28" t="s">
        <v>94</v>
      </c>
      <c r="N1500" s="28" t="s">
        <v>143</v>
      </c>
      <c r="O1500" s="29" t="n">
        <v>16</v>
      </c>
      <c r="P1500" s="30" t="n">
        <v>34.78</v>
      </c>
      <c r="Q1500" s="30" t="n">
        <v>18.39</v>
      </c>
      <c r="R1500" s="30" t="n">
        <f aca="false">ROUND(O1500*P1500,2)</f>
        <v>556.48</v>
      </c>
      <c r="S1500" s="30" t="n">
        <f aca="false">ROUND(O1500*Q1500,2)</f>
        <v>294.24</v>
      </c>
      <c r="T1500" s="30" t="n">
        <f aca="false">ROUND(R1500*SUMIFS(Parametros!$E$23:$E$38,Parametros!$B$23:$B$38,J1500,Parametros!$C$23:$C$38,C1500,Parametros!$D$23:$D$38,D1500),2)</f>
        <v>7.23</v>
      </c>
      <c r="U1500" s="30" t="n">
        <f aca="false">R1500-S1500-T1500</f>
        <v>255.01</v>
      </c>
    </row>
    <row r="1501" customFormat="false" ht="15" hidden="false" customHeight="false" outlineLevel="0" collapsed="false">
      <c r="A1501" s="0" t="n">
        <v>1500</v>
      </c>
      <c r="B1501" s="27" t="n">
        <v>45741</v>
      </c>
      <c r="C1501" s="0" t="n">
        <v>2025</v>
      </c>
      <c r="D1501" s="28" t="s">
        <v>61</v>
      </c>
      <c r="E1501" s="0" t="n">
        <v>3</v>
      </c>
      <c r="F1501" s="28" t="s">
        <v>106</v>
      </c>
      <c r="G1501" s="28" t="s">
        <v>145</v>
      </c>
      <c r="H1501" s="28" t="s">
        <v>102</v>
      </c>
      <c r="I1501" s="28" t="s">
        <v>103</v>
      </c>
      <c r="J1501" s="28" t="s">
        <v>71</v>
      </c>
      <c r="K1501" s="28" t="s">
        <v>90</v>
      </c>
      <c r="L1501" s="28" t="s">
        <v>141</v>
      </c>
      <c r="M1501" s="28" t="s">
        <v>94</v>
      </c>
      <c r="N1501" s="28" t="s">
        <v>143</v>
      </c>
      <c r="O1501" s="29" t="n">
        <v>10</v>
      </c>
      <c r="P1501" s="30" t="n">
        <v>34.78</v>
      </c>
      <c r="Q1501" s="30" t="n">
        <v>18.39</v>
      </c>
      <c r="R1501" s="30" t="n">
        <f aca="false">ROUND(O1501*P1501,2)</f>
        <v>347.8</v>
      </c>
      <c r="S1501" s="30" t="n">
        <f aca="false">ROUND(O1501*Q1501,2)</f>
        <v>183.9</v>
      </c>
      <c r="T1501" s="30" t="n">
        <f aca="false">ROUND(R1501*SUMIFS(Parametros!$E$23:$E$38,Parametros!$B$23:$B$38,J1501,Parametros!$C$23:$C$38,C1501,Parametros!$D$23:$D$38,D1501),2)</f>
        <v>23.65</v>
      </c>
      <c r="U1501" s="30" t="n">
        <f aca="false">R1501-S1501-T1501</f>
        <v>140.25</v>
      </c>
    </row>
    <row r="1502" customFormat="false" ht="15" hidden="false" customHeight="false" outlineLevel="0" collapsed="false">
      <c r="A1502" s="0" t="n">
        <v>1501</v>
      </c>
      <c r="B1502" s="27" t="n">
        <v>45752</v>
      </c>
      <c r="C1502" s="0" t="n">
        <v>2025</v>
      </c>
      <c r="D1502" s="28" t="s">
        <v>108</v>
      </c>
      <c r="E1502" s="0" t="n">
        <v>4</v>
      </c>
      <c r="F1502" s="28" t="s">
        <v>109</v>
      </c>
      <c r="G1502" s="28" t="s">
        <v>146</v>
      </c>
      <c r="H1502" s="28" t="s">
        <v>64</v>
      </c>
      <c r="I1502" s="28" t="s">
        <v>65</v>
      </c>
      <c r="J1502" s="28" t="s">
        <v>66</v>
      </c>
      <c r="K1502" s="28" t="s">
        <v>67</v>
      </c>
      <c r="L1502" s="28" t="s">
        <v>130</v>
      </c>
      <c r="M1502" s="28" t="s">
        <v>69</v>
      </c>
      <c r="N1502" s="28" t="s">
        <v>131</v>
      </c>
      <c r="O1502" s="29" t="n">
        <v>19</v>
      </c>
      <c r="P1502" s="30" t="n">
        <v>1155.06</v>
      </c>
      <c r="Q1502" s="30" t="n">
        <v>766.32</v>
      </c>
      <c r="R1502" s="30" t="n">
        <f aca="false">ROUND(O1502*P1502,2)</f>
        <v>21946.14</v>
      </c>
      <c r="S1502" s="30" t="n">
        <f aca="false">ROUND(O1502*Q1502,2)</f>
        <v>14560.08</v>
      </c>
      <c r="T1502" s="30" t="n">
        <f aca="false">ROUND(R1502*SUMIFS(Parametros!$E$23:$E$38,Parametros!$B$23:$B$38,J1502,Parametros!$C$23:$C$38,C1502,Parametros!$D$23:$D$38,D1502),2)</f>
        <v>307.25</v>
      </c>
      <c r="U1502" s="30" t="n">
        <f aca="false">R1502-S1502-T1502</f>
        <v>7078.81</v>
      </c>
    </row>
    <row r="1503" customFormat="false" ht="15" hidden="false" customHeight="false" outlineLevel="0" collapsed="false">
      <c r="A1503" s="0" t="n">
        <v>1502</v>
      </c>
      <c r="B1503" s="27" t="n">
        <v>45759</v>
      </c>
      <c r="C1503" s="0" t="n">
        <v>2025</v>
      </c>
      <c r="D1503" s="28" t="s">
        <v>108</v>
      </c>
      <c r="E1503" s="0" t="n">
        <v>4</v>
      </c>
      <c r="F1503" s="28" t="s">
        <v>109</v>
      </c>
      <c r="G1503" s="28" t="s">
        <v>146</v>
      </c>
      <c r="H1503" s="28" t="s">
        <v>64</v>
      </c>
      <c r="I1503" s="28" t="s">
        <v>65</v>
      </c>
      <c r="J1503" s="28" t="s">
        <v>71</v>
      </c>
      <c r="K1503" s="28" t="s">
        <v>67</v>
      </c>
      <c r="L1503" s="28" t="s">
        <v>130</v>
      </c>
      <c r="M1503" s="28" t="s">
        <v>69</v>
      </c>
      <c r="N1503" s="28" t="s">
        <v>131</v>
      </c>
      <c r="O1503" s="29" t="n">
        <v>11</v>
      </c>
      <c r="P1503" s="30" t="n">
        <v>1155.06</v>
      </c>
      <c r="Q1503" s="30" t="n">
        <v>766.32</v>
      </c>
      <c r="R1503" s="30" t="n">
        <f aca="false">ROUND(O1503*P1503,2)</f>
        <v>12705.66</v>
      </c>
      <c r="S1503" s="30" t="n">
        <f aca="false">ROUND(O1503*Q1503,2)</f>
        <v>8429.52</v>
      </c>
      <c r="T1503" s="30" t="n">
        <f aca="false">ROUND(R1503*SUMIFS(Parametros!$E$23:$E$38,Parametros!$B$23:$B$38,J1503,Parametros!$C$23:$C$38,C1503,Parametros!$D$23:$D$38,D1503),2)</f>
        <v>940.22</v>
      </c>
      <c r="U1503" s="30" t="n">
        <f aca="false">R1503-S1503-T1503</f>
        <v>3335.92</v>
      </c>
    </row>
    <row r="1504" customFormat="false" ht="15" hidden="false" customHeight="false" outlineLevel="0" collapsed="false">
      <c r="A1504" s="0" t="n">
        <v>1503</v>
      </c>
      <c r="B1504" s="27" t="n">
        <v>45766</v>
      </c>
      <c r="C1504" s="0" t="n">
        <v>2025</v>
      </c>
      <c r="D1504" s="28" t="s">
        <v>108</v>
      </c>
      <c r="E1504" s="0" t="n">
        <v>4</v>
      </c>
      <c r="F1504" s="28" t="s">
        <v>109</v>
      </c>
      <c r="G1504" s="28" t="s">
        <v>146</v>
      </c>
      <c r="H1504" s="28" t="s">
        <v>64</v>
      </c>
      <c r="I1504" s="28" t="s">
        <v>65</v>
      </c>
      <c r="J1504" s="28" t="s">
        <v>66</v>
      </c>
      <c r="K1504" s="28" t="s">
        <v>67</v>
      </c>
      <c r="L1504" s="28" t="s">
        <v>130</v>
      </c>
      <c r="M1504" s="28" t="s">
        <v>72</v>
      </c>
      <c r="N1504" s="28" t="s">
        <v>132</v>
      </c>
      <c r="O1504" s="29" t="n">
        <v>16</v>
      </c>
      <c r="P1504" s="30" t="n">
        <v>433.15</v>
      </c>
      <c r="Q1504" s="30" t="n">
        <v>280.42</v>
      </c>
      <c r="R1504" s="30" t="n">
        <f aca="false">ROUND(O1504*P1504,2)</f>
        <v>6930.4</v>
      </c>
      <c r="S1504" s="30" t="n">
        <f aca="false">ROUND(O1504*Q1504,2)</f>
        <v>4486.72</v>
      </c>
      <c r="T1504" s="30" t="n">
        <f aca="false">ROUND(R1504*SUMIFS(Parametros!$E$23:$E$38,Parametros!$B$23:$B$38,J1504,Parametros!$C$23:$C$38,C1504,Parametros!$D$23:$D$38,D1504),2)</f>
        <v>97.03</v>
      </c>
      <c r="U1504" s="30" t="n">
        <f aca="false">R1504-S1504-T1504</f>
        <v>2346.65</v>
      </c>
    </row>
    <row r="1505" customFormat="false" ht="15" hidden="false" customHeight="false" outlineLevel="0" collapsed="false">
      <c r="A1505" s="0" t="n">
        <v>1504</v>
      </c>
      <c r="B1505" s="27" t="n">
        <v>45773</v>
      </c>
      <c r="C1505" s="0" t="n">
        <v>2025</v>
      </c>
      <c r="D1505" s="28" t="s">
        <v>108</v>
      </c>
      <c r="E1505" s="0" t="n">
        <v>4</v>
      </c>
      <c r="F1505" s="28" t="s">
        <v>109</v>
      </c>
      <c r="G1505" s="28" t="s">
        <v>146</v>
      </c>
      <c r="H1505" s="28" t="s">
        <v>64</v>
      </c>
      <c r="I1505" s="28" t="s">
        <v>65</v>
      </c>
      <c r="J1505" s="28" t="s">
        <v>71</v>
      </c>
      <c r="K1505" s="28" t="s">
        <v>67</v>
      </c>
      <c r="L1505" s="28" t="s">
        <v>130</v>
      </c>
      <c r="M1505" s="28" t="s">
        <v>72</v>
      </c>
      <c r="N1505" s="28" t="s">
        <v>132</v>
      </c>
      <c r="O1505" s="29" t="n">
        <v>12</v>
      </c>
      <c r="P1505" s="30" t="n">
        <v>433.15</v>
      </c>
      <c r="Q1505" s="30" t="n">
        <v>280.42</v>
      </c>
      <c r="R1505" s="30" t="n">
        <f aca="false">ROUND(O1505*P1505,2)</f>
        <v>5197.8</v>
      </c>
      <c r="S1505" s="30" t="n">
        <f aca="false">ROUND(O1505*Q1505,2)</f>
        <v>3365.04</v>
      </c>
      <c r="T1505" s="30" t="n">
        <f aca="false">ROUND(R1505*SUMIFS(Parametros!$E$23:$E$38,Parametros!$B$23:$B$38,J1505,Parametros!$C$23:$C$38,C1505,Parametros!$D$23:$D$38,D1505),2)</f>
        <v>384.64</v>
      </c>
      <c r="U1505" s="30" t="n">
        <f aca="false">R1505-S1505-T1505</f>
        <v>1448.12</v>
      </c>
    </row>
    <row r="1506" customFormat="false" ht="15" hidden="false" customHeight="false" outlineLevel="0" collapsed="false">
      <c r="A1506" s="0" t="n">
        <v>1505</v>
      </c>
      <c r="B1506" s="27" t="n">
        <v>45753</v>
      </c>
      <c r="C1506" s="0" t="n">
        <v>2025</v>
      </c>
      <c r="D1506" s="28" t="s">
        <v>108</v>
      </c>
      <c r="E1506" s="0" t="n">
        <v>4</v>
      </c>
      <c r="F1506" s="28" t="s">
        <v>109</v>
      </c>
      <c r="G1506" s="28" t="s">
        <v>146</v>
      </c>
      <c r="H1506" s="28" t="s">
        <v>64</v>
      </c>
      <c r="I1506" s="28" t="s">
        <v>65</v>
      </c>
      <c r="J1506" s="28" t="s">
        <v>66</v>
      </c>
      <c r="K1506" s="28" t="s">
        <v>67</v>
      </c>
      <c r="L1506" s="28" t="s">
        <v>130</v>
      </c>
      <c r="M1506" s="28" t="s">
        <v>74</v>
      </c>
      <c r="N1506" s="28" t="s">
        <v>133</v>
      </c>
      <c r="O1506" s="29" t="n">
        <v>21</v>
      </c>
      <c r="P1506" s="30" t="n">
        <v>1588.21</v>
      </c>
      <c r="Q1506" s="30" t="n">
        <v>1155.66</v>
      </c>
      <c r="R1506" s="30" t="n">
        <f aca="false">ROUND(O1506*P1506,2)</f>
        <v>33352.41</v>
      </c>
      <c r="S1506" s="30" t="n">
        <f aca="false">ROUND(O1506*Q1506,2)</f>
        <v>24268.86</v>
      </c>
      <c r="T1506" s="30" t="n">
        <f aca="false">ROUND(R1506*SUMIFS(Parametros!$E$23:$E$38,Parametros!$B$23:$B$38,J1506,Parametros!$C$23:$C$38,C1506,Parametros!$D$23:$D$38,D1506),2)</f>
        <v>466.93</v>
      </c>
      <c r="U1506" s="30" t="n">
        <f aca="false">R1506-S1506-T1506</f>
        <v>8616.62</v>
      </c>
    </row>
    <row r="1507" customFormat="false" ht="15" hidden="false" customHeight="false" outlineLevel="0" collapsed="false">
      <c r="A1507" s="0" t="n">
        <v>1506</v>
      </c>
      <c r="B1507" s="27" t="n">
        <v>45760</v>
      </c>
      <c r="C1507" s="0" t="n">
        <v>2025</v>
      </c>
      <c r="D1507" s="28" t="s">
        <v>108</v>
      </c>
      <c r="E1507" s="0" t="n">
        <v>4</v>
      </c>
      <c r="F1507" s="28" t="s">
        <v>109</v>
      </c>
      <c r="G1507" s="28" t="s">
        <v>146</v>
      </c>
      <c r="H1507" s="28" t="s">
        <v>64</v>
      </c>
      <c r="I1507" s="28" t="s">
        <v>65</v>
      </c>
      <c r="J1507" s="28" t="s">
        <v>71</v>
      </c>
      <c r="K1507" s="28" t="s">
        <v>67</v>
      </c>
      <c r="L1507" s="28" t="s">
        <v>130</v>
      </c>
      <c r="M1507" s="28" t="s">
        <v>74</v>
      </c>
      <c r="N1507" s="28" t="s">
        <v>133</v>
      </c>
      <c r="O1507" s="29" t="n">
        <v>11</v>
      </c>
      <c r="P1507" s="30" t="n">
        <v>1588.21</v>
      </c>
      <c r="Q1507" s="30" t="n">
        <v>1155.66</v>
      </c>
      <c r="R1507" s="30" t="n">
        <f aca="false">ROUND(O1507*P1507,2)</f>
        <v>17470.31</v>
      </c>
      <c r="S1507" s="30" t="n">
        <f aca="false">ROUND(O1507*Q1507,2)</f>
        <v>12712.26</v>
      </c>
      <c r="T1507" s="30" t="n">
        <f aca="false">ROUND(R1507*SUMIFS(Parametros!$E$23:$E$38,Parametros!$B$23:$B$38,J1507,Parametros!$C$23:$C$38,C1507,Parametros!$D$23:$D$38,D1507),2)</f>
        <v>1292.8</v>
      </c>
      <c r="U1507" s="30" t="n">
        <f aca="false">R1507-S1507-T1507</f>
        <v>3465.25</v>
      </c>
    </row>
    <row r="1508" customFormat="false" ht="15" hidden="false" customHeight="false" outlineLevel="0" collapsed="false">
      <c r="A1508" s="0" t="n">
        <v>1507</v>
      </c>
      <c r="B1508" s="27" t="n">
        <v>45767</v>
      </c>
      <c r="C1508" s="0" t="n">
        <v>2025</v>
      </c>
      <c r="D1508" s="28" t="s">
        <v>108</v>
      </c>
      <c r="E1508" s="0" t="n">
        <v>4</v>
      </c>
      <c r="F1508" s="28" t="s">
        <v>109</v>
      </c>
      <c r="G1508" s="28" t="s">
        <v>146</v>
      </c>
      <c r="H1508" s="28" t="s">
        <v>64</v>
      </c>
      <c r="I1508" s="28" t="s">
        <v>65</v>
      </c>
      <c r="J1508" s="28" t="s">
        <v>66</v>
      </c>
      <c r="K1508" s="28" t="s">
        <v>76</v>
      </c>
      <c r="L1508" s="28" t="s">
        <v>134</v>
      </c>
      <c r="M1508" s="28" t="s">
        <v>78</v>
      </c>
      <c r="N1508" s="28" t="s">
        <v>135</v>
      </c>
      <c r="O1508" s="29" t="n">
        <v>82</v>
      </c>
      <c r="P1508" s="30" t="n">
        <v>27.82</v>
      </c>
      <c r="Q1508" s="30" t="n">
        <v>13.84</v>
      </c>
      <c r="R1508" s="30" t="n">
        <f aca="false">ROUND(O1508*P1508,2)</f>
        <v>2281.24</v>
      </c>
      <c r="S1508" s="30" t="n">
        <f aca="false">ROUND(O1508*Q1508,2)</f>
        <v>1134.88</v>
      </c>
      <c r="T1508" s="30" t="n">
        <f aca="false">ROUND(R1508*SUMIFS(Parametros!$E$23:$E$38,Parametros!$B$23:$B$38,J1508,Parametros!$C$23:$C$38,C1508,Parametros!$D$23:$D$38,D1508),2)</f>
        <v>31.94</v>
      </c>
      <c r="U1508" s="30" t="n">
        <f aca="false">R1508-S1508-T1508</f>
        <v>1114.42</v>
      </c>
    </row>
    <row r="1509" customFormat="false" ht="15" hidden="false" customHeight="false" outlineLevel="0" collapsed="false">
      <c r="A1509" s="0" t="n">
        <v>1508</v>
      </c>
      <c r="B1509" s="27" t="n">
        <v>45774</v>
      </c>
      <c r="C1509" s="0" t="n">
        <v>2025</v>
      </c>
      <c r="D1509" s="28" t="s">
        <v>108</v>
      </c>
      <c r="E1509" s="0" t="n">
        <v>4</v>
      </c>
      <c r="F1509" s="28" t="s">
        <v>109</v>
      </c>
      <c r="G1509" s="28" t="s">
        <v>146</v>
      </c>
      <c r="H1509" s="28" t="s">
        <v>64</v>
      </c>
      <c r="I1509" s="28" t="s">
        <v>65</v>
      </c>
      <c r="J1509" s="28" t="s">
        <v>71</v>
      </c>
      <c r="K1509" s="28" t="s">
        <v>76</v>
      </c>
      <c r="L1509" s="28" t="s">
        <v>134</v>
      </c>
      <c r="M1509" s="28" t="s">
        <v>78</v>
      </c>
      <c r="N1509" s="28" t="s">
        <v>135</v>
      </c>
      <c r="O1509" s="29" t="n">
        <v>57</v>
      </c>
      <c r="P1509" s="30" t="n">
        <v>27.82</v>
      </c>
      <c r="Q1509" s="30" t="n">
        <v>13.84</v>
      </c>
      <c r="R1509" s="30" t="n">
        <f aca="false">ROUND(O1509*P1509,2)</f>
        <v>1585.74</v>
      </c>
      <c r="S1509" s="30" t="n">
        <f aca="false">ROUND(O1509*Q1509,2)</f>
        <v>788.88</v>
      </c>
      <c r="T1509" s="30" t="n">
        <f aca="false">ROUND(R1509*SUMIFS(Parametros!$E$23:$E$38,Parametros!$B$23:$B$38,J1509,Parametros!$C$23:$C$38,C1509,Parametros!$D$23:$D$38,D1509),2)</f>
        <v>117.34</v>
      </c>
      <c r="U1509" s="30" t="n">
        <f aca="false">R1509-S1509-T1509</f>
        <v>679.52</v>
      </c>
    </row>
    <row r="1510" customFormat="false" ht="15" hidden="false" customHeight="false" outlineLevel="0" collapsed="false">
      <c r="A1510" s="0" t="n">
        <v>1509</v>
      </c>
      <c r="B1510" s="27" t="n">
        <v>45754</v>
      </c>
      <c r="C1510" s="0" t="n">
        <v>2025</v>
      </c>
      <c r="D1510" s="28" t="s">
        <v>108</v>
      </c>
      <c r="E1510" s="0" t="n">
        <v>4</v>
      </c>
      <c r="F1510" s="28" t="s">
        <v>109</v>
      </c>
      <c r="G1510" s="28" t="s">
        <v>146</v>
      </c>
      <c r="H1510" s="28" t="s">
        <v>64</v>
      </c>
      <c r="I1510" s="28" t="s">
        <v>65</v>
      </c>
      <c r="J1510" s="28" t="s">
        <v>66</v>
      </c>
      <c r="K1510" s="28" t="s">
        <v>76</v>
      </c>
      <c r="L1510" s="28" t="s">
        <v>134</v>
      </c>
      <c r="M1510" s="28" t="s">
        <v>80</v>
      </c>
      <c r="N1510" s="28" t="s">
        <v>136</v>
      </c>
      <c r="O1510" s="29" t="n">
        <v>95</v>
      </c>
      <c r="P1510" s="30" t="n">
        <v>94.39</v>
      </c>
      <c r="Q1510" s="30" t="n">
        <v>49.41</v>
      </c>
      <c r="R1510" s="30" t="n">
        <f aca="false">ROUND(O1510*P1510,2)</f>
        <v>8967.05</v>
      </c>
      <c r="S1510" s="30" t="n">
        <f aca="false">ROUND(O1510*Q1510,2)</f>
        <v>4693.95</v>
      </c>
      <c r="T1510" s="30" t="n">
        <f aca="false">ROUND(R1510*SUMIFS(Parametros!$E$23:$E$38,Parametros!$B$23:$B$38,J1510,Parametros!$C$23:$C$38,C1510,Parametros!$D$23:$D$38,D1510),2)</f>
        <v>125.54</v>
      </c>
      <c r="U1510" s="30" t="n">
        <f aca="false">R1510-S1510-T1510</f>
        <v>4147.56</v>
      </c>
    </row>
    <row r="1511" customFormat="false" ht="15" hidden="false" customHeight="false" outlineLevel="0" collapsed="false">
      <c r="A1511" s="0" t="n">
        <v>1510</v>
      </c>
      <c r="B1511" s="27" t="n">
        <v>45761</v>
      </c>
      <c r="C1511" s="0" t="n">
        <v>2025</v>
      </c>
      <c r="D1511" s="28" t="s">
        <v>108</v>
      </c>
      <c r="E1511" s="0" t="n">
        <v>4</v>
      </c>
      <c r="F1511" s="28" t="s">
        <v>109</v>
      </c>
      <c r="G1511" s="28" t="s">
        <v>146</v>
      </c>
      <c r="H1511" s="28" t="s">
        <v>64</v>
      </c>
      <c r="I1511" s="28" t="s">
        <v>65</v>
      </c>
      <c r="J1511" s="28" t="s">
        <v>71</v>
      </c>
      <c r="K1511" s="28" t="s">
        <v>76</v>
      </c>
      <c r="L1511" s="28" t="s">
        <v>134</v>
      </c>
      <c r="M1511" s="28" t="s">
        <v>80</v>
      </c>
      <c r="N1511" s="28" t="s">
        <v>136</v>
      </c>
      <c r="O1511" s="29" t="n">
        <v>70</v>
      </c>
      <c r="P1511" s="30" t="n">
        <v>94.39</v>
      </c>
      <c r="Q1511" s="30" t="n">
        <v>49.41</v>
      </c>
      <c r="R1511" s="30" t="n">
        <f aca="false">ROUND(O1511*P1511,2)</f>
        <v>6607.3</v>
      </c>
      <c r="S1511" s="30" t="n">
        <f aca="false">ROUND(O1511*Q1511,2)</f>
        <v>3458.7</v>
      </c>
      <c r="T1511" s="30" t="n">
        <f aca="false">ROUND(R1511*SUMIFS(Parametros!$E$23:$E$38,Parametros!$B$23:$B$38,J1511,Parametros!$C$23:$C$38,C1511,Parametros!$D$23:$D$38,D1511),2)</f>
        <v>488.94</v>
      </c>
      <c r="U1511" s="30" t="n">
        <f aca="false">R1511-S1511-T1511</f>
        <v>2659.66</v>
      </c>
    </row>
    <row r="1512" customFormat="false" ht="15" hidden="false" customHeight="false" outlineLevel="0" collapsed="false">
      <c r="A1512" s="0" t="n">
        <v>1511</v>
      </c>
      <c r="B1512" s="27" t="n">
        <v>45768</v>
      </c>
      <c r="C1512" s="0" t="n">
        <v>2025</v>
      </c>
      <c r="D1512" s="28" t="s">
        <v>108</v>
      </c>
      <c r="E1512" s="0" t="n">
        <v>4</v>
      </c>
      <c r="F1512" s="28" t="s">
        <v>109</v>
      </c>
      <c r="G1512" s="28" t="s">
        <v>146</v>
      </c>
      <c r="H1512" s="28" t="s">
        <v>64</v>
      </c>
      <c r="I1512" s="28" t="s">
        <v>65</v>
      </c>
      <c r="J1512" s="28" t="s">
        <v>66</v>
      </c>
      <c r="K1512" s="28" t="s">
        <v>76</v>
      </c>
      <c r="L1512" s="28" t="s">
        <v>134</v>
      </c>
      <c r="M1512" s="28" t="s">
        <v>82</v>
      </c>
      <c r="N1512" s="28" t="s">
        <v>137</v>
      </c>
      <c r="O1512" s="29" t="n">
        <v>86</v>
      </c>
      <c r="P1512" s="30" t="n">
        <v>64.58</v>
      </c>
      <c r="Q1512" s="30" t="n">
        <v>36.49</v>
      </c>
      <c r="R1512" s="30" t="n">
        <f aca="false">ROUND(O1512*P1512,2)</f>
        <v>5553.88</v>
      </c>
      <c r="S1512" s="30" t="n">
        <f aca="false">ROUND(O1512*Q1512,2)</f>
        <v>3138.14</v>
      </c>
      <c r="T1512" s="30" t="n">
        <f aca="false">ROUND(R1512*SUMIFS(Parametros!$E$23:$E$38,Parametros!$B$23:$B$38,J1512,Parametros!$C$23:$C$38,C1512,Parametros!$D$23:$D$38,D1512),2)</f>
        <v>77.75</v>
      </c>
      <c r="U1512" s="30" t="n">
        <f aca="false">R1512-S1512-T1512</f>
        <v>2337.99</v>
      </c>
    </row>
    <row r="1513" customFormat="false" ht="15" hidden="false" customHeight="false" outlineLevel="0" collapsed="false">
      <c r="A1513" s="0" t="n">
        <v>1512</v>
      </c>
      <c r="B1513" s="27" t="n">
        <v>45748</v>
      </c>
      <c r="C1513" s="0" t="n">
        <v>2025</v>
      </c>
      <c r="D1513" s="28" t="s">
        <v>108</v>
      </c>
      <c r="E1513" s="0" t="n">
        <v>4</v>
      </c>
      <c r="F1513" s="28" t="s">
        <v>109</v>
      </c>
      <c r="G1513" s="28" t="s">
        <v>146</v>
      </c>
      <c r="H1513" s="28" t="s">
        <v>64</v>
      </c>
      <c r="I1513" s="28" t="s">
        <v>65</v>
      </c>
      <c r="J1513" s="28" t="s">
        <v>71</v>
      </c>
      <c r="K1513" s="28" t="s">
        <v>76</v>
      </c>
      <c r="L1513" s="28" t="s">
        <v>134</v>
      </c>
      <c r="M1513" s="28" t="s">
        <v>82</v>
      </c>
      <c r="N1513" s="28" t="s">
        <v>137</v>
      </c>
      <c r="O1513" s="29" t="n">
        <v>62</v>
      </c>
      <c r="P1513" s="30" t="n">
        <v>64.58</v>
      </c>
      <c r="Q1513" s="30" t="n">
        <v>36.49</v>
      </c>
      <c r="R1513" s="30" t="n">
        <f aca="false">ROUND(O1513*P1513,2)</f>
        <v>4003.96</v>
      </c>
      <c r="S1513" s="30" t="n">
        <f aca="false">ROUND(O1513*Q1513,2)</f>
        <v>2262.38</v>
      </c>
      <c r="T1513" s="30" t="n">
        <f aca="false">ROUND(R1513*SUMIFS(Parametros!$E$23:$E$38,Parametros!$B$23:$B$38,J1513,Parametros!$C$23:$C$38,C1513,Parametros!$D$23:$D$38,D1513),2)</f>
        <v>296.29</v>
      </c>
      <c r="U1513" s="30" t="n">
        <f aca="false">R1513-S1513-T1513</f>
        <v>1445.29</v>
      </c>
    </row>
    <row r="1514" customFormat="false" ht="15" hidden="false" customHeight="false" outlineLevel="0" collapsed="false">
      <c r="A1514" s="0" t="n">
        <v>1513</v>
      </c>
      <c r="B1514" s="27" t="n">
        <v>45755</v>
      </c>
      <c r="C1514" s="0" t="n">
        <v>2025</v>
      </c>
      <c r="D1514" s="28" t="s">
        <v>108</v>
      </c>
      <c r="E1514" s="0" t="n">
        <v>4</v>
      </c>
      <c r="F1514" s="28" t="s">
        <v>109</v>
      </c>
      <c r="G1514" s="28" t="s">
        <v>146</v>
      </c>
      <c r="H1514" s="28" t="s">
        <v>64</v>
      </c>
      <c r="I1514" s="28" t="s">
        <v>65</v>
      </c>
      <c r="J1514" s="28" t="s">
        <v>66</v>
      </c>
      <c r="K1514" s="28" t="s">
        <v>84</v>
      </c>
      <c r="L1514" s="28" t="s">
        <v>138</v>
      </c>
      <c r="M1514" s="28" t="s">
        <v>86</v>
      </c>
      <c r="N1514" s="28" t="s">
        <v>139</v>
      </c>
      <c r="O1514" s="29" t="n">
        <v>45</v>
      </c>
      <c r="P1514" s="30" t="n">
        <v>119.23</v>
      </c>
      <c r="Q1514" s="30" t="n">
        <v>65.51</v>
      </c>
      <c r="R1514" s="30" t="n">
        <f aca="false">ROUND(O1514*P1514,2)</f>
        <v>5365.35</v>
      </c>
      <c r="S1514" s="30" t="n">
        <f aca="false">ROUND(O1514*Q1514,2)</f>
        <v>2947.95</v>
      </c>
      <c r="T1514" s="30" t="n">
        <f aca="false">ROUND(R1514*SUMIFS(Parametros!$E$23:$E$38,Parametros!$B$23:$B$38,J1514,Parametros!$C$23:$C$38,C1514,Parametros!$D$23:$D$38,D1514),2)</f>
        <v>75.11</v>
      </c>
      <c r="U1514" s="30" t="n">
        <f aca="false">R1514-S1514-T1514</f>
        <v>2342.29</v>
      </c>
    </row>
    <row r="1515" customFormat="false" ht="15" hidden="false" customHeight="false" outlineLevel="0" collapsed="false">
      <c r="A1515" s="0" t="n">
        <v>1514</v>
      </c>
      <c r="B1515" s="27" t="n">
        <v>45762</v>
      </c>
      <c r="C1515" s="0" t="n">
        <v>2025</v>
      </c>
      <c r="D1515" s="28" t="s">
        <v>108</v>
      </c>
      <c r="E1515" s="0" t="n">
        <v>4</v>
      </c>
      <c r="F1515" s="28" t="s">
        <v>109</v>
      </c>
      <c r="G1515" s="28" t="s">
        <v>146</v>
      </c>
      <c r="H1515" s="28" t="s">
        <v>64</v>
      </c>
      <c r="I1515" s="28" t="s">
        <v>65</v>
      </c>
      <c r="J1515" s="28" t="s">
        <v>71</v>
      </c>
      <c r="K1515" s="28" t="s">
        <v>84</v>
      </c>
      <c r="L1515" s="28" t="s">
        <v>138</v>
      </c>
      <c r="M1515" s="28" t="s">
        <v>86</v>
      </c>
      <c r="N1515" s="28" t="s">
        <v>139</v>
      </c>
      <c r="O1515" s="29" t="n">
        <v>26</v>
      </c>
      <c r="P1515" s="30" t="n">
        <v>119.23</v>
      </c>
      <c r="Q1515" s="30" t="n">
        <v>65.51</v>
      </c>
      <c r="R1515" s="30" t="n">
        <f aca="false">ROUND(O1515*P1515,2)</f>
        <v>3099.98</v>
      </c>
      <c r="S1515" s="30" t="n">
        <f aca="false">ROUND(O1515*Q1515,2)</f>
        <v>1703.26</v>
      </c>
      <c r="T1515" s="30" t="n">
        <f aca="false">ROUND(R1515*SUMIFS(Parametros!$E$23:$E$38,Parametros!$B$23:$B$38,J1515,Parametros!$C$23:$C$38,C1515,Parametros!$D$23:$D$38,D1515),2)</f>
        <v>229.4</v>
      </c>
      <c r="U1515" s="30" t="n">
        <f aca="false">R1515-S1515-T1515</f>
        <v>1167.32</v>
      </c>
    </row>
    <row r="1516" customFormat="false" ht="15" hidden="false" customHeight="false" outlineLevel="0" collapsed="false">
      <c r="A1516" s="0" t="n">
        <v>1515</v>
      </c>
      <c r="B1516" s="27" t="n">
        <v>45769</v>
      </c>
      <c r="C1516" s="0" t="n">
        <v>2025</v>
      </c>
      <c r="D1516" s="28" t="s">
        <v>108</v>
      </c>
      <c r="E1516" s="0" t="n">
        <v>4</v>
      </c>
      <c r="F1516" s="28" t="s">
        <v>109</v>
      </c>
      <c r="G1516" s="28" t="s">
        <v>146</v>
      </c>
      <c r="H1516" s="28" t="s">
        <v>64</v>
      </c>
      <c r="I1516" s="28" t="s">
        <v>65</v>
      </c>
      <c r="J1516" s="28" t="s">
        <v>66</v>
      </c>
      <c r="K1516" s="28" t="s">
        <v>84</v>
      </c>
      <c r="L1516" s="28" t="s">
        <v>138</v>
      </c>
      <c r="M1516" s="28" t="s">
        <v>88</v>
      </c>
      <c r="N1516" s="28" t="s">
        <v>140</v>
      </c>
      <c r="O1516" s="29" t="n">
        <v>44</v>
      </c>
      <c r="P1516" s="30" t="n">
        <v>84.46</v>
      </c>
      <c r="Q1516" s="30" t="n">
        <v>49.47</v>
      </c>
      <c r="R1516" s="30" t="n">
        <f aca="false">ROUND(O1516*P1516,2)</f>
        <v>3716.24</v>
      </c>
      <c r="S1516" s="30" t="n">
        <f aca="false">ROUND(O1516*Q1516,2)</f>
        <v>2176.68</v>
      </c>
      <c r="T1516" s="30" t="n">
        <f aca="false">ROUND(R1516*SUMIFS(Parametros!$E$23:$E$38,Parametros!$B$23:$B$38,J1516,Parametros!$C$23:$C$38,C1516,Parametros!$D$23:$D$38,D1516),2)</f>
        <v>52.03</v>
      </c>
      <c r="U1516" s="30" t="n">
        <f aca="false">R1516-S1516-T1516</f>
        <v>1487.53</v>
      </c>
    </row>
    <row r="1517" customFormat="false" ht="15" hidden="false" customHeight="false" outlineLevel="0" collapsed="false">
      <c r="A1517" s="0" t="n">
        <v>1516</v>
      </c>
      <c r="B1517" s="27" t="n">
        <v>45749</v>
      </c>
      <c r="C1517" s="0" t="n">
        <v>2025</v>
      </c>
      <c r="D1517" s="28" t="s">
        <v>108</v>
      </c>
      <c r="E1517" s="0" t="n">
        <v>4</v>
      </c>
      <c r="F1517" s="28" t="s">
        <v>109</v>
      </c>
      <c r="G1517" s="28" t="s">
        <v>146</v>
      </c>
      <c r="H1517" s="28" t="s">
        <v>64</v>
      </c>
      <c r="I1517" s="28" t="s">
        <v>65</v>
      </c>
      <c r="J1517" s="28" t="s">
        <v>71</v>
      </c>
      <c r="K1517" s="28" t="s">
        <v>84</v>
      </c>
      <c r="L1517" s="28" t="s">
        <v>138</v>
      </c>
      <c r="M1517" s="28" t="s">
        <v>88</v>
      </c>
      <c r="N1517" s="28" t="s">
        <v>140</v>
      </c>
      <c r="O1517" s="29" t="n">
        <v>26</v>
      </c>
      <c r="P1517" s="30" t="n">
        <v>84.46</v>
      </c>
      <c r="Q1517" s="30" t="n">
        <v>49.47</v>
      </c>
      <c r="R1517" s="30" t="n">
        <f aca="false">ROUND(O1517*P1517,2)</f>
        <v>2195.96</v>
      </c>
      <c r="S1517" s="30" t="n">
        <f aca="false">ROUND(O1517*Q1517,2)</f>
        <v>1286.22</v>
      </c>
      <c r="T1517" s="30" t="n">
        <f aca="false">ROUND(R1517*SUMIFS(Parametros!$E$23:$E$38,Parametros!$B$23:$B$38,J1517,Parametros!$C$23:$C$38,C1517,Parametros!$D$23:$D$38,D1517),2)</f>
        <v>162.5</v>
      </c>
      <c r="U1517" s="30" t="n">
        <f aca="false">R1517-S1517-T1517</f>
        <v>747.24</v>
      </c>
    </row>
    <row r="1518" customFormat="false" ht="15" hidden="false" customHeight="false" outlineLevel="0" collapsed="false">
      <c r="A1518" s="0" t="n">
        <v>1517</v>
      </c>
      <c r="B1518" s="27" t="n">
        <v>45756</v>
      </c>
      <c r="C1518" s="0" t="n">
        <v>2025</v>
      </c>
      <c r="D1518" s="28" t="s">
        <v>108</v>
      </c>
      <c r="E1518" s="0" t="n">
        <v>4</v>
      </c>
      <c r="F1518" s="28" t="s">
        <v>109</v>
      </c>
      <c r="G1518" s="28" t="s">
        <v>146</v>
      </c>
      <c r="H1518" s="28" t="s">
        <v>64</v>
      </c>
      <c r="I1518" s="28" t="s">
        <v>65</v>
      </c>
      <c r="J1518" s="28" t="s">
        <v>66</v>
      </c>
      <c r="K1518" s="28" t="s">
        <v>90</v>
      </c>
      <c r="L1518" s="28" t="s">
        <v>141</v>
      </c>
      <c r="M1518" s="28" t="s">
        <v>92</v>
      </c>
      <c r="N1518" s="28" t="s">
        <v>142</v>
      </c>
      <c r="O1518" s="29" t="n">
        <v>45</v>
      </c>
      <c r="P1518" s="30" t="n">
        <v>129.17</v>
      </c>
      <c r="Q1518" s="30" t="n">
        <v>78.33</v>
      </c>
      <c r="R1518" s="30" t="n">
        <f aca="false">ROUND(O1518*P1518,2)</f>
        <v>5812.65</v>
      </c>
      <c r="S1518" s="30" t="n">
        <f aca="false">ROUND(O1518*Q1518,2)</f>
        <v>3524.85</v>
      </c>
      <c r="T1518" s="30" t="n">
        <f aca="false">ROUND(R1518*SUMIFS(Parametros!$E$23:$E$38,Parametros!$B$23:$B$38,J1518,Parametros!$C$23:$C$38,C1518,Parametros!$D$23:$D$38,D1518),2)</f>
        <v>81.38</v>
      </c>
      <c r="U1518" s="30" t="n">
        <f aca="false">R1518-S1518-T1518</f>
        <v>2206.42</v>
      </c>
    </row>
    <row r="1519" customFormat="false" ht="15" hidden="false" customHeight="false" outlineLevel="0" collapsed="false">
      <c r="A1519" s="0" t="n">
        <v>1518</v>
      </c>
      <c r="B1519" s="27" t="n">
        <v>45763</v>
      </c>
      <c r="C1519" s="0" t="n">
        <v>2025</v>
      </c>
      <c r="D1519" s="28" t="s">
        <v>108</v>
      </c>
      <c r="E1519" s="0" t="n">
        <v>4</v>
      </c>
      <c r="F1519" s="28" t="s">
        <v>109</v>
      </c>
      <c r="G1519" s="28" t="s">
        <v>146</v>
      </c>
      <c r="H1519" s="28" t="s">
        <v>64</v>
      </c>
      <c r="I1519" s="28" t="s">
        <v>65</v>
      </c>
      <c r="J1519" s="28" t="s">
        <v>71</v>
      </c>
      <c r="K1519" s="28" t="s">
        <v>90</v>
      </c>
      <c r="L1519" s="28" t="s">
        <v>141</v>
      </c>
      <c r="M1519" s="28" t="s">
        <v>92</v>
      </c>
      <c r="N1519" s="28" t="s">
        <v>142</v>
      </c>
      <c r="O1519" s="29" t="n">
        <v>38</v>
      </c>
      <c r="P1519" s="30" t="n">
        <v>129.17</v>
      </c>
      <c r="Q1519" s="30" t="n">
        <v>78.33</v>
      </c>
      <c r="R1519" s="30" t="n">
        <f aca="false">ROUND(O1519*P1519,2)</f>
        <v>4908.46</v>
      </c>
      <c r="S1519" s="30" t="n">
        <f aca="false">ROUND(O1519*Q1519,2)</f>
        <v>2976.54</v>
      </c>
      <c r="T1519" s="30" t="n">
        <f aca="false">ROUND(R1519*SUMIFS(Parametros!$E$23:$E$38,Parametros!$B$23:$B$38,J1519,Parametros!$C$23:$C$38,C1519,Parametros!$D$23:$D$38,D1519),2)</f>
        <v>363.23</v>
      </c>
      <c r="U1519" s="30" t="n">
        <f aca="false">R1519-S1519-T1519</f>
        <v>1568.69</v>
      </c>
    </row>
    <row r="1520" customFormat="false" ht="15" hidden="false" customHeight="false" outlineLevel="0" collapsed="false">
      <c r="A1520" s="0" t="n">
        <v>1519</v>
      </c>
      <c r="B1520" s="27" t="n">
        <v>45770</v>
      </c>
      <c r="C1520" s="0" t="n">
        <v>2025</v>
      </c>
      <c r="D1520" s="28" t="s">
        <v>108</v>
      </c>
      <c r="E1520" s="0" t="n">
        <v>4</v>
      </c>
      <c r="F1520" s="28" t="s">
        <v>109</v>
      </c>
      <c r="G1520" s="28" t="s">
        <v>146</v>
      </c>
      <c r="H1520" s="28" t="s">
        <v>64</v>
      </c>
      <c r="I1520" s="28" t="s">
        <v>65</v>
      </c>
      <c r="J1520" s="28" t="s">
        <v>66</v>
      </c>
      <c r="K1520" s="28" t="s">
        <v>90</v>
      </c>
      <c r="L1520" s="28" t="s">
        <v>141</v>
      </c>
      <c r="M1520" s="28" t="s">
        <v>94</v>
      </c>
      <c r="N1520" s="28" t="s">
        <v>143</v>
      </c>
      <c r="O1520" s="29" t="n">
        <v>47</v>
      </c>
      <c r="P1520" s="30" t="n">
        <v>34.78</v>
      </c>
      <c r="Q1520" s="30" t="n">
        <v>18.39</v>
      </c>
      <c r="R1520" s="30" t="n">
        <f aca="false">ROUND(O1520*P1520,2)</f>
        <v>1634.66</v>
      </c>
      <c r="S1520" s="30" t="n">
        <f aca="false">ROUND(O1520*Q1520,2)</f>
        <v>864.33</v>
      </c>
      <c r="T1520" s="30" t="n">
        <f aca="false">ROUND(R1520*SUMIFS(Parametros!$E$23:$E$38,Parametros!$B$23:$B$38,J1520,Parametros!$C$23:$C$38,C1520,Parametros!$D$23:$D$38,D1520),2)</f>
        <v>22.89</v>
      </c>
      <c r="U1520" s="30" t="n">
        <f aca="false">R1520-S1520-T1520</f>
        <v>747.44</v>
      </c>
    </row>
    <row r="1521" customFormat="false" ht="15" hidden="false" customHeight="false" outlineLevel="0" collapsed="false">
      <c r="A1521" s="0" t="n">
        <v>1520</v>
      </c>
      <c r="B1521" s="27" t="n">
        <v>45750</v>
      </c>
      <c r="C1521" s="0" t="n">
        <v>2025</v>
      </c>
      <c r="D1521" s="28" t="s">
        <v>108</v>
      </c>
      <c r="E1521" s="0" t="n">
        <v>4</v>
      </c>
      <c r="F1521" s="28" t="s">
        <v>109</v>
      </c>
      <c r="G1521" s="28" t="s">
        <v>146</v>
      </c>
      <c r="H1521" s="28" t="s">
        <v>64</v>
      </c>
      <c r="I1521" s="28" t="s">
        <v>65</v>
      </c>
      <c r="J1521" s="28" t="s">
        <v>71</v>
      </c>
      <c r="K1521" s="28" t="s">
        <v>90</v>
      </c>
      <c r="L1521" s="28" t="s">
        <v>141</v>
      </c>
      <c r="M1521" s="28" t="s">
        <v>94</v>
      </c>
      <c r="N1521" s="28" t="s">
        <v>143</v>
      </c>
      <c r="O1521" s="29" t="n">
        <v>38</v>
      </c>
      <c r="P1521" s="30" t="n">
        <v>34.78</v>
      </c>
      <c r="Q1521" s="30" t="n">
        <v>18.39</v>
      </c>
      <c r="R1521" s="30" t="n">
        <f aca="false">ROUND(O1521*P1521,2)</f>
        <v>1321.64</v>
      </c>
      <c r="S1521" s="30" t="n">
        <f aca="false">ROUND(O1521*Q1521,2)</f>
        <v>698.82</v>
      </c>
      <c r="T1521" s="30" t="n">
        <f aca="false">ROUND(R1521*SUMIFS(Parametros!$E$23:$E$38,Parametros!$B$23:$B$38,J1521,Parametros!$C$23:$C$38,C1521,Parametros!$D$23:$D$38,D1521),2)</f>
        <v>97.8</v>
      </c>
      <c r="U1521" s="30" t="n">
        <f aca="false">R1521-S1521-T1521</f>
        <v>525.02</v>
      </c>
    </row>
    <row r="1522" customFormat="false" ht="15" hidden="false" customHeight="false" outlineLevel="0" collapsed="false">
      <c r="A1522" s="0" t="n">
        <v>1521</v>
      </c>
      <c r="B1522" s="27" t="n">
        <v>45757</v>
      </c>
      <c r="C1522" s="0" t="n">
        <v>2025</v>
      </c>
      <c r="D1522" s="28" t="s">
        <v>108</v>
      </c>
      <c r="E1522" s="0" t="n">
        <v>4</v>
      </c>
      <c r="F1522" s="28" t="s">
        <v>109</v>
      </c>
      <c r="G1522" s="28" t="s">
        <v>146</v>
      </c>
      <c r="H1522" s="28" t="s">
        <v>96</v>
      </c>
      <c r="I1522" s="28" t="s">
        <v>97</v>
      </c>
      <c r="J1522" s="28" t="s">
        <v>66</v>
      </c>
      <c r="K1522" s="28" t="s">
        <v>67</v>
      </c>
      <c r="L1522" s="28" t="s">
        <v>130</v>
      </c>
      <c r="M1522" s="28" t="s">
        <v>69</v>
      </c>
      <c r="N1522" s="28" t="s">
        <v>131</v>
      </c>
      <c r="O1522" s="29" t="n">
        <v>11</v>
      </c>
      <c r="P1522" s="30" t="n">
        <v>1155.06</v>
      </c>
      <c r="Q1522" s="30" t="n">
        <v>766.32</v>
      </c>
      <c r="R1522" s="30" t="n">
        <f aca="false">ROUND(O1522*P1522,2)</f>
        <v>12705.66</v>
      </c>
      <c r="S1522" s="30" t="n">
        <f aca="false">ROUND(O1522*Q1522,2)</f>
        <v>8429.52</v>
      </c>
      <c r="T1522" s="30" t="n">
        <f aca="false">ROUND(R1522*SUMIFS(Parametros!$E$23:$E$38,Parametros!$B$23:$B$38,J1522,Parametros!$C$23:$C$38,C1522,Parametros!$D$23:$D$38,D1522),2)</f>
        <v>177.88</v>
      </c>
      <c r="U1522" s="30" t="n">
        <f aca="false">R1522-S1522-T1522</f>
        <v>4098.26</v>
      </c>
    </row>
    <row r="1523" customFormat="false" ht="15" hidden="false" customHeight="false" outlineLevel="0" collapsed="false">
      <c r="A1523" s="0" t="n">
        <v>1522</v>
      </c>
      <c r="B1523" s="27" t="n">
        <v>45764</v>
      </c>
      <c r="C1523" s="0" t="n">
        <v>2025</v>
      </c>
      <c r="D1523" s="28" t="s">
        <v>108</v>
      </c>
      <c r="E1523" s="0" t="n">
        <v>4</v>
      </c>
      <c r="F1523" s="28" t="s">
        <v>109</v>
      </c>
      <c r="G1523" s="28" t="s">
        <v>146</v>
      </c>
      <c r="H1523" s="28" t="s">
        <v>96</v>
      </c>
      <c r="I1523" s="28" t="s">
        <v>97</v>
      </c>
      <c r="J1523" s="28" t="s">
        <v>71</v>
      </c>
      <c r="K1523" s="28" t="s">
        <v>67</v>
      </c>
      <c r="L1523" s="28" t="s">
        <v>130</v>
      </c>
      <c r="M1523" s="28" t="s">
        <v>69</v>
      </c>
      <c r="N1523" s="28" t="s">
        <v>131</v>
      </c>
      <c r="O1523" s="29" t="n">
        <v>7</v>
      </c>
      <c r="P1523" s="30" t="n">
        <v>1155.06</v>
      </c>
      <c r="Q1523" s="30" t="n">
        <v>766.32</v>
      </c>
      <c r="R1523" s="30" t="n">
        <f aca="false">ROUND(O1523*P1523,2)</f>
        <v>8085.42</v>
      </c>
      <c r="S1523" s="30" t="n">
        <f aca="false">ROUND(O1523*Q1523,2)</f>
        <v>5364.24</v>
      </c>
      <c r="T1523" s="30" t="n">
        <f aca="false">ROUND(R1523*SUMIFS(Parametros!$E$23:$E$38,Parametros!$B$23:$B$38,J1523,Parametros!$C$23:$C$38,C1523,Parametros!$D$23:$D$38,D1523),2)</f>
        <v>598.32</v>
      </c>
      <c r="U1523" s="30" t="n">
        <f aca="false">R1523-S1523-T1523</f>
        <v>2122.86</v>
      </c>
    </row>
    <row r="1524" customFormat="false" ht="15" hidden="false" customHeight="false" outlineLevel="0" collapsed="false">
      <c r="A1524" s="0" t="n">
        <v>1523</v>
      </c>
      <c r="B1524" s="27" t="n">
        <v>45771</v>
      </c>
      <c r="C1524" s="0" t="n">
        <v>2025</v>
      </c>
      <c r="D1524" s="28" t="s">
        <v>108</v>
      </c>
      <c r="E1524" s="0" t="n">
        <v>4</v>
      </c>
      <c r="F1524" s="28" t="s">
        <v>109</v>
      </c>
      <c r="G1524" s="28" t="s">
        <v>146</v>
      </c>
      <c r="H1524" s="28" t="s">
        <v>96</v>
      </c>
      <c r="I1524" s="28" t="s">
        <v>97</v>
      </c>
      <c r="J1524" s="28" t="s">
        <v>66</v>
      </c>
      <c r="K1524" s="28" t="s">
        <v>67</v>
      </c>
      <c r="L1524" s="28" t="s">
        <v>130</v>
      </c>
      <c r="M1524" s="28" t="s">
        <v>72</v>
      </c>
      <c r="N1524" s="28" t="s">
        <v>132</v>
      </c>
      <c r="O1524" s="29" t="n">
        <v>9</v>
      </c>
      <c r="P1524" s="30" t="n">
        <v>433.15</v>
      </c>
      <c r="Q1524" s="30" t="n">
        <v>280.42</v>
      </c>
      <c r="R1524" s="30" t="n">
        <f aca="false">ROUND(O1524*P1524,2)</f>
        <v>3898.35</v>
      </c>
      <c r="S1524" s="30" t="n">
        <f aca="false">ROUND(O1524*Q1524,2)</f>
        <v>2523.78</v>
      </c>
      <c r="T1524" s="30" t="n">
        <f aca="false">ROUND(R1524*SUMIFS(Parametros!$E$23:$E$38,Parametros!$B$23:$B$38,J1524,Parametros!$C$23:$C$38,C1524,Parametros!$D$23:$D$38,D1524),2)</f>
        <v>54.58</v>
      </c>
      <c r="U1524" s="30" t="n">
        <f aca="false">R1524-S1524-T1524</f>
        <v>1319.99</v>
      </c>
    </row>
    <row r="1525" customFormat="false" ht="15" hidden="false" customHeight="false" outlineLevel="0" collapsed="false">
      <c r="A1525" s="0" t="n">
        <v>1524</v>
      </c>
      <c r="B1525" s="27" t="n">
        <v>45751</v>
      </c>
      <c r="C1525" s="0" t="n">
        <v>2025</v>
      </c>
      <c r="D1525" s="28" t="s">
        <v>108</v>
      </c>
      <c r="E1525" s="0" t="n">
        <v>4</v>
      </c>
      <c r="F1525" s="28" t="s">
        <v>109</v>
      </c>
      <c r="G1525" s="28" t="s">
        <v>146</v>
      </c>
      <c r="H1525" s="28" t="s">
        <v>96</v>
      </c>
      <c r="I1525" s="28" t="s">
        <v>97</v>
      </c>
      <c r="J1525" s="28" t="s">
        <v>71</v>
      </c>
      <c r="K1525" s="28" t="s">
        <v>67</v>
      </c>
      <c r="L1525" s="28" t="s">
        <v>130</v>
      </c>
      <c r="M1525" s="28" t="s">
        <v>72</v>
      </c>
      <c r="N1525" s="28" t="s">
        <v>132</v>
      </c>
      <c r="O1525" s="29" t="n">
        <v>8</v>
      </c>
      <c r="P1525" s="30" t="n">
        <v>433.15</v>
      </c>
      <c r="Q1525" s="30" t="n">
        <v>280.42</v>
      </c>
      <c r="R1525" s="30" t="n">
        <f aca="false">ROUND(O1525*P1525,2)</f>
        <v>3465.2</v>
      </c>
      <c r="S1525" s="30" t="n">
        <f aca="false">ROUND(O1525*Q1525,2)</f>
        <v>2243.36</v>
      </c>
      <c r="T1525" s="30" t="n">
        <f aca="false">ROUND(R1525*SUMIFS(Parametros!$E$23:$E$38,Parametros!$B$23:$B$38,J1525,Parametros!$C$23:$C$38,C1525,Parametros!$D$23:$D$38,D1525),2)</f>
        <v>256.42</v>
      </c>
      <c r="U1525" s="30" t="n">
        <f aca="false">R1525-S1525-T1525</f>
        <v>965.42</v>
      </c>
    </row>
    <row r="1526" customFormat="false" ht="15" hidden="false" customHeight="false" outlineLevel="0" collapsed="false">
      <c r="A1526" s="0" t="n">
        <v>1525</v>
      </c>
      <c r="B1526" s="27" t="n">
        <v>45758</v>
      </c>
      <c r="C1526" s="0" t="n">
        <v>2025</v>
      </c>
      <c r="D1526" s="28" t="s">
        <v>108</v>
      </c>
      <c r="E1526" s="0" t="n">
        <v>4</v>
      </c>
      <c r="F1526" s="28" t="s">
        <v>109</v>
      </c>
      <c r="G1526" s="28" t="s">
        <v>146</v>
      </c>
      <c r="H1526" s="28" t="s">
        <v>96</v>
      </c>
      <c r="I1526" s="28" t="s">
        <v>97</v>
      </c>
      <c r="J1526" s="28" t="s">
        <v>66</v>
      </c>
      <c r="K1526" s="28" t="s">
        <v>67</v>
      </c>
      <c r="L1526" s="28" t="s">
        <v>130</v>
      </c>
      <c r="M1526" s="28" t="s">
        <v>74</v>
      </c>
      <c r="N1526" s="28" t="s">
        <v>133</v>
      </c>
      <c r="O1526" s="29" t="n">
        <v>10</v>
      </c>
      <c r="P1526" s="30" t="n">
        <v>1588.21</v>
      </c>
      <c r="Q1526" s="30" t="n">
        <v>1155.66</v>
      </c>
      <c r="R1526" s="30" t="n">
        <f aca="false">ROUND(O1526*P1526,2)</f>
        <v>15882.1</v>
      </c>
      <c r="S1526" s="30" t="n">
        <f aca="false">ROUND(O1526*Q1526,2)</f>
        <v>11556.6</v>
      </c>
      <c r="T1526" s="30" t="n">
        <f aca="false">ROUND(R1526*SUMIFS(Parametros!$E$23:$E$38,Parametros!$B$23:$B$38,J1526,Parametros!$C$23:$C$38,C1526,Parametros!$D$23:$D$38,D1526),2)</f>
        <v>222.35</v>
      </c>
      <c r="U1526" s="30" t="n">
        <f aca="false">R1526-S1526-T1526</f>
        <v>4103.15</v>
      </c>
    </row>
    <row r="1527" customFormat="false" ht="15" hidden="false" customHeight="false" outlineLevel="0" collapsed="false">
      <c r="A1527" s="0" t="n">
        <v>1526</v>
      </c>
      <c r="B1527" s="27" t="n">
        <v>45765</v>
      </c>
      <c r="C1527" s="0" t="n">
        <v>2025</v>
      </c>
      <c r="D1527" s="28" t="s">
        <v>108</v>
      </c>
      <c r="E1527" s="0" t="n">
        <v>4</v>
      </c>
      <c r="F1527" s="28" t="s">
        <v>109</v>
      </c>
      <c r="G1527" s="28" t="s">
        <v>146</v>
      </c>
      <c r="H1527" s="28" t="s">
        <v>96</v>
      </c>
      <c r="I1527" s="28" t="s">
        <v>97</v>
      </c>
      <c r="J1527" s="28" t="s">
        <v>71</v>
      </c>
      <c r="K1527" s="28" t="s">
        <v>67</v>
      </c>
      <c r="L1527" s="28" t="s">
        <v>130</v>
      </c>
      <c r="M1527" s="28" t="s">
        <v>74</v>
      </c>
      <c r="N1527" s="28" t="s">
        <v>133</v>
      </c>
      <c r="O1527" s="29" t="n">
        <v>8</v>
      </c>
      <c r="P1527" s="30" t="n">
        <v>1588.21</v>
      </c>
      <c r="Q1527" s="30" t="n">
        <v>1155.66</v>
      </c>
      <c r="R1527" s="30" t="n">
        <f aca="false">ROUND(O1527*P1527,2)</f>
        <v>12705.68</v>
      </c>
      <c r="S1527" s="30" t="n">
        <f aca="false">ROUND(O1527*Q1527,2)</f>
        <v>9245.28</v>
      </c>
      <c r="T1527" s="30" t="n">
        <f aca="false">ROUND(R1527*SUMIFS(Parametros!$E$23:$E$38,Parametros!$B$23:$B$38,J1527,Parametros!$C$23:$C$38,C1527,Parametros!$D$23:$D$38,D1527),2)</f>
        <v>940.22</v>
      </c>
      <c r="U1527" s="30" t="n">
        <f aca="false">R1527-S1527-T1527</f>
        <v>2520.18</v>
      </c>
    </row>
    <row r="1528" customFormat="false" ht="15" hidden="false" customHeight="false" outlineLevel="0" collapsed="false">
      <c r="A1528" s="0" t="n">
        <v>1527</v>
      </c>
      <c r="B1528" s="27" t="n">
        <v>45772</v>
      </c>
      <c r="C1528" s="0" t="n">
        <v>2025</v>
      </c>
      <c r="D1528" s="28" t="s">
        <v>108</v>
      </c>
      <c r="E1528" s="0" t="n">
        <v>4</v>
      </c>
      <c r="F1528" s="28" t="s">
        <v>109</v>
      </c>
      <c r="G1528" s="28" t="s">
        <v>146</v>
      </c>
      <c r="H1528" s="28" t="s">
        <v>96</v>
      </c>
      <c r="I1528" s="28" t="s">
        <v>97</v>
      </c>
      <c r="J1528" s="28" t="s">
        <v>66</v>
      </c>
      <c r="K1528" s="28" t="s">
        <v>76</v>
      </c>
      <c r="L1528" s="28" t="s">
        <v>134</v>
      </c>
      <c r="M1528" s="28" t="s">
        <v>78</v>
      </c>
      <c r="N1528" s="28" t="s">
        <v>135</v>
      </c>
      <c r="O1528" s="29" t="n">
        <v>50</v>
      </c>
      <c r="P1528" s="30" t="n">
        <v>27.82</v>
      </c>
      <c r="Q1528" s="30" t="n">
        <v>13.84</v>
      </c>
      <c r="R1528" s="30" t="n">
        <f aca="false">ROUND(O1528*P1528,2)</f>
        <v>1391</v>
      </c>
      <c r="S1528" s="30" t="n">
        <f aca="false">ROUND(O1528*Q1528,2)</f>
        <v>692</v>
      </c>
      <c r="T1528" s="30" t="n">
        <f aca="false">ROUND(R1528*SUMIFS(Parametros!$E$23:$E$38,Parametros!$B$23:$B$38,J1528,Parametros!$C$23:$C$38,C1528,Parametros!$D$23:$D$38,D1528),2)</f>
        <v>19.47</v>
      </c>
      <c r="U1528" s="30" t="n">
        <f aca="false">R1528-S1528-T1528</f>
        <v>679.53</v>
      </c>
    </row>
    <row r="1529" customFormat="false" ht="15" hidden="false" customHeight="false" outlineLevel="0" collapsed="false">
      <c r="A1529" s="0" t="n">
        <v>1528</v>
      </c>
      <c r="B1529" s="27" t="n">
        <v>45752</v>
      </c>
      <c r="C1529" s="0" t="n">
        <v>2025</v>
      </c>
      <c r="D1529" s="28" t="s">
        <v>108</v>
      </c>
      <c r="E1529" s="0" t="n">
        <v>4</v>
      </c>
      <c r="F1529" s="28" t="s">
        <v>109</v>
      </c>
      <c r="G1529" s="28" t="s">
        <v>146</v>
      </c>
      <c r="H1529" s="28" t="s">
        <v>96</v>
      </c>
      <c r="I1529" s="28" t="s">
        <v>97</v>
      </c>
      <c r="J1529" s="28" t="s">
        <v>71</v>
      </c>
      <c r="K1529" s="28" t="s">
        <v>76</v>
      </c>
      <c r="L1529" s="28" t="s">
        <v>134</v>
      </c>
      <c r="M1529" s="28" t="s">
        <v>78</v>
      </c>
      <c r="N1529" s="28" t="s">
        <v>135</v>
      </c>
      <c r="O1529" s="29" t="n">
        <v>32</v>
      </c>
      <c r="P1529" s="30" t="n">
        <v>27.82</v>
      </c>
      <c r="Q1529" s="30" t="n">
        <v>13.84</v>
      </c>
      <c r="R1529" s="30" t="n">
        <f aca="false">ROUND(O1529*P1529,2)</f>
        <v>890.24</v>
      </c>
      <c r="S1529" s="30" t="n">
        <f aca="false">ROUND(O1529*Q1529,2)</f>
        <v>442.88</v>
      </c>
      <c r="T1529" s="30" t="n">
        <f aca="false">ROUND(R1529*SUMIFS(Parametros!$E$23:$E$38,Parametros!$B$23:$B$38,J1529,Parametros!$C$23:$C$38,C1529,Parametros!$D$23:$D$38,D1529),2)</f>
        <v>65.88</v>
      </c>
      <c r="U1529" s="30" t="n">
        <f aca="false">R1529-S1529-T1529</f>
        <v>381.48</v>
      </c>
    </row>
    <row r="1530" customFormat="false" ht="15" hidden="false" customHeight="false" outlineLevel="0" collapsed="false">
      <c r="A1530" s="0" t="n">
        <v>1529</v>
      </c>
      <c r="B1530" s="27" t="n">
        <v>45759</v>
      </c>
      <c r="C1530" s="0" t="n">
        <v>2025</v>
      </c>
      <c r="D1530" s="28" t="s">
        <v>108</v>
      </c>
      <c r="E1530" s="0" t="n">
        <v>4</v>
      </c>
      <c r="F1530" s="28" t="s">
        <v>109</v>
      </c>
      <c r="G1530" s="28" t="s">
        <v>146</v>
      </c>
      <c r="H1530" s="28" t="s">
        <v>96</v>
      </c>
      <c r="I1530" s="28" t="s">
        <v>97</v>
      </c>
      <c r="J1530" s="28" t="s">
        <v>66</v>
      </c>
      <c r="K1530" s="28" t="s">
        <v>76</v>
      </c>
      <c r="L1530" s="28" t="s">
        <v>134</v>
      </c>
      <c r="M1530" s="28" t="s">
        <v>80</v>
      </c>
      <c r="N1530" s="28" t="s">
        <v>136</v>
      </c>
      <c r="O1530" s="29" t="n">
        <v>54</v>
      </c>
      <c r="P1530" s="30" t="n">
        <v>94.39</v>
      </c>
      <c r="Q1530" s="30" t="n">
        <v>49.41</v>
      </c>
      <c r="R1530" s="30" t="n">
        <f aca="false">ROUND(O1530*P1530,2)</f>
        <v>5097.06</v>
      </c>
      <c r="S1530" s="30" t="n">
        <f aca="false">ROUND(O1530*Q1530,2)</f>
        <v>2668.14</v>
      </c>
      <c r="T1530" s="30" t="n">
        <f aca="false">ROUND(R1530*SUMIFS(Parametros!$E$23:$E$38,Parametros!$B$23:$B$38,J1530,Parametros!$C$23:$C$38,C1530,Parametros!$D$23:$D$38,D1530),2)</f>
        <v>71.36</v>
      </c>
      <c r="U1530" s="30" t="n">
        <f aca="false">R1530-S1530-T1530</f>
        <v>2357.56</v>
      </c>
    </row>
    <row r="1531" customFormat="false" ht="15" hidden="false" customHeight="false" outlineLevel="0" collapsed="false">
      <c r="A1531" s="0" t="n">
        <v>1530</v>
      </c>
      <c r="B1531" s="27" t="n">
        <v>45766</v>
      </c>
      <c r="C1531" s="0" t="n">
        <v>2025</v>
      </c>
      <c r="D1531" s="28" t="s">
        <v>108</v>
      </c>
      <c r="E1531" s="0" t="n">
        <v>4</v>
      </c>
      <c r="F1531" s="28" t="s">
        <v>109</v>
      </c>
      <c r="G1531" s="28" t="s">
        <v>146</v>
      </c>
      <c r="H1531" s="28" t="s">
        <v>96</v>
      </c>
      <c r="I1531" s="28" t="s">
        <v>97</v>
      </c>
      <c r="J1531" s="28" t="s">
        <v>71</v>
      </c>
      <c r="K1531" s="28" t="s">
        <v>76</v>
      </c>
      <c r="L1531" s="28" t="s">
        <v>134</v>
      </c>
      <c r="M1531" s="28" t="s">
        <v>80</v>
      </c>
      <c r="N1531" s="28" t="s">
        <v>136</v>
      </c>
      <c r="O1531" s="29" t="n">
        <v>40</v>
      </c>
      <c r="P1531" s="30" t="n">
        <v>94.39</v>
      </c>
      <c r="Q1531" s="30" t="n">
        <v>49.41</v>
      </c>
      <c r="R1531" s="30" t="n">
        <f aca="false">ROUND(O1531*P1531,2)</f>
        <v>3775.6</v>
      </c>
      <c r="S1531" s="30" t="n">
        <f aca="false">ROUND(O1531*Q1531,2)</f>
        <v>1976.4</v>
      </c>
      <c r="T1531" s="30" t="n">
        <f aca="false">ROUND(R1531*SUMIFS(Parametros!$E$23:$E$38,Parametros!$B$23:$B$38,J1531,Parametros!$C$23:$C$38,C1531,Parametros!$D$23:$D$38,D1531),2)</f>
        <v>279.39</v>
      </c>
      <c r="U1531" s="30" t="n">
        <f aca="false">R1531-S1531-T1531</f>
        <v>1519.81</v>
      </c>
    </row>
    <row r="1532" customFormat="false" ht="15" hidden="false" customHeight="false" outlineLevel="0" collapsed="false">
      <c r="A1532" s="0" t="n">
        <v>1531</v>
      </c>
      <c r="B1532" s="27" t="n">
        <v>45773</v>
      </c>
      <c r="C1532" s="0" t="n">
        <v>2025</v>
      </c>
      <c r="D1532" s="28" t="s">
        <v>108</v>
      </c>
      <c r="E1532" s="0" t="n">
        <v>4</v>
      </c>
      <c r="F1532" s="28" t="s">
        <v>109</v>
      </c>
      <c r="G1532" s="28" t="s">
        <v>146</v>
      </c>
      <c r="H1532" s="28" t="s">
        <v>96</v>
      </c>
      <c r="I1532" s="28" t="s">
        <v>97</v>
      </c>
      <c r="J1532" s="28" t="s">
        <v>66</v>
      </c>
      <c r="K1532" s="28" t="s">
        <v>76</v>
      </c>
      <c r="L1532" s="28" t="s">
        <v>134</v>
      </c>
      <c r="M1532" s="28" t="s">
        <v>82</v>
      </c>
      <c r="N1532" s="28" t="s">
        <v>137</v>
      </c>
      <c r="O1532" s="29" t="n">
        <v>54</v>
      </c>
      <c r="P1532" s="30" t="n">
        <v>64.58</v>
      </c>
      <c r="Q1532" s="30" t="n">
        <v>36.49</v>
      </c>
      <c r="R1532" s="30" t="n">
        <f aca="false">ROUND(O1532*P1532,2)</f>
        <v>3487.32</v>
      </c>
      <c r="S1532" s="30" t="n">
        <f aca="false">ROUND(O1532*Q1532,2)</f>
        <v>1970.46</v>
      </c>
      <c r="T1532" s="30" t="n">
        <f aca="false">ROUND(R1532*SUMIFS(Parametros!$E$23:$E$38,Parametros!$B$23:$B$38,J1532,Parametros!$C$23:$C$38,C1532,Parametros!$D$23:$D$38,D1532),2)</f>
        <v>48.82</v>
      </c>
      <c r="U1532" s="30" t="n">
        <f aca="false">R1532-S1532-T1532</f>
        <v>1468.04</v>
      </c>
    </row>
    <row r="1533" customFormat="false" ht="15" hidden="false" customHeight="false" outlineLevel="0" collapsed="false">
      <c r="A1533" s="0" t="n">
        <v>1532</v>
      </c>
      <c r="B1533" s="27" t="n">
        <v>45753</v>
      </c>
      <c r="C1533" s="0" t="n">
        <v>2025</v>
      </c>
      <c r="D1533" s="28" t="s">
        <v>108</v>
      </c>
      <c r="E1533" s="0" t="n">
        <v>4</v>
      </c>
      <c r="F1533" s="28" t="s">
        <v>109</v>
      </c>
      <c r="G1533" s="28" t="s">
        <v>146</v>
      </c>
      <c r="H1533" s="28" t="s">
        <v>96</v>
      </c>
      <c r="I1533" s="28" t="s">
        <v>97</v>
      </c>
      <c r="J1533" s="28" t="s">
        <v>71</v>
      </c>
      <c r="K1533" s="28" t="s">
        <v>76</v>
      </c>
      <c r="L1533" s="28" t="s">
        <v>134</v>
      </c>
      <c r="M1533" s="28" t="s">
        <v>82</v>
      </c>
      <c r="N1533" s="28" t="s">
        <v>137</v>
      </c>
      <c r="O1533" s="29" t="n">
        <v>31</v>
      </c>
      <c r="P1533" s="30" t="n">
        <v>64.58</v>
      </c>
      <c r="Q1533" s="30" t="n">
        <v>36.49</v>
      </c>
      <c r="R1533" s="30" t="n">
        <f aca="false">ROUND(O1533*P1533,2)</f>
        <v>2001.98</v>
      </c>
      <c r="S1533" s="30" t="n">
        <f aca="false">ROUND(O1533*Q1533,2)</f>
        <v>1131.19</v>
      </c>
      <c r="T1533" s="30" t="n">
        <f aca="false">ROUND(R1533*SUMIFS(Parametros!$E$23:$E$38,Parametros!$B$23:$B$38,J1533,Parametros!$C$23:$C$38,C1533,Parametros!$D$23:$D$38,D1533),2)</f>
        <v>148.15</v>
      </c>
      <c r="U1533" s="30" t="n">
        <f aca="false">R1533-S1533-T1533</f>
        <v>722.64</v>
      </c>
    </row>
    <row r="1534" customFormat="false" ht="15" hidden="false" customHeight="false" outlineLevel="0" collapsed="false">
      <c r="A1534" s="0" t="n">
        <v>1533</v>
      </c>
      <c r="B1534" s="27" t="n">
        <v>45760</v>
      </c>
      <c r="C1534" s="0" t="n">
        <v>2025</v>
      </c>
      <c r="D1534" s="28" t="s">
        <v>108</v>
      </c>
      <c r="E1534" s="0" t="n">
        <v>4</v>
      </c>
      <c r="F1534" s="28" t="s">
        <v>109</v>
      </c>
      <c r="G1534" s="28" t="s">
        <v>146</v>
      </c>
      <c r="H1534" s="28" t="s">
        <v>96</v>
      </c>
      <c r="I1534" s="28" t="s">
        <v>97</v>
      </c>
      <c r="J1534" s="28" t="s">
        <v>66</v>
      </c>
      <c r="K1534" s="28" t="s">
        <v>84</v>
      </c>
      <c r="L1534" s="28" t="s">
        <v>138</v>
      </c>
      <c r="M1534" s="28" t="s">
        <v>86</v>
      </c>
      <c r="N1534" s="28" t="s">
        <v>139</v>
      </c>
      <c r="O1534" s="29" t="n">
        <v>20</v>
      </c>
      <c r="P1534" s="30" t="n">
        <v>119.23</v>
      </c>
      <c r="Q1534" s="30" t="n">
        <v>65.51</v>
      </c>
      <c r="R1534" s="30" t="n">
        <f aca="false">ROUND(O1534*P1534,2)</f>
        <v>2384.6</v>
      </c>
      <c r="S1534" s="30" t="n">
        <f aca="false">ROUND(O1534*Q1534,2)</f>
        <v>1310.2</v>
      </c>
      <c r="T1534" s="30" t="n">
        <f aca="false">ROUND(R1534*SUMIFS(Parametros!$E$23:$E$38,Parametros!$B$23:$B$38,J1534,Parametros!$C$23:$C$38,C1534,Parametros!$D$23:$D$38,D1534),2)</f>
        <v>33.38</v>
      </c>
      <c r="U1534" s="30" t="n">
        <f aca="false">R1534-S1534-T1534</f>
        <v>1041.02</v>
      </c>
    </row>
    <row r="1535" customFormat="false" ht="15" hidden="false" customHeight="false" outlineLevel="0" collapsed="false">
      <c r="A1535" s="0" t="n">
        <v>1534</v>
      </c>
      <c r="B1535" s="27" t="n">
        <v>45767</v>
      </c>
      <c r="C1535" s="0" t="n">
        <v>2025</v>
      </c>
      <c r="D1535" s="28" t="s">
        <v>108</v>
      </c>
      <c r="E1535" s="0" t="n">
        <v>4</v>
      </c>
      <c r="F1535" s="28" t="s">
        <v>109</v>
      </c>
      <c r="G1535" s="28" t="s">
        <v>146</v>
      </c>
      <c r="H1535" s="28" t="s">
        <v>96</v>
      </c>
      <c r="I1535" s="28" t="s">
        <v>97</v>
      </c>
      <c r="J1535" s="28" t="s">
        <v>71</v>
      </c>
      <c r="K1535" s="28" t="s">
        <v>84</v>
      </c>
      <c r="L1535" s="28" t="s">
        <v>138</v>
      </c>
      <c r="M1535" s="28" t="s">
        <v>86</v>
      </c>
      <c r="N1535" s="28" t="s">
        <v>139</v>
      </c>
      <c r="O1535" s="29" t="n">
        <v>14</v>
      </c>
      <c r="P1535" s="30" t="n">
        <v>119.23</v>
      </c>
      <c r="Q1535" s="30" t="n">
        <v>65.51</v>
      </c>
      <c r="R1535" s="30" t="n">
        <f aca="false">ROUND(O1535*P1535,2)</f>
        <v>1669.22</v>
      </c>
      <c r="S1535" s="30" t="n">
        <f aca="false">ROUND(O1535*Q1535,2)</f>
        <v>917.14</v>
      </c>
      <c r="T1535" s="30" t="n">
        <f aca="false">ROUND(R1535*SUMIFS(Parametros!$E$23:$E$38,Parametros!$B$23:$B$38,J1535,Parametros!$C$23:$C$38,C1535,Parametros!$D$23:$D$38,D1535),2)</f>
        <v>123.52</v>
      </c>
      <c r="U1535" s="30" t="n">
        <f aca="false">R1535-S1535-T1535</f>
        <v>628.56</v>
      </c>
    </row>
    <row r="1536" customFormat="false" ht="15" hidden="false" customHeight="false" outlineLevel="0" collapsed="false">
      <c r="A1536" s="0" t="n">
        <v>1535</v>
      </c>
      <c r="B1536" s="27" t="n">
        <v>45774</v>
      </c>
      <c r="C1536" s="0" t="n">
        <v>2025</v>
      </c>
      <c r="D1536" s="28" t="s">
        <v>108</v>
      </c>
      <c r="E1536" s="0" t="n">
        <v>4</v>
      </c>
      <c r="F1536" s="28" t="s">
        <v>109</v>
      </c>
      <c r="G1536" s="28" t="s">
        <v>146</v>
      </c>
      <c r="H1536" s="28" t="s">
        <v>96</v>
      </c>
      <c r="I1536" s="28" t="s">
        <v>97</v>
      </c>
      <c r="J1536" s="28" t="s">
        <v>66</v>
      </c>
      <c r="K1536" s="28" t="s">
        <v>84</v>
      </c>
      <c r="L1536" s="28" t="s">
        <v>138</v>
      </c>
      <c r="M1536" s="28" t="s">
        <v>88</v>
      </c>
      <c r="N1536" s="28" t="s">
        <v>140</v>
      </c>
      <c r="O1536" s="29" t="n">
        <v>21</v>
      </c>
      <c r="P1536" s="30" t="n">
        <v>84.46</v>
      </c>
      <c r="Q1536" s="30" t="n">
        <v>49.47</v>
      </c>
      <c r="R1536" s="30" t="n">
        <f aca="false">ROUND(O1536*P1536,2)</f>
        <v>1773.66</v>
      </c>
      <c r="S1536" s="30" t="n">
        <f aca="false">ROUND(O1536*Q1536,2)</f>
        <v>1038.87</v>
      </c>
      <c r="T1536" s="30" t="n">
        <f aca="false">ROUND(R1536*SUMIFS(Parametros!$E$23:$E$38,Parametros!$B$23:$B$38,J1536,Parametros!$C$23:$C$38,C1536,Parametros!$D$23:$D$38,D1536),2)</f>
        <v>24.83</v>
      </c>
      <c r="U1536" s="30" t="n">
        <f aca="false">R1536-S1536-T1536</f>
        <v>709.96</v>
      </c>
    </row>
    <row r="1537" customFormat="false" ht="15" hidden="false" customHeight="false" outlineLevel="0" collapsed="false">
      <c r="A1537" s="0" t="n">
        <v>1536</v>
      </c>
      <c r="B1537" s="27" t="n">
        <v>45754</v>
      </c>
      <c r="C1537" s="0" t="n">
        <v>2025</v>
      </c>
      <c r="D1537" s="28" t="s">
        <v>108</v>
      </c>
      <c r="E1537" s="0" t="n">
        <v>4</v>
      </c>
      <c r="F1537" s="28" t="s">
        <v>109</v>
      </c>
      <c r="G1537" s="28" t="s">
        <v>146</v>
      </c>
      <c r="H1537" s="28" t="s">
        <v>96</v>
      </c>
      <c r="I1537" s="28" t="s">
        <v>97</v>
      </c>
      <c r="J1537" s="28" t="s">
        <v>71</v>
      </c>
      <c r="K1537" s="28" t="s">
        <v>84</v>
      </c>
      <c r="L1537" s="28" t="s">
        <v>138</v>
      </c>
      <c r="M1537" s="28" t="s">
        <v>88</v>
      </c>
      <c r="N1537" s="28" t="s">
        <v>140</v>
      </c>
      <c r="O1537" s="29" t="n">
        <v>13</v>
      </c>
      <c r="P1537" s="30" t="n">
        <v>84.46</v>
      </c>
      <c r="Q1537" s="30" t="n">
        <v>49.47</v>
      </c>
      <c r="R1537" s="30" t="n">
        <f aca="false">ROUND(O1537*P1537,2)</f>
        <v>1097.98</v>
      </c>
      <c r="S1537" s="30" t="n">
        <f aca="false">ROUND(O1537*Q1537,2)</f>
        <v>643.11</v>
      </c>
      <c r="T1537" s="30" t="n">
        <f aca="false">ROUND(R1537*SUMIFS(Parametros!$E$23:$E$38,Parametros!$B$23:$B$38,J1537,Parametros!$C$23:$C$38,C1537,Parametros!$D$23:$D$38,D1537),2)</f>
        <v>81.25</v>
      </c>
      <c r="U1537" s="30" t="n">
        <f aca="false">R1537-S1537-T1537</f>
        <v>373.62</v>
      </c>
    </row>
    <row r="1538" customFormat="false" ht="15" hidden="false" customHeight="false" outlineLevel="0" collapsed="false">
      <c r="A1538" s="0" t="n">
        <v>1537</v>
      </c>
      <c r="B1538" s="27" t="n">
        <v>45761</v>
      </c>
      <c r="C1538" s="0" t="n">
        <v>2025</v>
      </c>
      <c r="D1538" s="28" t="s">
        <v>108</v>
      </c>
      <c r="E1538" s="0" t="n">
        <v>4</v>
      </c>
      <c r="F1538" s="28" t="s">
        <v>109</v>
      </c>
      <c r="G1538" s="28" t="s">
        <v>146</v>
      </c>
      <c r="H1538" s="28" t="s">
        <v>96</v>
      </c>
      <c r="I1538" s="28" t="s">
        <v>97</v>
      </c>
      <c r="J1538" s="28" t="s">
        <v>66</v>
      </c>
      <c r="K1538" s="28" t="s">
        <v>90</v>
      </c>
      <c r="L1538" s="28" t="s">
        <v>141</v>
      </c>
      <c r="M1538" s="28" t="s">
        <v>92</v>
      </c>
      <c r="N1538" s="28" t="s">
        <v>142</v>
      </c>
      <c r="O1538" s="29" t="n">
        <v>27</v>
      </c>
      <c r="P1538" s="30" t="n">
        <v>129.17</v>
      </c>
      <c r="Q1538" s="30" t="n">
        <v>78.33</v>
      </c>
      <c r="R1538" s="30" t="n">
        <f aca="false">ROUND(O1538*P1538,2)</f>
        <v>3487.59</v>
      </c>
      <c r="S1538" s="30" t="n">
        <f aca="false">ROUND(O1538*Q1538,2)</f>
        <v>2114.91</v>
      </c>
      <c r="T1538" s="30" t="n">
        <f aca="false">ROUND(R1538*SUMIFS(Parametros!$E$23:$E$38,Parametros!$B$23:$B$38,J1538,Parametros!$C$23:$C$38,C1538,Parametros!$D$23:$D$38,D1538),2)</f>
        <v>48.83</v>
      </c>
      <c r="U1538" s="30" t="n">
        <f aca="false">R1538-S1538-T1538</f>
        <v>1323.85</v>
      </c>
    </row>
    <row r="1539" customFormat="false" ht="15" hidden="false" customHeight="false" outlineLevel="0" collapsed="false">
      <c r="A1539" s="0" t="n">
        <v>1538</v>
      </c>
      <c r="B1539" s="27" t="n">
        <v>45768</v>
      </c>
      <c r="C1539" s="0" t="n">
        <v>2025</v>
      </c>
      <c r="D1539" s="28" t="s">
        <v>108</v>
      </c>
      <c r="E1539" s="0" t="n">
        <v>4</v>
      </c>
      <c r="F1539" s="28" t="s">
        <v>109</v>
      </c>
      <c r="G1539" s="28" t="s">
        <v>146</v>
      </c>
      <c r="H1539" s="28" t="s">
        <v>96</v>
      </c>
      <c r="I1539" s="28" t="s">
        <v>97</v>
      </c>
      <c r="J1539" s="28" t="s">
        <v>71</v>
      </c>
      <c r="K1539" s="28" t="s">
        <v>90</v>
      </c>
      <c r="L1539" s="28" t="s">
        <v>141</v>
      </c>
      <c r="M1539" s="28" t="s">
        <v>92</v>
      </c>
      <c r="N1539" s="28" t="s">
        <v>142</v>
      </c>
      <c r="O1539" s="29" t="n">
        <v>24</v>
      </c>
      <c r="P1539" s="30" t="n">
        <v>129.17</v>
      </c>
      <c r="Q1539" s="30" t="n">
        <v>78.33</v>
      </c>
      <c r="R1539" s="30" t="n">
        <f aca="false">ROUND(O1539*P1539,2)</f>
        <v>3100.08</v>
      </c>
      <c r="S1539" s="30" t="n">
        <f aca="false">ROUND(O1539*Q1539,2)</f>
        <v>1879.92</v>
      </c>
      <c r="T1539" s="30" t="n">
        <f aca="false">ROUND(R1539*SUMIFS(Parametros!$E$23:$E$38,Parametros!$B$23:$B$38,J1539,Parametros!$C$23:$C$38,C1539,Parametros!$D$23:$D$38,D1539),2)</f>
        <v>229.41</v>
      </c>
      <c r="U1539" s="30" t="n">
        <f aca="false">R1539-S1539-T1539</f>
        <v>990.75</v>
      </c>
    </row>
    <row r="1540" customFormat="false" ht="15" hidden="false" customHeight="false" outlineLevel="0" collapsed="false">
      <c r="A1540" s="0" t="n">
        <v>1539</v>
      </c>
      <c r="B1540" s="27" t="n">
        <v>45748</v>
      </c>
      <c r="C1540" s="0" t="n">
        <v>2025</v>
      </c>
      <c r="D1540" s="28" t="s">
        <v>108</v>
      </c>
      <c r="E1540" s="0" t="n">
        <v>4</v>
      </c>
      <c r="F1540" s="28" t="s">
        <v>109</v>
      </c>
      <c r="G1540" s="28" t="s">
        <v>146</v>
      </c>
      <c r="H1540" s="28" t="s">
        <v>96</v>
      </c>
      <c r="I1540" s="28" t="s">
        <v>97</v>
      </c>
      <c r="J1540" s="28" t="s">
        <v>66</v>
      </c>
      <c r="K1540" s="28" t="s">
        <v>90</v>
      </c>
      <c r="L1540" s="28" t="s">
        <v>141</v>
      </c>
      <c r="M1540" s="28" t="s">
        <v>94</v>
      </c>
      <c r="N1540" s="28" t="s">
        <v>143</v>
      </c>
      <c r="O1540" s="29" t="n">
        <v>29</v>
      </c>
      <c r="P1540" s="30" t="n">
        <v>34.78</v>
      </c>
      <c r="Q1540" s="30" t="n">
        <v>18.39</v>
      </c>
      <c r="R1540" s="30" t="n">
        <f aca="false">ROUND(O1540*P1540,2)</f>
        <v>1008.62</v>
      </c>
      <c r="S1540" s="30" t="n">
        <f aca="false">ROUND(O1540*Q1540,2)</f>
        <v>533.31</v>
      </c>
      <c r="T1540" s="30" t="n">
        <f aca="false">ROUND(R1540*SUMIFS(Parametros!$E$23:$E$38,Parametros!$B$23:$B$38,J1540,Parametros!$C$23:$C$38,C1540,Parametros!$D$23:$D$38,D1540),2)</f>
        <v>14.12</v>
      </c>
      <c r="U1540" s="30" t="n">
        <f aca="false">R1540-S1540-T1540</f>
        <v>461.19</v>
      </c>
    </row>
    <row r="1541" customFormat="false" ht="15" hidden="false" customHeight="false" outlineLevel="0" collapsed="false">
      <c r="A1541" s="0" t="n">
        <v>1540</v>
      </c>
      <c r="B1541" s="27" t="n">
        <v>45755</v>
      </c>
      <c r="C1541" s="0" t="n">
        <v>2025</v>
      </c>
      <c r="D1541" s="28" t="s">
        <v>108</v>
      </c>
      <c r="E1541" s="0" t="n">
        <v>4</v>
      </c>
      <c r="F1541" s="28" t="s">
        <v>109</v>
      </c>
      <c r="G1541" s="28" t="s">
        <v>146</v>
      </c>
      <c r="H1541" s="28" t="s">
        <v>96</v>
      </c>
      <c r="I1541" s="28" t="s">
        <v>97</v>
      </c>
      <c r="J1541" s="28" t="s">
        <v>71</v>
      </c>
      <c r="K1541" s="28" t="s">
        <v>90</v>
      </c>
      <c r="L1541" s="28" t="s">
        <v>141</v>
      </c>
      <c r="M1541" s="28" t="s">
        <v>94</v>
      </c>
      <c r="N1541" s="28" t="s">
        <v>143</v>
      </c>
      <c r="O1541" s="29" t="n">
        <v>23</v>
      </c>
      <c r="P1541" s="30" t="n">
        <v>34.78</v>
      </c>
      <c r="Q1541" s="30" t="n">
        <v>18.39</v>
      </c>
      <c r="R1541" s="30" t="n">
        <f aca="false">ROUND(O1541*P1541,2)</f>
        <v>799.94</v>
      </c>
      <c r="S1541" s="30" t="n">
        <f aca="false">ROUND(O1541*Q1541,2)</f>
        <v>422.97</v>
      </c>
      <c r="T1541" s="30" t="n">
        <f aca="false">ROUND(R1541*SUMIFS(Parametros!$E$23:$E$38,Parametros!$B$23:$B$38,J1541,Parametros!$C$23:$C$38,C1541,Parametros!$D$23:$D$38,D1541),2)</f>
        <v>59.2</v>
      </c>
      <c r="U1541" s="30" t="n">
        <f aca="false">R1541-S1541-T1541</f>
        <v>317.77</v>
      </c>
    </row>
    <row r="1542" customFormat="false" ht="15" hidden="false" customHeight="false" outlineLevel="0" collapsed="false">
      <c r="A1542" s="0" t="n">
        <v>1541</v>
      </c>
      <c r="B1542" s="27" t="n">
        <v>45762</v>
      </c>
      <c r="C1542" s="0" t="n">
        <v>2025</v>
      </c>
      <c r="D1542" s="28" t="s">
        <v>108</v>
      </c>
      <c r="E1542" s="0" t="n">
        <v>4</v>
      </c>
      <c r="F1542" s="28" t="s">
        <v>109</v>
      </c>
      <c r="G1542" s="28" t="s">
        <v>146</v>
      </c>
      <c r="H1542" s="28" t="s">
        <v>98</v>
      </c>
      <c r="I1542" s="28" t="s">
        <v>99</v>
      </c>
      <c r="J1542" s="28" t="s">
        <v>66</v>
      </c>
      <c r="K1542" s="28" t="s">
        <v>67</v>
      </c>
      <c r="L1542" s="28" t="s">
        <v>130</v>
      </c>
      <c r="M1542" s="28" t="s">
        <v>69</v>
      </c>
      <c r="N1542" s="28" t="s">
        <v>131</v>
      </c>
      <c r="O1542" s="29" t="n">
        <v>7</v>
      </c>
      <c r="P1542" s="30" t="n">
        <v>1155.06</v>
      </c>
      <c r="Q1542" s="30" t="n">
        <v>766.32</v>
      </c>
      <c r="R1542" s="30" t="n">
        <f aca="false">ROUND(O1542*P1542,2)</f>
        <v>8085.42</v>
      </c>
      <c r="S1542" s="30" t="n">
        <f aca="false">ROUND(O1542*Q1542,2)</f>
        <v>5364.24</v>
      </c>
      <c r="T1542" s="30" t="n">
        <f aca="false">ROUND(R1542*SUMIFS(Parametros!$E$23:$E$38,Parametros!$B$23:$B$38,J1542,Parametros!$C$23:$C$38,C1542,Parametros!$D$23:$D$38,D1542),2)</f>
        <v>113.2</v>
      </c>
      <c r="U1542" s="30" t="n">
        <f aca="false">R1542-S1542-T1542</f>
        <v>2607.98</v>
      </c>
    </row>
    <row r="1543" customFormat="false" ht="15" hidden="false" customHeight="false" outlineLevel="0" collapsed="false">
      <c r="A1543" s="0" t="n">
        <v>1542</v>
      </c>
      <c r="B1543" s="27" t="n">
        <v>45769</v>
      </c>
      <c r="C1543" s="0" t="n">
        <v>2025</v>
      </c>
      <c r="D1543" s="28" t="s">
        <v>108</v>
      </c>
      <c r="E1543" s="0" t="n">
        <v>4</v>
      </c>
      <c r="F1543" s="28" t="s">
        <v>109</v>
      </c>
      <c r="G1543" s="28" t="s">
        <v>146</v>
      </c>
      <c r="H1543" s="28" t="s">
        <v>98</v>
      </c>
      <c r="I1543" s="28" t="s">
        <v>99</v>
      </c>
      <c r="J1543" s="28" t="s">
        <v>71</v>
      </c>
      <c r="K1543" s="28" t="s">
        <v>67</v>
      </c>
      <c r="L1543" s="28" t="s">
        <v>130</v>
      </c>
      <c r="M1543" s="28" t="s">
        <v>69</v>
      </c>
      <c r="N1543" s="28" t="s">
        <v>131</v>
      </c>
      <c r="O1543" s="29" t="n">
        <v>6</v>
      </c>
      <c r="P1543" s="30" t="n">
        <v>1155.06</v>
      </c>
      <c r="Q1543" s="30" t="n">
        <v>766.32</v>
      </c>
      <c r="R1543" s="30" t="n">
        <f aca="false">ROUND(O1543*P1543,2)</f>
        <v>6930.36</v>
      </c>
      <c r="S1543" s="30" t="n">
        <f aca="false">ROUND(O1543*Q1543,2)</f>
        <v>4597.92</v>
      </c>
      <c r="T1543" s="30" t="n">
        <f aca="false">ROUND(R1543*SUMIFS(Parametros!$E$23:$E$38,Parametros!$B$23:$B$38,J1543,Parametros!$C$23:$C$38,C1543,Parametros!$D$23:$D$38,D1543),2)</f>
        <v>512.85</v>
      </c>
      <c r="U1543" s="30" t="n">
        <f aca="false">R1543-S1543-T1543</f>
        <v>1819.59</v>
      </c>
    </row>
    <row r="1544" customFormat="false" ht="15" hidden="false" customHeight="false" outlineLevel="0" collapsed="false">
      <c r="A1544" s="0" t="n">
        <v>1543</v>
      </c>
      <c r="B1544" s="27" t="n">
        <v>45749</v>
      </c>
      <c r="C1544" s="0" t="n">
        <v>2025</v>
      </c>
      <c r="D1544" s="28" t="s">
        <v>108</v>
      </c>
      <c r="E1544" s="0" t="n">
        <v>4</v>
      </c>
      <c r="F1544" s="28" t="s">
        <v>109</v>
      </c>
      <c r="G1544" s="28" t="s">
        <v>146</v>
      </c>
      <c r="H1544" s="28" t="s">
        <v>98</v>
      </c>
      <c r="I1544" s="28" t="s">
        <v>99</v>
      </c>
      <c r="J1544" s="28" t="s">
        <v>66</v>
      </c>
      <c r="K1544" s="28" t="s">
        <v>67</v>
      </c>
      <c r="L1544" s="28" t="s">
        <v>130</v>
      </c>
      <c r="M1544" s="28" t="s">
        <v>72</v>
      </c>
      <c r="N1544" s="28" t="s">
        <v>132</v>
      </c>
      <c r="O1544" s="29" t="n">
        <v>6</v>
      </c>
      <c r="P1544" s="30" t="n">
        <v>433.15</v>
      </c>
      <c r="Q1544" s="30" t="n">
        <v>280.42</v>
      </c>
      <c r="R1544" s="30" t="n">
        <f aca="false">ROUND(O1544*P1544,2)</f>
        <v>2598.9</v>
      </c>
      <c r="S1544" s="30" t="n">
        <f aca="false">ROUND(O1544*Q1544,2)</f>
        <v>1682.52</v>
      </c>
      <c r="T1544" s="30" t="n">
        <f aca="false">ROUND(R1544*SUMIFS(Parametros!$E$23:$E$38,Parametros!$B$23:$B$38,J1544,Parametros!$C$23:$C$38,C1544,Parametros!$D$23:$D$38,D1544),2)</f>
        <v>36.38</v>
      </c>
      <c r="U1544" s="30" t="n">
        <f aca="false">R1544-S1544-T1544</f>
        <v>880</v>
      </c>
    </row>
    <row r="1545" customFormat="false" ht="15" hidden="false" customHeight="false" outlineLevel="0" collapsed="false">
      <c r="A1545" s="0" t="n">
        <v>1544</v>
      </c>
      <c r="B1545" s="27" t="n">
        <v>45756</v>
      </c>
      <c r="C1545" s="0" t="n">
        <v>2025</v>
      </c>
      <c r="D1545" s="28" t="s">
        <v>108</v>
      </c>
      <c r="E1545" s="0" t="n">
        <v>4</v>
      </c>
      <c r="F1545" s="28" t="s">
        <v>109</v>
      </c>
      <c r="G1545" s="28" t="s">
        <v>146</v>
      </c>
      <c r="H1545" s="28" t="s">
        <v>98</v>
      </c>
      <c r="I1545" s="28" t="s">
        <v>99</v>
      </c>
      <c r="J1545" s="28" t="s">
        <v>71</v>
      </c>
      <c r="K1545" s="28" t="s">
        <v>67</v>
      </c>
      <c r="L1545" s="28" t="s">
        <v>130</v>
      </c>
      <c r="M1545" s="28" t="s">
        <v>72</v>
      </c>
      <c r="N1545" s="28" t="s">
        <v>132</v>
      </c>
      <c r="O1545" s="29" t="n">
        <v>6</v>
      </c>
      <c r="P1545" s="30" t="n">
        <v>433.15</v>
      </c>
      <c r="Q1545" s="30" t="n">
        <v>280.42</v>
      </c>
      <c r="R1545" s="30" t="n">
        <f aca="false">ROUND(O1545*P1545,2)</f>
        <v>2598.9</v>
      </c>
      <c r="S1545" s="30" t="n">
        <f aca="false">ROUND(O1545*Q1545,2)</f>
        <v>1682.52</v>
      </c>
      <c r="T1545" s="30" t="n">
        <f aca="false">ROUND(R1545*SUMIFS(Parametros!$E$23:$E$38,Parametros!$B$23:$B$38,J1545,Parametros!$C$23:$C$38,C1545,Parametros!$D$23:$D$38,D1545),2)</f>
        <v>192.32</v>
      </c>
      <c r="U1545" s="30" t="n">
        <f aca="false">R1545-S1545-T1545</f>
        <v>724.06</v>
      </c>
    </row>
    <row r="1546" customFormat="false" ht="15" hidden="false" customHeight="false" outlineLevel="0" collapsed="false">
      <c r="A1546" s="0" t="n">
        <v>1545</v>
      </c>
      <c r="B1546" s="27" t="n">
        <v>45763</v>
      </c>
      <c r="C1546" s="0" t="n">
        <v>2025</v>
      </c>
      <c r="D1546" s="28" t="s">
        <v>108</v>
      </c>
      <c r="E1546" s="0" t="n">
        <v>4</v>
      </c>
      <c r="F1546" s="28" t="s">
        <v>109</v>
      </c>
      <c r="G1546" s="28" t="s">
        <v>146</v>
      </c>
      <c r="H1546" s="28" t="s">
        <v>98</v>
      </c>
      <c r="I1546" s="28" t="s">
        <v>99</v>
      </c>
      <c r="J1546" s="28" t="s">
        <v>66</v>
      </c>
      <c r="K1546" s="28" t="s">
        <v>67</v>
      </c>
      <c r="L1546" s="28" t="s">
        <v>130</v>
      </c>
      <c r="M1546" s="28" t="s">
        <v>74</v>
      </c>
      <c r="N1546" s="28" t="s">
        <v>133</v>
      </c>
      <c r="O1546" s="29" t="n">
        <v>8</v>
      </c>
      <c r="P1546" s="30" t="n">
        <v>1588.21</v>
      </c>
      <c r="Q1546" s="30" t="n">
        <v>1155.66</v>
      </c>
      <c r="R1546" s="30" t="n">
        <f aca="false">ROUND(O1546*P1546,2)</f>
        <v>12705.68</v>
      </c>
      <c r="S1546" s="30" t="n">
        <f aca="false">ROUND(O1546*Q1546,2)</f>
        <v>9245.28</v>
      </c>
      <c r="T1546" s="30" t="n">
        <f aca="false">ROUND(R1546*SUMIFS(Parametros!$E$23:$E$38,Parametros!$B$23:$B$38,J1546,Parametros!$C$23:$C$38,C1546,Parametros!$D$23:$D$38,D1546),2)</f>
        <v>177.88</v>
      </c>
      <c r="U1546" s="30" t="n">
        <f aca="false">R1546-S1546-T1546</f>
        <v>3282.52</v>
      </c>
    </row>
    <row r="1547" customFormat="false" ht="15" hidden="false" customHeight="false" outlineLevel="0" collapsed="false">
      <c r="A1547" s="0" t="n">
        <v>1546</v>
      </c>
      <c r="B1547" s="27" t="n">
        <v>45770</v>
      </c>
      <c r="C1547" s="0" t="n">
        <v>2025</v>
      </c>
      <c r="D1547" s="28" t="s">
        <v>108</v>
      </c>
      <c r="E1547" s="0" t="n">
        <v>4</v>
      </c>
      <c r="F1547" s="28" t="s">
        <v>109</v>
      </c>
      <c r="G1547" s="28" t="s">
        <v>146</v>
      </c>
      <c r="H1547" s="28" t="s">
        <v>98</v>
      </c>
      <c r="I1547" s="28" t="s">
        <v>99</v>
      </c>
      <c r="J1547" s="28" t="s">
        <v>71</v>
      </c>
      <c r="K1547" s="28" t="s">
        <v>67</v>
      </c>
      <c r="L1547" s="28" t="s">
        <v>130</v>
      </c>
      <c r="M1547" s="28" t="s">
        <v>74</v>
      </c>
      <c r="N1547" s="28" t="s">
        <v>133</v>
      </c>
      <c r="O1547" s="29" t="n">
        <v>5</v>
      </c>
      <c r="P1547" s="30" t="n">
        <v>1588.21</v>
      </c>
      <c r="Q1547" s="30" t="n">
        <v>1155.66</v>
      </c>
      <c r="R1547" s="30" t="n">
        <f aca="false">ROUND(O1547*P1547,2)</f>
        <v>7941.05</v>
      </c>
      <c r="S1547" s="30" t="n">
        <f aca="false">ROUND(O1547*Q1547,2)</f>
        <v>5778.3</v>
      </c>
      <c r="T1547" s="30" t="n">
        <f aca="false">ROUND(R1547*SUMIFS(Parametros!$E$23:$E$38,Parametros!$B$23:$B$38,J1547,Parametros!$C$23:$C$38,C1547,Parametros!$D$23:$D$38,D1547),2)</f>
        <v>587.64</v>
      </c>
      <c r="U1547" s="30" t="n">
        <f aca="false">R1547-S1547-T1547</f>
        <v>1575.11</v>
      </c>
    </row>
    <row r="1548" customFormat="false" ht="15" hidden="false" customHeight="false" outlineLevel="0" collapsed="false">
      <c r="A1548" s="0" t="n">
        <v>1547</v>
      </c>
      <c r="B1548" s="27" t="n">
        <v>45750</v>
      </c>
      <c r="C1548" s="0" t="n">
        <v>2025</v>
      </c>
      <c r="D1548" s="28" t="s">
        <v>108</v>
      </c>
      <c r="E1548" s="0" t="n">
        <v>4</v>
      </c>
      <c r="F1548" s="28" t="s">
        <v>109</v>
      </c>
      <c r="G1548" s="28" t="s">
        <v>146</v>
      </c>
      <c r="H1548" s="28" t="s">
        <v>98</v>
      </c>
      <c r="I1548" s="28" t="s">
        <v>99</v>
      </c>
      <c r="J1548" s="28" t="s">
        <v>66</v>
      </c>
      <c r="K1548" s="28" t="s">
        <v>76</v>
      </c>
      <c r="L1548" s="28" t="s">
        <v>134</v>
      </c>
      <c r="M1548" s="28" t="s">
        <v>78</v>
      </c>
      <c r="N1548" s="28" t="s">
        <v>135</v>
      </c>
      <c r="O1548" s="29" t="n">
        <v>36</v>
      </c>
      <c r="P1548" s="30" t="n">
        <v>27.82</v>
      </c>
      <c r="Q1548" s="30" t="n">
        <v>13.84</v>
      </c>
      <c r="R1548" s="30" t="n">
        <f aca="false">ROUND(O1548*P1548,2)</f>
        <v>1001.52</v>
      </c>
      <c r="S1548" s="30" t="n">
        <f aca="false">ROUND(O1548*Q1548,2)</f>
        <v>498.24</v>
      </c>
      <c r="T1548" s="30" t="n">
        <f aca="false">ROUND(R1548*SUMIFS(Parametros!$E$23:$E$38,Parametros!$B$23:$B$38,J1548,Parametros!$C$23:$C$38,C1548,Parametros!$D$23:$D$38,D1548),2)</f>
        <v>14.02</v>
      </c>
      <c r="U1548" s="30" t="n">
        <f aca="false">R1548-S1548-T1548</f>
        <v>489.26</v>
      </c>
    </row>
    <row r="1549" customFormat="false" ht="15" hidden="false" customHeight="false" outlineLevel="0" collapsed="false">
      <c r="A1549" s="0" t="n">
        <v>1548</v>
      </c>
      <c r="B1549" s="27" t="n">
        <v>45757</v>
      </c>
      <c r="C1549" s="0" t="n">
        <v>2025</v>
      </c>
      <c r="D1549" s="28" t="s">
        <v>108</v>
      </c>
      <c r="E1549" s="0" t="n">
        <v>4</v>
      </c>
      <c r="F1549" s="28" t="s">
        <v>109</v>
      </c>
      <c r="G1549" s="28" t="s">
        <v>146</v>
      </c>
      <c r="H1549" s="28" t="s">
        <v>98</v>
      </c>
      <c r="I1549" s="28" t="s">
        <v>99</v>
      </c>
      <c r="J1549" s="28" t="s">
        <v>71</v>
      </c>
      <c r="K1549" s="28" t="s">
        <v>76</v>
      </c>
      <c r="L1549" s="28" t="s">
        <v>134</v>
      </c>
      <c r="M1549" s="28" t="s">
        <v>78</v>
      </c>
      <c r="N1549" s="28" t="s">
        <v>135</v>
      </c>
      <c r="O1549" s="29" t="n">
        <v>25</v>
      </c>
      <c r="P1549" s="30" t="n">
        <v>27.82</v>
      </c>
      <c r="Q1549" s="30" t="n">
        <v>13.84</v>
      </c>
      <c r="R1549" s="30" t="n">
        <f aca="false">ROUND(O1549*P1549,2)</f>
        <v>695.5</v>
      </c>
      <c r="S1549" s="30" t="n">
        <f aca="false">ROUND(O1549*Q1549,2)</f>
        <v>346</v>
      </c>
      <c r="T1549" s="30" t="n">
        <f aca="false">ROUND(R1549*SUMIFS(Parametros!$E$23:$E$38,Parametros!$B$23:$B$38,J1549,Parametros!$C$23:$C$38,C1549,Parametros!$D$23:$D$38,D1549),2)</f>
        <v>51.47</v>
      </c>
      <c r="U1549" s="30" t="n">
        <f aca="false">R1549-S1549-T1549</f>
        <v>298.03</v>
      </c>
    </row>
    <row r="1550" customFormat="false" ht="15" hidden="false" customHeight="false" outlineLevel="0" collapsed="false">
      <c r="A1550" s="0" t="n">
        <v>1549</v>
      </c>
      <c r="B1550" s="27" t="n">
        <v>45764</v>
      </c>
      <c r="C1550" s="0" t="n">
        <v>2025</v>
      </c>
      <c r="D1550" s="28" t="s">
        <v>108</v>
      </c>
      <c r="E1550" s="0" t="n">
        <v>4</v>
      </c>
      <c r="F1550" s="28" t="s">
        <v>109</v>
      </c>
      <c r="G1550" s="28" t="s">
        <v>146</v>
      </c>
      <c r="H1550" s="28" t="s">
        <v>98</v>
      </c>
      <c r="I1550" s="28" t="s">
        <v>99</v>
      </c>
      <c r="J1550" s="28" t="s">
        <v>66</v>
      </c>
      <c r="K1550" s="28" t="s">
        <v>76</v>
      </c>
      <c r="L1550" s="28" t="s">
        <v>134</v>
      </c>
      <c r="M1550" s="28" t="s">
        <v>80</v>
      </c>
      <c r="N1550" s="28" t="s">
        <v>136</v>
      </c>
      <c r="O1550" s="29" t="n">
        <v>34</v>
      </c>
      <c r="P1550" s="30" t="n">
        <v>94.39</v>
      </c>
      <c r="Q1550" s="30" t="n">
        <v>49.41</v>
      </c>
      <c r="R1550" s="30" t="n">
        <f aca="false">ROUND(O1550*P1550,2)</f>
        <v>3209.26</v>
      </c>
      <c r="S1550" s="30" t="n">
        <f aca="false">ROUND(O1550*Q1550,2)</f>
        <v>1679.94</v>
      </c>
      <c r="T1550" s="30" t="n">
        <f aca="false">ROUND(R1550*SUMIFS(Parametros!$E$23:$E$38,Parametros!$B$23:$B$38,J1550,Parametros!$C$23:$C$38,C1550,Parametros!$D$23:$D$38,D1550),2)</f>
        <v>44.93</v>
      </c>
      <c r="U1550" s="30" t="n">
        <f aca="false">R1550-S1550-T1550</f>
        <v>1484.39</v>
      </c>
    </row>
    <row r="1551" customFormat="false" ht="15" hidden="false" customHeight="false" outlineLevel="0" collapsed="false">
      <c r="A1551" s="0" t="n">
        <v>1550</v>
      </c>
      <c r="B1551" s="27" t="n">
        <v>45771</v>
      </c>
      <c r="C1551" s="0" t="n">
        <v>2025</v>
      </c>
      <c r="D1551" s="28" t="s">
        <v>108</v>
      </c>
      <c r="E1551" s="0" t="n">
        <v>4</v>
      </c>
      <c r="F1551" s="28" t="s">
        <v>109</v>
      </c>
      <c r="G1551" s="28" t="s">
        <v>146</v>
      </c>
      <c r="H1551" s="28" t="s">
        <v>98</v>
      </c>
      <c r="I1551" s="28" t="s">
        <v>99</v>
      </c>
      <c r="J1551" s="28" t="s">
        <v>71</v>
      </c>
      <c r="K1551" s="28" t="s">
        <v>76</v>
      </c>
      <c r="L1551" s="28" t="s">
        <v>134</v>
      </c>
      <c r="M1551" s="28" t="s">
        <v>80</v>
      </c>
      <c r="N1551" s="28" t="s">
        <v>136</v>
      </c>
      <c r="O1551" s="29" t="n">
        <v>28</v>
      </c>
      <c r="P1551" s="30" t="n">
        <v>94.39</v>
      </c>
      <c r="Q1551" s="30" t="n">
        <v>49.41</v>
      </c>
      <c r="R1551" s="30" t="n">
        <f aca="false">ROUND(O1551*P1551,2)</f>
        <v>2642.92</v>
      </c>
      <c r="S1551" s="30" t="n">
        <f aca="false">ROUND(O1551*Q1551,2)</f>
        <v>1383.48</v>
      </c>
      <c r="T1551" s="30" t="n">
        <f aca="false">ROUND(R1551*SUMIFS(Parametros!$E$23:$E$38,Parametros!$B$23:$B$38,J1551,Parametros!$C$23:$C$38,C1551,Parametros!$D$23:$D$38,D1551),2)</f>
        <v>195.58</v>
      </c>
      <c r="U1551" s="30" t="n">
        <f aca="false">R1551-S1551-T1551</f>
        <v>1063.86</v>
      </c>
    </row>
    <row r="1552" customFormat="false" ht="15" hidden="false" customHeight="false" outlineLevel="0" collapsed="false">
      <c r="A1552" s="0" t="n">
        <v>1551</v>
      </c>
      <c r="B1552" s="27" t="n">
        <v>45751</v>
      </c>
      <c r="C1552" s="0" t="n">
        <v>2025</v>
      </c>
      <c r="D1552" s="28" t="s">
        <v>108</v>
      </c>
      <c r="E1552" s="0" t="n">
        <v>4</v>
      </c>
      <c r="F1552" s="28" t="s">
        <v>109</v>
      </c>
      <c r="G1552" s="28" t="s">
        <v>146</v>
      </c>
      <c r="H1552" s="28" t="s">
        <v>98</v>
      </c>
      <c r="I1552" s="28" t="s">
        <v>99</v>
      </c>
      <c r="J1552" s="28" t="s">
        <v>66</v>
      </c>
      <c r="K1552" s="28" t="s">
        <v>76</v>
      </c>
      <c r="L1552" s="28" t="s">
        <v>134</v>
      </c>
      <c r="M1552" s="28" t="s">
        <v>82</v>
      </c>
      <c r="N1552" s="28" t="s">
        <v>137</v>
      </c>
      <c r="O1552" s="29" t="n">
        <v>35</v>
      </c>
      <c r="P1552" s="30" t="n">
        <v>64.58</v>
      </c>
      <c r="Q1552" s="30" t="n">
        <v>36.49</v>
      </c>
      <c r="R1552" s="30" t="n">
        <f aca="false">ROUND(O1552*P1552,2)</f>
        <v>2260.3</v>
      </c>
      <c r="S1552" s="30" t="n">
        <f aca="false">ROUND(O1552*Q1552,2)</f>
        <v>1277.15</v>
      </c>
      <c r="T1552" s="30" t="n">
        <f aca="false">ROUND(R1552*SUMIFS(Parametros!$E$23:$E$38,Parametros!$B$23:$B$38,J1552,Parametros!$C$23:$C$38,C1552,Parametros!$D$23:$D$38,D1552),2)</f>
        <v>31.64</v>
      </c>
      <c r="U1552" s="30" t="n">
        <f aca="false">R1552-S1552-T1552</f>
        <v>951.51</v>
      </c>
    </row>
    <row r="1553" customFormat="false" ht="15" hidden="false" customHeight="false" outlineLevel="0" collapsed="false">
      <c r="A1553" s="0" t="n">
        <v>1552</v>
      </c>
      <c r="B1553" s="27" t="n">
        <v>45758</v>
      </c>
      <c r="C1553" s="0" t="n">
        <v>2025</v>
      </c>
      <c r="D1553" s="28" t="s">
        <v>108</v>
      </c>
      <c r="E1553" s="0" t="n">
        <v>4</v>
      </c>
      <c r="F1553" s="28" t="s">
        <v>109</v>
      </c>
      <c r="G1553" s="28" t="s">
        <v>146</v>
      </c>
      <c r="H1553" s="28" t="s">
        <v>98</v>
      </c>
      <c r="I1553" s="28" t="s">
        <v>99</v>
      </c>
      <c r="J1553" s="28" t="s">
        <v>71</v>
      </c>
      <c r="K1553" s="28" t="s">
        <v>76</v>
      </c>
      <c r="L1553" s="28" t="s">
        <v>134</v>
      </c>
      <c r="M1553" s="28" t="s">
        <v>82</v>
      </c>
      <c r="N1553" s="28" t="s">
        <v>137</v>
      </c>
      <c r="O1553" s="29" t="n">
        <v>21</v>
      </c>
      <c r="P1553" s="30" t="n">
        <v>64.58</v>
      </c>
      <c r="Q1553" s="30" t="n">
        <v>36.49</v>
      </c>
      <c r="R1553" s="30" t="n">
        <f aca="false">ROUND(O1553*P1553,2)</f>
        <v>1356.18</v>
      </c>
      <c r="S1553" s="30" t="n">
        <f aca="false">ROUND(O1553*Q1553,2)</f>
        <v>766.29</v>
      </c>
      <c r="T1553" s="30" t="n">
        <f aca="false">ROUND(R1553*SUMIFS(Parametros!$E$23:$E$38,Parametros!$B$23:$B$38,J1553,Parametros!$C$23:$C$38,C1553,Parametros!$D$23:$D$38,D1553),2)</f>
        <v>100.36</v>
      </c>
      <c r="U1553" s="30" t="n">
        <f aca="false">R1553-S1553-T1553</f>
        <v>489.53</v>
      </c>
    </row>
    <row r="1554" customFormat="false" ht="15" hidden="false" customHeight="false" outlineLevel="0" collapsed="false">
      <c r="A1554" s="0" t="n">
        <v>1553</v>
      </c>
      <c r="B1554" s="27" t="n">
        <v>45765</v>
      </c>
      <c r="C1554" s="0" t="n">
        <v>2025</v>
      </c>
      <c r="D1554" s="28" t="s">
        <v>108</v>
      </c>
      <c r="E1554" s="0" t="n">
        <v>4</v>
      </c>
      <c r="F1554" s="28" t="s">
        <v>109</v>
      </c>
      <c r="G1554" s="28" t="s">
        <v>146</v>
      </c>
      <c r="H1554" s="28" t="s">
        <v>98</v>
      </c>
      <c r="I1554" s="28" t="s">
        <v>99</v>
      </c>
      <c r="J1554" s="28" t="s">
        <v>66</v>
      </c>
      <c r="K1554" s="28" t="s">
        <v>84</v>
      </c>
      <c r="L1554" s="28" t="s">
        <v>138</v>
      </c>
      <c r="M1554" s="28" t="s">
        <v>86</v>
      </c>
      <c r="N1554" s="28" t="s">
        <v>139</v>
      </c>
      <c r="O1554" s="29" t="n">
        <v>20</v>
      </c>
      <c r="P1554" s="30" t="n">
        <v>119.23</v>
      </c>
      <c r="Q1554" s="30" t="n">
        <v>65.51</v>
      </c>
      <c r="R1554" s="30" t="n">
        <f aca="false">ROUND(O1554*P1554,2)</f>
        <v>2384.6</v>
      </c>
      <c r="S1554" s="30" t="n">
        <f aca="false">ROUND(O1554*Q1554,2)</f>
        <v>1310.2</v>
      </c>
      <c r="T1554" s="30" t="n">
        <f aca="false">ROUND(R1554*SUMIFS(Parametros!$E$23:$E$38,Parametros!$B$23:$B$38,J1554,Parametros!$C$23:$C$38,C1554,Parametros!$D$23:$D$38,D1554),2)</f>
        <v>33.38</v>
      </c>
      <c r="U1554" s="30" t="n">
        <f aca="false">R1554-S1554-T1554</f>
        <v>1041.02</v>
      </c>
    </row>
    <row r="1555" customFormat="false" ht="15" hidden="false" customHeight="false" outlineLevel="0" collapsed="false">
      <c r="A1555" s="0" t="n">
        <v>1554</v>
      </c>
      <c r="B1555" s="27" t="n">
        <v>45772</v>
      </c>
      <c r="C1555" s="0" t="n">
        <v>2025</v>
      </c>
      <c r="D1555" s="28" t="s">
        <v>108</v>
      </c>
      <c r="E1555" s="0" t="n">
        <v>4</v>
      </c>
      <c r="F1555" s="28" t="s">
        <v>109</v>
      </c>
      <c r="G1555" s="28" t="s">
        <v>146</v>
      </c>
      <c r="H1555" s="28" t="s">
        <v>98</v>
      </c>
      <c r="I1555" s="28" t="s">
        <v>99</v>
      </c>
      <c r="J1555" s="28" t="s">
        <v>71</v>
      </c>
      <c r="K1555" s="28" t="s">
        <v>84</v>
      </c>
      <c r="L1555" s="28" t="s">
        <v>138</v>
      </c>
      <c r="M1555" s="28" t="s">
        <v>86</v>
      </c>
      <c r="N1555" s="28" t="s">
        <v>139</v>
      </c>
      <c r="O1555" s="29" t="n">
        <v>12</v>
      </c>
      <c r="P1555" s="30" t="n">
        <v>119.23</v>
      </c>
      <c r="Q1555" s="30" t="n">
        <v>65.51</v>
      </c>
      <c r="R1555" s="30" t="n">
        <f aca="false">ROUND(O1555*P1555,2)</f>
        <v>1430.76</v>
      </c>
      <c r="S1555" s="30" t="n">
        <f aca="false">ROUND(O1555*Q1555,2)</f>
        <v>786.12</v>
      </c>
      <c r="T1555" s="30" t="n">
        <f aca="false">ROUND(R1555*SUMIFS(Parametros!$E$23:$E$38,Parametros!$B$23:$B$38,J1555,Parametros!$C$23:$C$38,C1555,Parametros!$D$23:$D$38,D1555),2)</f>
        <v>105.88</v>
      </c>
      <c r="U1555" s="30" t="n">
        <f aca="false">R1555-S1555-T1555</f>
        <v>538.76</v>
      </c>
    </row>
    <row r="1556" customFormat="false" ht="15" hidden="false" customHeight="false" outlineLevel="0" collapsed="false">
      <c r="A1556" s="0" t="n">
        <v>1555</v>
      </c>
      <c r="B1556" s="27" t="n">
        <v>45752</v>
      </c>
      <c r="C1556" s="0" t="n">
        <v>2025</v>
      </c>
      <c r="D1556" s="28" t="s">
        <v>108</v>
      </c>
      <c r="E1556" s="0" t="n">
        <v>4</v>
      </c>
      <c r="F1556" s="28" t="s">
        <v>109</v>
      </c>
      <c r="G1556" s="28" t="s">
        <v>146</v>
      </c>
      <c r="H1556" s="28" t="s">
        <v>98</v>
      </c>
      <c r="I1556" s="28" t="s">
        <v>99</v>
      </c>
      <c r="J1556" s="28" t="s">
        <v>66</v>
      </c>
      <c r="K1556" s="28" t="s">
        <v>84</v>
      </c>
      <c r="L1556" s="28" t="s">
        <v>138</v>
      </c>
      <c r="M1556" s="28" t="s">
        <v>88</v>
      </c>
      <c r="N1556" s="28" t="s">
        <v>140</v>
      </c>
      <c r="O1556" s="29" t="n">
        <v>15</v>
      </c>
      <c r="P1556" s="30" t="n">
        <v>84.46</v>
      </c>
      <c r="Q1556" s="30" t="n">
        <v>49.47</v>
      </c>
      <c r="R1556" s="30" t="n">
        <f aca="false">ROUND(O1556*P1556,2)</f>
        <v>1266.9</v>
      </c>
      <c r="S1556" s="30" t="n">
        <f aca="false">ROUND(O1556*Q1556,2)</f>
        <v>742.05</v>
      </c>
      <c r="T1556" s="30" t="n">
        <f aca="false">ROUND(R1556*SUMIFS(Parametros!$E$23:$E$38,Parametros!$B$23:$B$38,J1556,Parametros!$C$23:$C$38,C1556,Parametros!$D$23:$D$38,D1556),2)</f>
        <v>17.74</v>
      </c>
      <c r="U1556" s="30" t="n">
        <f aca="false">R1556-S1556-T1556</f>
        <v>507.11</v>
      </c>
    </row>
    <row r="1557" customFormat="false" ht="15" hidden="false" customHeight="false" outlineLevel="0" collapsed="false">
      <c r="A1557" s="0" t="n">
        <v>1556</v>
      </c>
      <c r="B1557" s="27" t="n">
        <v>45759</v>
      </c>
      <c r="C1557" s="0" t="n">
        <v>2025</v>
      </c>
      <c r="D1557" s="28" t="s">
        <v>108</v>
      </c>
      <c r="E1557" s="0" t="n">
        <v>4</v>
      </c>
      <c r="F1557" s="28" t="s">
        <v>109</v>
      </c>
      <c r="G1557" s="28" t="s">
        <v>146</v>
      </c>
      <c r="H1557" s="28" t="s">
        <v>98</v>
      </c>
      <c r="I1557" s="28" t="s">
        <v>99</v>
      </c>
      <c r="J1557" s="28" t="s">
        <v>71</v>
      </c>
      <c r="K1557" s="28" t="s">
        <v>84</v>
      </c>
      <c r="L1557" s="28" t="s">
        <v>138</v>
      </c>
      <c r="M1557" s="28" t="s">
        <v>88</v>
      </c>
      <c r="N1557" s="28" t="s">
        <v>140</v>
      </c>
      <c r="O1557" s="29" t="n">
        <v>11</v>
      </c>
      <c r="P1557" s="30" t="n">
        <v>84.46</v>
      </c>
      <c r="Q1557" s="30" t="n">
        <v>49.47</v>
      </c>
      <c r="R1557" s="30" t="n">
        <f aca="false">ROUND(O1557*P1557,2)</f>
        <v>929.06</v>
      </c>
      <c r="S1557" s="30" t="n">
        <f aca="false">ROUND(O1557*Q1557,2)</f>
        <v>544.17</v>
      </c>
      <c r="T1557" s="30" t="n">
        <f aca="false">ROUND(R1557*SUMIFS(Parametros!$E$23:$E$38,Parametros!$B$23:$B$38,J1557,Parametros!$C$23:$C$38,C1557,Parametros!$D$23:$D$38,D1557),2)</f>
        <v>68.75</v>
      </c>
      <c r="U1557" s="30" t="n">
        <f aca="false">R1557-S1557-T1557</f>
        <v>316.14</v>
      </c>
    </row>
    <row r="1558" customFormat="false" ht="15" hidden="false" customHeight="false" outlineLevel="0" collapsed="false">
      <c r="A1558" s="0" t="n">
        <v>1557</v>
      </c>
      <c r="B1558" s="27" t="n">
        <v>45766</v>
      </c>
      <c r="C1558" s="0" t="n">
        <v>2025</v>
      </c>
      <c r="D1558" s="28" t="s">
        <v>108</v>
      </c>
      <c r="E1558" s="0" t="n">
        <v>4</v>
      </c>
      <c r="F1558" s="28" t="s">
        <v>109</v>
      </c>
      <c r="G1558" s="28" t="s">
        <v>146</v>
      </c>
      <c r="H1558" s="28" t="s">
        <v>98</v>
      </c>
      <c r="I1558" s="28" t="s">
        <v>99</v>
      </c>
      <c r="J1558" s="28" t="s">
        <v>66</v>
      </c>
      <c r="K1558" s="28" t="s">
        <v>90</v>
      </c>
      <c r="L1558" s="28" t="s">
        <v>141</v>
      </c>
      <c r="M1558" s="28" t="s">
        <v>92</v>
      </c>
      <c r="N1558" s="28" t="s">
        <v>142</v>
      </c>
      <c r="O1558" s="29" t="n">
        <v>20</v>
      </c>
      <c r="P1558" s="30" t="n">
        <v>129.17</v>
      </c>
      <c r="Q1558" s="30" t="n">
        <v>78.33</v>
      </c>
      <c r="R1558" s="30" t="n">
        <f aca="false">ROUND(O1558*P1558,2)</f>
        <v>2583.4</v>
      </c>
      <c r="S1558" s="30" t="n">
        <f aca="false">ROUND(O1558*Q1558,2)</f>
        <v>1566.6</v>
      </c>
      <c r="T1558" s="30" t="n">
        <f aca="false">ROUND(R1558*SUMIFS(Parametros!$E$23:$E$38,Parametros!$B$23:$B$38,J1558,Parametros!$C$23:$C$38,C1558,Parametros!$D$23:$D$38,D1558),2)</f>
        <v>36.17</v>
      </c>
      <c r="U1558" s="30" t="n">
        <f aca="false">R1558-S1558-T1558</f>
        <v>980.63</v>
      </c>
    </row>
    <row r="1559" customFormat="false" ht="15" hidden="false" customHeight="false" outlineLevel="0" collapsed="false">
      <c r="A1559" s="0" t="n">
        <v>1558</v>
      </c>
      <c r="B1559" s="27" t="n">
        <v>45773</v>
      </c>
      <c r="C1559" s="0" t="n">
        <v>2025</v>
      </c>
      <c r="D1559" s="28" t="s">
        <v>108</v>
      </c>
      <c r="E1559" s="0" t="n">
        <v>4</v>
      </c>
      <c r="F1559" s="28" t="s">
        <v>109</v>
      </c>
      <c r="G1559" s="28" t="s">
        <v>146</v>
      </c>
      <c r="H1559" s="28" t="s">
        <v>98</v>
      </c>
      <c r="I1559" s="28" t="s">
        <v>99</v>
      </c>
      <c r="J1559" s="28" t="s">
        <v>71</v>
      </c>
      <c r="K1559" s="28" t="s">
        <v>90</v>
      </c>
      <c r="L1559" s="28" t="s">
        <v>141</v>
      </c>
      <c r="M1559" s="28" t="s">
        <v>92</v>
      </c>
      <c r="N1559" s="28" t="s">
        <v>142</v>
      </c>
      <c r="O1559" s="29" t="n">
        <v>14</v>
      </c>
      <c r="P1559" s="30" t="n">
        <v>129.17</v>
      </c>
      <c r="Q1559" s="30" t="n">
        <v>78.33</v>
      </c>
      <c r="R1559" s="30" t="n">
        <f aca="false">ROUND(O1559*P1559,2)</f>
        <v>1808.38</v>
      </c>
      <c r="S1559" s="30" t="n">
        <f aca="false">ROUND(O1559*Q1559,2)</f>
        <v>1096.62</v>
      </c>
      <c r="T1559" s="30" t="n">
        <f aca="false">ROUND(R1559*SUMIFS(Parametros!$E$23:$E$38,Parametros!$B$23:$B$38,J1559,Parametros!$C$23:$C$38,C1559,Parametros!$D$23:$D$38,D1559),2)</f>
        <v>133.82</v>
      </c>
      <c r="U1559" s="30" t="n">
        <f aca="false">R1559-S1559-T1559</f>
        <v>577.94</v>
      </c>
    </row>
    <row r="1560" customFormat="false" ht="15" hidden="false" customHeight="false" outlineLevel="0" collapsed="false">
      <c r="A1560" s="0" t="n">
        <v>1559</v>
      </c>
      <c r="B1560" s="27" t="n">
        <v>45753</v>
      </c>
      <c r="C1560" s="0" t="n">
        <v>2025</v>
      </c>
      <c r="D1560" s="28" t="s">
        <v>108</v>
      </c>
      <c r="E1560" s="0" t="n">
        <v>4</v>
      </c>
      <c r="F1560" s="28" t="s">
        <v>109</v>
      </c>
      <c r="G1560" s="28" t="s">
        <v>146</v>
      </c>
      <c r="H1560" s="28" t="s">
        <v>98</v>
      </c>
      <c r="I1560" s="28" t="s">
        <v>99</v>
      </c>
      <c r="J1560" s="28" t="s">
        <v>66</v>
      </c>
      <c r="K1560" s="28" t="s">
        <v>90</v>
      </c>
      <c r="L1560" s="28" t="s">
        <v>141</v>
      </c>
      <c r="M1560" s="28" t="s">
        <v>94</v>
      </c>
      <c r="N1560" s="28" t="s">
        <v>143</v>
      </c>
      <c r="O1560" s="29" t="n">
        <v>23</v>
      </c>
      <c r="P1560" s="30" t="n">
        <v>34.78</v>
      </c>
      <c r="Q1560" s="30" t="n">
        <v>18.39</v>
      </c>
      <c r="R1560" s="30" t="n">
        <f aca="false">ROUND(O1560*P1560,2)</f>
        <v>799.94</v>
      </c>
      <c r="S1560" s="30" t="n">
        <f aca="false">ROUND(O1560*Q1560,2)</f>
        <v>422.97</v>
      </c>
      <c r="T1560" s="30" t="n">
        <f aca="false">ROUND(R1560*SUMIFS(Parametros!$E$23:$E$38,Parametros!$B$23:$B$38,J1560,Parametros!$C$23:$C$38,C1560,Parametros!$D$23:$D$38,D1560),2)</f>
        <v>11.2</v>
      </c>
      <c r="U1560" s="30" t="n">
        <f aca="false">R1560-S1560-T1560</f>
        <v>365.77</v>
      </c>
    </row>
    <row r="1561" customFormat="false" ht="15" hidden="false" customHeight="false" outlineLevel="0" collapsed="false">
      <c r="A1561" s="0" t="n">
        <v>1560</v>
      </c>
      <c r="B1561" s="27" t="n">
        <v>45760</v>
      </c>
      <c r="C1561" s="0" t="n">
        <v>2025</v>
      </c>
      <c r="D1561" s="28" t="s">
        <v>108</v>
      </c>
      <c r="E1561" s="0" t="n">
        <v>4</v>
      </c>
      <c r="F1561" s="28" t="s">
        <v>109</v>
      </c>
      <c r="G1561" s="28" t="s">
        <v>146</v>
      </c>
      <c r="H1561" s="28" t="s">
        <v>98</v>
      </c>
      <c r="I1561" s="28" t="s">
        <v>99</v>
      </c>
      <c r="J1561" s="28" t="s">
        <v>71</v>
      </c>
      <c r="K1561" s="28" t="s">
        <v>90</v>
      </c>
      <c r="L1561" s="28" t="s">
        <v>141</v>
      </c>
      <c r="M1561" s="28" t="s">
        <v>94</v>
      </c>
      <c r="N1561" s="28" t="s">
        <v>143</v>
      </c>
      <c r="O1561" s="29" t="n">
        <v>17</v>
      </c>
      <c r="P1561" s="30" t="n">
        <v>34.78</v>
      </c>
      <c r="Q1561" s="30" t="n">
        <v>18.39</v>
      </c>
      <c r="R1561" s="30" t="n">
        <f aca="false">ROUND(O1561*P1561,2)</f>
        <v>591.26</v>
      </c>
      <c r="S1561" s="30" t="n">
        <f aca="false">ROUND(O1561*Q1561,2)</f>
        <v>312.63</v>
      </c>
      <c r="T1561" s="30" t="n">
        <f aca="false">ROUND(R1561*SUMIFS(Parametros!$E$23:$E$38,Parametros!$B$23:$B$38,J1561,Parametros!$C$23:$C$38,C1561,Parametros!$D$23:$D$38,D1561),2)</f>
        <v>43.75</v>
      </c>
      <c r="U1561" s="30" t="n">
        <f aca="false">R1561-S1561-T1561</f>
        <v>234.88</v>
      </c>
    </row>
    <row r="1562" customFormat="false" ht="15" hidden="false" customHeight="false" outlineLevel="0" collapsed="false">
      <c r="A1562" s="0" t="n">
        <v>1561</v>
      </c>
      <c r="B1562" s="27" t="n">
        <v>45767</v>
      </c>
      <c r="C1562" s="0" t="n">
        <v>2025</v>
      </c>
      <c r="D1562" s="28" t="s">
        <v>108</v>
      </c>
      <c r="E1562" s="0" t="n">
        <v>4</v>
      </c>
      <c r="F1562" s="28" t="s">
        <v>109</v>
      </c>
      <c r="G1562" s="28" t="s">
        <v>146</v>
      </c>
      <c r="H1562" s="28" t="s">
        <v>100</v>
      </c>
      <c r="I1562" s="28" t="s">
        <v>101</v>
      </c>
      <c r="J1562" s="28" t="s">
        <v>66</v>
      </c>
      <c r="K1562" s="28" t="s">
        <v>67</v>
      </c>
      <c r="L1562" s="28" t="s">
        <v>130</v>
      </c>
      <c r="M1562" s="28" t="s">
        <v>69</v>
      </c>
      <c r="N1562" s="28" t="s">
        <v>131</v>
      </c>
      <c r="O1562" s="29" t="n">
        <v>5</v>
      </c>
      <c r="P1562" s="30" t="n">
        <v>1155.06</v>
      </c>
      <c r="Q1562" s="30" t="n">
        <v>766.32</v>
      </c>
      <c r="R1562" s="30" t="n">
        <f aca="false">ROUND(O1562*P1562,2)</f>
        <v>5775.3</v>
      </c>
      <c r="S1562" s="30" t="n">
        <f aca="false">ROUND(O1562*Q1562,2)</f>
        <v>3831.6</v>
      </c>
      <c r="T1562" s="30" t="n">
        <f aca="false">ROUND(R1562*SUMIFS(Parametros!$E$23:$E$38,Parametros!$B$23:$B$38,J1562,Parametros!$C$23:$C$38,C1562,Parametros!$D$23:$D$38,D1562),2)</f>
        <v>80.85</v>
      </c>
      <c r="U1562" s="30" t="n">
        <f aca="false">R1562-S1562-T1562</f>
        <v>1862.85</v>
      </c>
    </row>
    <row r="1563" customFormat="false" ht="15" hidden="false" customHeight="false" outlineLevel="0" collapsed="false">
      <c r="A1563" s="0" t="n">
        <v>1562</v>
      </c>
      <c r="B1563" s="27" t="n">
        <v>45774</v>
      </c>
      <c r="C1563" s="0" t="n">
        <v>2025</v>
      </c>
      <c r="D1563" s="28" t="s">
        <v>108</v>
      </c>
      <c r="E1563" s="0" t="n">
        <v>4</v>
      </c>
      <c r="F1563" s="28" t="s">
        <v>109</v>
      </c>
      <c r="G1563" s="28" t="s">
        <v>146</v>
      </c>
      <c r="H1563" s="28" t="s">
        <v>100</v>
      </c>
      <c r="I1563" s="28" t="s">
        <v>101</v>
      </c>
      <c r="J1563" s="28" t="s">
        <v>71</v>
      </c>
      <c r="K1563" s="28" t="s">
        <v>67</v>
      </c>
      <c r="L1563" s="28" t="s">
        <v>130</v>
      </c>
      <c r="M1563" s="28" t="s">
        <v>69</v>
      </c>
      <c r="N1563" s="28" t="s">
        <v>131</v>
      </c>
      <c r="O1563" s="29" t="n">
        <v>4</v>
      </c>
      <c r="P1563" s="30" t="n">
        <v>1155.06</v>
      </c>
      <c r="Q1563" s="30" t="n">
        <v>766.32</v>
      </c>
      <c r="R1563" s="30" t="n">
        <f aca="false">ROUND(O1563*P1563,2)</f>
        <v>4620.24</v>
      </c>
      <c r="S1563" s="30" t="n">
        <f aca="false">ROUND(O1563*Q1563,2)</f>
        <v>3065.28</v>
      </c>
      <c r="T1563" s="30" t="n">
        <f aca="false">ROUND(R1563*SUMIFS(Parametros!$E$23:$E$38,Parametros!$B$23:$B$38,J1563,Parametros!$C$23:$C$38,C1563,Parametros!$D$23:$D$38,D1563),2)</f>
        <v>341.9</v>
      </c>
      <c r="U1563" s="30" t="n">
        <f aca="false">R1563-S1563-T1563</f>
        <v>1213.06</v>
      </c>
    </row>
    <row r="1564" customFormat="false" ht="15" hidden="false" customHeight="false" outlineLevel="0" collapsed="false">
      <c r="A1564" s="0" t="n">
        <v>1563</v>
      </c>
      <c r="B1564" s="27" t="n">
        <v>45754</v>
      </c>
      <c r="C1564" s="0" t="n">
        <v>2025</v>
      </c>
      <c r="D1564" s="28" t="s">
        <v>108</v>
      </c>
      <c r="E1564" s="0" t="n">
        <v>4</v>
      </c>
      <c r="F1564" s="28" t="s">
        <v>109</v>
      </c>
      <c r="G1564" s="28" t="s">
        <v>146</v>
      </c>
      <c r="H1564" s="28" t="s">
        <v>100</v>
      </c>
      <c r="I1564" s="28" t="s">
        <v>101</v>
      </c>
      <c r="J1564" s="28" t="s">
        <v>66</v>
      </c>
      <c r="K1564" s="28" t="s">
        <v>67</v>
      </c>
      <c r="L1564" s="28" t="s">
        <v>130</v>
      </c>
      <c r="M1564" s="28" t="s">
        <v>72</v>
      </c>
      <c r="N1564" s="28" t="s">
        <v>132</v>
      </c>
      <c r="O1564" s="29" t="n">
        <v>5</v>
      </c>
      <c r="P1564" s="30" t="n">
        <v>433.15</v>
      </c>
      <c r="Q1564" s="30" t="n">
        <v>280.42</v>
      </c>
      <c r="R1564" s="30" t="n">
        <f aca="false">ROUND(O1564*P1564,2)</f>
        <v>2165.75</v>
      </c>
      <c r="S1564" s="30" t="n">
        <f aca="false">ROUND(O1564*Q1564,2)</f>
        <v>1402.1</v>
      </c>
      <c r="T1564" s="30" t="n">
        <f aca="false">ROUND(R1564*SUMIFS(Parametros!$E$23:$E$38,Parametros!$B$23:$B$38,J1564,Parametros!$C$23:$C$38,C1564,Parametros!$D$23:$D$38,D1564),2)</f>
        <v>30.32</v>
      </c>
      <c r="U1564" s="30" t="n">
        <f aca="false">R1564-S1564-T1564</f>
        <v>733.33</v>
      </c>
    </row>
    <row r="1565" customFormat="false" ht="15" hidden="false" customHeight="false" outlineLevel="0" collapsed="false">
      <c r="A1565" s="0" t="n">
        <v>1564</v>
      </c>
      <c r="B1565" s="27" t="n">
        <v>45761</v>
      </c>
      <c r="C1565" s="0" t="n">
        <v>2025</v>
      </c>
      <c r="D1565" s="28" t="s">
        <v>108</v>
      </c>
      <c r="E1565" s="0" t="n">
        <v>4</v>
      </c>
      <c r="F1565" s="28" t="s">
        <v>109</v>
      </c>
      <c r="G1565" s="28" t="s">
        <v>146</v>
      </c>
      <c r="H1565" s="28" t="s">
        <v>100</v>
      </c>
      <c r="I1565" s="28" t="s">
        <v>101</v>
      </c>
      <c r="J1565" s="28" t="s">
        <v>71</v>
      </c>
      <c r="K1565" s="28" t="s">
        <v>67</v>
      </c>
      <c r="L1565" s="28" t="s">
        <v>130</v>
      </c>
      <c r="M1565" s="28" t="s">
        <v>72</v>
      </c>
      <c r="N1565" s="28" t="s">
        <v>132</v>
      </c>
      <c r="O1565" s="29" t="n">
        <v>4</v>
      </c>
      <c r="P1565" s="30" t="n">
        <v>433.15</v>
      </c>
      <c r="Q1565" s="30" t="n">
        <v>280.42</v>
      </c>
      <c r="R1565" s="30" t="n">
        <f aca="false">ROUND(O1565*P1565,2)</f>
        <v>1732.6</v>
      </c>
      <c r="S1565" s="30" t="n">
        <f aca="false">ROUND(O1565*Q1565,2)</f>
        <v>1121.68</v>
      </c>
      <c r="T1565" s="30" t="n">
        <f aca="false">ROUND(R1565*SUMIFS(Parametros!$E$23:$E$38,Parametros!$B$23:$B$38,J1565,Parametros!$C$23:$C$38,C1565,Parametros!$D$23:$D$38,D1565),2)</f>
        <v>128.21</v>
      </c>
      <c r="U1565" s="30" t="n">
        <f aca="false">R1565-S1565-T1565</f>
        <v>482.71</v>
      </c>
    </row>
    <row r="1566" customFormat="false" ht="15" hidden="false" customHeight="false" outlineLevel="0" collapsed="false">
      <c r="A1566" s="0" t="n">
        <v>1565</v>
      </c>
      <c r="B1566" s="27" t="n">
        <v>45768</v>
      </c>
      <c r="C1566" s="0" t="n">
        <v>2025</v>
      </c>
      <c r="D1566" s="28" t="s">
        <v>108</v>
      </c>
      <c r="E1566" s="0" t="n">
        <v>4</v>
      </c>
      <c r="F1566" s="28" t="s">
        <v>109</v>
      </c>
      <c r="G1566" s="28" t="s">
        <v>146</v>
      </c>
      <c r="H1566" s="28" t="s">
        <v>100</v>
      </c>
      <c r="I1566" s="28" t="s">
        <v>101</v>
      </c>
      <c r="J1566" s="28" t="s">
        <v>66</v>
      </c>
      <c r="K1566" s="28" t="s">
        <v>67</v>
      </c>
      <c r="L1566" s="28" t="s">
        <v>130</v>
      </c>
      <c r="M1566" s="28" t="s">
        <v>74</v>
      </c>
      <c r="N1566" s="28" t="s">
        <v>133</v>
      </c>
      <c r="O1566" s="29" t="n">
        <v>5</v>
      </c>
      <c r="P1566" s="30" t="n">
        <v>1588.21</v>
      </c>
      <c r="Q1566" s="30" t="n">
        <v>1155.66</v>
      </c>
      <c r="R1566" s="30" t="n">
        <f aca="false">ROUND(O1566*P1566,2)</f>
        <v>7941.05</v>
      </c>
      <c r="S1566" s="30" t="n">
        <f aca="false">ROUND(O1566*Q1566,2)</f>
        <v>5778.3</v>
      </c>
      <c r="T1566" s="30" t="n">
        <f aca="false">ROUND(R1566*SUMIFS(Parametros!$E$23:$E$38,Parametros!$B$23:$B$38,J1566,Parametros!$C$23:$C$38,C1566,Parametros!$D$23:$D$38,D1566),2)</f>
        <v>111.17</v>
      </c>
      <c r="U1566" s="30" t="n">
        <f aca="false">R1566-S1566-T1566</f>
        <v>2051.58</v>
      </c>
    </row>
    <row r="1567" customFormat="false" ht="15" hidden="false" customHeight="false" outlineLevel="0" collapsed="false">
      <c r="A1567" s="0" t="n">
        <v>1566</v>
      </c>
      <c r="B1567" s="27" t="n">
        <v>45748</v>
      </c>
      <c r="C1567" s="0" t="n">
        <v>2025</v>
      </c>
      <c r="D1567" s="28" t="s">
        <v>108</v>
      </c>
      <c r="E1567" s="0" t="n">
        <v>4</v>
      </c>
      <c r="F1567" s="28" t="s">
        <v>109</v>
      </c>
      <c r="G1567" s="28" t="s">
        <v>146</v>
      </c>
      <c r="H1567" s="28" t="s">
        <v>100</v>
      </c>
      <c r="I1567" s="28" t="s">
        <v>101</v>
      </c>
      <c r="J1567" s="28" t="s">
        <v>71</v>
      </c>
      <c r="K1567" s="28" t="s">
        <v>67</v>
      </c>
      <c r="L1567" s="28" t="s">
        <v>130</v>
      </c>
      <c r="M1567" s="28" t="s">
        <v>74</v>
      </c>
      <c r="N1567" s="28" t="s">
        <v>133</v>
      </c>
      <c r="O1567" s="29" t="n">
        <v>5</v>
      </c>
      <c r="P1567" s="30" t="n">
        <v>1588.21</v>
      </c>
      <c r="Q1567" s="30" t="n">
        <v>1155.66</v>
      </c>
      <c r="R1567" s="30" t="n">
        <f aca="false">ROUND(O1567*P1567,2)</f>
        <v>7941.05</v>
      </c>
      <c r="S1567" s="30" t="n">
        <f aca="false">ROUND(O1567*Q1567,2)</f>
        <v>5778.3</v>
      </c>
      <c r="T1567" s="30" t="n">
        <f aca="false">ROUND(R1567*SUMIFS(Parametros!$E$23:$E$38,Parametros!$B$23:$B$38,J1567,Parametros!$C$23:$C$38,C1567,Parametros!$D$23:$D$38,D1567),2)</f>
        <v>587.64</v>
      </c>
      <c r="U1567" s="30" t="n">
        <f aca="false">R1567-S1567-T1567</f>
        <v>1575.11</v>
      </c>
    </row>
    <row r="1568" customFormat="false" ht="15" hidden="false" customHeight="false" outlineLevel="0" collapsed="false">
      <c r="A1568" s="0" t="n">
        <v>1567</v>
      </c>
      <c r="B1568" s="27" t="n">
        <v>45755</v>
      </c>
      <c r="C1568" s="0" t="n">
        <v>2025</v>
      </c>
      <c r="D1568" s="28" t="s">
        <v>108</v>
      </c>
      <c r="E1568" s="0" t="n">
        <v>4</v>
      </c>
      <c r="F1568" s="28" t="s">
        <v>109</v>
      </c>
      <c r="G1568" s="28" t="s">
        <v>146</v>
      </c>
      <c r="H1568" s="28" t="s">
        <v>100</v>
      </c>
      <c r="I1568" s="28" t="s">
        <v>101</v>
      </c>
      <c r="J1568" s="28" t="s">
        <v>66</v>
      </c>
      <c r="K1568" s="28" t="s">
        <v>76</v>
      </c>
      <c r="L1568" s="28" t="s">
        <v>134</v>
      </c>
      <c r="M1568" s="28" t="s">
        <v>78</v>
      </c>
      <c r="N1568" s="28" t="s">
        <v>135</v>
      </c>
      <c r="O1568" s="29" t="n">
        <v>30</v>
      </c>
      <c r="P1568" s="30" t="n">
        <v>27.82</v>
      </c>
      <c r="Q1568" s="30" t="n">
        <v>13.84</v>
      </c>
      <c r="R1568" s="30" t="n">
        <f aca="false">ROUND(O1568*P1568,2)</f>
        <v>834.6</v>
      </c>
      <c r="S1568" s="30" t="n">
        <f aca="false">ROUND(O1568*Q1568,2)</f>
        <v>415.2</v>
      </c>
      <c r="T1568" s="30" t="n">
        <f aca="false">ROUND(R1568*SUMIFS(Parametros!$E$23:$E$38,Parametros!$B$23:$B$38,J1568,Parametros!$C$23:$C$38,C1568,Parametros!$D$23:$D$38,D1568),2)</f>
        <v>11.68</v>
      </c>
      <c r="U1568" s="30" t="n">
        <f aca="false">R1568-S1568-T1568</f>
        <v>407.72</v>
      </c>
    </row>
    <row r="1569" customFormat="false" ht="15" hidden="false" customHeight="false" outlineLevel="0" collapsed="false">
      <c r="A1569" s="0" t="n">
        <v>1568</v>
      </c>
      <c r="B1569" s="27" t="n">
        <v>45762</v>
      </c>
      <c r="C1569" s="0" t="n">
        <v>2025</v>
      </c>
      <c r="D1569" s="28" t="s">
        <v>108</v>
      </c>
      <c r="E1569" s="0" t="n">
        <v>4</v>
      </c>
      <c r="F1569" s="28" t="s">
        <v>109</v>
      </c>
      <c r="G1569" s="28" t="s">
        <v>146</v>
      </c>
      <c r="H1569" s="28" t="s">
        <v>100</v>
      </c>
      <c r="I1569" s="28" t="s">
        <v>101</v>
      </c>
      <c r="J1569" s="28" t="s">
        <v>71</v>
      </c>
      <c r="K1569" s="28" t="s">
        <v>76</v>
      </c>
      <c r="L1569" s="28" t="s">
        <v>134</v>
      </c>
      <c r="M1569" s="28" t="s">
        <v>78</v>
      </c>
      <c r="N1569" s="28" t="s">
        <v>135</v>
      </c>
      <c r="O1569" s="29" t="n">
        <v>18</v>
      </c>
      <c r="P1569" s="30" t="n">
        <v>27.82</v>
      </c>
      <c r="Q1569" s="30" t="n">
        <v>13.84</v>
      </c>
      <c r="R1569" s="30" t="n">
        <f aca="false">ROUND(O1569*P1569,2)</f>
        <v>500.76</v>
      </c>
      <c r="S1569" s="30" t="n">
        <f aca="false">ROUND(O1569*Q1569,2)</f>
        <v>249.12</v>
      </c>
      <c r="T1569" s="30" t="n">
        <f aca="false">ROUND(R1569*SUMIFS(Parametros!$E$23:$E$38,Parametros!$B$23:$B$38,J1569,Parametros!$C$23:$C$38,C1569,Parametros!$D$23:$D$38,D1569),2)</f>
        <v>37.06</v>
      </c>
      <c r="U1569" s="30" t="n">
        <f aca="false">R1569-S1569-T1569</f>
        <v>214.58</v>
      </c>
    </row>
    <row r="1570" customFormat="false" ht="15" hidden="false" customHeight="false" outlineLevel="0" collapsed="false">
      <c r="A1570" s="0" t="n">
        <v>1569</v>
      </c>
      <c r="B1570" s="27" t="n">
        <v>45769</v>
      </c>
      <c r="C1570" s="0" t="n">
        <v>2025</v>
      </c>
      <c r="D1570" s="28" t="s">
        <v>108</v>
      </c>
      <c r="E1570" s="0" t="n">
        <v>4</v>
      </c>
      <c r="F1570" s="28" t="s">
        <v>109</v>
      </c>
      <c r="G1570" s="28" t="s">
        <v>146</v>
      </c>
      <c r="H1570" s="28" t="s">
        <v>100</v>
      </c>
      <c r="I1570" s="28" t="s">
        <v>101</v>
      </c>
      <c r="J1570" s="28" t="s">
        <v>66</v>
      </c>
      <c r="K1570" s="28" t="s">
        <v>76</v>
      </c>
      <c r="L1570" s="28" t="s">
        <v>134</v>
      </c>
      <c r="M1570" s="28" t="s">
        <v>80</v>
      </c>
      <c r="N1570" s="28" t="s">
        <v>136</v>
      </c>
      <c r="O1570" s="29" t="n">
        <v>24</v>
      </c>
      <c r="P1570" s="30" t="n">
        <v>94.39</v>
      </c>
      <c r="Q1570" s="30" t="n">
        <v>49.41</v>
      </c>
      <c r="R1570" s="30" t="n">
        <f aca="false">ROUND(O1570*P1570,2)</f>
        <v>2265.36</v>
      </c>
      <c r="S1570" s="30" t="n">
        <f aca="false">ROUND(O1570*Q1570,2)</f>
        <v>1185.84</v>
      </c>
      <c r="T1570" s="30" t="n">
        <f aca="false">ROUND(R1570*SUMIFS(Parametros!$E$23:$E$38,Parametros!$B$23:$B$38,J1570,Parametros!$C$23:$C$38,C1570,Parametros!$D$23:$D$38,D1570),2)</f>
        <v>31.72</v>
      </c>
      <c r="U1570" s="30" t="n">
        <f aca="false">R1570-S1570-T1570</f>
        <v>1047.8</v>
      </c>
    </row>
    <row r="1571" customFormat="false" ht="15" hidden="false" customHeight="false" outlineLevel="0" collapsed="false">
      <c r="A1571" s="0" t="n">
        <v>1570</v>
      </c>
      <c r="B1571" s="27" t="n">
        <v>45749</v>
      </c>
      <c r="C1571" s="0" t="n">
        <v>2025</v>
      </c>
      <c r="D1571" s="28" t="s">
        <v>108</v>
      </c>
      <c r="E1571" s="0" t="n">
        <v>4</v>
      </c>
      <c r="F1571" s="28" t="s">
        <v>109</v>
      </c>
      <c r="G1571" s="28" t="s">
        <v>146</v>
      </c>
      <c r="H1571" s="28" t="s">
        <v>100</v>
      </c>
      <c r="I1571" s="28" t="s">
        <v>101</v>
      </c>
      <c r="J1571" s="28" t="s">
        <v>71</v>
      </c>
      <c r="K1571" s="28" t="s">
        <v>76</v>
      </c>
      <c r="L1571" s="28" t="s">
        <v>134</v>
      </c>
      <c r="M1571" s="28" t="s">
        <v>80</v>
      </c>
      <c r="N1571" s="28" t="s">
        <v>136</v>
      </c>
      <c r="O1571" s="29" t="n">
        <v>17</v>
      </c>
      <c r="P1571" s="30" t="n">
        <v>94.39</v>
      </c>
      <c r="Q1571" s="30" t="n">
        <v>49.41</v>
      </c>
      <c r="R1571" s="30" t="n">
        <f aca="false">ROUND(O1571*P1571,2)</f>
        <v>1604.63</v>
      </c>
      <c r="S1571" s="30" t="n">
        <f aca="false">ROUND(O1571*Q1571,2)</f>
        <v>839.97</v>
      </c>
      <c r="T1571" s="30" t="n">
        <f aca="false">ROUND(R1571*SUMIFS(Parametros!$E$23:$E$38,Parametros!$B$23:$B$38,J1571,Parametros!$C$23:$C$38,C1571,Parametros!$D$23:$D$38,D1571),2)</f>
        <v>118.74</v>
      </c>
      <c r="U1571" s="30" t="n">
        <f aca="false">R1571-S1571-T1571</f>
        <v>645.92</v>
      </c>
    </row>
    <row r="1572" customFormat="false" ht="15" hidden="false" customHeight="false" outlineLevel="0" collapsed="false">
      <c r="A1572" s="0" t="n">
        <v>1571</v>
      </c>
      <c r="B1572" s="27" t="n">
        <v>45756</v>
      </c>
      <c r="C1572" s="0" t="n">
        <v>2025</v>
      </c>
      <c r="D1572" s="28" t="s">
        <v>108</v>
      </c>
      <c r="E1572" s="0" t="n">
        <v>4</v>
      </c>
      <c r="F1572" s="28" t="s">
        <v>109</v>
      </c>
      <c r="G1572" s="28" t="s">
        <v>146</v>
      </c>
      <c r="H1572" s="28" t="s">
        <v>100</v>
      </c>
      <c r="I1572" s="28" t="s">
        <v>101</v>
      </c>
      <c r="J1572" s="28" t="s">
        <v>66</v>
      </c>
      <c r="K1572" s="28" t="s">
        <v>76</v>
      </c>
      <c r="L1572" s="28" t="s">
        <v>134</v>
      </c>
      <c r="M1572" s="28" t="s">
        <v>82</v>
      </c>
      <c r="N1572" s="28" t="s">
        <v>137</v>
      </c>
      <c r="O1572" s="29" t="n">
        <v>29</v>
      </c>
      <c r="P1572" s="30" t="n">
        <v>64.58</v>
      </c>
      <c r="Q1572" s="30" t="n">
        <v>36.49</v>
      </c>
      <c r="R1572" s="30" t="n">
        <f aca="false">ROUND(O1572*P1572,2)</f>
        <v>1872.82</v>
      </c>
      <c r="S1572" s="30" t="n">
        <f aca="false">ROUND(O1572*Q1572,2)</f>
        <v>1058.21</v>
      </c>
      <c r="T1572" s="30" t="n">
        <f aca="false">ROUND(R1572*SUMIFS(Parametros!$E$23:$E$38,Parametros!$B$23:$B$38,J1572,Parametros!$C$23:$C$38,C1572,Parametros!$D$23:$D$38,D1572),2)</f>
        <v>26.22</v>
      </c>
      <c r="U1572" s="30" t="n">
        <f aca="false">R1572-S1572-T1572</f>
        <v>788.39</v>
      </c>
    </row>
    <row r="1573" customFormat="false" ht="15" hidden="false" customHeight="false" outlineLevel="0" collapsed="false">
      <c r="A1573" s="0" t="n">
        <v>1572</v>
      </c>
      <c r="B1573" s="27" t="n">
        <v>45763</v>
      </c>
      <c r="C1573" s="0" t="n">
        <v>2025</v>
      </c>
      <c r="D1573" s="28" t="s">
        <v>108</v>
      </c>
      <c r="E1573" s="0" t="n">
        <v>4</v>
      </c>
      <c r="F1573" s="28" t="s">
        <v>109</v>
      </c>
      <c r="G1573" s="28" t="s">
        <v>146</v>
      </c>
      <c r="H1573" s="28" t="s">
        <v>100</v>
      </c>
      <c r="I1573" s="28" t="s">
        <v>101</v>
      </c>
      <c r="J1573" s="28" t="s">
        <v>71</v>
      </c>
      <c r="K1573" s="28" t="s">
        <v>76</v>
      </c>
      <c r="L1573" s="28" t="s">
        <v>134</v>
      </c>
      <c r="M1573" s="28" t="s">
        <v>82</v>
      </c>
      <c r="N1573" s="28" t="s">
        <v>137</v>
      </c>
      <c r="O1573" s="29" t="n">
        <v>21</v>
      </c>
      <c r="P1573" s="30" t="n">
        <v>64.58</v>
      </c>
      <c r="Q1573" s="30" t="n">
        <v>36.49</v>
      </c>
      <c r="R1573" s="30" t="n">
        <f aca="false">ROUND(O1573*P1573,2)</f>
        <v>1356.18</v>
      </c>
      <c r="S1573" s="30" t="n">
        <f aca="false">ROUND(O1573*Q1573,2)</f>
        <v>766.29</v>
      </c>
      <c r="T1573" s="30" t="n">
        <f aca="false">ROUND(R1573*SUMIFS(Parametros!$E$23:$E$38,Parametros!$B$23:$B$38,J1573,Parametros!$C$23:$C$38,C1573,Parametros!$D$23:$D$38,D1573),2)</f>
        <v>100.36</v>
      </c>
      <c r="U1573" s="30" t="n">
        <f aca="false">R1573-S1573-T1573</f>
        <v>489.53</v>
      </c>
    </row>
    <row r="1574" customFormat="false" ht="15" hidden="false" customHeight="false" outlineLevel="0" collapsed="false">
      <c r="A1574" s="0" t="n">
        <v>1573</v>
      </c>
      <c r="B1574" s="27" t="n">
        <v>45770</v>
      </c>
      <c r="C1574" s="0" t="n">
        <v>2025</v>
      </c>
      <c r="D1574" s="28" t="s">
        <v>108</v>
      </c>
      <c r="E1574" s="0" t="n">
        <v>4</v>
      </c>
      <c r="F1574" s="28" t="s">
        <v>109</v>
      </c>
      <c r="G1574" s="28" t="s">
        <v>146</v>
      </c>
      <c r="H1574" s="28" t="s">
        <v>100</v>
      </c>
      <c r="I1574" s="28" t="s">
        <v>101</v>
      </c>
      <c r="J1574" s="28" t="s">
        <v>66</v>
      </c>
      <c r="K1574" s="28" t="s">
        <v>84</v>
      </c>
      <c r="L1574" s="28" t="s">
        <v>138</v>
      </c>
      <c r="M1574" s="28" t="s">
        <v>86</v>
      </c>
      <c r="N1574" s="28" t="s">
        <v>139</v>
      </c>
      <c r="O1574" s="29" t="n">
        <v>13</v>
      </c>
      <c r="P1574" s="30" t="n">
        <v>119.23</v>
      </c>
      <c r="Q1574" s="30" t="n">
        <v>65.51</v>
      </c>
      <c r="R1574" s="30" t="n">
        <f aca="false">ROUND(O1574*P1574,2)</f>
        <v>1549.99</v>
      </c>
      <c r="S1574" s="30" t="n">
        <f aca="false">ROUND(O1574*Q1574,2)</f>
        <v>851.63</v>
      </c>
      <c r="T1574" s="30" t="n">
        <f aca="false">ROUND(R1574*SUMIFS(Parametros!$E$23:$E$38,Parametros!$B$23:$B$38,J1574,Parametros!$C$23:$C$38,C1574,Parametros!$D$23:$D$38,D1574),2)</f>
        <v>21.7</v>
      </c>
      <c r="U1574" s="30" t="n">
        <f aca="false">R1574-S1574-T1574</f>
        <v>676.66</v>
      </c>
    </row>
    <row r="1575" customFormat="false" ht="15" hidden="false" customHeight="false" outlineLevel="0" collapsed="false">
      <c r="A1575" s="0" t="n">
        <v>1574</v>
      </c>
      <c r="B1575" s="27" t="n">
        <v>45750</v>
      </c>
      <c r="C1575" s="0" t="n">
        <v>2025</v>
      </c>
      <c r="D1575" s="28" t="s">
        <v>108</v>
      </c>
      <c r="E1575" s="0" t="n">
        <v>4</v>
      </c>
      <c r="F1575" s="28" t="s">
        <v>109</v>
      </c>
      <c r="G1575" s="28" t="s">
        <v>146</v>
      </c>
      <c r="H1575" s="28" t="s">
        <v>100</v>
      </c>
      <c r="I1575" s="28" t="s">
        <v>101</v>
      </c>
      <c r="J1575" s="28" t="s">
        <v>71</v>
      </c>
      <c r="K1575" s="28" t="s">
        <v>84</v>
      </c>
      <c r="L1575" s="28" t="s">
        <v>138</v>
      </c>
      <c r="M1575" s="28" t="s">
        <v>86</v>
      </c>
      <c r="N1575" s="28" t="s">
        <v>139</v>
      </c>
      <c r="O1575" s="29" t="n">
        <v>10</v>
      </c>
      <c r="P1575" s="30" t="n">
        <v>119.23</v>
      </c>
      <c r="Q1575" s="30" t="n">
        <v>65.51</v>
      </c>
      <c r="R1575" s="30" t="n">
        <f aca="false">ROUND(O1575*P1575,2)</f>
        <v>1192.3</v>
      </c>
      <c r="S1575" s="30" t="n">
        <f aca="false">ROUND(O1575*Q1575,2)</f>
        <v>655.1</v>
      </c>
      <c r="T1575" s="30" t="n">
        <f aca="false">ROUND(R1575*SUMIFS(Parametros!$E$23:$E$38,Parametros!$B$23:$B$38,J1575,Parametros!$C$23:$C$38,C1575,Parametros!$D$23:$D$38,D1575),2)</f>
        <v>88.23</v>
      </c>
      <c r="U1575" s="30" t="n">
        <f aca="false">R1575-S1575-T1575</f>
        <v>448.97</v>
      </c>
    </row>
    <row r="1576" customFormat="false" ht="15" hidden="false" customHeight="false" outlineLevel="0" collapsed="false">
      <c r="A1576" s="0" t="n">
        <v>1575</v>
      </c>
      <c r="B1576" s="27" t="n">
        <v>45757</v>
      </c>
      <c r="C1576" s="0" t="n">
        <v>2025</v>
      </c>
      <c r="D1576" s="28" t="s">
        <v>108</v>
      </c>
      <c r="E1576" s="0" t="n">
        <v>4</v>
      </c>
      <c r="F1576" s="28" t="s">
        <v>109</v>
      </c>
      <c r="G1576" s="28" t="s">
        <v>146</v>
      </c>
      <c r="H1576" s="28" t="s">
        <v>100</v>
      </c>
      <c r="I1576" s="28" t="s">
        <v>101</v>
      </c>
      <c r="J1576" s="28" t="s">
        <v>66</v>
      </c>
      <c r="K1576" s="28" t="s">
        <v>84</v>
      </c>
      <c r="L1576" s="28" t="s">
        <v>138</v>
      </c>
      <c r="M1576" s="28" t="s">
        <v>88</v>
      </c>
      <c r="N1576" s="28" t="s">
        <v>140</v>
      </c>
      <c r="O1576" s="29" t="n">
        <v>12</v>
      </c>
      <c r="P1576" s="30" t="n">
        <v>84.46</v>
      </c>
      <c r="Q1576" s="30" t="n">
        <v>49.47</v>
      </c>
      <c r="R1576" s="30" t="n">
        <f aca="false">ROUND(O1576*P1576,2)</f>
        <v>1013.52</v>
      </c>
      <c r="S1576" s="30" t="n">
        <f aca="false">ROUND(O1576*Q1576,2)</f>
        <v>593.64</v>
      </c>
      <c r="T1576" s="30" t="n">
        <f aca="false">ROUND(R1576*SUMIFS(Parametros!$E$23:$E$38,Parametros!$B$23:$B$38,J1576,Parametros!$C$23:$C$38,C1576,Parametros!$D$23:$D$38,D1576),2)</f>
        <v>14.19</v>
      </c>
      <c r="U1576" s="30" t="n">
        <f aca="false">R1576-S1576-T1576</f>
        <v>405.69</v>
      </c>
    </row>
    <row r="1577" customFormat="false" ht="15" hidden="false" customHeight="false" outlineLevel="0" collapsed="false">
      <c r="A1577" s="0" t="n">
        <v>1576</v>
      </c>
      <c r="B1577" s="27" t="n">
        <v>45764</v>
      </c>
      <c r="C1577" s="0" t="n">
        <v>2025</v>
      </c>
      <c r="D1577" s="28" t="s">
        <v>108</v>
      </c>
      <c r="E1577" s="0" t="n">
        <v>4</v>
      </c>
      <c r="F1577" s="28" t="s">
        <v>109</v>
      </c>
      <c r="G1577" s="28" t="s">
        <v>146</v>
      </c>
      <c r="H1577" s="28" t="s">
        <v>100</v>
      </c>
      <c r="I1577" s="28" t="s">
        <v>101</v>
      </c>
      <c r="J1577" s="28" t="s">
        <v>71</v>
      </c>
      <c r="K1577" s="28" t="s">
        <v>84</v>
      </c>
      <c r="L1577" s="28" t="s">
        <v>138</v>
      </c>
      <c r="M1577" s="28" t="s">
        <v>88</v>
      </c>
      <c r="N1577" s="28" t="s">
        <v>140</v>
      </c>
      <c r="O1577" s="29" t="n">
        <v>9</v>
      </c>
      <c r="P1577" s="30" t="n">
        <v>84.46</v>
      </c>
      <c r="Q1577" s="30" t="n">
        <v>49.47</v>
      </c>
      <c r="R1577" s="30" t="n">
        <f aca="false">ROUND(O1577*P1577,2)</f>
        <v>760.14</v>
      </c>
      <c r="S1577" s="30" t="n">
        <f aca="false">ROUND(O1577*Q1577,2)</f>
        <v>445.23</v>
      </c>
      <c r="T1577" s="30" t="n">
        <f aca="false">ROUND(R1577*SUMIFS(Parametros!$E$23:$E$38,Parametros!$B$23:$B$38,J1577,Parametros!$C$23:$C$38,C1577,Parametros!$D$23:$D$38,D1577),2)</f>
        <v>56.25</v>
      </c>
      <c r="U1577" s="30" t="n">
        <f aca="false">R1577-S1577-T1577</f>
        <v>258.66</v>
      </c>
    </row>
    <row r="1578" customFormat="false" ht="15" hidden="false" customHeight="false" outlineLevel="0" collapsed="false">
      <c r="A1578" s="0" t="n">
        <v>1577</v>
      </c>
      <c r="B1578" s="27" t="n">
        <v>45771</v>
      </c>
      <c r="C1578" s="0" t="n">
        <v>2025</v>
      </c>
      <c r="D1578" s="28" t="s">
        <v>108</v>
      </c>
      <c r="E1578" s="0" t="n">
        <v>4</v>
      </c>
      <c r="F1578" s="28" t="s">
        <v>109</v>
      </c>
      <c r="G1578" s="28" t="s">
        <v>146</v>
      </c>
      <c r="H1578" s="28" t="s">
        <v>100</v>
      </c>
      <c r="I1578" s="28" t="s">
        <v>101</v>
      </c>
      <c r="J1578" s="28" t="s">
        <v>66</v>
      </c>
      <c r="K1578" s="28" t="s">
        <v>90</v>
      </c>
      <c r="L1578" s="28" t="s">
        <v>141</v>
      </c>
      <c r="M1578" s="28" t="s">
        <v>92</v>
      </c>
      <c r="N1578" s="28" t="s">
        <v>142</v>
      </c>
      <c r="O1578" s="29" t="n">
        <v>17</v>
      </c>
      <c r="P1578" s="30" t="n">
        <v>129.17</v>
      </c>
      <c r="Q1578" s="30" t="n">
        <v>78.33</v>
      </c>
      <c r="R1578" s="30" t="n">
        <f aca="false">ROUND(O1578*P1578,2)</f>
        <v>2195.89</v>
      </c>
      <c r="S1578" s="30" t="n">
        <f aca="false">ROUND(O1578*Q1578,2)</f>
        <v>1331.61</v>
      </c>
      <c r="T1578" s="30" t="n">
        <f aca="false">ROUND(R1578*SUMIFS(Parametros!$E$23:$E$38,Parametros!$B$23:$B$38,J1578,Parametros!$C$23:$C$38,C1578,Parametros!$D$23:$D$38,D1578),2)</f>
        <v>30.74</v>
      </c>
      <c r="U1578" s="30" t="n">
        <f aca="false">R1578-S1578-T1578</f>
        <v>833.54</v>
      </c>
    </row>
    <row r="1579" customFormat="false" ht="15" hidden="false" customHeight="false" outlineLevel="0" collapsed="false">
      <c r="A1579" s="0" t="n">
        <v>1578</v>
      </c>
      <c r="B1579" s="27" t="n">
        <v>45751</v>
      </c>
      <c r="C1579" s="0" t="n">
        <v>2025</v>
      </c>
      <c r="D1579" s="28" t="s">
        <v>108</v>
      </c>
      <c r="E1579" s="0" t="n">
        <v>4</v>
      </c>
      <c r="F1579" s="28" t="s">
        <v>109</v>
      </c>
      <c r="G1579" s="28" t="s">
        <v>146</v>
      </c>
      <c r="H1579" s="28" t="s">
        <v>100</v>
      </c>
      <c r="I1579" s="28" t="s">
        <v>101</v>
      </c>
      <c r="J1579" s="28" t="s">
        <v>71</v>
      </c>
      <c r="K1579" s="28" t="s">
        <v>90</v>
      </c>
      <c r="L1579" s="28" t="s">
        <v>141</v>
      </c>
      <c r="M1579" s="28" t="s">
        <v>92</v>
      </c>
      <c r="N1579" s="28" t="s">
        <v>142</v>
      </c>
      <c r="O1579" s="29" t="n">
        <v>13</v>
      </c>
      <c r="P1579" s="30" t="n">
        <v>129.17</v>
      </c>
      <c r="Q1579" s="30" t="n">
        <v>78.33</v>
      </c>
      <c r="R1579" s="30" t="n">
        <f aca="false">ROUND(O1579*P1579,2)</f>
        <v>1679.21</v>
      </c>
      <c r="S1579" s="30" t="n">
        <f aca="false">ROUND(O1579*Q1579,2)</f>
        <v>1018.29</v>
      </c>
      <c r="T1579" s="30" t="n">
        <f aca="false">ROUND(R1579*SUMIFS(Parametros!$E$23:$E$38,Parametros!$B$23:$B$38,J1579,Parametros!$C$23:$C$38,C1579,Parametros!$D$23:$D$38,D1579),2)</f>
        <v>124.26</v>
      </c>
      <c r="U1579" s="30" t="n">
        <f aca="false">R1579-S1579-T1579</f>
        <v>536.66</v>
      </c>
    </row>
    <row r="1580" customFormat="false" ht="15" hidden="false" customHeight="false" outlineLevel="0" collapsed="false">
      <c r="A1580" s="0" t="n">
        <v>1579</v>
      </c>
      <c r="B1580" s="27" t="n">
        <v>45758</v>
      </c>
      <c r="C1580" s="0" t="n">
        <v>2025</v>
      </c>
      <c r="D1580" s="28" t="s">
        <v>108</v>
      </c>
      <c r="E1580" s="0" t="n">
        <v>4</v>
      </c>
      <c r="F1580" s="28" t="s">
        <v>109</v>
      </c>
      <c r="G1580" s="28" t="s">
        <v>146</v>
      </c>
      <c r="H1580" s="28" t="s">
        <v>100</v>
      </c>
      <c r="I1580" s="28" t="s">
        <v>101</v>
      </c>
      <c r="J1580" s="28" t="s">
        <v>66</v>
      </c>
      <c r="K1580" s="28" t="s">
        <v>90</v>
      </c>
      <c r="L1580" s="28" t="s">
        <v>141</v>
      </c>
      <c r="M1580" s="28" t="s">
        <v>94</v>
      </c>
      <c r="N1580" s="28" t="s">
        <v>143</v>
      </c>
      <c r="O1580" s="29" t="n">
        <v>18</v>
      </c>
      <c r="P1580" s="30" t="n">
        <v>34.78</v>
      </c>
      <c r="Q1580" s="30" t="n">
        <v>18.39</v>
      </c>
      <c r="R1580" s="30" t="n">
        <f aca="false">ROUND(O1580*P1580,2)</f>
        <v>626.04</v>
      </c>
      <c r="S1580" s="30" t="n">
        <f aca="false">ROUND(O1580*Q1580,2)</f>
        <v>331.02</v>
      </c>
      <c r="T1580" s="30" t="n">
        <f aca="false">ROUND(R1580*SUMIFS(Parametros!$E$23:$E$38,Parametros!$B$23:$B$38,J1580,Parametros!$C$23:$C$38,C1580,Parametros!$D$23:$D$38,D1580),2)</f>
        <v>8.76</v>
      </c>
      <c r="U1580" s="30" t="n">
        <f aca="false">R1580-S1580-T1580</f>
        <v>286.26</v>
      </c>
    </row>
    <row r="1581" customFormat="false" ht="15" hidden="false" customHeight="false" outlineLevel="0" collapsed="false">
      <c r="A1581" s="0" t="n">
        <v>1580</v>
      </c>
      <c r="B1581" s="27" t="n">
        <v>45765</v>
      </c>
      <c r="C1581" s="0" t="n">
        <v>2025</v>
      </c>
      <c r="D1581" s="28" t="s">
        <v>108</v>
      </c>
      <c r="E1581" s="0" t="n">
        <v>4</v>
      </c>
      <c r="F1581" s="28" t="s">
        <v>109</v>
      </c>
      <c r="G1581" s="28" t="s">
        <v>146</v>
      </c>
      <c r="H1581" s="28" t="s">
        <v>100</v>
      </c>
      <c r="I1581" s="28" t="s">
        <v>101</v>
      </c>
      <c r="J1581" s="28" t="s">
        <v>71</v>
      </c>
      <c r="K1581" s="28" t="s">
        <v>90</v>
      </c>
      <c r="L1581" s="28" t="s">
        <v>141</v>
      </c>
      <c r="M1581" s="28" t="s">
        <v>94</v>
      </c>
      <c r="N1581" s="28" t="s">
        <v>143</v>
      </c>
      <c r="O1581" s="29" t="n">
        <v>10</v>
      </c>
      <c r="P1581" s="30" t="n">
        <v>34.78</v>
      </c>
      <c r="Q1581" s="30" t="n">
        <v>18.39</v>
      </c>
      <c r="R1581" s="30" t="n">
        <f aca="false">ROUND(O1581*P1581,2)</f>
        <v>347.8</v>
      </c>
      <c r="S1581" s="30" t="n">
        <f aca="false">ROUND(O1581*Q1581,2)</f>
        <v>183.9</v>
      </c>
      <c r="T1581" s="30" t="n">
        <f aca="false">ROUND(R1581*SUMIFS(Parametros!$E$23:$E$38,Parametros!$B$23:$B$38,J1581,Parametros!$C$23:$C$38,C1581,Parametros!$D$23:$D$38,D1581),2)</f>
        <v>25.74</v>
      </c>
      <c r="U1581" s="30" t="n">
        <f aca="false">R1581-S1581-T1581</f>
        <v>138.16</v>
      </c>
    </row>
    <row r="1582" customFormat="false" ht="15" hidden="false" customHeight="false" outlineLevel="0" collapsed="false">
      <c r="A1582" s="0" t="n">
        <v>1581</v>
      </c>
      <c r="B1582" s="27" t="n">
        <v>45772</v>
      </c>
      <c r="C1582" s="0" t="n">
        <v>2025</v>
      </c>
      <c r="D1582" s="28" t="s">
        <v>108</v>
      </c>
      <c r="E1582" s="0" t="n">
        <v>4</v>
      </c>
      <c r="F1582" s="28" t="s">
        <v>109</v>
      </c>
      <c r="G1582" s="28" t="s">
        <v>146</v>
      </c>
      <c r="H1582" s="28" t="s">
        <v>102</v>
      </c>
      <c r="I1582" s="28" t="s">
        <v>103</v>
      </c>
      <c r="J1582" s="28" t="s">
        <v>66</v>
      </c>
      <c r="K1582" s="28" t="s">
        <v>67</v>
      </c>
      <c r="L1582" s="28" t="s">
        <v>130</v>
      </c>
      <c r="M1582" s="28" t="s">
        <v>69</v>
      </c>
      <c r="N1582" s="28" t="s">
        <v>131</v>
      </c>
      <c r="O1582" s="29" t="n">
        <v>5</v>
      </c>
      <c r="P1582" s="30" t="n">
        <v>1155.06</v>
      </c>
      <c r="Q1582" s="30" t="n">
        <v>766.32</v>
      </c>
      <c r="R1582" s="30" t="n">
        <f aca="false">ROUND(O1582*P1582,2)</f>
        <v>5775.3</v>
      </c>
      <c r="S1582" s="30" t="n">
        <f aca="false">ROUND(O1582*Q1582,2)</f>
        <v>3831.6</v>
      </c>
      <c r="T1582" s="30" t="n">
        <f aca="false">ROUND(R1582*SUMIFS(Parametros!$E$23:$E$38,Parametros!$B$23:$B$38,J1582,Parametros!$C$23:$C$38,C1582,Parametros!$D$23:$D$38,D1582),2)</f>
        <v>80.85</v>
      </c>
      <c r="U1582" s="30" t="n">
        <f aca="false">R1582-S1582-T1582</f>
        <v>1862.85</v>
      </c>
    </row>
    <row r="1583" customFormat="false" ht="15" hidden="false" customHeight="false" outlineLevel="0" collapsed="false">
      <c r="A1583" s="0" t="n">
        <v>1582</v>
      </c>
      <c r="B1583" s="27" t="n">
        <v>45752</v>
      </c>
      <c r="C1583" s="0" t="n">
        <v>2025</v>
      </c>
      <c r="D1583" s="28" t="s">
        <v>108</v>
      </c>
      <c r="E1583" s="0" t="n">
        <v>4</v>
      </c>
      <c r="F1583" s="28" t="s">
        <v>109</v>
      </c>
      <c r="G1583" s="28" t="s">
        <v>146</v>
      </c>
      <c r="H1583" s="28" t="s">
        <v>102</v>
      </c>
      <c r="I1583" s="28" t="s">
        <v>103</v>
      </c>
      <c r="J1583" s="28" t="s">
        <v>71</v>
      </c>
      <c r="K1583" s="28" t="s">
        <v>67</v>
      </c>
      <c r="L1583" s="28" t="s">
        <v>130</v>
      </c>
      <c r="M1583" s="28" t="s">
        <v>69</v>
      </c>
      <c r="N1583" s="28" t="s">
        <v>131</v>
      </c>
      <c r="O1583" s="29" t="n">
        <v>3</v>
      </c>
      <c r="P1583" s="30" t="n">
        <v>1155.06</v>
      </c>
      <c r="Q1583" s="30" t="n">
        <v>766.32</v>
      </c>
      <c r="R1583" s="30" t="n">
        <f aca="false">ROUND(O1583*P1583,2)</f>
        <v>3465.18</v>
      </c>
      <c r="S1583" s="30" t="n">
        <f aca="false">ROUND(O1583*Q1583,2)</f>
        <v>2298.96</v>
      </c>
      <c r="T1583" s="30" t="n">
        <f aca="false">ROUND(R1583*SUMIFS(Parametros!$E$23:$E$38,Parametros!$B$23:$B$38,J1583,Parametros!$C$23:$C$38,C1583,Parametros!$D$23:$D$38,D1583),2)</f>
        <v>256.42</v>
      </c>
      <c r="U1583" s="30" t="n">
        <f aca="false">R1583-S1583-T1583</f>
        <v>909.8</v>
      </c>
    </row>
    <row r="1584" customFormat="false" ht="15" hidden="false" customHeight="false" outlineLevel="0" collapsed="false">
      <c r="A1584" s="0" t="n">
        <v>1583</v>
      </c>
      <c r="B1584" s="27" t="n">
        <v>45759</v>
      </c>
      <c r="C1584" s="0" t="n">
        <v>2025</v>
      </c>
      <c r="D1584" s="28" t="s">
        <v>108</v>
      </c>
      <c r="E1584" s="0" t="n">
        <v>4</v>
      </c>
      <c r="F1584" s="28" t="s">
        <v>109</v>
      </c>
      <c r="G1584" s="28" t="s">
        <v>146</v>
      </c>
      <c r="H1584" s="28" t="s">
        <v>102</v>
      </c>
      <c r="I1584" s="28" t="s">
        <v>103</v>
      </c>
      <c r="J1584" s="28" t="s">
        <v>66</v>
      </c>
      <c r="K1584" s="28" t="s">
        <v>67</v>
      </c>
      <c r="L1584" s="28" t="s">
        <v>130</v>
      </c>
      <c r="M1584" s="28" t="s">
        <v>72</v>
      </c>
      <c r="N1584" s="28" t="s">
        <v>132</v>
      </c>
      <c r="O1584" s="29" t="n">
        <v>6</v>
      </c>
      <c r="P1584" s="30" t="n">
        <v>433.15</v>
      </c>
      <c r="Q1584" s="30" t="n">
        <v>280.42</v>
      </c>
      <c r="R1584" s="30" t="n">
        <f aca="false">ROUND(O1584*P1584,2)</f>
        <v>2598.9</v>
      </c>
      <c r="S1584" s="30" t="n">
        <f aca="false">ROUND(O1584*Q1584,2)</f>
        <v>1682.52</v>
      </c>
      <c r="T1584" s="30" t="n">
        <f aca="false">ROUND(R1584*SUMIFS(Parametros!$E$23:$E$38,Parametros!$B$23:$B$38,J1584,Parametros!$C$23:$C$38,C1584,Parametros!$D$23:$D$38,D1584),2)</f>
        <v>36.38</v>
      </c>
      <c r="U1584" s="30" t="n">
        <f aca="false">R1584-S1584-T1584</f>
        <v>880</v>
      </c>
    </row>
    <row r="1585" customFormat="false" ht="15" hidden="false" customHeight="false" outlineLevel="0" collapsed="false">
      <c r="A1585" s="0" t="n">
        <v>1584</v>
      </c>
      <c r="B1585" s="27" t="n">
        <v>45766</v>
      </c>
      <c r="C1585" s="0" t="n">
        <v>2025</v>
      </c>
      <c r="D1585" s="28" t="s">
        <v>108</v>
      </c>
      <c r="E1585" s="0" t="n">
        <v>4</v>
      </c>
      <c r="F1585" s="28" t="s">
        <v>109</v>
      </c>
      <c r="G1585" s="28" t="s">
        <v>146</v>
      </c>
      <c r="H1585" s="28" t="s">
        <v>102</v>
      </c>
      <c r="I1585" s="28" t="s">
        <v>103</v>
      </c>
      <c r="J1585" s="28" t="s">
        <v>71</v>
      </c>
      <c r="K1585" s="28" t="s">
        <v>67</v>
      </c>
      <c r="L1585" s="28" t="s">
        <v>130</v>
      </c>
      <c r="M1585" s="28" t="s">
        <v>72</v>
      </c>
      <c r="N1585" s="28" t="s">
        <v>132</v>
      </c>
      <c r="O1585" s="29" t="n">
        <v>4</v>
      </c>
      <c r="P1585" s="30" t="n">
        <v>433.15</v>
      </c>
      <c r="Q1585" s="30" t="n">
        <v>280.42</v>
      </c>
      <c r="R1585" s="30" t="n">
        <f aca="false">ROUND(O1585*P1585,2)</f>
        <v>1732.6</v>
      </c>
      <c r="S1585" s="30" t="n">
        <f aca="false">ROUND(O1585*Q1585,2)</f>
        <v>1121.68</v>
      </c>
      <c r="T1585" s="30" t="n">
        <f aca="false">ROUND(R1585*SUMIFS(Parametros!$E$23:$E$38,Parametros!$B$23:$B$38,J1585,Parametros!$C$23:$C$38,C1585,Parametros!$D$23:$D$38,D1585),2)</f>
        <v>128.21</v>
      </c>
      <c r="U1585" s="30" t="n">
        <f aca="false">R1585-S1585-T1585</f>
        <v>482.71</v>
      </c>
    </row>
    <row r="1586" customFormat="false" ht="15" hidden="false" customHeight="false" outlineLevel="0" collapsed="false">
      <c r="A1586" s="0" t="n">
        <v>1585</v>
      </c>
      <c r="B1586" s="27" t="n">
        <v>45773</v>
      </c>
      <c r="C1586" s="0" t="n">
        <v>2025</v>
      </c>
      <c r="D1586" s="28" t="s">
        <v>108</v>
      </c>
      <c r="E1586" s="0" t="n">
        <v>4</v>
      </c>
      <c r="F1586" s="28" t="s">
        <v>109</v>
      </c>
      <c r="G1586" s="28" t="s">
        <v>146</v>
      </c>
      <c r="H1586" s="28" t="s">
        <v>102</v>
      </c>
      <c r="I1586" s="28" t="s">
        <v>103</v>
      </c>
      <c r="J1586" s="28" t="s">
        <v>66</v>
      </c>
      <c r="K1586" s="28" t="s">
        <v>67</v>
      </c>
      <c r="L1586" s="28" t="s">
        <v>130</v>
      </c>
      <c r="M1586" s="28" t="s">
        <v>74</v>
      </c>
      <c r="N1586" s="28" t="s">
        <v>133</v>
      </c>
      <c r="O1586" s="29" t="n">
        <v>5</v>
      </c>
      <c r="P1586" s="30" t="n">
        <v>1588.21</v>
      </c>
      <c r="Q1586" s="30" t="n">
        <v>1155.66</v>
      </c>
      <c r="R1586" s="30" t="n">
        <f aca="false">ROUND(O1586*P1586,2)</f>
        <v>7941.05</v>
      </c>
      <c r="S1586" s="30" t="n">
        <f aca="false">ROUND(O1586*Q1586,2)</f>
        <v>5778.3</v>
      </c>
      <c r="T1586" s="30" t="n">
        <f aca="false">ROUND(R1586*SUMIFS(Parametros!$E$23:$E$38,Parametros!$B$23:$B$38,J1586,Parametros!$C$23:$C$38,C1586,Parametros!$D$23:$D$38,D1586),2)</f>
        <v>111.17</v>
      </c>
      <c r="U1586" s="30" t="n">
        <f aca="false">R1586-S1586-T1586</f>
        <v>2051.58</v>
      </c>
    </row>
    <row r="1587" customFormat="false" ht="15" hidden="false" customHeight="false" outlineLevel="0" collapsed="false">
      <c r="A1587" s="0" t="n">
        <v>1586</v>
      </c>
      <c r="B1587" s="27" t="n">
        <v>45753</v>
      </c>
      <c r="C1587" s="0" t="n">
        <v>2025</v>
      </c>
      <c r="D1587" s="28" t="s">
        <v>108</v>
      </c>
      <c r="E1587" s="0" t="n">
        <v>4</v>
      </c>
      <c r="F1587" s="28" t="s">
        <v>109</v>
      </c>
      <c r="G1587" s="28" t="s">
        <v>146</v>
      </c>
      <c r="H1587" s="28" t="s">
        <v>102</v>
      </c>
      <c r="I1587" s="28" t="s">
        <v>103</v>
      </c>
      <c r="J1587" s="28" t="s">
        <v>71</v>
      </c>
      <c r="K1587" s="28" t="s">
        <v>67</v>
      </c>
      <c r="L1587" s="28" t="s">
        <v>130</v>
      </c>
      <c r="M1587" s="28" t="s">
        <v>74</v>
      </c>
      <c r="N1587" s="28" t="s">
        <v>133</v>
      </c>
      <c r="O1587" s="29" t="n">
        <v>4</v>
      </c>
      <c r="P1587" s="30" t="n">
        <v>1588.21</v>
      </c>
      <c r="Q1587" s="30" t="n">
        <v>1155.66</v>
      </c>
      <c r="R1587" s="30" t="n">
        <f aca="false">ROUND(O1587*P1587,2)</f>
        <v>6352.84</v>
      </c>
      <c r="S1587" s="30" t="n">
        <f aca="false">ROUND(O1587*Q1587,2)</f>
        <v>4622.64</v>
      </c>
      <c r="T1587" s="30" t="n">
        <f aca="false">ROUND(R1587*SUMIFS(Parametros!$E$23:$E$38,Parametros!$B$23:$B$38,J1587,Parametros!$C$23:$C$38,C1587,Parametros!$D$23:$D$38,D1587),2)</f>
        <v>470.11</v>
      </c>
      <c r="U1587" s="30" t="n">
        <f aca="false">R1587-S1587-T1587</f>
        <v>1260.09</v>
      </c>
    </row>
    <row r="1588" customFormat="false" ht="15" hidden="false" customHeight="false" outlineLevel="0" collapsed="false">
      <c r="A1588" s="0" t="n">
        <v>1587</v>
      </c>
      <c r="B1588" s="27" t="n">
        <v>45760</v>
      </c>
      <c r="C1588" s="0" t="n">
        <v>2025</v>
      </c>
      <c r="D1588" s="28" t="s">
        <v>108</v>
      </c>
      <c r="E1588" s="0" t="n">
        <v>4</v>
      </c>
      <c r="F1588" s="28" t="s">
        <v>109</v>
      </c>
      <c r="G1588" s="28" t="s">
        <v>146</v>
      </c>
      <c r="H1588" s="28" t="s">
        <v>102</v>
      </c>
      <c r="I1588" s="28" t="s">
        <v>103</v>
      </c>
      <c r="J1588" s="28" t="s">
        <v>66</v>
      </c>
      <c r="K1588" s="28" t="s">
        <v>76</v>
      </c>
      <c r="L1588" s="28" t="s">
        <v>134</v>
      </c>
      <c r="M1588" s="28" t="s">
        <v>78</v>
      </c>
      <c r="N1588" s="28" t="s">
        <v>135</v>
      </c>
      <c r="O1588" s="29" t="n">
        <v>28</v>
      </c>
      <c r="P1588" s="30" t="n">
        <v>27.82</v>
      </c>
      <c r="Q1588" s="30" t="n">
        <v>13.84</v>
      </c>
      <c r="R1588" s="30" t="n">
        <f aca="false">ROUND(O1588*P1588,2)</f>
        <v>778.96</v>
      </c>
      <c r="S1588" s="30" t="n">
        <f aca="false">ROUND(O1588*Q1588,2)</f>
        <v>387.52</v>
      </c>
      <c r="T1588" s="30" t="n">
        <f aca="false">ROUND(R1588*SUMIFS(Parametros!$E$23:$E$38,Parametros!$B$23:$B$38,J1588,Parametros!$C$23:$C$38,C1588,Parametros!$D$23:$D$38,D1588),2)</f>
        <v>10.91</v>
      </c>
      <c r="U1588" s="30" t="n">
        <f aca="false">R1588-S1588-T1588</f>
        <v>380.53</v>
      </c>
    </row>
    <row r="1589" customFormat="false" ht="15" hidden="false" customHeight="false" outlineLevel="0" collapsed="false">
      <c r="A1589" s="0" t="n">
        <v>1588</v>
      </c>
      <c r="B1589" s="27" t="n">
        <v>45767</v>
      </c>
      <c r="C1589" s="0" t="n">
        <v>2025</v>
      </c>
      <c r="D1589" s="28" t="s">
        <v>108</v>
      </c>
      <c r="E1589" s="0" t="n">
        <v>4</v>
      </c>
      <c r="F1589" s="28" t="s">
        <v>109</v>
      </c>
      <c r="G1589" s="28" t="s">
        <v>146</v>
      </c>
      <c r="H1589" s="28" t="s">
        <v>102</v>
      </c>
      <c r="I1589" s="28" t="s">
        <v>103</v>
      </c>
      <c r="J1589" s="28" t="s">
        <v>71</v>
      </c>
      <c r="K1589" s="28" t="s">
        <v>76</v>
      </c>
      <c r="L1589" s="28" t="s">
        <v>134</v>
      </c>
      <c r="M1589" s="28" t="s">
        <v>78</v>
      </c>
      <c r="N1589" s="28" t="s">
        <v>135</v>
      </c>
      <c r="O1589" s="29" t="n">
        <v>16</v>
      </c>
      <c r="P1589" s="30" t="n">
        <v>27.82</v>
      </c>
      <c r="Q1589" s="30" t="n">
        <v>13.84</v>
      </c>
      <c r="R1589" s="30" t="n">
        <f aca="false">ROUND(O1589*P1589,2)</f>
        <v>445.12</v>
      </c>
      <c r="S1589" s="30" t="n">
        <f aca="false">ROUND(O1589*Q1589,2)</f>
        <v>221.44</v>
      </c>
      <c r="T1589" s="30" t="n">
        <f aca="false">ROUND(R1589*SUMIFS(Parametros!$E$23:$E$38,Parametros!$B$23:$B$38,J1589,Parametros!$C$23:$C$38,C1589,Parametros!$D$23:$D$38,D1589),2)</f>
        <v>32.94</v>
      </c>
      <c r="U1589" s="30" t="n">
        <f aca="false">R1589-S1589-T1589</f>
        <v>190.74</v>
      </c>
    </row>
    <row r="1590" customFormat="false" ht="15" hidden="false" customHeight="false" outlineLevel="0" collapsed="false">
      <c r="A1590" s="0" t="n">
        <v>1589</v>
      </c>
      <c r="B1590" s="27" t="n">
        <v>45774</v>
      </c>
      <c r="C1590" s="0" t="n">
        <v>2025</v>
      </c>
      <c r="D1590" s="28" t="s">
        <v>108</v>
      </c>
      <c r="E1590" s="0" t="n">
        <v>4</v>
      </c>
      <c r="F1590" s="28" t="s">
        <v>109</v>
      </c>
      <c r="G1590" s="28" t="s">
        <v>146</v>
      </c>
      <c r="H1590" s="28" t="s">
        <v>102</v>
      </c>
      <c r="I1590" s="28" t="s">
        <v>103</v>
      </c>
      <c r="J1590" s="28" t="s">
        <v>66</v>
      </c>
      <c r="K1590" s="28" t="s">
        <v>76</v>
      </c>
      <c r="L1590" s="28" t="s">
        <v>134</v>
      </c>
      <c r="M1590" s="28" t="s">
        <v>80</v>
      </c>
      <c r="N1590" s="28" t="s">
        <v>136</v>
      </c>
      <c r="O1590" s="29" t="n">
        <v>30</v>
      </c>
      <c r="P1590" s="30" t="n">
        <v>94.39</v>
      </c>
      <c r="Q1590" s="30" t="n">
        <v>49.41</v>
      </c>
      <c r="R1590" s="30" t="n">
        <f aca="false">ROUND(O1590*P1590,2)</f>
        <v>2831.7</v>
      </c>
      <c r="S1590" s="30" t="n">
        <f aca="false">ROUND(O1590*Q1590,2)</f>
        <v>1482.3</v>
      </c>
      <c r="T1590" s="30" t="n">
        <f aca="false">ROUND(R1590*SUMIFS(Parametros!$E$23:$E$38,Parametros!$B$23:$B$38,J1590,Parametros!$C$23:$C$38,C1590,Parametros!$D$23:$D$38,D1590),2)</f>
        <v>39.64</v>
      </c>
      <c r="U1590" s="30" t="n">
        <f aca="false">R1590-S1590-T1590</f>
        <v>1309.76</v>
      </c>
    </row>
    <row r="1591" customFormat="false" ht="15" hidden="false" customHeight="false" outlineLevel="0" collapsed="false">
      <c r="A1591" s="0" t="n">
        <v>1590</v>
      </c>
      <c r="B1591" s="27" t="n">
        <v>45754</v>
      </c>
      <c r="C1591" s="0" t="n">
        <v>2025</v>
      </c>
      <c r="D1591" s="28" t="s">
        <v>108</v>
      </c>
      <c r="E1591" s="0" t="n">
        <v>4</v>
      </c>
      <c r="F1591" s="28" t="s">
        <v>109</v>
      </c>
      <c r="G1591" s="28" t="s">
        <v>146</v>
      </c>
      <c r="H1591" s="28" t="s">
        <v>102</v>
      </c>
      <c r="I1591" s="28" t="s">
        <v>103</v>
      </c>
      <c r="J1591" s="28" t="s">
        <v>71</v>
      </c>
      <c r="K1591" s="28" t="s">
        <v>76</v>
      </c>
      <c r="L1591" s="28" t="s">
        <v>134</v>
      </c>
      <c r="M1591" s="28" t="s">
        <v>80</v>
      </c>
      <c r="N1591" s="28" t="s">
        <v>136</v>
      </c>
      <c r="O1591" s="29" t="n">
        <v>22</v>
      </c>
      <c r="P1591" s="30" t="n">
        <v>94.39</v>
      </c>
      <c r="Q1591" s="30" t="n">
        <v>49.41</v>
      </c>
      <c r="R1591" s="30" t="n">
        <f aca="false">ROUND(O1591*P1591,2)</f>
        <v>2076.58</v>
      </c>
      <c r="S1591" s="30" t="n">
        <f aca="false">ROUND(O1591*Q1591,2)</f>
        <v>1087.02</v>
      </c>
      <c r="T1591" s="30" t="n">
        <f aca="false">ROUND(R1591*SUMIFS(Parametros!$E$23:$E$38,Parametros!$B$23:$B$38,J1591,Parametros!$C$23:$C$38,C1591,Parametros!$D$23:$D$38,D1591),2)</f>
        <v>153.67</v>
      </c>
      <c r="U1591" s="30" t="n">
        <f aca="false">R1591-S1591-T1591</f>
        <v>835.89</v>
      </c>
    </row>
    <row r="1592" customFormat="false" ht="15" hidden="false" customHeight="false" outlineLevel="0" collapsed="false">
      <c r="A1592" s="0" t="n">
        <v>1591</v>
      </c>
      <c r="B1592" s="27" t="n">
        <v>45761</v>
      </c>
      <c r="C1592" s="0" t="n">
        <v>2025</v>
      </c>
      <c r="D1592" s="28" t="s">
        <v>108</v>
      </c>
      <c r="E1592" s="0" t="n">
        <v>4</v>
      </c>
      <c r="F1592" s="28" t="s">
        <v>109</v>
      </c>
      <c r="G1592" s="28" t="s">
        <v>146</v>
      </c>
      <c r="H1592" s="28" t="s">
        <v>102</v>
      </c>
      <c r="I1592" s="28" t="s">
        <v>103</v>
      </c>
      <c r="J1592" s="28" t="s">
        <v>66</v>
      </c>
      <c r="K1592" s="28" t="s">
        <v>76</v>
      </c>
      <c r="L1592" s="28" t="s">
        <v>134</v>
      </c>
      <c r="M1592" s="28" t="s">
        <v>82</v>
      </c>
      <c r="N1592" s="28" t="s">
        <v>137</v>
      </c>
      <c r="O1592" s="29" t="n">
        <v>31</v>
      </c>
      <c r="P1592" s="30" t="n">
        <v>64.58</v>
      </c>
      <c r="Q1592" s="30" t="n">
        <v>36.49</v>
      </c>
      <c r="R1592" s="30" t="n">
        <f aca="false">ROUND(O1592*P1592,2)</f>
        <v>2001.98</v>
      </c>
      <c r="S1592" s="30" t="n">
        <f aca="false">ROUND(O1592*Q1592,2)</f>
        <v>1131.19</v>
      </c>
      <c r="T1592" s="30" t="n">
        <f aca="false">ROUND(R1592*SUMIFS(Parametros!$E$23:$E$38,Parametros!$B$23:$B$38,J1592,Parametros!$C$23:$C$38,C1592,Parametros!$D$23:$D$38,D1592),2)</f>
        <v>28.03</v>
      </c>
      <c r="U1592" s="30" t="n">
        <f aca="false">R1592-S1592-T1592</f>
        <v>842.76</v>
      </c>
    </row>
    <row r="1593" customFormat="false" ht="15" hidden="false" customHeight="false" outlineLevel="0" collapsed="false">
      <c r="A1593" s="0" t="n">
        <v>1592</v>
      </c>
      <c r="B1593" s="27" t="n">
        <v>45768</v>
      </c>
      <c r="C1593" s="0" t="n">
        <v>2025</v>
      </c>
      <c r="D1593" s="28" t="s">
        <v>108</v>
      </c>
      <c r="E1593" s="0" t="n">
        <v>4</v>
      </c>
      <c r="F1593" s="28" t="s">
        <v>109</v>
      </c>
      <c r="G1593" s="28" t="s">
        <v>146</v>
      </c>
      <c r="H1593" s="28" t="s">
        <v>102</v>
      </c>
      <c r="I1593" s="28" t="s">
        <v>103</v>
      </c>
      <c r="J1593" s="28" t="s">
        <v>71</v>
      </c>
      <c r="K1593" s="28" t="s">
        <v>76</v>
      </c>
      <c r="L1593" s="28" t="s">
        <v>134</v>
      </c>
      <c r="M1593" s="28" t="s">
        <v>82</v>
      </c>
      <c r="N1593" s="28" t="s">
        <v>137</v>
      </c>
      <c r="O1593" s="29" t="n">
        <v>21</v>
      </c>
      <c r="P1593" s="30" t="n">
        <v>64.58</v>
      </c>
      <c r="Q1593" s="30" t="n">
        <v>36.49</v>
      </c>
      <c r="R1593" s="30" t="n">
        <f aca="false">ROUND(O1593*P1593,2)</f>
        <v>1356.18</v>
      </c>
      <c r="S1593" s="30" t="n">
        <f aca="false">ROUND(O1593*Q1593,2)</f>
        <v>766.29</v>
      </c>
      <c r="T1593" s="30" t="n">
        <f aca="false">ROUND(R1593*SUMIFS(Parametros!$E$23:$E$38,Parametros!$B$23:$B$38,J1593,Parametros!$C$23:$C$38,C1593,Parametros!$D$23:$D$38,D1593),2)</f>
        <v>100.36</v>
      </c>
      <c r="U1593" s="30" t="n">
        <f aca="false">R1593-S1593-T1593</f>
        <v>489.53</v>
      </c>
    </row>
    <row r="1594" customFormat="false" ht="15" hidden="false" customHeight="false" outlineLevel="0" collapsed="false">
      <c r="A1594" s="0" t="n">
        <v>1593</v>
      </c>
      <c r="B1594" s="27" t="n">
        <v>45748</v>
      </c>
      <c r="C1594" s="0" t="n">
        <v>2025</v>
      </c>
      <c r="D1594" s="28" t="s">
        <v>108</v>
      </c>
      <c r="E1594" s="0" t="n">
        <v>4</v>
      </c>
      <c r="F1594" s="28" t="s">
        <v>109</v>
      </c>
      <c r="G1594" s="28" t="s">
        <v>146</v>
      </c>
      <c r="H1594" s="28" t="s">
        <v>102</v>
      </c>
      <c r="I1594" s="28" t="s">
        <v>103</v>
      </c>
      <c r="J1594" s="28" t="s">
        <v>66</v>
      </c>
      <c r="K1594" s="28" t="s">
        <v>84</v>
      </c>
      <c r="L1594" s="28" t="s">
        <v>138</v>
      </c>
      <c r="M1594" s="28" t="s">
        <v>86</v>
      </c>
      <c r="N1594" s="28" t="s">
        <v>139</v>
      </c>
      <c r="O1594" s="29" t="n">
        <v>14</v>
      </c>
      <c r="P1594" s="30" t="n">
        <v>119.23</v>
      </c>
      <c r="Q1594" s="30" t="n">
        <v>65.51</v>
      </c>
      <c r="R1594" s="30" t="n">
        <f aca="false">ROUND(O1594*P1594,2)</f>
        <v>1669.22</v>
      </c>
      <c r="S1594" s="30" t="n">
        <f aca="false">ROUND(O1594*Q1594,2)</f>
        <v>917.14</v>
      </c>
      <c r="T1594" s="30" t="n">
        <f aca="false">ROUND(R1594*SUMIFS(Parametros!$E$23:$E$38,Parametros!$B$23:$B$38,J1594,Parametros!$C$23:$C$38,C1594,Parametros!$D$23:$D$38,D1594),2)</f>
        <v>23.37</v>
      </c>
      <c r="U1594" s="30" t="n">
        <f aca="false">R1594-S1594-T1594</f>
        <v>728.71</v>
      </c>
    </row>
    <row r="1595" customFormat="false" ht="15" hidden="false" customHeight="false" outlineLevel="0" collapsed="false">
      <c r="A1595" s="0" t="n">
        <v>1594</v>
      </c>
      <c r="B1595" s="27" t="n">
        <v>45755</v>
      </c>
      <c r="C1595" s="0" t="n">
        <v>2025</v>
      </c>
      <c r="D1595" s="28" t="s">
        <v>108</v>
      </c>
      <c r="E1595" s="0" t="n">
        <v>4</v>
      </c>
      <c r="F1595" s="28" t="s">
        <v>109</v>
      </c>
      <c r="G1595" s="28" t="s">
        <v>146</v>
      </c>
      <c r="H1595" s="28" t="s">
        <v>102</v>
      </c>
      <c r="I1595" s="28" t="s">
        <v>103</v>
      </c>
      <c r="J1595" s="28" t="s">
        <v>71</v>
      </c>
      <c r="K1595" s="28" t="s">
        <v>84</v>
      </c>
      <c r="L1595" s="28" t="s">
        <v>138</v>
      </c>
      <c r="M1595" s="28" t="s">
        <v>86</v>
      </c>
      <c r="N1595" s="28" t="s">
        <v>139</v>
      </c>
      <c r="O1595" s="29" t="n">
        <v>8</v>
      </c>
      <c r="P1595" s="30" t="n">
        <v>119.23</v>
      </c>
      <c r="Q1595" s="30" t="n">
        <v>65.51</v>
      </c>
      <c r="R1595" s="30" t="n">
        <f aca="false">ROUND(O1595*P1595,2)</f>
        <v>953.84</v>
      </c>
      <c r="S1595" s="30" t="n">
        <f aca="false">ROUND(O1595*Q1595,2)</f>
        <v>524.08</v>
      </c>
      <c r="T1595" s="30" t="n">
        <f aca="false">ROUND(R1595*SUMIFS(Parametros!$E$23:$E$38,Parametros!$B$23:$B$38,J1595,Parametros!$C$23:$C$38,C1595,Parametros!$D$23:$D$38,D1595),2)</f>
        <v>70.58</v>
      </c>
      <c r="U1595" s="30" t="n">
        <f aca="false">R1595-S1595-T1595</f>
        <v>359.18</v>
      </c>
    </row>
    <row r="1596" customFormat="false" ht="15" hidden="false" customHeight="false" outlineLevel="0" collapsed="false">
      <c r="A1596" s="0" t="n">
        <v>1595</v>
      </c>
      <c r="B1596" s="27" t="n">
        <v>45762</v>
      </c>
      <c r="C1596" s="0" t="n">
        <v>2025</v>
      </c>
      <c r="D1596" s="28" t="s">
        <v>108</v>
      </c>
      <c r="E1596" s="0" t="n">
        <v>4</v>
      </c>
      <c r="F1596" s="28" t="s">
        <v>109</v>
      </c>
      <c r="G1596" s="28" t="s">
        <v>146</v>
      </c>
      <c r="H1596" s="28" t="s">
        <v>102</v>
      </c>
      <c r="I1596" s="28" t="s">
        <v>103</v>
      </c>
      <c r="J1596" s="28" t="s">
        <v>66</v>
      </c>
      <c r="K1596" s="28" t="s">
        <v>84</v>
      </c>
      <c r="L1596" s="28" t="s">
        <v>138</v>
      </c>
      <c r="M1596" s="28" t="s">
        <v>88</v>
      </c>
      <c r="N1596" s="28" t="s">
        <v>140</v>
      </c>
      <c r="O1596" s="29" t="n">
        <v>13</v>
      </c>
      <c r="P1596" s="30" t="n">
        <v>84.46</v>
      </c>
      <c r="Q1596" s="30" t="n">
        <v>49.47</v>
      </c>
      <c r="R1596" s="30" t="n">
        <f aca="false">ROUND(O1596*P1596,2)</f>
        <v>1097.98</v>
      </c>
      <c r="S1596" s="30" t="n">
        <f aca="false">ROUND(O1596*Q1596,2)</f>
        <v>643.11</v>
      </c>
      <c r="T1596" s="30" t="n">
        <f aca="false">ROUND(R1596*SUMIFS(Parametros!$E$23:$E$38,Parametros!$B$23:$B$38,J1596,Parametros!$C$23:$C$38,C1596,Parametros!$D$23:$D$38,D1596),2)</f>
        <v>15.37</v>
      </c>
      <c r="U1596" s="30" t="n">
        <f aca="false">R1596-S1596-T1596</f>
        <v>439.5</v>
      </c>
    </row>
    <row r="1597" customFormat="false" ht="15" hidden="false" customHeight="false" outlineLevel="0" collapsed="false">
      <c r="A1597" s="0" t="n">
        <v>1596</v>
      </c>
      <c r="B1597" s="27" t="n">
        <v>45769</v>
      </c>
      <c r="C1597" s="0" t="n">
        <v>2025</v>
      </c>
      <c r="D1597" s="28" t="s">
        <v>108</v>
      </c>
      <c r="E1597" s="0" t="n">
        <v>4</v>
      </c>
      <c r="F1597" s="28" t="s">
        <v>109</v>
      </c>
      <c r="G1597" s="28" t="s">
        <v>146</v>
      </c>
      <c r="H1597" s="28" t="s">
        <v>102</v>
      </c>
      <c r="I1597" s="28" t="s">
        <v>103</v>
      </c>
      <c r="J1597" s="28" t="s">
        <v>71</v>
      </c>
      <c r="K1597" s="28" t="s">
        <v>84</v>
      </c>
      <c r="L1597" s="28" t="s">
        <v>138</v>
      </c>
      <c r="M1597" s="28" t="s">
        <v>88</v>
      </c>
      <c r="N1597" s="28" t="s">
        <v>140</v>
      </c>
      <c r="O1597" s="29" t="n">
        <v>8</v>
      </c>
      <c r="P1597" s="30" t="n">
        <v>84.46</v>
      </c>
      <c r="Q1597" s="30" t="n">
        <v>49.47</v>
      </c>
      <c r="R1597" s="30" t="n">
        <f aca="false">ROUND(O1597*P1597,2)</f>
        <v>675.68</v>
      </c>
      <c r="S1597" s="30" t="n">
        <f aca="false">ROUND(O1597*Q1597,2)</f>
        <v>395.76</v>
      </c>
      <c r="T1597" s="30" t="n">
        <f aca="false">ROUND(R1597*SUMIFS(Parametros!$E$23:$E$38,Parametros!$B$23:$B$38,J1597,Parametros!$C$23:$C$38,C1597,Parametros!$D$23:$D$38,D1597),2)</f>
        <v>50</v>
      </c>
      <c r="U1597" s="30" t="n">
        <f aca="false">R1597-S1597-T1597</f>
        <v>229.92</v>
      </c>
    </row>
    <row r="1598" customFormat="false" ht="15" hidden="false" customHeight="false" outlineLevel="0" collapsed="false">
      <c r="A1598" s="0" t="n">
        <v>1597</v>
      </c>
      <c r="B1598" s="27" t="n">
        <v>45749</v>
      </c>
      <c r="C1598" s="0" t="n">
        <v>2025</v>
      </c>
      <c r="D1598" s="28" t="s">
        <v>108</v>
      </c>
      <c r="E1598" s="0" t="n">
        <v>4</v>
      </c>
      <c r="F1598" s="28" t="s">
        <v>109</v>
      </c>
      <c r="G1598" s="28" t="s">
        <v>146</v>
      </c>
      <c r="H1598" s="28" t="s">
        <v>102</v>
      </c>
      <c r="I1598" s="28" t="s">
        <v>103</v>
      </c>
      <c r="J1598" s="28" t="s">
        <v>66</v>
      </c>
      <c r="K1598" s="28" t="s">
        <v>90</v>
      </c>
      <c r="L1598" s="28" t="s">
        <v>141</v>
      </c>
      <c r="M1598" s="28" t="s">
        <v>92</v>
      </c>
      <c r="N1598" s="28" t="s">
        <v>142</v>
      </c>
      <c r="O1598" s="29" t="n">
        <v>14</v>
      </c>
      <c r="P1598" s="30" t="n">
        <v>129.17</v>
      </c>
      <c r="Q1598" s="30" t="n">
        <v>78.33</v>
      </c>
      <c r="R1598" s="30" t="n">
        <f aca="false">ROUND(O1598*P1598,2)</f>
        <v>1808.38</v>
      </c>
      <c r="S1598" s="30" t="n">
        <f aca="false">ROUND(O1598*Q1598,2)</f>
        <v>1096.62</v>
      </c>
      <c r="T1598" s="30" t="n">
        <f aca="false">ROUND(R1598*SUMIFS(Parametros!$E$23:$E$38,Parametros!$B$23:$B$38,J1598,Parametros!$C$23:$C$38,C1598,Parametros!$D$23:$D$38,D1598),2)</f>
        <v>25.32</v>
      </c>
      <c r="U1598" s="30" t="n">
        <f aca="false">R1598-S1598-T1598</f>
        <v>686.44</v>
      </c>
    </row>
    <row r="1599" customFormat="false" ht="15" hidden="false" customHeight="false" outlineLevel="0" collapsed="false">
      <c r="A1599" s="0" t="n">
        <v>1598</v>
      </c>
      <c r="B1599" s="27" t="n">
        <v>45756</v>
      </c>
      <c r="C1599" s="0" t="n">
        <v>2025</v>
      </c>
      <c r="D1599" s="28" t="s">
        <v>108</v>
      </c>
      <c r="E1599" s="0" t="n">
        <v>4</v>
      </c>
      <c r="F1599" s="28" t="s">
        <v>109</v>
      </c>
      <c r="G1599" s="28" t="s">
        <v>146</v>
      </c>
      <c r="H1599" s="28" t="s">
        <v>102</v>
      </c>
      <c r="I1599" s="28" t="s">
        <v>103</v>
      </c>
      <c r="J1599" s="28" t="s">
        <v>71</v>
      </c>
      <c r="K1599" s="28" t="s">
        <v>90</v>
      </c>
      <c r="L1599" s="28" t="s">
        <v>141</v>
      </c>
      <c r="M1599" s="28" t="s">
        <v>92</v>
      </c>
      <c r="N1599" s="28" t="s">
        <v>142</v>
      </c>
      <c r="O1599" s="29" t="n">
        <v>11</v>
      </c>
      <c r="P1599" s="30" t="n">
        <v>129.17</v>
      </c>
      <c r="Q1599" s="30" t="n">
        <v>78.33</v>
      </c>
      <c r="R1599" s="30" t="n">
        <f aca="false">ROUND(O1599*P1599,2)</f>
        <v>1420.87</v>
      </c>
      <c r="S1599" s="30" t="n">
        <f aca="false">ROUND(O1599*Q1599,2)</f>
        <v>861.63</v>
      </c>
      <c r="T1599" s="30" t="n">
        <f aca="false">ROUND(R1599*SUMIFS(Parametros!$E$23:$E$38,Parametros!$B$23:$B$38,J1599,Parametros!$C$23:$C$38,C1599,Parametros!$D$23:$D$38,D1599),2)</f>
        <v>105.14</v>
      </c>
      <c r="U1599" s="30" t="n">
        <f aca="false">R1599-S1599-T1599</f>
        <v>454.1</v>
      </c>
    </row>
    <row r="1600" customFormat="false" ht="15" hidden="false" customHeight="false" outlineLevel="0" collapsed="false">
      <c r="A1600" s="0" t="n">
        <v>1599</v>
      </c>
      <c r="B1600" s="27" t="n">
        <v>45763</v>
      </c>
      <c r="C1600" s="0" t="n">
        <v>2025</v>
      </c>
      <c r="D1600" s="28" t="s">
        <v>108</v>
      </c>
      <c r="E1600" s="0" t="n">
        <v>4</v>
      </c>
      <c r="F1600" s="28" t="s">
        <v>109</v>
      </c>
      <c r="G1600" s="28" t="s">
        <v>146</v>
      </c>
      <c r="H1600" s="28" t="s">
        <v>102</v>
      </c>
      <c r="I1600" s="28" t="s">
        <v>103</v>
      </c>
      <c r="J1600" s="28" t="s">
        <v>66</v>
      </c>
      <c r="K1600" s="28" t="s">
        <v>90</v>
      </c>
      <c r="L1600" s="28" t="s">
        <v>141</v>
      </c>
      <c r="M1600" s="28" t="s">
        <v>94</v>
      </c>
      <c r="N1600" s="28" t="s">
        <v>143</v>
      </c>
      <c r="O1600" s="29" t="n">
        <v>16</v>
      </c>
      <c r="P1600" s="30" t="n">
        <v>34.78</v>
      </c>
      <c r="Q1600" s="30" t="n">
        <v>18.39</v>
      </c>
      <c r="R1600" s="30" t="n">
        <f aca="false">ROUND(O1600*P1600,2)</f>
        <v>556.48</v>
      </c>
      <c r="S1600" s="30" t="n">
        <f aca="false">ROUND(O1600*Q1600,2)</f>
        <v>294.24</v>
      </c>
      <c r="T1600" s="30" t="n">
        <f aca="false">ROUND(R1600*SUMIFS(Parametros!$E$23:$E$38,Parametros!$B$23:$B$38,J1600,Parametros!$C$23:$C$38,C1600,Parametros!$D$23:$D$38,D1600),2)</f>
        <v>7.79</v>
      </c>
      <c r="U1600" s="30" t="n">
        <f aca="false">R1600-S1600-T1600</f>
        <v>254.45</v>
      </c>
    </row>
    <row r="1601" customFormat="false" ht="15" hidden="false" customHeight="false" outlineLevel="0" collapsed="false">
      <c r="A1601" s="0" t="n">
        <v>1600</v>
      </c>
      <c r="B1601" s="27" t="n">
        <v>45770</v>
      </c>
      <c r="C1601" s="0" t="n">
        <v>2025</v>
      </c>
      <c r="D1601" s="28" t="s">
        <v>108</v>
      </c>
      <c r="E1601" s="0" t="n">
        <v>4</v>
      </c>
      <c r="F1601" s="28" t="s">
        <v>109</v>
      </c>
      <c r="G1601" s="28" t="s">
        <v>146</v>
      </c>
      <c r="H1601" s="28" t="s">
        <v>102</v>
      </c>
      <c r="I1601" s="28" t="s">
        <v>103</v>
      </c>
      <c r="J1601" s="28" t="s">
        <v>71</v>
      </c>
      <c r="K1601" s="28" t="s">
        <v>90</v>
      </c>
      <c r="L1601" s="28" t="s">
        <v>141</v>
      </c>
      <c r="M1601" s="28" t="s">
        <v>94</v>
      </c>
      <c r="N1601" s="28" t="s">
        <v>143</v>
      </c>
      <c r="O1601" s="29" t="n">
        <v>10</v>
      </c>
      <c r="P1601" s="30" t="n">
        <v>34.78</v>
      </c>
      <c r="Q1601" s="30" t="n">
        <v>18.39</v>
      </c>
      <c r="R1601" s="30" t="n">
        <f aca="false">ROUND(O1601*P1601,2)</f>
        <v>347.8</v>
      </c>
      <c r="S1601" s="30" t="n">
        <f aca="false">ROUND(O1601*Q1601,2)</f>
        <v>183.9</v>
      </c>
      <c r="T1601" s="30" t="n">
        <f aca="false">ROUND(R1601*SUMIFS(Parametros!$E$23:$E$38,Parametros!$B$23:$B$38,J1601,Parametros!$C$23:$C$38,C1601,Parametros!$D$23:$D$38,D1601),2)</f>
        <v>25.74</v>
      </c>
      <c r="U1601" s="30" t="n">
        <f aca="false">R1601-S1601-T1601</f>
        <v>138.16</v>
      </c>
    </row>
    <row r="1602" customFormat="false" ht="15" hidden="false" customHeight="false" outlineLevel="0" collapsed="false">
      <c r="A1602" s="0" t="n">
        <v>1601</v>
      </c>
      <c r="B1602" s="27" t="n">
        <v>45780</v>
      </c>
      <c r="C1602" s="0" t="n">
        <v>2025</v>
      </c>
      <c r="D1602" s="28" t="s">
        <v>108</v>
      </c>
      <c r="E1602" s="0" t="n">
        <v>5</v>
      </c>
      <c r="F1602" s="28" t="s">
        <v>111</v>
      </c>
      <c r="G1602" s="28" t="s">
        <v>147</v>
      </c>
      <c r="H1602" s="28" t="s">
        <v>64</v>
      </c>
      <c r="I1602" s="28" t="s">
        <v>65</v>
      </c>
      <c r="J1602" s="28" t="s">
        <v>66</v>
      </c>
      <c r="K1602" s="28" t="s">
        <v>67</v>
      </c>
      <c r="L1602" s="28" t="s">
        <v>130</v>
      </c>
      <c r="M1602" s="28" t="s">
        <v>69</v>
      </c>
      <c r="N1602" s="28" t="s">
        <v>131</v>
      </c>
      <c r="O1602" s="29" t="n">
        <v>23</v>
      </c>
      <c r="P1602" s="30" t="n">
        <v>1155.06</v>
      </c>
      <c r="Q1602" s="30" t="n">
        <v>766.32</v>
      </c>
      <c r="R1602" s="30" t="n">
        <f aca="false">ROUND(O1602*P1602,2)</f>
        <v>26566.38</v>
      </c>
      <c r="S1602" s="30" t="n">
        <f aca="false">ROUND(O1602*Q1602,2)</f>
        <v>17625.36</v>
      </c>
      <c r="T1602" s="30" t="n">
        <f aca="false">ROUND(R1602*SUMIFS(Parametros!$E$23:$E$38,Parametros!$B$23:$B$38,J1602,Parametros!$C$23:$C$38,C1602,Parametros!$D$23:$D$38,D1602),2)</f>
        <v>371.93</v>
      </c>
      <c r="U1602" s="30" t="n">
        <f aca="false">R1602-S1602-T1602</f>
        <v>8569.09</v>
      </c>
    </row>
    <row r="1603" customFormat="false" ht="15" hidden="false" customHeight="false" outlineLevel="0" collapsed="false">
      <c r="A1603" s="0" t="n">
        <v>1602</v>
      </c>
      <c r="B1603" s="27" t="n">
        <v>45787</v>
      </c>
      <c r="C1603" s="0" t="n">
        <v>2025</v>
      </c>
      <c r="D1603" s="28" t="s">
        <v>108</v>
      </c>
      <c r="E1603" s="0" t="n">
        <v>5</v>
      </c>
      <c r="F1603" s="28" t="s">
        <v>111</v>
      </c>
      <c r="G1603" s="28" t="s">
        <v>147</v>
      </c>
      <c r="H1603" s="28" t="s">
        <v>64</v>
      </c>
      <c r="I1603" s="28" t="s">
        <v>65</v>
      </c>
      <c r="J1603" s="28" t="s">
        <v>71</v>
      </c>
      <c r="K1603" s="28" t="s">
        <v>67</v>
      </c>
      <c r="L1603" s="28" t="s">
        <v>130</v>
      </c>
      <c r="M1603" s="28" t="s">
        <v>69</v>
      </c>
      <c r="N1603" s="28" t="s">
        <v>131</v>
      </c>
      <c r="O1603" s="29" t="n">
        <v>15</v>
      </c>
      <c r="P1603" s="30" t="n">
        <v>1155.06</v>
      </c>
      <c r="Q1603" s="30" t="n">
        <v>766.32</v>
      </c>
      <c r="R1603" s="30" t="n">
        <f aca="false">ROUND(O1603*P1603,2)</f>
        <v>17325.9</v>
      </c>
      <c r="S1603" s="30" t="n">
        <f aca="false">ROUND(O1603*Q1603,2)</f>
        <v>11494.8</v>
      </c>
      <c r="T1603" s="30" t="n">
        <f aca="false">ROUND(R1603*SUMIFS(Parametros!$E$23:$E$38,Parametros!$B$23:$B$38,J1603,Parametros!$C$23:$C$38,C1603,Parametros!$D$23:$D$38,D1603),2)</f>
        <v>1282.12</v>
      </c>
      <c r="U1603" s="30" t="n">
        <f aca="false">R1603-S1603-T1603</f>
        <v>4548.98</v>
      </c>
    </row>
    <row r="1604" customFormat="false" ht="15" hidden="false" customHeight="false" outlineLevel="0" collapsed="false">
      <c r="A1604" s="0" t="n">
        <v>1603</v>
      </c>
      <c r="B1604" s="27" t="n">
        <v>45794</v>
      </c>
      <c r="C1604" s="0" t="n">
        <v>2025</v>
      </c>
      <c r="D1604" s="28" t="s">
        <v>108</v>
      </c>
      <c r="E1604" s="0" t="n">
        <v>5</v>
      </c>
      <c r="F1604" s="28" t="s">
        <v>111</v>
      </c>
      <c r="G1604" s="28" t="s">
        <v>147</v>
      </c>
      <c r="H1604" s="28" t="s">
        <v>64</v>
      </c>
      <c r="I1604" s="28" t="s">
        <v>65</v>
      </c>
      <c r="J1604" s="28" t="s">
        <v>66</v>
      </c>
      <c r="K1604" s="28" t="s">
        <v>67</v>
      </c>
      <c r="L1604" s="28" t="s">
        <v>130</v>
      </c>
      <c r="M1604" s="28" t="s">
        <v>72</v>
      </c>
      <c r="N1604" s="28" t="s">
        <v>132</v>
      </c>
      <c r="O1604" s="29" t="n">
        <v>20</v>
      </c>
      <c r="P1604" s="30" t="n">
        <v>433.15</v>
      </c>
      <c r="Q1604" s="30" t="n">
        <v>280.42</v>
      </c>
      <c r="R1604" s="30" t="n">
        <f aca="false">ROUND(O1604*P1604,2)</f>
        <v>8663</v>
      </c>
      <c r="S1604" s="30" t="n">
        <f aca="false">ROUND(O1604*Q1604,2)</f>
        <v>5608.4</v>
      </c>
      <c r="T1604" s="30" t="n">
        <f aca="false">ROUND(R1604*SUMIFS(Parametros!$E$23:$E$38,Parametros!$B$23:$B$38,J1604,Parametros!$C$23:$C$38,C1604,Parametros!$D$23:$D$38,D1604),2)</f>
        <v>121.28</v>
      </c>
      <c r="U1604" s="30" t="n">
        <f aca="false">R1604-S1604-T1604</f>
        <v>2933.32</v>
      </c>
    </row>
    <row r="1605" customFormat="false" ht="15" hidden="false" customHeight="false" outlineLevel="0" collapsed="false">
      <c r="A1605" s="0" t="n">
        <v>1604</v>
      </c>
      <c r="B1605" s="27" t="n">
        <v>45801</v>
      </c>
      <c r="C1605" s="0" t="n">
        <v>2025</v>
      </c>
      <c r="D1605" s="28" t="s">
        <v>108</v>
      </c>
      <c r="E1605" s="0" t="n">
        <v>5</v>
      </c>
      <c r="F1605" s="28" t="s">
        <v>111</v>
      </c>
      <c r="G1605" s="28" t="s">
        <v>147</v>
      </c>
      <c r="H1605" s="28" t="s">
        <v>64</v>
      </c>
      <c r="I1605" s="28" t="s">
        <v>65</v>
      </c>
      <c r="J1605" s="28" t="s">
        <v>71</v>
      </c>
      <c r="K1605" s="28" t="s">
        <v>67</v>
      </c>
      <c r="L1605" s="28" t="s">
        <v>130</v>
      </c>
      <c r="M1605" s="28" t="s">
        <v>72</v>
      </c>
      <c r="N1605" s="28" t="s">
        <v>132</v>
      </c>
      <c r="O1605" s="29" t="n">
        <v>16</v>
      </c>
      <c r="P1605" s="30" t="n">
        <v>433.15</v>
      </c>
      <c r="Q1605" s="30" t="n">
        <v>280.42</v>
      </c>
      <c r="R1605" s="30" t="n">
        <f aca="false">ROUND(O1605*P1605,2)</f>
        <v>6930.4</v>
      </c>
      <c r="S1605" s="30" t="n">
        <f aca="false">ROUND(O1605*Q1605,2)</f>
        <v>4486.72</v>
      </c>
      <c r="T1605" s="30" t="n">
        <f aca="false">ROUND(R1605*SUMIFS(Parametros!$E$23:$E$38,Parametros!$B$23:$B$38,J1605,Parametros!$C$23:$C$38,C1605,Parametros!$D$23:$D$38,D1605),2)</f>
        <v>512.85</v>
      </c>
      <c r="U1605" s="30" t="n">
        <f aca="false">R1605-S1605-T1605</f>
        <v>1930.83</v>
      </c>
    </row>
    <row r="1606" customFormat="false" ht="15" hidden="false" customHeight="false" outlineLevel="0" collapsed="false">
      <c r="A1606" s="0" t="n">
        <v>1605</v>
      </c>
      <c r="B1606" s="27" t="n">
        <v>45781</v>
      </c>
      <c r="C1606" s="0" t="n">
        <v>2025</v>
      </c>
      <c r="D1606" s="28" t="s">
        <v>108</v>
      </c>
      <c r="E1606" s="0" t="n">
        <v>5</v>
      </c>
      <c r="F1606" s="28" t="s">
        <v>111</v>
      </c>
      <c r="G1606" s="28" t="s">
        <v>147</v>
      </c>
      <c r="H1606" s="28" t="s">
        <v>64</v>
      </c>
      <c r="I1606" s="28" t="s">
        <v>65</v>
      </c>
      <c r="J1606" s="28" t="s">
        <v>66</v>
      </c>
      <c r="K1606" s="28" t="s">
        <v>67</v>
      </c>
      <c r="L1606" s="28" t="s">
        <v>130</v>
      </c>
      <c r="M1606" s="28" t="s">
        <v>74</v>
      </c>
      <c r="N1606" s="28" t="s">
        <v>133</v>
      </c>
      <c r="O1606" s="29" t="n">
        <v>20</v>
      </c>
      <c r="P1606" s="30" t="n">
        <v>1588.21</v>
      </c>
      <c r="Q1606" s="30" t="n">
        <v>1155.66</v>
      </c>
      <c r="R1606" s="30" t="n">
        <f aca="false">ROUND(O1606*P1606,2)</f>
        <v>31764.2</v>
      </c>
      <c r="S1606" s="30" t="n">
        <f aca="false">ROUND(O1606*Q1606,2)</f>
        <v>23113.2</v>
      </c>
      <c r="T1606" s="30" t="n">
        <f aca="false">ROUND(R1606*SUMIFS(Parametros!$E$23:$E$38,Parametros!$B$23:$B$38,J1606,Parametros!$C$23:$C$38,C1606,Parametros!$D$23:$D$38,D1606),2)</f>
        <v>444.7</v>
      </c>
      <c r="U1606" s="30" t="n">
        <f aca="false">R1606-S1606-T1606</f>
        <v>8206.3</v>
      </c>
    </row>
    <row r="1607" customFormat="false" ht="15" hidden="false" customHeight="false" outlineLevel="0" collapsed="false">
      <c r="A1607" s="0" t="n">
        <v>1606</v>
      </c>
      <c r="B1607" s="27" t="n">
        <v>45788</v>
      </c>
      <c r="C1607" s="0" t="n">
        <v>2025</v>
      </c>
      <c r="D1607" s="28" t="s">
        <v>108</v>
      </c>
      <c r="E1607" s="0" t="n">
        <v>5</v>
      </c>
      <c r="F1607" s="28" t="s">
        <v>111</v>
      </c>
      <c r="G1607" s="28" t="s">
        <v>147</v>
      </c>
      <c r="H1607" s="28" t="s">
        <v>64</v>
      </c>
      <c r="I1607" s="28" t="s">
        <v>65</v>
      </c>
      <c r="J1607" s="28" t="s">
        <v>71</v>
      </c>
      <c r="K1607" s="28" t="s">
        <v>67</v>
      </c>
      <c r="L1607" s="28" t="s">
        <v>130</v>
      </c>
      <c r="M1607" s="28" t="s">
        <v>74</v>
      </c>
      <c r="N1607" s="28" t="s">
        <v>133</v>
      </c>
      <c r="O1607" s="29" t="n">
        <v>13</v>
      </c>
      <c r="P1607" s="30" t="n">
        <v>1588.21</v>
      </c>
      <c r="Q1607" s="30" t="n">
        <v>1155.66</v>
      </c>
      <c r="R1607" s="30" t="n">
        <f aca="false">ROUND(O1607*P1607,2)</f>
        <v>20646.73</v>
      </c>
      <c r="S1607" s="30" t="n">
        <f aca="false">ROUND(O1607*Q1607,2)</f>
        <v>15023.58</v>
      </c>
      <c r="T1607" s="30" t="n">
        <f aca="false">ROUND(R1607*SUMIFS(Parametros!$E$23:$E$38,Parametros!$B$23:$B$38,J1607,Parametros!$C$23:$C$38,C1607,Parametros!$D$23:$D$38,D1607),2)</f>
        <v>1527.86</v>
      </c>
      <c r="U1607" s="30" t="n">
        <f aca="false">R1607-S1607-T1607</f>
        <v>4095.29</v>
      </c>
    </row>
    <row r="1608" customFormat="false" ht="15" hidden="false" customHeight="false" outlineLevel="0" collapsed="false">
      <c r="A1608" s="0" t="n">
        <v>1607</v>
      </c>
      <c r="B1608" s="27" t="n">
        <v>45795</v>
      </c>
      <c r="C1608" s="0" t="n">
        <v>2025</v>
      </c>
      <c r="D1608" s="28" t="s">
        <v>108</v>
      </c>
      <c r="E1608" s="0" t="n">
        <v>5</v>
      </c>
      <c r="F1608" s="28" t="s">
        <v>111</v>
      </c>
      <c r="G1608" s="28" t="s">
        <v>147</v>
      </c>
      <c r="H1608" s="28" t="s">
        <v>64</v>
      </c>
      <c r="I1608" s="28" t="s">
        <v>65</v>
      </c>
      <c r="J1608" s="28" t="s">
        <v>66</v>
      </c>
      <c r="K1608" s="28" t="s">
        <v>76</v>
      </c>
      <c r="L1608" s="28" t="s">
        <v>134</v>
      </c>
      <c r="M1608" s="28" t="s">
        <v>78</v>
      </c>
      <c r="N1608" s="28" t="s">
        <v>135</v>
      </c>
      <c r="O1608" s="29" t="n">
        <v>106</v>
      </c>
      <c r="P1608" s="30" t="n">
        <v>27.82</v>
      </c>
      <c r="Q1608" s="30" t="n">
        <v>13.84</v>
      </c>
      <c r="R1608" s="30" t="n">
        <f aca="false">ROUND(O1608*P1608,2)</f>
        <v>2948.92</v>
      </c>
      <c r="S1608" s="30" t="n">
        <f aca="false">ROUND(O1608*Q1608,2)</f>
        <v>1467.04</v>
      </c>
      <c r="T1608" s="30" t="n">
        <f aca="false">ROUND(R1608*SUMIFS(Parametros!$E$23:$E$38,Parametros!$B$23:$B$38,J1608,Parametros!$C$23:$C$38,C1608,Parametros!$D$23:$D$38,D1608),2)</f>
        <v>41.28</v>
      </c>
      <c r="U1608" s="30" t="n">
        <f aca="false">R1608-S1608-T1608</f>
        <v>1440.6</v>
      </c>
    </row>
    <row r="1609" customFormat="false" ht="15" hidden="false" customHeight="false" outlineLevel="0" collapsed="false">
      <c r="A1609" s="0" t="n">
        <v>1608</v>
      </c>
      <c r="B1609" s="27" t="n">
        <v>45802</v>
      </c>
      <c r="C1609" s="0" t="n">
        <v>2025</v>
      </c>
      <c r="D1609" s="28" t="s">
        <v>108</v>
      </c>
      <c r="E1609" s="0" t="n">
        <v>5</v>
      </c>
      <c r="F1609" s="28" t="s">
        <v>111</v>
      </c>
      <c r="G1609" s="28" t="s">
        <v>147</v>
      </c>
      <c r="H1609" s="28" t="s">
        <v>64</v>
      </c>
      <c r="I1609" s="28" t="s">
        <v>65</v>
      </c>
      <c r="J1609" s="28" t="s">
        <v>71</v>
      </c>
      <c r="K1609" s="28" t="s">
        <v>76</v>
      </c>
      <c r="L1609" s="28" t="s">
        <v>134</v>
      </c>
      <c r="M1609" s="28" t="s">
        <v>78</v>
      </c>
      <c r="N1609" s="28" t="s">
        <v>135</v>
      </c>
      <c r="O1609" s="29" t="n">
        <v>61</v>
      </c>
      <c r="P1609" s="30" t="n">
        <v>27.82</v>
      </c>
      <c r="Q1609" s="30" t="n">
        <v>13.84</v>
      </c>
      <c r="R1609" s="30" t="n">
        <f aca="false">ROUND(O1609*P1609,2)</f>
        <v>1697.02</v>
      </c>
      <c r="S1609" s="30" t="n">
        <f aca="false">ROUND(O1609*Q1609,2)</f>
        <v>844.24</v>
      </c>
      <c r="T1609" s="30" t="n">
        <f aca="false">ROUND(R1609*SUMIFS(Parametros!$E$23:$E$38,Parametros!$B$23:$B$38,J1609,Parametros!$C$23:$C$38,C1609,Parametros!$D$23:$D$38,D1609),2)</f>
        <v>125.58</v>
      </c>
      <c r="U1609" s="30" t="n">
        <f aca="false">R1609-S1609-T1609</f>
        <v>727.2</v>
      </c>
    </row>
    <row r="1610" customFormat="false" ht="15" hidden="false" customHeight="false" outlineLevel="0" collapsed="false">
      <c r="A1610" s="0" t="n">
        <v>1609</v>
      </c>
      <c r="B1610" s="27" t="n">
        <v>45782</v>
      </c>
      <c r="C1610" s="0" t="n">
        <v>2025</v>
      </c>
      <c r="D1610" s="28" t="s">
        <v>108</v>
      </c>
      <c r="E1610" s="0" t="n">
        <v>5</v>
      </c>
      <c r="F1610" s="28" t="s">
        <v>111</v>
      </c>
      <c r="G1610" s="28" t="s">
        <v>147</v>
      </c>
      <c r="H1610" s="28" t="s">
        <v>64</v>
      </c>
      <c r="I1610" s="28" t="s">
        <v>65</v>
      </c>
      <c r="J1610" s="28" t="s">
        <v>66</v>
      </c>
      <c r="K1610" s="28" t="s">
        <v>76</v>
      </c>
      <c r="L1610" s="28" t="s">
        <v>134</v>
      </c>
      <c r="M1610" s="28" t="s">
        <v>80</v>
      </c>
      <c r="N1610" s="28" t="s">
        <v>136</v>
      </c>
      <c r="O1610" s="29" t="n">
        <v>83</v>
      </c>
      <c r="P1610" s="30" t="n">
        <v>94.39</v>
      </c>
      <c r="Q1610" s="30" t="n">
        <v>49.41</v>
      </c>
      <c r="R1610" s="30" t="n">
        <f aca="false">ROUND(O1610*P1610,2)</f>
        <v>7834.37</v>
      </c>
      <c r="S1610" s="30" t="n">
        <f aca="false">ROUND(O1610*Q1610,2)</f>
        <v>4101.03</v>
      </c>
      <c r="T1610" s="30" t="n">
        <f aca="false">ROUND(R1610*SUMIFS(Parametros!$E$23:$E$38,Parametros!$B$23:$B$38,J1610,Parametros!$C$23:$C$38,C1610,Parametros!$D$23:$D$38,D1610),2)</f>
        <v>109.68</v>
      </c>
      <c r="U1610" s="30" t="n">
        <f aca="false">R1610-S1610-T1610</f>
        <v>3623.66</v>
      </c>
    </row>
    <row r="1611" customFormat="false" ht="15" hidden="false" customHeight="false" outlineLevel="0" collapsed="false">
      <c r="A1611" s="0" t="n">
        <v>1610</v>
      </c>
      <c r="B1611" s="27" t="n">
        <v>45789</v>
      </c>
      <c r="C1611" s="0" t="n">
        <v>2025</v>
      </c>
      <c r="D1611" s="28" t="s">
        <v>108</v>
      </c>
      <c r="E1611" s="0" t="n">
        <v>5</v>
      </c>
      <c r="F1611" s="28" t="s">
        <v>111</v>
      </c>
      <c r="G1611" s="28" t="s">
        <v>147</v>
      </c>
      <c r="H1611" s="28" t="s">
        <v>64</v>
      </c>
      <c r="I1611" s="28" t="s">
        <v>65</v>
      </c>
      <c r="J1611" s="28" t="s">
        <v>71</v>
      </c>
      <c r="K1611" s="28" t="s">
        <v>76</v>
      </c>
      <c r="L1611" s="28" t="s">
        <v>134</v>
      </c>
      <c r="M1611" s="28" t="s">
        <v>80</v>
      </c>
      <c r="N1611" s="28" t="s">
        <v>136</v>
      </c>
      <c r="O1611" s="29" t="n">
        <v>71</v>
      </c>
      <c r="P1611" s="30" t="n">
        <v>94.39</v>
      </c>
      <c r="Q1611" s="30" t="n">
        <v>49.41</v>
      </c>
      <c r="R1611" s="30" t="n">
        <f aca="false">ROUND(O1611*P1611,2)</f>
        <v>6701.69</v>
      </c>
      <c r="S1611" s="30" t="n">
        <f aca="false">ROUND(O1611*Q1611,2)</f>
        <v>3508.11</v>
      </c>
      <c r="T1611" s="30" t="n">
        <f aca="false">ROUND(R1611*SUMIFS(Parametros!$E$23:$E$38,Parametros!$B$23:$B$38,J1611,Parametros!$C$23:$C$38,C1611,Parametros!$D$23:$D$38,D1611),2)</f>
        <v>495.93</v>
      </c>
      <c r="U1611" s="30" t="n">
        <f aca="false">R1611-S1611-T1611</f>
        <v>2697.65</v>
      </c>
    </row>
    <row r="1612" customFormat="false" ht="15" hidden="false" customHeight="false" outlineLevel="0" collapsed="false">
      <c r="A1612" s="0" t="n">
        <v>1611</v>
      </c>
      <c r="B1612" s="27" t="n">
        <v>45796</v>
      </c>
      <c r="C1612" s="0" t="n">
        <v>2025</v>
      </c>
      <c r="D1612" s="28" t="s">
        <v>108</v>
      </c>
      <c r="E1612" s="0" t="n">
        <v>5</v>
      </c>
      <c r="F1612" s="28" t="s">
        <v>111</v>
      </c>
      <c r="G1612" s="28" t="s">
        <v>147</v>
      </c>
      <c r="H1612" s="28" t="s">
        <v>64</v>
      </c>
      <c r="I1612" s="28" t="s">
        <v>65</v>
      </c>
      <c r="J1612" s="28" t="s">
        <v>66</v>
      </c>
      <c r="K1612" s="28" t="s">
        <v>76</v>
      </c>
      <c r="L1612" s="28" t="s">
        <v>134</v>
      </c>
      <c r="M1612" s="28" t="s">
        <v>82</v>
      </c>
      <c r="N1612" s="28" t="s">
        <v>137</v>
      </c>
      <c r="O1612" s="29" t="n">
        <v>77</v>
      </c>
      <c r="P1612" s="30" t="n">
        <v>64.58</v>
      </c>
      <c r="Q1612" s="30" t="n">
        <v>36.49</v>
      </c>
      <c r="R1612" s="30" t="n">
        <f aca="false">ROUND(O1612*P1612,2)</f>
        <v>4972.66</v>
      </c>
      <c r="S1612" s="30" t="n">
        <f aca="false">ROUND(O1612*Q1612,2)</f>
        <v>2809.73</v>
      </c>
      <c r="T1612" s="30" t="n">
        <f aca="false">ROUND(R1612*SUMIFS(Parametros!$E$23:$E$38,Parametros!$B$23:$B$38,J1612,Parametros!$C$23:$C$38,C1612,Parametros!$D$23:$D$38,D1612),2)</f>
        <v>69.62</v>
      </c>
      <c r="U1612" s="30" t="n">
        <f aca="false">R1612-S1612-T1612</f>
        <v>2093.31</v>
      </c>
    </row>
    <row r="1613" customFormat="false" ht="15" hidden="false" customHeight="false" outlineLevel="0" collapsed="false">
      <c r="A1613" s="0" t="n">
        <v>1612</v>
      </c>
      <c r="B1613" s="27" t="n">
        <v>45803</v>
      </c>
      <c r="C1613" s="0" t="n">
        <v>2025</v>
      </c>
      <c r="D1613" s="28" t="s">
        <v>108</v>
      </c>
      <c r="E1613" s="0" t="n">
        <v>5</v>
      </c>
      <c r="F1613" s="28" t="s">
        <v>111</v>
      </c>
      <c r="G1613" s="28" t="s">
        <v>147</v>
      </c>
      <c r="H1613" s="28" t="s">
        <v>64</v>
      </c>
      <c r="I1613" s="28" t="s">
        <v>65</v>
      </c>
      <c r="J1613" s="28" t="s">
        <v>71</v>
      </c>
      <c r="K1613" s="28" t="s">
        <v>76</v>
      </c>
      <c r="L1613" s="28" t="s">
        <v>134</v>
      </c>
      <c r="M1613" s="28" t="s">
        <v>82</v>
      </c>
      <c r="N1613" s="28" t="s">
        <v>137</v>
      </c>
      <c r="O1613" s="29" t="n">
        <v>72</v>
      </c>
      <c r="P1613" s="30" t="n">
        <v>64.58</v>
      </c>
      <c r="Q1613" s="30" t="n">
        <v>36.49</v>
      </c>
      <c r="R1613" s="30" t="n">
        <f aca="false">ROUND(O1613*P1613,2)</f>
        <v>4649.76</v>
      </c>
      <c r="S1613" s="30" t="n">
        <f aca="false">ROUND(O1613*Q1613,2)</f>
        <v>2627.28</v>
      </c>
      <c r="T1613" s="30" t="n">
        <f aca="false">ROUND(R1613*SUMIFS(Parametros!$E$23:$E$38,Parametros!$B$23:$B$38,J1613,Parametros!$C$23:$C$38,C1613,Parametros!$D$23:$D$38,D1613),2)</f>
        <v>344.08</v>
      </c>
      <c r="U1613" s="30" t="n">
        <f aca="false">R1613-S1613-T1613</f>
        <v>1678.4</v>
      </c>
    </row>
    <row r="1614" customFormat="false" ht="15" hidden="false" customHeight="false" outlineLevel="0" collapsed="false">
      <c r="A1614" s="0" t="n">
        <v>1613</v>
      </c>
      <c r="B1614" s="27" t="n">
        <v>45783</v>
      </c>
      <c r="C1614" s="0" t="n">
        <v>2025</v>
      </c>
      <c r="D1614" s="28" t="s">
        <v>108</v>
      </c>
      <c r="E1614" s="0" t="n">
        <v>5</v>
      </c>
      <c r="F1614" s="28" t="s">
        <v>111</v>
      </c>
      <c r="G1614" s="28" t="s">
        <v>147</v>
      </c>
      <c r="H1614" s="28" t="s">
        <v>64</v>
      </c>
      <c r="I1614" s="28" t="s">
        <v>65</v>
      </c>
      <c r="J1614" s="28" t="s">
        <v>66</v>
      </c>
      <c r="K1614" s="28" t="s">
        <v>84</v>
      </c>
      <c r="L1614" s="28" t="s">
        <v>138</v>
      </c>
      <c r="M1614" s="28" t="s">
        <v>86</v>
      </c>
      <c r="N1614" s="28" t="s">
        <v>139</v>
      </c>
      <c r="O1614" s="29" t="n">
        <v>43</v>
      </c>
      <c r="P1614" s="30" t="n">
        <v>119.23</v>
      </c>
      <c r="Q1614" s="30" t="n">
        <v>65.51</v>
      </c>
      <c r="R1614" s="30" t="n">
        <f aca="false">ROUND(O1614*P1614,2)</f>
        <v>5126.89</v>
      </c>
      <c r="S1614" s="30" t="n">
        <f aca="false">ROUND(O1614*Q1614,2)</f>
        <v>2816.93</v>
      </c>
      <c r="T1614" s="30" t="n">
        <f aca="false">ROUND(R1614*SUMIFS(Parametros!$E$23:$E$38,Parametros!$B$23:$B$38,J1614,Parametros!$C$23:$C$38,C1614,Parametros!$D$23:$D$38,D1614),2)</f>
        <v>71.78</v>
      </c>
      <c r="U1614" s="30" t="n">
        <f aca="false">R1614-S1614-T1614</f>
        <v>2238.18</v>
      </c>
    </row>
    <row r="1615" customFormat="false" ht="15" hidden="false" customHeight="false" outlineLevel="0" collapsed="false">
      <c r="A1615" s="0" t="n">
        <v>1614</v>
      </c>
      <c r="B1615" s="27" t="n">
        <v>45790</v>
      </c>
      <c r="C1615" s="0" t="n">
        <v>2025</v>
      </c>
      <c r="D1615" s="28" t="s">
        <v>108</v>
      </c>
      <c r="E1615" s="0" t="n">
        <v>5</v>
      </c>
      <c r="F1615" s="28" t="s">
        <v>111</v>
      </c>
      <c r="G1615" s="28" t="s">
        <v>147</v>
      </c>
      <c r="H1615" s="28" t="s">
        <v>64</v>
      </c>
      <c r="I1615" s="28" t="s">
        <v>65</v>
      </c>
      <c r="J1615" s="28" t="s">
        <v>71</v>
      </c>
      <c r="K1615" s="28" t="s">
        <v>84</v>
      </c>
      <c r="L1615" s="28" t="s">
        <v>138</v>
      </c>
      <c r="M1615" s="28" t="s">
        <v>86</v>
      </c>
      <c r="N1615" s="28" t="s">
        <v>139</v>
      </c>
      <c r="O1615" s="29" t="n">
        <v>25</v>
      </c>
      <c r="P1615" s="30" t="n">
        <v>119.23</v>
      </c>
      <c r="Q1615" s="30" t="n">
        <v>65.51</v>
      </c>
      <c r="R1615" s="30" t="n">
        <f aca="false">ROUND(O1615*P1615,2)</f>
        <v>2980.75</v>
      </c>
      <c r="S1615" s="30" t="n">
        <f aca="false">ROUND(O1615*Q1615,2)</f>
        <v>1637.75</v>
      </c>
      <c r="T1615" s="30" t="n">
        <f aca="false">ROUND(R1615*SUMIFS(Parametros!$E$23:$E$38,Parametros!$B$23:$B$38,J1615,Parametros!$C$23:$C$38,C1615,Parametros!$D$23:$D$38,D1615),2)</f>
        <v>220.58</v>
      </c>
      <c r="U1615" s="30" t="n">
        <f aca="false">R1615-S1615-T1615</f>
        <v>1122.42</v>
      </c>
    </row>
    <row r="1616" customFormat="false" ht="15" hidden="false" customHeight="false" outlineLevel="0" collapsed="false">
      <c r="A1616" s="0" t="n">
        <v>1615</v>
      </c>
      <c r="B1616" s="27" t="n">
        <v>45797</v>
      </c>
      <c r="C1616" s="0" t="n">
        <v>2025</v>
      </c>
      <c r="D1616" s="28" t="s">
        <v>108</v>
      </c>
      <c r="E1616" s="0" t="n">
        <v>5</v>
      </c>
      <c r="F1616" s="28" t="s">
        <v>111</v>
      </c>
      <c r="G1616" s="28" t="s">
        <v>147</v>
      </c>
      <c r="H1616" s="28" t="s">
        <v>64</v>
      </c>
      <c r="I1616" s="28" t="s">
        <v>65</v>
      </c>
      <c r="J1616" s="28" t="s">
        <v>66</v>
      </c>
      <c r="K1616" s="28" t="s">
        <v>84</v>
      </c>
      <c r="L1616" s="28" t="s">
        <v>138</v>
      </c>
      <c r="M1616" s="28" t="s">
        <v>88</v>
      </c>
      <c r="N1616" s="28" t="s">
        <v>140</v>
      </c>
      <c r="O1616" s="29" t="n">
        <v>35</v>
      </c>
      <c r="P1616" s="30" t="n">
        <v>84.46</v>
      </c>
      <c r="Q1616" s="30" t="n">
        <v>49.47</v>
      </c>
      <c r="R1616" s="30" t="n">
        <f aca="false">ROUND(O1616*P1616,2)</f>
        <v>2956.1</v>
      </c>
      <c r="S1616" s="30" t="n">
        <f aca="false">ROUND(O1616*Q1616,2)</f>
        <v>1731.45</v>
      </c>
      <c r="T1616" s="30" t="n">
        <f aca="false">ROUND(R1616*SUMIFS(Parametros!$E$23:$E$38,Parametros!$B$23:$B$38,J1616,Parametros!$C$23:$C$38,C1616,Parametros!$D$23:$D$38,D1616),2)</f>
        <v>41.39</v>
      </c>
      <c r="U1616" s="30" t="n">
        <f aca="false">R1616-S1616-T1616</f>
        <v>1183.26</v>
      </c>
    </row>
    <row r="1617" customFormat="false" ht="15" hidden="false" customHeight="false" outlineLevel="0" collapsed="false">
      <c r="A1617" s="0" t="n">
        <v>1616</v>
      </c>
      <c r="B1617" s="27" t="n">
        <v>45804</v>
      </c>
      <c r="C1617" s="0" t="n">
        <v>2025</v>
      </c>
      <c r="D1617" s="28" t="s">
        <v>108</v>
      </c>
      <c r="E1617" s="0" t="n">
        <v>5</v>
      </c>
      <c r="F1617" s="28" t="s">
        <v>111</v>
      </c>
      <c r="G1617" s="28" t="s">
        <v>147</v>
      </c>
      <c r="H1617" s="28" t="s">
        <v>64</v>
      </c>
      <c r="I1617" s="28" t="s">
        <v>65</v>
      </c>
      <c r="J1617" s="28" t="s">
        <v>71</v>
      </c>
      <c r="K1617" s="28" t="s">
        <v>84</v>
      </c>
      <c r="L1617" s="28" t="s">
        <v>138</v>
      </c>
      <c r="M1617" s="28" t="s">
        <v>88</v>
      </c>
      <c r="N1617" s="28" t="s">
        <v>140</v>
      </c>
      <c r="O1617" s="29" t="n">
        <v>31</v>
      </c>
      <c r="P1617" s="30" t="n">
        <v>84.46</v>
      </c>
      <c r="Q1617" s="30" t="n">
        <v>49.47</v>
      </c>
      <c r="R1617" s="30" t="n">
        <f aca="false">ROUND(O1617*P1617,2)</f>
        <v>2618.26</v>
      </c>
      <c r="S1617" s="30" t="n">
        <f aca="false">ROUND(O1617*Q1617,2)</f>
        <v>1533.57</v>
      </c>
      <c r="T1617" s="30" t="n">
        <f aca="false">ROUND(R1617*SUMIFS(Parametros!$E$23:$E$38,Parametros!$B$23:$B$38,J1617,Parametros!$C$23:$C$38,C1617,Parametros!$D$23:$D$38,D1617),2)</f>
        <v>193.75</v>
      </c>
      <c r="U1617" s="30" t="n">
        <f aca="false">R1617-S1617-T1617</f>
        <v>890.94</v>
      </c>
    </row>
    <row r="1618" customFormat="false" ht="15" hidden="false" customHeight="false" outlineLevel="0" collapsed="false">
      <c r="A1618" s="0" t="n">
        <v>1617</v>
      </c>
      <c r="B1618" s="27" t="n">
        <v>45784</v>
      </c>
      <c r="C1618" s="0" t="n">
        <v>2025</v>
      </c>
      <c r="D1618" s="28" t="s">
        <v>108</v>
      </c>
      <c r="E1618" s="0" t="n">
        <v>5</v>
      </c>
      <c r="F1618" s="28" t="s">
        <v>111</v>
      </c>
      <c r="G1618" s="28" t="s">
        <v>147</v>
      </c>
      <c r="H1618" s="28" t="s">
        <v>64</v>
      </c>
      <c r="I1618" s="28" t="s">
        <v>65</v>
      </c>
      <c r="J1618" s="28" t="s">
        <v>66</v>
      </c>
      <c r="K1618" s="28" t="s">
        <v>90</v>
      </c>
      <c r="L1618" s="28" t="s">
        <v>141</v>
      </c>
      <c r="M1618" s="28" t="s">
        <v>92</v>
      </c>
      <c r="N1618" s="28" t="s">
        <v>142</v>
      </c>
      <c r="O1618" s="29" t="n">
        <v>58</v>
      </c>
      <c r="P1618" s="30" t="n">
        <v>129.17</v>
      </c>
      <c r="Q1618" s="30" t="n">
        <v>78.33</v>
      </c>
      <c r="R1618" s="30" t="n">
        <f aca="false">ROUND(O1618*P1618,2)</f>
        <v>7491.86</v>
      </c>
      <c r="S1618" s="30" t="n">
        <f aca="false">ROUND(O1618*Q1618,2)</f>
        <v>4543.14</v>
      </c>
      <c r="T1618" s="30" t="n">
        <f aca="false">ROUND(R1618*SUMIFS(Parametros!$E$23:$E$38,Parametros!$B$23:$B$38,J1618,Parametros!$C$23:$C$38,C1618,Parametros!$D$23:$D$38,D1618),2)</f>
        <v>104.89</v>
      </c>
      <c r="U1618" s="30" t="n">
        <f aca="false">R1618-S1618-T1618</f>
        <v>2843.83</v>
      </c>
    </row>
    <row r="1619" customFormat="false" ht="15" hidden="false" customHeight="false" outlineLevel="0" collapsed="false">
      <c r="A1619" s="0" t="n">
        <v>1618</v>
      </c>
      <c r="B1619" s="27" t="n">
        <v>45791</v>
      </c>
      <c r="C1619" s="0" t="n">
        <v>2025</v>
      </c>
      <c r="D1619" s="28" t="s">
        <v>108</v>
      </c>
      <c r="E1619" s="0" t="n">
        <v>5</v>
      </c>
      <c r="F1619" s="28" t="s">
        <v>111</v>
      </c>
      <c r="G1619" s="28" t="s">
        <v>147</v>
      </c>
      <c r="H1619" s="28" t="s">
        <v>64</v>
      </c>
      <c r="I1619" s="28" t="s">
        <v>65</v>
      </c>
      <c r="J1619" s="28" t="s">
        <v>71</v>
      </c>
      <c r="K1619" s="28" t="s">
        <v>90</v>
      </c>
      <c r="L1619" s="28" t="s">
        <v>141</v>
      </c>
      <c r="M1619" s="28" t="s">
        <v>92</v>
      </c>
      <c r="N1619" s="28" t="s">
        <v>142</v>
      </c>
      <c r="O1619" s="29" t="n">
        <v>37</v>
      </c>
      <c r="P1619" s="30" t="n">
        <v>129.17</v>
      </c>
      <c r="Q1619" s="30" t="n">
        <v>78.33</v>
      </c>
      <c r="R1619" s="30" t="n">
        <f aca="false">ROUND(O1619*P1619,2)</f>
        <v>4779.29</v>
      </c>
      <c r="S1619" s="30" t="n">
        <f aca="false">ROUND(O1619*Q1619,2)</f>
        <v>2898.21</v>
      </c>
      <c r="T1619" s="30" t="n">
        <f aca="false">ROUND(R1619*SUMIFS(Parametros!$E$23:$E$38,Parametros!$B$23:$B$38,J1619,Parametros!$C$23:$C$38,C1619,Parametros!$D$23:$D$38,D1619),2)</f>
        <v>353.67</v>
      </c>
      <c r="U1619" s="30" t="n">
        <f aca="false">R1619-S1619-T1619</f>
        <v>1527.41</v>
      </c>
    </row>
    <row r="1620" customFormat="false" ht="15" hidden="false" customHeight="false" outlineLevel="0" collapsed="false">
      <c r="A1620" s="0" t="n">
        <v>1619</v>
      </c>
      <c r="B1620" s="27" t="n">
        <v>45798</v>
      </c>
      <c r="C1620" s="0" t="n">
        <v>2025</v>
      </c>
      <c r="D1620" s="28" t="s">
        <v>108</v>
      </c>
      <c r="E1620" s="0" t="n">
        <v>5</v>
      </c>
      <c r="F1620" s="28" t="s">
        <v>111</v>
      </c>
      <c r="G1620" s="28" t="s">
        <v>147</v>
      </c>
      <c r="H1620" s="28" t="s">
        <v>64</v>
      </c>
      <c r="I1620" s="28" t="s">
        <v>65</v>
      </c>
      <c r="J1620" s="28" t="s">
        <v>66</v>
      </c>
      <c r="K1620" s="28" t="s">
        <v>90</v>
      </c>
      <c r="L1620" s="28" t="s">
        <v>141</v>
      </c>
      <c r="M1620" s="28" t="s">
        <v>94</v>
      </c>
      <c r="N1620" s="28" t="s">
        <v>143</v>
      </c>
      <c r="O1620" s="29" t="n">
        <v>63</v>
      </c>
      <c r="P1620" s="30" t="n">
        <v>34.78</v>
      </c>
      <c r="Q1620" s="30" t="n">
        <v>18.39</v>
      </c>
      <c r="R1620" s="30" t="n">
        <f aca="false">ROUND(O1620*P1620,2)</f>
        <v>2191.14</v>
      </c>
      <c r="S1620" s="30" t="n">
        <f aca="false">ROUND(O1620*Q1620,2)</f>
        <v>1158.57</v>
      </c>
      <c r="T1620" s="30" t="n">
        <f aca="false">ROUND(R1620*SUMIFS(Parametros!$E$23:$E$38,Parametros!$B$23:$B$38,J1620,Parametros!$C$23:$C$38,C1620,Parametros!$D$23:$D$38,D1620),2)</f>
        <v>30.68</v>
      </c>
      <c r="U1620" s="30" t="n">
        <f aca="false">R1620-S1620-T1620</f>
        <v>1001.89</v>
      </c>
    </row>
    <row r="1621" customFormat="false" ht="15" hidden="false" customHeight="false" outlineLevel="0" collapsed="false">
      <c r="A1621" s="0" t="n">
        <v>1620</v>
      </c>
      <c r="B1621" s="27" t="n">
        <v>45778</v>
      </c>
      <c r="C1621" s="0" t="n">
        <v>2025</v>
      </c>
      <c r="D1621" s="28" t="s">
        <v>108</v>
      </c>
      <c r="E1621" s="0" t="n">
        <v>5</v>
      </c>
      <c r="F1621" s="28" t="s">
        <v>111</v>
      </c>
      <c r="G1621" s="28" t="s">
        <v>147</v>
      </c>
      <c r="H1621" s="28" t="s">
        <v>64</v>
      </c>
      <c r="I1621" s="28" t="s">
        <v>65</v>
      </c>
      <c r="J1621" s="28" t="s">
        <v>71</v>
      </c>
      <c r="K1621" s="28" t="s">
        <v>90</v>
      </c>
      <c r="L1621" s="28" t="s">
        <v>141</v>
      </c>
      <c r="M1621" s="28" t="s">
        <v>94</v>
      </c>
      <c r="N1621" s="28" t="s">
        <v>143</v>
      </c>
      <c r="O1621" s="29" t="n">
        <v>42</v>
      </c>
      <c r="P1621" s="30" t="n">
        <v>34.78</v>
      </c>
      <c r="Q1621" s="30" t="n">
        <v>18.39</v>
      </c>
      <c r="R1621" s="30" t="n">
        <f aca="false">ROUND(O1621*P1621,2)</f>
        <v>1460.76</v>
      </c>
      <c r="S1621" s="30" t="n">
        <f aca="false">ROUND(O1621*Q1621,2)</f>
        <v>772.38</v>
      </c>
      <c r="T1621" s="30" t="n">
        <f aca="false">ROUND(R1621*SUMIFS(Parametros!$E$23:$E$38,Parametros!$B$23:$B$38,J1621,Parametros!$C$23:$C$38,C1621,Parametros!$D$23:$D$38,D1621),2)</f>
        <v>108.1</v>
      </c>
      <c r="U1621" s="30" t="n">
        <f aca="false">R1621-S1621-T1621</f>
        <v>580.28</v>
      </c>
    </row>
    <row r="1622" customFormat="false" ht="15" hidden="false" customHeight="false" outlineLevel="0" collapsed="false">
      <c r="A1622" s="0" t="n">
        <v>1621</v>
      </c>
      <c r="B1622" s="27" t="n">
        <v>45785</v>
      </c>
      <c r="C1622" s="0" t="n">
        <v>2025</v>
      </c>
      <c r="D1622" s="28" t="s">
        <v>108</v>
      </c>
      <c r="E1622" s="0" t="n">
        <v>5</v>
      </c>
      <c r="F1622" s="28" t="s">
        <v>111</v>
      </c>
      <c r="G1622" s="28" t="s">
        <v>147</v>
      </c>
      <c r="H1622" s="28" t="s">
        <v>96</v>
      </c>
      <c r="I1622" s="28" t="s">
        <v>97</v>
      </c>
      <c r="J1622" s="28" t="s">
        <v>66</v>
      </c>
      <c r="K1622" s="28" t="s">
        <v>67</v>
      </c>
      <c r="L1622" s="28" t="s">
        <v>130</v>
      </c>
      <c r="M1622" s="28" t="s">
        <v>69</v>
      </c>
      <c r="N1622" s="28" t="s">
        <v>131</v>
      </c>
      <c r="O1622" s="29" t="n">
        <v>14</v>
      </c>
      <c r="P1622" s="30" t="n">
        <v>1155.06</v>
      </c>
      <c r="Q1622" s="30" t="n">
        <v>766.32</v>
      </c>
      <c r="R1622" s="30" t="n">
        <f aca="false">ROUND(O1622*P1622,2)</f>
        <v>16170.84</v>
      </c>
      <c r="S1622" s="30" t="n">
        <f aca="false">ROUND(O1622*Q1622,2)</f>
        <v>10728.48</v>
      </c>
      <c r="T1622" s="30" t="n">
        <f aca="false">ROUND(R1622*SUMIFS(Parametros!$E$23:$E$38,Parametros!$B$23:$B$38,J1622,Parametros!$C$23:$C$38,C1622,Parametros!$D$23:$D$38,D1622),2)</f>
        <v>226.39</v>
      </c>
      <c r="U1622" s="30" t="n">
        <f aca="false">R1622-S1622-T1622</f>
        <v>5215.97</v>
      </c>
    </row>
    <row r="1623" customFormat="false" ht="15" hidden="false" customHeight="false" outlineLevel="0" collapsed="false">
      <c r="A1623" s="0" t="n">
        <v>1622</v>
      </c>
      <c r="B1623" s="27" t="n">
        <v>45792</v>
      </c>
      <c r="C1623" s="0" t="n">
        <v>2025</v>
      </c>
      <c r="D1623" s="28" t="s">
        <v>108</v>
      </c>
      <c r="E1623" s="0" t="n">
        <v>5</v>
      </c>
      <c r="F1623" s="28" t="s">
        <v>111</v>
      </c>
      <c r="G1623" s="28" t="s">
        <v>147</v>
      </c>
      <c r="H1623" s="28" t="s">
        <v>96</v>
      </c>
      <c r="I1623" s="28" t="s">
        <v>97</v>
      </c>
      <c r="J1623" s="28" t="s">
        <v>71</v>
      </c>
      <c r="K1623" s="28" t="s">
        <v>67</v>
      </c>
      <c r="L1623" s="28" t="s">
        <v>130</v>
      </c>
      <c r="M1623" s="28" t="s">
        <v>69</v>
      </c>
      <c r="N1623" s="28" t="s">
        <v>131</v>
      </c>
      <c r="O1623" s="29" t="n">
        <v>8</v>
      </c>
      <c r="P1623" s="30" t="n">
        <v>1155.06</v>
      </c>
      <c r="Q1623" s="30" t="n">
        <v>766.32</v>
      </c>
      <c r="R1623" s="30" t="n">
        <f aca="false">ROUND(O1623*P1623,2)</f>
        <v>9240.48</v>
      </c>
      <c r="S1623" s="30" t="n">
        <f aca="false">ROUND(O1623*Q1623,2)</f>
        <v>6130.56</v>
      </c>
      <c r="T1623" s="30" t="n">
        <f aca="false">ROUND(R1623*SUMIFS(Parametros!$E$23:$E$38,Parametros!$B$23:$B$38,J1623,Parametros!$C$23:$C$38,C1623,Parametros!$D$23:$D$38,D1623),2)</f>
        <v>683.8</v>
      </c>
      <c r="U1623" s="30" t="n">
        <f aca="false">R1623-S1623-T1623</f>
        <v>2426.12</v>
      </c>
    </row>
    <row r="1624" customFormat="false" ht="15" hidden="false" customHeight="false" outlineLevel="0" collapsed="false">
      <c r="A1624" s="0" t="n">
        <v>1623</v>
      </c>
      <c r="B1624" s="27" t="n">
        <v>45799</v>
      </c>
      <c r="C1624" s="0" t="n">
        <v>2025</v>
      </c>
      <c r="D1624" s="28" t="s">
        <v>108</v>
      </c>
      <c r="E1624" s="0" t="n">
        <v>5</v>
      </c>
      <c r="F1624" s="28" t="s">
        <v>111</v>
      </c>
      <c r="G1624" s="28" t="s">
        <v>147</v>
      </c>
      <c r="H1624" s="28" t="s">
        <v>96</v>
      </c>
      <c r="I1624" s="28" t="s">
        <v>97</v>
      </c>
      <c r="J1624" s="28" t="s">
        <v>66</v>
      </c>
      <c r="K1624" s="28" t="s">
        <v>67</v>
      </c>
      <c r="L1624" s="28" t="s">
        <v>130</v>
      </c>
      <c r="M1624" s="28" t="s">
        <v>72</v>
      </c>
      <c r="N1624" s="28" t="s">
        <v>132</v>
      </c>
      <c r="O1624" s="29" t="n">
        <v>11</v>
      </c>
      <c r="P1624" s="30" t="n">
        <v>433.15</v>
      </c>
      <c r="Q1624" s="30" t="n">
        <v>280.42</v>
      </c>
      <c r="R1624" s="30" t="n">
        <f aca="false">ROUND(O1624*P1624,2)</f>
        <v>4764.65</v>
      </c>
      <c r="S1624" s="30" t="n">
        <f aca="false">ROUND(O1624*Q1624,2)</f>
        <v>3084.62</v>
      </c>
      <c r="T1624" s="30" t="n">
        <f aca="false">ROUND(R1624*SUMIFS(Parametros!$E$23:$E$38,Parametros!$B$23:$B$38,J1624,Parametros!$C$23:$C$38,C1624,Parametros!$D$23:$D$38,D1624),2)</f>
        <v>66.71</v>
      </c>
      <c r="U1624" s="30" t="n">
        <f aca="false">R1624-S1624-T1624</f>
        <v>1613.32</v>
      </c>
    </row>
    <row r="1625" customFormat="false" ht="15" hidden="false" customHeight="false" outlineLevel="0" collapsed="false">
      <c r="A1625" s="0" t="n">
        <v>1624</v>
      </c>
      <c r="B1625" s="27" t="n">
        <v>45779</v>
      </c>
      <c r="C1625" s="0" t="n">
        <v>2025</v>
      </c>
      <c r="D1625" s="28" t="s">
        <v>108</v>
      </c>
      <c r="E1625" s="0" t="n">
        <v>5</v>
      </c>
      <c r="F1625" s="28" t="s">
        <v>111</v>
      </c>
      <c r="G1625" s="28" t="s">
        <v>147</v>
      </c>
      <c r="H1625" s="28" t="s">
        <v>96</v>
      </c>
      <c r="I1625" s="28" t="s">
        <v>97</v>
      </c>
      <c r="J1625" s="28" t="s">
        <v>71</v>
      </c>
      <c r="K1625" s="28" t="s">
        <v>67</v>
      </c>
      <c r="L1625" s="28" t="s">
        <v>130</v>
      </c>
      <c r="M1625" s="28" t="s">
        <v>72</v>
      </c>
      <c r="N1625" s="28" t="s">
        <v>132</v>
      </c>
      <c r="O1625" s="29" t="n">
        <v>9</v>
      </c>
      <c r="P1625" s="30" t="n">
        <v>433.15</v>
      </c>
      <c r="Q1625" s="30" t="n">
        <v>280.42</v>
      </c>
      <c r="R1625" s="30" t="n">
        <f aca="false">ROUND(O1625*P1625,2)</f>
        <v>3898.35</v>
      </c>
      <c r="S1625" s="30" t="n">
        <f aca="false">ROUND(O1625*Q1625,2)</f>
        <v>2523.78</v>
      </c>
      <c r="T1625" s="30" t="n">
        <f aca="false">ROUND(R1625*SUMIFS(Parametros!$E$23:$E$38,Parametros!$B$23:$B$38,J1625,Parametros!$C$23:$C$38,C1625,Parametros!$D$23:$D$38,D1625),2)</f>
        <v>288.48</v>
      </c>
      <c r="U1625" s="30" t="n">
        <f aca="false">R1625-S1625-T1625</f>
        <v>1086.09</v>
      </c>
    </row>
    <row r="1626" customFormat="false" ht="15" hidden="false" customHeight="false" outlineLevel="0" collapsed="false">
      <c r="A1626" s="0" t="n">
        <v>1625</v>
      </c>
      <c r="B1626" s="27" t="n">
        <v>45786</v>
      </c>
      <c r="C1626" s="0" t="n">
        <v>2025</v>
      </c>
      <c r="D1626" s="28" t="s">
        <v>108</v>
      </c>
      <c r="E1626" s="0" t="n">
        <v>5</v>
      </c>
      <c r="F1626" s="28" t="s">
        <v>111</v>
      </c>
      <c r="G1626" s="28" t="s">
        <v>147</v>
      </c>
      <c r="H1626" s="28" t="s">
        <v>96</v>
      </c>
      <c r="I1626" s="28" t="s">
        <v>97</v>
      </c>
      <c r="J1626" s="28" t="s">
        <v>66</v>
      </c>
      <c r="K1626" s="28" t="s">
        <v>67</v>
      </c>
      <c r="L1626" s="28" t="s">
        <v>130</v>
      </c>
      <c r="M1626" s="28" t="s">
        <v>74</v>
      </c>
      <c r="N1626" s="28" t="s">
        <v>133</v>
      </c>
      <c r="O1626" s="29" t="n">
        <v>11</v>
      </c>
      <c r="P1626" s="30" t="n">
        <v>1588.21</v>
      </c>
      <c r="Q1626" s="30" t="n">
        <v>1155.66</v>
      </c>
      <c r="R1626" s="30" t="n">
        <f aca="false">ROUND(O1626*P1626,2)</f>
        <v>17470.31</v>
      </c>
      <c r="S1626" s="30" t="n">
        <f aca="false">ROUND(O1626*Q1626,2)</f>
        <v>12712.26</v>
      </c>
      <c r="T1626" s="30" t="n">
        <f aca="false">ROUND(R1626*SUMIFS(Parametros!$E$23:$E$38,Parametros!$B$23:$B$38,J1626,Parametros!$C$23:$C$38,C1626,Parametros!$D$23:$D$38,D1626),2)</f>
        <v>244.58</v>
      </c>
      <c r="U1626" s="30" t="n">
        <f aca="false">R1626-S1626-T1626</f>
        <v>4513.47</v>
      </c>
    </row>
    <row r="1627" customFormat="false" ht="15" hidden="false" customHeight="false" outlineLevel="0" collapsed="false">
      <c r="A1627" s="0" t="n">
        <v>1626</v>
      </c>
      <c r="B1627" s="27" t="n">
        <v>45793</v>
      </c>
      <c r="C1627" s="0" t="n">
        <v>2025</v>
      </c>
      <c r="D1627" s="28" t="s">
        <v>108</v>
      </c>
      <c r="E1627" s="0" t="n">
        <v>5</v>
      </c>
      <c r="F1627" s="28" t="s">
        <v>111</v>
      </c>
      <c r="G1627" s="28" t="s">
        <v>147</v>
      </c>
      <c r="H1627" s="28" t="s">
        <v>96</v>
      </c>
      <c r="I1627" s="28" t="s">
        <v>97</v>
      </c>
      <c r="J1627" s="28" t="s">
        <v>71</v>
      </c>
      <c r="K1627" s="28" t="s">
        <v>67</v>
      </c>
      <c r="L1627" s="28" t="s">
        <v>130</v>
      </c>
      <c r="M1627" s="28" t="s">
        <v>74</v>
      </c>
      <c r="N1627" s="28" t="s">
        <v>133</v>
      </c>
      <c r="O1627" s="29" t="n">
        <v>9</v>
      </c>
      <c r="P1627" s="30" t="n">
        <v>1588.21</v>
      </c>
      <c r="Q1627" s="30" t="n">
        <v>1155.66</v>
      </c>
      <c r="R1627" s="30" t="n">
        <f aca="false">ROUND(O1627*P1627,2)</f>
        <v>14293.89</v>
      </c>
      <c r="S1627" s="30" t="n">
        <f aca="false">ROUND(O1627*Q1627,2)</f>
        <v>10400.94</v>
      </c>
      <c r="T1627" s="30" t="n">
        <f aca="false">ROUND(R1627*SUMIFS(Parametros!$E$23:$E$38,Parametros!$B$23:$B$38,J1627,Parametros!$C$23:$C$38,C1627,Parametros!$D$23:$D$38,D1627),2)</f>
        <v>1057.75</v>
      </c>
      <c r="U1627" s="30" t="n">
        <f aca="false">R1627-S1627-T1627</f>
        <v>2835.2</v>
      </c>
    </row>
    <row r="1628" customFormat="false" ht="15" hidden="false" customHeight="false" outlineLevel="0" collapsed="false">
      <c r="A1628" s="0" t="n">
        <v>1627</v>
      </c>
      <c r="B1628" s="27" t="n">
        <v>45800</v>
      </c>
      <c r="C1628" s="0" t="n">
        <v>2025</v>
      </c>
      <c r="D1628" s="28" t="s">
        <v>108</v>
      </c>
      <c r="E1628" s="0" t="n">
        <v>5</v>
      </c>
      <c r="F1628" s="28" t="s">
        <v>111</v>
      </c>
      <c r="G1628" s="28" t="s">
        <v>147</v>
      </c>
      <c r="H1628" s="28" t="s">
        <v>96</v>
      </c>
      <c r="I1628" s="28" t="s">
        <v>97</v>
      </c>
      <c r="J1628" s="28" t="s">
        <v>66</v>
      </c>
      <c r="K1628" s="28" t="s">
        <v>76</v>
      </c>
      <c r="L1628" s="28" t="s">
        <v>134</v>
      </c>
      <c r="M1628" s="28" t="s">
        <v>78</v>
      </c>
      <c r="N1628" s="28" t="s">
        <v>135</v>
      </c>
      <c r="O1628" s="29" t="n">
        <v>48</v>
      </c>
      <c r="P1628" s="30" t="n">
        <v>27.82</v>
      </c>
      <c r="Q1628" s="30" t="n">
        <v>13.84</v>
      </c>
      <c r="R1628" s="30" t="n">
        <f aca="false">ROUND(O1628*P1628,2)</f>
        <v>1335.36</v>
      </c>
      <c r="S1628" s="30" t="n">
        <f aca="false">ROUND(O1628*Q1628,2)</f>
        <v>664.32</v>
      </c>
      <c r="T1628" s="30" t="n">
        <f aca="false">ROUND(R1628*SUMIFS(Parametros!$E$23:$E$38,Parametros!$B$23:$B$38,J1628,Parametros!$C$23:$C$38,C1628,Parametros!$D$23:$D$38,D1628),2)</f>
        <v>18.7</v>
      </c>
      <c r="U1628" s="30" t="n">
        <f aca="false">R1628-S1628-T1628</f>
        <v>652.34</v>
      </c>
    </row>
    <row r="1629" customFormat="false" ht="15" hidden="false" customHeight="false" outlineLevel="0" collapsed="false">
      <c r="A1629" s="0" t="n">
        <v>1628</v>
      </c>
      <c r="B1629" s="27" t="n">
        <v>45780</v>
      </c>
      <c r="C1629" s="0" t="n">
        <v>2025</v>
      </c>
      <c r="D1629" s="28" t="s">
        <v>108</v>
      </c>
      <c r="E1629" s="0" t="n">
        <v>5</v>
      </c>
      <c r="F1629" s="28" t="s">
        <v>111</v>
      </c>
      <c r="G1629" s="28" t="s">
        <v>147</v>
      </c>
      <c r="H1629" s="28" t="s">
        <v>96</v>
      </c>
      <c r="I1629" s="28" t="s">
        <v>97</v>
      </c>
      <c r="J1629" s="28" t="s">
        <v>71</v>
      </c>
      <c r="K1629" s="28" t="s">
        <v>76</v>
      </c>
      <c r="L1629" s="28" t="s">
        <v>134</v>
      </c>
      <c r="M1629" s="28" t="s">
        <v>78</v>
      </c>
      <c r="N1629" s="28" t="s">
        <v>135</v>
      </c>
      <c r="O1629" s="29" t="n">
        <v>39</v>
      </c>
      <c r="P1629" s="30" t="n">
        <v>27.82</v>
      </c>
      <c r="Q1629" s="30" t="n">
        <v>13.84</v>
      </c>
      <c r="R1629" s="30" t="n">
        <f aca="false">ROUND(O1629*P1629,2)</f>
        <v>1084.98</v>
      </c>
      <c r="S1629" s="30" t="n">
        <f aca="false">ROUND(O1629*Q1629,2)</f>
        <v>539.76</v>
      </c>
      <c r="T1629" s="30" t="n">
        <f aca="false">ROUND(R1629*SUMIFS(Parametros!$E$23:$E$38,Parametros!$B$23:$B$38,J1629,Parametros!$C$23:$C$38,C1629,Parametros!$D$23:$D$38,D1629),2)</f>
        <v>80.29</v>
      </c>
      <c r="U1629" s="30" t="n">
        <f aca="false">R1629-S1629-T1629</f>
        <v>464.93</v>
      </c>
    </row>
    <row r="1630" customFormat="false" ht="15" hidden="false" customHeight="false" outlineLevel="0" collapsed="false">
      <c r="A1630" s="0" t="n">
        <v>1629</v>
      </c>
      <c r="B1630" s="27" t="n">
        <v>45787</v>
      </c>
      <c r="C1630" s="0" t="n">
        <v>2025</v>
      </c>
      <c r="D1630" s="28" t="s">
        <v>108</v>
      </c>
      <c r="E1630" s="0" t="n">
        <v>5</v>
      </c>
      <c r="F1630" s="28" t="s">
        <v>111</v>
      </c>
      <c r="G1630" s="28" t="s">
        <v>147</v>
      </c>
      <c r="H1630" s="28" t="s">
        <v>96</v>
      </c>
      <c r="I1630" s="28" t="s">
        <v>97</v>
      </c>
      <c r="J1630" s="28" t="s">
        <v>66</v>
      </c>
      <c r="K1630" s="28" t="s">
        <v>76</v>
      </c>
      <c r="L1630" s="28" t="s">
        <v>134</v>
      </c>
      <c r="M1630" s="28" t="s">
        <v>80</v>
      </c>
      <c r="N1630" s="28" t="s">
        <v>136</v>
      </c>
      <c r="O1630" s="29" t="n">
        <v>46</v>
      </c>
      <c r="P1630" s="30" t="n">
        <v>94.39</v>
      </c>
      <c r="Q1630" s="30" t="n">
        <v>49.41</v>
      </c>
      <c r="R1630" s="30" t="n">
        <f aca="false">ROUND(O1630*P1630,2)</f>
        <v>4341.94</v>
      </c>
      <c r="S1630" s="30" t="n">
        <f aca="false">ROUND(O1630*Q1630,2)</f>
        <v>2272.86</v>
      </c>
      <c r="T1630" s="30" t="n">
        <f aca="false">ROUND(R1630*SUMIFS(Parametros!$E$23:$E$38,Parametros!$B$23:$B$38,J1630,Parametros!$C$23:$C$38,C1630,Parametros!$D$23:$D$38,D1630),2)</f>
        <v>60.79</v>
      </c>
      <c r="U1630" s="30" t="n">
        <f aca="false">R1630-S1630-T1630</f>
        <v>2008.29</v>
      </c>
    </row>
    <row r="1631" customFormat="false" ht="15" hidden="false" customHeight="false" outlineLevel="0" collapsed="false">
      <c r="A1631" s="0" t="n">
        <v>1630</v>
      </c>
      <c r="B1631" s="27" t="n">
        <v>45794</v>
      </c>
      <c r="C1631" s="0" t="n">
        <v>2025</v>
      </c>
      <c r="D1631" s="28" t="s">
        <v>108</v>
      </c>
      <c r="E1631" s="0" t="n">
        <v>5</v>
      </c>
      <c r="F1631" s="28" t="s">
        <v>111</v>
      </c>
      <c r="G1631" s="28" t="s">
        <v>147</v>
      </c>
      <c r="H1631" s="28" t="s">
        <v>96</v>
      </c>
      <c r="I1631" s="28" t="s">
        <v>97</v>
      </c>
      <c r="J1631" s="28" t="s">
        <v>71</v>
      </c>
      <c r="K1631" s="28" t="s">
        <v>76</v>
      </c>
      <c r="L1631" s="28" t="s">
        <v>134</v>
      </c>
      <c r="M1631" s="28" t="s">
        <v>80</v>
      </c>
      <c r="N1631" s="28" t="s">
        <v>136</v>
      </c>
      <c r="O1631" s="29" t="n">
        <v>34</v>
      </c>
      <c r="P1631" s="30" t="n">
        <v>94.39</v>
      </c>
      <c r="Q1631" s="30" t="n">
        <v>49.41</v>
      </c>
      <c r="R1631" s="30" t="n">
        <f aca="false">ROUND(O1631*P1631,2)</f>
        <v>3209.26</v>
      </c>
      <c r="S1631" s="30" t="n">
        <f aca="false">ROUND(O1631*Q1631,2)</f>
        <v>1679.94</v>
      </c>
      <c r="T1631" s="30" t="n">
        <f aca="false">ROUND(R1631*SUMIFS(Parametros!$E$23:$E$38,Parametros!$B$23:$B$38,J1631,Parametros!$C$23:$C$38,C1631,Parametros!$D$23:$D$38,D1631),2)</f>
        <v>237.49</v>
      </c>
      <c r="U1631" s="30" t="n">
        <f aca="false">R1631-S1631-T1631</f>
        <v>1291.83</v>
      </c>
    </row>
    <row r="1632" customFormat="false" ht="15" hidden="false" customHeight="false" outlineLevel="0" collapsed="false">
      <c r="A1632" s="0" t="n">
        <v>1631</v>
      </c>
      <c r="B1632" s="27" t="n">
        <v>45801</v>
      </c>
      <c r="C1632" s="0" t="n">
        <v>2025</v>
      </c>
      <c r="D1632" s="28" t="s">
        <v>108</v>
      </c>
      <c r="E1632" s="0" t="n">
        <v>5</v>
      </c>
      <c r="F1632" s="28" t="s">
        <v>111</v>
      </c>
      <c r="G1632" s="28" t="s">
        <v>147</v>
      </c>
      <c r="H1632" s="28" t="s">
        <v>96</v>
      </c>
      <c r="I1632" s="28" t="s">
        <v>97</v>
      </c>
      <c r="J1632" s="28" t="s">
        <v>66</v>
      </c>
      <c r="K1632" s="28" t="s">
        <v>76</v>
      </c>
      <c r="L1632" s="28" t="s">
        <v>134</v>
      </c>
      <c r="M1632" s="28" t="s">
        <v>82</v>
      </c>
      <c r="N1632" s="28" t="s">
        <v>137</v>
      </c>
      <c r="O1632" s="29" t="n">
        <v>49</v>
      </c>
      <c r="P1632" s="30" t="n">
        <v>64.58</v>
      </c>
      <c r="Q1632" s="30" t="n">
        <v>36.49</v>
      </c>
      <c r="R1632" s="30" t="n">
        <f aca="false">ROUND(O1632*P1632,2)</f>
        <v>3164.42</v>
      </c>
      <c r="S1632" s="30" t="n">
        <f aca="false">ROUND(O1632*Q1632,2)</f>
        <v>1788.01</v>
      </c>
      <c r="T1632" s="30" t="n">
        <f aca="false">ROUND(R1632*SUMIFS(Parametros!$E$23:$E$38,Parametros!$B$23:$B$38,J1632,Parametros!$C$23:$C$38,C1632,Parametros!$D$23:$D$38,D1632),2)</f>
        <v>44.3</v>
      </c>
      <c r="U1632" s="30" t="n">
        <f aca="false">R1632-S1632-T1632</f>
        <v>1332.11</v>
      </c>
    </row>
    <row r="1633" customFormat="false" ht="15" hidden="false" customHeight="false" outlineLevel="0" collapsed="false">
      <c r="A1633" s="0" t="n">
        <v>1632</v>
      </c>
      <c r="B1633" s="27" t="n">
        <v>45781</v>
      </c>
      <c r="C1633" s="0" t="n">
        <v>2025</v>
      </c>
      <c r="D1633" s="28" t="s">
        <v>108</v>
      </c>
      <c r="E1633" s="0" t="n">
        <v>5</v>
      </c>
      <c r="F1633" s="28" t="s">
        <v>111</v>
      </c>
      <c r="G1633" s="28" t="s">
        <v>147</v>
      </c>
      <c r="H1633" s="28" t="s">
        <v>96</v>
      </c>
      <c r="I1633" s="28" t="s">
        <v>97</v>
      </c>
      <c r="J1633" s="28" t="s">
        <v>71</v>
      </c>
      <c r="K1633" s="28" t="s">
        <v>76</v>
      </c>
      <c r="L1633" s="28" t="s">
        <v>134</v>
      </c>
      <c r="M1633" s="28" t="s">
        <v>82</v>
      </c>
      <c r="N1633" s="28" t="s">
        <v>137</v>
      </c>
      <c r="O1633" s="29" t="n">
        <v>31</v>
      </c>
      <c r="P1633" s="30" t="n">
        <v>64.58</v>
      </c>
      <c r="Q1633" s="30" t="n">
        <v>36.49</v>
      </c>
      <c r="R1633" s="30" t="n">
        <f aca="false">ROUND(O1633*P1633,2)</f>
        <v>2001.98</v>
      </c>
      <c r="S1633" s="30" t="n">
        <f aca="false">ROUND(O1633*Q1633,2)</f>
        <v>1131.19</v>
      </c>
      <c r="T1633" s="30" t="n">
        <f aca="false">ROUND(R1633*SUMIFS(Parametros!$E$23:$E$38,Parametros!$B$23:$B$38,J1633,Parametros!$C$23:$C$38,C1633,Parametros!$D$23:$D$38,D1633),2)</f>
        <v>148.15</v>
      </c>
      <c r="U1633" s="30" t="n">
        <f aca="false">R1633-S1633-T1633</f>
        <v>722.64</v>
      </c>
    </row>
    <row r="1634" customFormat="false" ht="15" hidden="false" customHeight="false" outlineLevel="0" collapsed="false">
      <c r="A1634" s="0" t="n">
        <v>1633</v>
      </c>
      <c r="B1634" s="27" t="n">
        <v>45788</v>
      </c>
      <c r="C1634" s="0" t="n">
        <v>2025</v>
      </c>
      <c r="D1634" s="28" t="s">
        <v>108</v>
      </c>
      <c r="E1634" s="0" t="n">
        <v>5</v>
      </c>
      <c r="F1634" s="28" t="s">
        <v>111</v>
      </c>
      <c r="G1634" s="28" t="s">
        <v>147</v>
      </c>
      <c r="H1634" s="28" t="s">
        <v>96</v>
      </c>
      <c r="I1634" s="28" t="s">
        <v>97</v>
      </c>
      <c r="J1634" s="28" t="s">
        <v>66</v>
      </c>
      <c r="K1634" s="28" t="s">
        <v>84</v>
      </c>
      <c r="L1634" s="28" t="s">
        <v>138</v>
      </c>
      <c r="M1634" s="28" t="s">
        <v>86</v>
      </c>
      <c r="N1634" s="28" t="s">
        <v>139</v>
      </c>
      <c r="O1634" s="29" t="n">
        <v>25</v>
      </c>
      <c r="P1634" s="30" t="n">
        <v>119.23</v>
      </c>
      <c r="Q1634" s="30" t="n">
        <v>65.51</v>
      </c>
      <c r="R1634" s="30" t="n">
        <f aca="false">ROUND(O1634*P1634,2)</f>
        <v>2980.75</v>
      </c>
      <c r="S1634" s="30" t="n">
        <f aca="false">ROUND(O1634*Q1634,2)</f>
        <v>1637.75</v>
      </c>
      <c r="T1634" s="30" t="n">
        <f aca="false">ROUND(R1634*SUMIFS(Parametros!$E$23:$E$38,Parametros!$B$23:$B$38,J1634,Parametros!$C$23:$C$38,C1634,Parametros!$D$23:$D$38,D1634),2)</f>
        <v>41.73</v>
      </c>
      <c r="U1634" s="30" t="n">
        <f aca="false">R1634-S1634-T1634</f>
        <v>1301.27</v>
      </c>
    </row>
    <row r="1635" customFormat="false" ht="15" hidden="false" customHeight="false" outlineLevel="0" collapsed="false">
      <c r="A1635" s="0" t="n">
        <v>1634</v>
      </c>
      <c r="B1635" s="27" t="n">
        <v>45795</v>
      </c>
      <c r="C1635" s="0" t="n">
        <v>2025</v>
      </c>
      <c r="D1635" s="28" t="s">
        <v>108</v>
      </c>
      <c r="E1635" s="0" t="n">
        <v>5</v>
      </c>
      <c r="F1635" s="28" t="s">
        <v>111</v>
      </c>
      <c r="G1635" s="28" t="s">
        <v>147</v>
      </c>
      <c r="H1635" s="28" t="s">
        <v>96</v>
      </c>
      <c r="I1635" s="28" t="s">
        <v>97</v>
      </c>
      <c r="J1635" s="28" t="s">
        <v>71</v>
      </c>
      <c r="K1635" s="28" t="s">
        <v>84</v>
      </c>
      <c r="L1635" s="28" t="s">
        <v>138</v>
      </c>
      <c r="M1635" s="28" t="s">
        <v>86</v>
      </c>
      <c r="N1635" s="28" t="s">
        <v>139</v>
      </c>
      <c r="O1635" s="29" t="n">
        <v>16</v>
      </c>
      <c r="P1635" s="30" t="n">
        <v>119.23</v>
      </c>
      <c r="Q1635" s="30" t="n">
        <v>65.51</v>
      </c>
      <c r="R1635" s="30" t="n">
        <f aca="false">ROUND(O1635*P1635,2)</f>
        <v>1907.68</v>
      </c>
      <c r="S1635" s="30" t="n">
        <f aca="false">ROUND(O1635*Q1635,2)</f>
        <v>1048.16</v>
      </c>
      <c r="T1635" s="30" t="n">
        <f aca="false">ROUND(R1635*SUMIFS(Parametros!$E$23:$E$38,Parametros!$B$23:$B$38,J1635,Parametros!$C$23:$C$38,C1635,Parametros!$D$23:$D$38,D1635),2)</f>
        <v>141.17</v>
      </c>
      <c r="U1635" s="30" t="n">
        <f aca="false">R1635-S1635-T1635</f>
        <v>718.35</v>
      </c>
    </row>
    <row r="1636" customFormat="false" ht="15" hidden="false" customHeight="false" outlineLevel="0" collapsed="false">
      <c r="A1636" s="0" t="n">
        <v>1635</v>
      </c>
      <c r="B1636" s="27" t="n">
        <v>45802</v>
      </c>
      <c r="C1636" s="0" t="n">
        <v>2025</v>
      </c>
      <c r="D1636" s="28" t="s">
        <v>108</v>
      </c>
      <c r="E1636" s="0" t="n">
        <v>5</v>
      </c>
      <c r="F1636" s="28" t="s">
        <v>111</v>
      </c>
      <c r="G1636" s="28" t="s">
        <v>147</v>
      </c>
      <c r="H1636" s="28" t="s">
        <v>96</v>
      </c>
      <c r="I1636" s="28" t="s">
        <v>97</v>
      </c>
      <c r="J1636" s="28" t="s">
        <v>66</v>
      </c>
      <c r="K1636" s="28" t="s">
        <v>84</v>
      </c>
      <c r="L1636" s="28" t="s">
        <v>138</v>
      </c>
      <c r="M1636" s="28" t="s">
        <v>88</v>
      </c>
      <c r="N1636" s="28" t="s">
        <v>140</v>
      </c>
      <c r="O1636" s="29" t="n">
        <v>22</v>
      </c>
      <c r="P1636" s="30" t="n">
        <v>84.46</v>
      </c>
      <c r="Q1636" s="30" t="n">
        <v>49.47</v>
      </c>
      <c r="R1636" s="30" t="n">
        <f aca="false">ROUND(O1636*P1636,2)</f>
        <v>1858.12</v>
      </c>
      <c r="S1636" s="30" t="n">
        <f aca="false">ROUND(O1636*Q1636,2)</f>
        <v>1088.34</v>
      </c>
      <c r="T1636" s="30" t="n">
        <f aca="false">ROUND(R1636*SUMIFS(Parametros!$E$23:$E$38,Parametros!$B$23:$B$38,J1636,Parametros!$C$23:$C$38,C1636,Parametros!$D$23:$D$38,D1636),2)</f>
        <v>26.01</v>
      </c>
      <c r="U1636" s="30" t="n">
        <f aca="false">R1636-S1636-T1636</f>
        <v>743.77</v>
      </c>
    </row>
    <row r="1637" customFormat="false" ht="15" hidden="false" customHeight="false" outlineLevel="0" collapsed="false">
      <c r="A1637" s="0" t="n">
        <v>1636</v>
      </c>
      <c r="B1637" s="27" t="n">
        <v>45782</v>
      </c>
      <c r="C1637" s="0" t="n">
        <v>2025</v>
      </c>
      <c r="D1637" s="28" t="s">
        <v>108</v>
      </c>
      <c r="E1637" s="0" t="n">
        <v>5</v>
      </c>
      <c r="F1637" s="28" t="s">
        <v>111</v>
      </c>
      <c r="G1637" s="28" t="s">
        <v>147</v>
      </c>
      <c r="H1637" s="28" t="s">
        <v>96</v>
      </c>
      <c r="I1637" s="28" t="s">
        <v>97</v>
      </c>
      <c r="J1637" s="28" t="s">
        <v>71</v>
      </c>
      <c r="K1637" s="28" t="s">
        <v>84</v>
      </c>
      <c r="L1637" s="28" t="s">
        <v>138</v>
      </c>
      <c r="M1637" s="28" t="s">
        <v>88</v>
      </c>
      <c r="N1637" s="28" t="s">
        <v>140</v>
      </c>
      <c r="O1637" s="29" t="n">
        <v>18</v>
      </c>
      <c r="P1637" s="30" t="n">
        <v>84.46</v>
      </c>
      <c r="Q1637" s="30" t="n">
        <v>49.47</v>
      </c>
      <c r="R1637" s="30" t="n">
        <f aca="false">ROUND(O1637*P1637,2)</f>
        <v>1520.28</v>
      </c>
      <c r="S1637" s="30" t="n">
        <f aca="false">ROUND(O1637*Q1637,2)</f>
        <v>890.46</v>
      </c>
      <c r="T1637" s="30" t="n">
        <f aca="false">ROUND(R1637*SUMIFS(Parametros!$E$23:$E$38,Parametros!$B$23:$B$38,J1637,Parametros!$C$23:$C$38,C1637,Parametros!$D$23:$D$38,D1637),2)</f>
        <v>112.5</v>
      </c>
      <c r="U1637" s="30" t="n">
        <f aca="false">R1637-S1637-T1637</f>
        <v>517.32</v>
      </c>
    </row>
    <row r="1638" customFormat="false" ht="15" hidden="false" customHeight="false" outlineLevel="0" collapsed="false">
      <c r="A1638" s="0" t="n">
        <v>1637</v>
      </c>
      <c r="B1638" s="27" t="n">
        <v>45789</v>
      </c>
      <c r="C1638" s="0" t="n">
        <v>2025</v>
      </c>
      <c r="D1638" s="28" t="s">
        <v>108</v>
      </c>
      <c r="E1638" s="0" t="n">
        <v>5</v>
      </c>
      <c r="F1638" s="28" t="s">
        <v>111</v>
      </c>
      <c r="G1638" s="28" t="s">
        <v>147</v>
      </c>
      <c r="H1638" s="28" t="s">
        <v>96</v>
      </c>
      <c r="I1638" s="28" t="s">
        <v>97</v>
      </c>
      <c r="J1638" s="28" t="s">
        <v>66</v>
      </c>
      <c r="K1638" s="28" t="s">
        <v>90</v>
      </c>
      <c r="L1638" s="28" t="s">
        <v>141</v>
      </c>
      <c r="M1638" s="28" t="s">
        <v>92</v>
      </c>
      <c r="N1638" s="28" t="s">
        <v>142</v>
      </c>
      <c r="O1638" s="29" t="n">
        <v>31</v>
      </c>
      <c r="P1638" s="30" t="n">
        <v>129.17</v>
      </c>
      <c r="Q1638" s="30" t="n">
        <v>78.33</v>
      </c>
      <c r="R1638" s="30" t="n">
        <f aca="false">ROUND(O1638*P1638,2)</f>
        <v>4004.27</v>
      </c>
      <c r="S1638" s="30" t="n">
        <f aca="false">ROUND(O1638*Q1638,2)</f>
        <v>2428.23</v>
      </c>
      <c r="T1638" s="30" t="n">
        <f aca="false">ROUND(R1638*SUMIFS(Parametros!$E$23:$E$38,Parametros!$B$23:$B$38,J1638,Parametros!$C$23:$C$38,C1638,Parametros!$D$23:$D$38,D1638),2)</f>
        <v>56.06</v>
      </c>
      <c r="U1638" s="30" t="n">
        <f aca="false">R1638-S1638-T1638</f>
        <v>1519.98</v>
      </c>
    </row>
    <row r="1639" customFormat="false" ht="15" hidden="false" customHeight="false" outlineLevel="0" collapsed="false">
      <c r="A1639" s="0" t="n">
        <v>1638</v>
      </c>
      <c r="B1639" s="27" t="n">
        <v>45796</v>
      </c>
      <c r="C1639" s="0" t="n">
        <v>2025</v>
      </c>
      <c r="D1639" s="28" t="s">
        <v>108</v>
      </c>
      <c r="E1639" s="0" t="n">
        <v>5</v>
      </c>
      <c r="F1639" s="28" t="s">
        <v>111</v>
      </c>
      <c r="G1639" s="28" t="s">
        <v>147</v>
      </c>
      <c r="H1639" s="28" t="s">
        <v>96</v>
      </c>
      <c r="I1639" s="28" t="s">
        <v>97</v>
      </c>
      <c r="J1639" s="28" t="s">
        <v>71</v>
      </c>
      <c r="K1639" s="28" t="s">
        <v>90</v>
      </c>
      <c r="L1639" s="28" t="s">
        <v>141</v>
      </c>
      <c r="M1639" s="28" t="s">
        <v>92</v>
      </c>
      <c r="N1639" s="28" t="s">
        <v>142</v>
      </c>
      <c r="O1639" s="29" t="n">
        <v>24</v>
      </c>
      <c r="P1639" s="30" t="n">
        <v>129.17</v>
      </c>
      <c r="Q1639" s="30" t="n">
        <v>78.33</v>
      </c>
      <c r="R1639" s="30" t="n">
        <f aca="false">ROUND(O1639*P1639,2)</f>
        <v>3100.08</v>
      </c>
      <c r="S1639" s="30" t="n">
        <f aca="false">ROUND(O1639*Q1639,2)</f>
        <v>1879.92</v>
      </c>
      <c r="T1639" s="30" t="n">
        <f aca="false">ROUND(R1639*SUMIFS(Parametros!$E$23:$E$38,Parametros!$B$23:$B$38,J1639,Parametros!$C$23:$C$38,C1639,Parametros!$D$23:$D$38,D1639),2)</f>
        <v>229.41</v>
      </c>
      <c r="U1639" s="30" t="n">
        <f aca="false">R1639-S1639-T1639</f>
        <v>990.75</v>
      </c>
    </row>
    <row r="1640" customFormat="false" ht="15" hidden="false" customHeight="false" outlineLevel="0" collapsed="false">
      <c r="A1640" s="0" t="n">
        <v>1639</v>
      </c>
      <c r="B1640" s="27" t="n">
        <v>45803</v>
      </c>
      <c r="C1640" s="0" t="n">
        <v>2025</v>
      </c>
      <c r="D1640" s="28" t="s">
        <v>108</v>
      </c>
      <c r="E1640" s="0" t="n">
        <v>5</v>
      </c>
      <c r="F1640" s="28" t="s">
        <v>111</v>
      </c>
      <c r="G1640" s="28" t="s">
        <v>147</v>
      </c>
      <c r="H1640" s="28" t="s">
        <v>96</v>
      </c>
      <c r="I1640" s="28" t="s">
        <v>97</v>
      </c>
      <c r="J1640" s="28" t="s">
        <v>66</v>
      </c>
      <c r="K1640" s="28" t="s">
        <v>90</v>
      </c>
      <c r="L1640" s="28" t="s">
        <v>141</v>
      </c>
      <c r="M1640" s="28" t="s">
        <v>94</v>
      </c>
      <c r="N1640" s="28" t="s">
        <v>143</v>
      </c>
      <c r="O1640" s="29" t="n">
        <v>35</v>
      </c>
      <c r="P1640" s="30" t="n">
        <v>34.78</v>
      </c>
      <c r="Q1640" s="30" t="n">
        <v>18.39</v>
      </c>
      <c r="R1640" s="30" t="n">
        <f aca="false">ROUND(O1640*P1640,2)</f>
        <v>1217.3</v>
      </c>
      <c r="S1640" s="30" t="n">
        <f aca="false">ROUND(O1640*Q1640,2)</f>
        <v>643.65</v>
      </c>
      <c r="T1640" s="30" t="n">
        <f aca="false">ROUND(R1640*SUMIFS(Parametros!$E$23:$E$38,Parametros!$B$23:$B$38,J1640,Parametros!$C$23:$C$38,C1640,Parametros!$D$23:$D$38,D1640),2)</f>
        <v>17.04</v>
      </c>
      <c r="U1640" s="30" t="n">
        <f aca="false">R1640-S1640-T1640</f>
        <v>556.61</v>
      </c>
    </row>
    <row r="1641" customFormat="false" ht="15" hidden="false" customHeight="false" outlineLevel="0" collapsed="false">
      <c r="A1641" s="0" t="n">
        <v>1640</v>
      </c>
      <c r="B1641" s="27" t="n">
        <v>45783</v>
      </c>
      <c r="C1641" s="0" t="n">
        <v>2025</v>
      </c>
      <c r="D1641" s="28" t="s">
        <v>108</v>
      </c>
      <c r="E1641" s="0" t="n">
        <v>5</v>
      </c>
      <c r="F1641" s="28" t="s">
        <v>111</v>
      </c>
      <c r="G1641" s="28" t="s">
        <v>147</v>
      </c>
      <c r="H1641" s="28" t="s">
        <v>96</v>
      </c>
      <c r="I1641" s="28" t="s">
        <v>97</v>
      </c>
      <c r="J1641" s="28" t="s">
        <v>71</v>
      </c>
      <c r="K1641" s="28" t="s">
        <v>90</v>
      </c>
      <c r="L1641" s="28" t="s">
        <v>141</v>
      </c>
      <c r="M1641" s="28" t="s">
        <v>94</v>
      </c>
      <c r="N1641" s="28" t="s">
        <v>143</v>
      </c>
      <c r="O1641" s="29" t="n">
        <v>24</v>
      </c>
      <c r="P1641" s="30" t="n">
        <v>34.78</v>
      </c>
      <c r="Q1641" s="30" t="n">
        <v>18.39</v>
      </c>
      <c r="R1641" s="30" t="n">
        <f aca="false">ROUND(O1641*P1641,2)</f>
        <v>834.72</v>
      </c>
      <c r="S1641" s="30" t="n">
        <f aca="false">ROUND(O1641*Q1641,2)</f>
        <v>441.36</v>
      </c>
      <c r="T1641" s="30" t="n">
        <f aca="false">ROUND(R1641*SUMIFS(Parametros!$E$23:$E$38,Parametros!$B$23:$B$38,J1641,Parametros!$C$23:$C$38,C1641,Parametros!$D$23:$D$38,D1641),2)</f>
        <v>61.77</v>
      </c>
      <c r="U1641" s="30" t="n">
        <f aca="false">R1641-S1641-T1641</f>
        <v>331.59</v>
      </c>
    </row>
    <row r="1642" customFormat="false" ht="15" hidden="false" customHeight="false" outlineLevel="0" collapsed="false">
      <c r="A1642" s="0" t="n">
        <v>1641</v>
      </c>
      <c r="B1642" s="27" t="n">
        <v>45790</v>
      </c>
      <c r="C1642" s="0" t="n">
        <v>2025</v>
      </c>
      <c r="D1642" s="28" t="s">
        <v>108</v>
      </c>
      <c r="E1642" s="0" t="n">
        <v>5</v>
      </c>
      <c r="F1642" s="28" t="s">
        <v>111</v>
      </c>
      <c r="G1642" s="28" t="s">
        <v>147</v>
      </c>
      <c r="H1642" s="28" t="s">
        <v>98</v>
      </c>
      <c r="I1642" s="28" t="s">
        <v>99</v>
      </c>
      <c r="J1642" s="28" t="s">
        <v>66</v>
      </c>
      <c r="K1642" s="28" t="s">
        <v>67</v>
      </c>
      <c r="L1642" s="28" t="s">
        <v>130</v>
      </c>
      <c r="M1642" s="28" t="s">
        <v>69</v>
      </c>
      <c r="N1642" s="28" t="s">
        <v>131</v>
      </c>
      <c r="O1642" s="29" t="n">
        <v>7</v>
      </c>
      <c r="P1642" s="30" t="n">
        <v>1155.06</v>
      </c>
      <c r="Q1642" s="30" t="n">
        <v>766.32</v>
      </c>
      <c r="R1642" s="30" t="n">
        <f aca="false">ROUND(O1642*P1642,2)</f>
        <v>8085.42</v>
      </c>
      <c r="S1642" s="30" t="n">
        <f aca="false">ROUND(O1642*Q1642,2)</f>
        <v>5364.24</v>
      </c>
      <c r="T1642" s="30" t="n">
        <f aca="false">ROUND(R1642*SUMIFS(Parametros!$E$23:$E$38,Parametros!$B$23:$B$38,J1642,Parametros!$C$23:$C$38,C1642,Parametros!$D$23:$D$38,D1642),2)</f>
        <v>113.2</v>
      </c>
      <c r="U1642" s="30" t="n">
        <f aca="false">R1642-S1642-T1642</f>
        <v>2607.98</v>
      </c>
    </row>
    <row r="1643" customFormat="false" ht="15" hidden="false" customHeight="false" outlineLevel="0" collapsed="false">
      <c r="A1643" s="0" t="n">
        <v>1642</v>
      </c>
      <c r="B1643" s="27" t="n">
        <v>45797</v>
      </c>
      <c r="C1643" s="0" t="n">
        <v>2025</v>
      </c>
      <c r="D1643" s="28" t="s">
        <v>108</v>
      </c>
      <c r="E1643" s="0" t="n">
        <v>5</v>
      </c>
      <c r="F1643" s="28" t="s">
        <v>111</v>
      </c>
      <c r="G1643" s="28" t="s">
        <v>147</v>
      </c>
      <c r="H1643" s="28" t="s">
        <v>98</v>
      </c>
      <c r="I1643" s="28" t="s">
        <v>99</v>
      </c>
      <c r="J1643" s="28" t="s">
        <v>71</v>
      </c>
      <c r="K1643" s="28" t="s">
        <v>67</v>
      </c>
      <c r="L1643" s="28" t="s">
        <v>130</v>
      </c>
      <c r="M1643" s="28" t="s">
        <v>69</v>
      </c>
      <c r="N1643" s="28" t="s">
        <v>131</v>
      </c>
      <c r="O1643" s="29" t="n">
        <v>6</v>
      </c>
      <c r="P1643" s="30" t="n">
        <v>1155.06</v>
      </c>
      <c r="Q1643" s="30" t="n">
        <v>766.32</v>
      </c>
      <c r="R1643" s="30" t="n">
        <f aca="false">ROUND(O1643*P1643,2)</f>
        <v>6930.36</v>
      </c>
      <c r="S1643" s="30" t="n">
        <f aca="false">ROUND(O1643*Q1643,2)</f>
        <v>4597.92</v>
      </c>
      <c r="T1643" s="30" t="n">
        <f aca="false">ROUND(R1643*SUMIFS(Parametros!$E$23:$E$38,Parametros!$B$23:$B$38,J1643,Parametros!$C$23:$C$38,C1643,Parametros!$D$23:$D$38,D1643),2)</f>
        <v>512.85</v>
      </c>
      <c r="U1643" s="30" t="n">
        <f aca="false">R1643-S1643-T1643</f>
        <v>1819.59</v>
      </c>
    </row>
    <row r="1644" customFormat="false" ht="15" hidden="false" customHeight="false" outlineLevel="0" collapsed="false">
      <c r="A1644" s="0" t="n">
        <v>1643</v>
      </c>
      <c r="B1644" s="27" t="n">
        <v>45804</v>
      </c>
      <c r="C1644" s="0" t="n">
        <v>2025</v>
      </c>
      <c r="D1644" s="28" t="s">
        <v>108</v>
      </c>
      <c r="E1644" s="0" t="n">
        <v>5</v>
      </c>
      <c r="F1644" s="28" t="s">
        <v>111</v>
      </c>
      <c r="G1644" s="28" t="s">
        <v>147</v>
      </c>
      <c r="H1644" s="28" t="s">
        <v>98</v>
      </c>
      <c r="I1644" s="28" t="s">
        <v>99</v>
      </c>
      <c r="J1644" s="28" t="s">
        <v>66</v>
      </c>
      <c r="K1644" s="28" t="s">
        <v>67</v>
      </c>
      <c r="L1644" s="28" t="s">
        <v>130</v>
      </c>
      <c r="M1644" s="28" t="s">
        <v>72</v>
      </c>
      <c r="N1644" s="28" t="s">
        <v>132</v>
      </c>
      <c r="O1644" s="29" t="n">
        <v>8</v>
      </c>
      <c r="P1644" s="30" t="n">
        <v>433.15</v>
      </c>
      <c r="Q1644" s="30" t="n">
        <v>280.42</v>
      </c>
      <c r="R1644" s="30" t="n">
        <f aca="false">ROUND(O1644*P1644,2)</f>
        <v>3465.2</v>
      </c>
      <c r="S1644" s="30" t="n">
        <f aca="false">ROUND(O1644*Q1644,2)</f>
        <v>2243.36</v>
      </c>
      <c r="T1644" s="30" t="n">
        <f aca="false">ROUND(R1644*SUMIFS(Parametros!$E$23:$E$38,Parametros!$B$23:$B$38,J1644,Parametros!$C$23:$C$38,C1644,Parametros!$D$23:$D$38,D1644),2)</f>
        <v>48.51</v>
      </c>
      <c r="U1644" s="30" t="n">
        <f aca="false">R1644-S1644-T1644</f>
        <v>1173.33</v>
      </c>
    </row>
    <row r="1645" customFormat="false" ht="15" hidden="false" customHeight="false" outlineLevel="0" collapsed="false">
      <c r="A1645" s="0" t="n">
        <v>1644</v>
      </c>
      <c r="B1645" s="27" t="n">
        <v>45784</v>
      </c>
      <c r="C1645" s="0" t="n">
        <v>2025</v>
      </c>
      <c r="D1645" s="28" t="s">
        <v>108</v>
      </c>
      <c r="E1645" s="0" t="n">
        <v>5</v>
      </c>
      <c r="F1645" s="28" t="s">
        <v>111</v>
      </c>
      <c r="G1645" s="28" t="s">
        <v>147</v>
      </c>
      <c r="H1645" s="28" t="s">
        <v>98</v>
      </c>
      <c r="I1645" s="28" t="s">
        <v>99</v>
      </c>
      <c r="J1645" s="28" t="s">
        <v>71</v>
      </c>
      <c r="K1645" s="28" t="s">
        <v>67</v>
      </c>
      <c r="L1645" s="28" t="s">
        <v>130</v>
      </c>
      <c r="M1645" s="28" t="s">
        <v>72</v>
      </c>
      <c r="N1645" s="28" t="s">
        <v>132</v>
      </c>
      <c r="O1645" s="29" t="n">
        <v>6</v>
      </c>
      <c r="P1645" s="30" t="n">
        <v>433.15</v>
      </c>
      <c r="Q1645" s="30" t="n">
        <v>280.42</v>
      </c>
      <c r="R1645" s="30" t="n">
        <f aca="false">ROUND(O1645*P1645,2)</f>
        <v>2598.9</v>
      </c>
      <c r="S1645" s="30" t="n">
        <f aca="false">ROUND(O1645*Q1645,2)</f>
        <v>1682.52</v>
      </c>
      <c r="T1645" s="30" t="n">
        <f aca="false">ROUND(R1645*SUMIFS(Parametros!$E$23:$E$38,Parametros!$B$23:$B$38,J1645,Parametros!$C$23:$C$38,C1645,Parametros!$D$23:$D$38,D1645),2)</f>
        <v>192.32</v>
      </c>
      <c r="U1645" s="30" t="n">
        <f aca="false">R1645-S1645-T1645</f>
        <v>724.06</v>
      </c>
    </row>
    <row r="1646" customFormat="false" ht="15" hidden="false" customHeight="false" outlineLevel="0" collapsed="false">
      <c r="A1646" s="0" t="n">
        <v>1645</v>
      </c>
      <c r="B1646" s="27" t="n">
        <v>45791</v>
      </c>
      <c r="C1646" s="0" t="n">
        <v>2025</v>
      </c>
      <c r="D1646" s="28" t="s">
        <v>108</v>
      </c>
      <c r="E1646" s="0" t="n">
        <v>5</v>
      </c>
      <c r="F1646" s="28" t="s">
        <v>111</v>
      </c>
      <c r="G1646" s="28" t="s">
        <v>147</v>
      </c>
      <c r="H1646" s="28" t="s">
        <v>98</v>
      </c>
      <c r="I1646" s="28" t="s">
        <v>99</v>
      </c>
      <c r="J1646" s="28" t="s">
        <v>66</v>
      </c>
      <c r="K1646" s="28" t="s">
        <v>67</v>
      </c>
      <c r="L1646" s="28" t="s">
        <v>130</v>
      </c>
      <c r="M1646" s="28" t="s">
        <v>74</v>
      </c>
      <c r="N1646" s="28" t="s">
        <v>133</v>
      </c>
      <c r="O1646" s="29" t="n">
        <v>9</v>
      </c>
      <c r="P1646" s="30" t="n">
        <v>1588.21</v>
      </c>
      <c r="Q1646" s="30" t="n">
        <v>1155.66</v>
      </c>
      <c r="R1646" s="30" t="n">
        <f aca="false">ROUND(O1646*P1646,2)</f>
        <v>14293.89</v>
      </c>
      <c r="S1646" s="30" t="n">
        <f aca="false">ROUND(O1646*Q1646,2)</f>
        <v>10400.94</v>
      </c>
      <c r="T1646" s="30" t="n">
        <f aca="false">ROUND(R1646*SUMIFS(Parametros!$E$23:$E$38,Parametros!$B$23:$B$38,J1646,Parametros!$C$23:$C$38,C1646,Parametros!$D$23:$D$38,D1646),2)</f>
        <v>200.11</v>
      </c>
      <c r="U1646" s="30" t="n">
        <f aca="false">R1646-S1646-T1646</f>
        <v>3692.84</v>
      </c>
    </row>
    <row r="1647" customFormat="false" ht="15" hidden="false" customHeight="false" outlineLevel="0" collapsed="false">
      <c r="A1647" s="0" t="n">
        <v>1646</v>
      </c>
      <c r="B1647" s="27" t="n">
        <v>45798</v>
      </c>
      <c r="C1647" s="0" t="n">
        <v>2025</v>
      </c>
      <c r="D1647" s="28" t="s">
        <v>108</v>
      </c>
      <c r="E1647" s="0" t="n">
        <v>5</v>
      </c>
      <c r="F1647" s="28" t="s">
        <v>111</v>
      </c>
      <c r="G1647" s="28" t="s">
        <v>147</v>
      </c>
      <c r="H1647" s="28" t="s">
        <v>98</v>
      </c>
      <c r="I1647" s="28" t="s">
        <v>99</v>
      </c>
      <c r="J1647" s="28" t="s">
        <v>71</v>
      </c>
      <c r="K1647" s="28" t="s">
        <v>67</v>
      </c>
      <c r="L1647" s="28" t="s">
        <v>130</v>
      </c>
      <c r="M1647" s="28" t="s">
        <v>74</v>
      </c>
      <c r="N1647" s="28" t="s">
        <v>133</v>
      </c>
      <c r="O1647" s="29" t="n">
        <v>7</v>
      </c>
      <c r="P1647" s="30" t="n">
        <v>1588.21</v>
      </c>
      <c r="Q1647" s="30" t="n">
        <v>1155.66</v>
      </c>
      <c r="R1647" s="30" t="n">
        <f aca="false">ROUND(O1647*P1647,2)</f>
        <v>11117.47</v>
      </c>
      <c r="S1647" s="30" t="n">
        <f aca="false">ROUND(O1647*Q1647,2)</f>
        <v>8089.62</v>
      </c>
      <c r="T1647" s="30" t="n">
        <f aca="false">ROUND(R1647*SUMIFS(Parametros!$E$23:$E$38,Parametros!$B$23:$B$38,J1647,Parametros!$C$23:$C$38,C1647,Parametros!$D$23:$D$38,D1647),2)</f>
        <v>822.69</v>
      </c>
      <c r="U1647" s="30" t="n">
        <f aca="false">R1647-S1647-T1647</f>
        <v>2205.16</v>
      </c>
    </row>
    <row r="1648" customFormat="false" ht="15" hidden="false" customHeight="false" outlineLevel="0" collapsed="false">
      <c r="A1648" s="0" t="n">
        <v>1647</v>
      </c>
      <c r="B1648" s="27" t="n">
        <v>45778</v>
      </c>
      <c r="C1648" s="0" t="n">
        <v>2025</v>
      </c>
      <c r="D1648" s="28" t="s">
        <v>108</v>
      </c>
      <c r="E1648" s="0" t="n">
        <v>5</v>
      </c>
      <c r="F1648" s="28" t="s">
        <v>111</v>
      </c>
      <c r="G1648" s="28" t="s">
        <v>147</v>
      </c>
      <c r="H1648" s="28" t="s">
        <v>98</v>
      </c>
      <c r="I1648" s="28" t="s">
        <v>99</v>
      </c>
      <c r="J1648" s="28" t="s">
        <v>66</v>
      </c>
      <c r="K1648" s="28" t="s">
        <v>76</v>
      </c>
      <c r="L1648" s="28" t="s">
        <v>134</v>
      </c>
      <c r="M1648" s="28" t="s">
        <v>78</v>
      </c>
      <c r="N1648" s="28" t="s">
        <v>135</v>
      </c>
      <c r="O1648" s="29" t="n">
        <v>38</v>
      </c>
      <c r="P1648" s="30" t="n">
        <v>27.82</v>
      </c>
      <c r="Q1648" s="30" t="n">
        <v>13.84</v>
      </c>
      <c r="R1648" s="30" t="n">
        <f aca="false">ROUND(O1648*P1648,2)</f>
        <v>1057.16</v>
      </c>
      <c r="S1648" s="30" t="n">
        <f aca="false">ROUND(O1648*Q1648,2)</f>
        <v>525.92</v>
      </c>
      <c r="T1648" s="30" t="n">
        <f aca="false">ROUND(R1648*SUMIFS(Parametros!$E$23:$E$38,Parametros!$B$23:$B$38,J1648,Parametros!$C$23:$C$38,C1648,Parametros!$D$23:$D$38,D1648),2)</f>
        <v>14.8</v>
      </c>
      <c r="U1648" s="30" t="n">
        <f aca="false">R1648-S1648-T1648</f>
        <v>516.44</v>
      </c>
    </row>
    <row r="1649" customFormat="false" ht="15" hidden="false" customHeight="false" outlineLevel="0" collapsed="false">
      <c r="A1649" s="0" t="n">
        <v>1648</v>
      </c>
      <c r="B1649" s="27" t="n">
        <v>45785</v>
      </c>
      <c r="C1649" s="0" t="n">
        <v>2025</v>
      </c>
      <c r="D1649" s="28" t="s">
        <v>108</v>
      </c>
      <c r="E1649" s="0" t="n">
        <v>5</v>
      </c>
      <c r="F1649" s="28" t="s">
        <v>111</v>
      </c>
      <c r="G1649" s="28" t="s">
        <v>147</v>
      </c>
      <c r="H1649" s="28" t="s">
        <v>98</v>
      </c>
      <c r="I1649" s="28" t="s">
        <v>99</v>
      </c>
      <c r="J1649" s="28" t="s">
        <v>71</v>
      </c>
      <c r="K1649" s="28" t="s">
        <v>76</v>
      </c>
      <c r="L1649" s="28" t="s">
        <v>134</v>
      </c>
      <c r="M1649" s="28" t="s">
        <v>78</v>
      </c>
      <c r="N1649" s="28" t="s">
        <v>135</v>
      </c>
      <c r="O1649" s="29" t="n">
        <v>25</v>
      </c>
      <c r="P1649" s="30" t="n">
        <v>27.82</v>
      </c>
      <c r="Q1649" s="30" t="n">
        <v>13.84</v>
      </c>
      <c r="R1649" s="30" t="n">
        <f aca="false">ROUND(O1649*P1649,2)</f>
        <v>695.5</v>
      </c>
      <c r="S1649" s="30" t="n">
        <f aca="false">ROUND(O1649*Q1649,2)</f>
        <v>346</v>
      </c>
      <c r="T1649" s="30" t="n">
        <f aca="false">ROUND(R1649*SUMIFS(Parametros!$E$23:$E$38,Parametros!$B$23:$B$38,J1649,Parametros!$C$23:$C$38,C1649,Parametros!$D$23:$D$38,D1649),2)</f>
        <v>51.47</v>
      </c>
      <c r="U1649" s="30" t="n">
        <f aca="false">R1649-S1649-T1649</f>
        <v>298.03</v>
      </c>
    </row>
    <row r="1650" customFormat="false" ht="15" hidden="false" customHeight="false" outlineLevel="0" collapsed="false">
      <c r="A1650" s="0" t="n">
        <v>1649</v>
      </c>
      <c r="B1650" s="27" t="n">
        <v>45792</v>
      </c>
      <c r="C1650" s="0" t="n">
        <v>2025</v>
      </c>
      <c r="D1650" s="28" t="s">
        <v>108</v>
      </c>
      <c r="E1650" s="0" t="n">
        <v>5</v>
      </c>
      <c r="F1650" s="28" t="s">
        <v>111</v>
      </c>
      <c r="G1650" s="28" t="s">
        <v>147</v>
      </c>
      <c r="H1650" s="28" t="s">
        <v>98</v>
      </c>
      <c r="I1650" s="28" t="s">
        <v>99</v>
      </c>
      <c r="J1650" s="28" t="s">
        <v>66</v>
      </c>
      <c r="K1650" s="28" t="s">
        <v>76</v>
      </c>
      <c r="L1650" s="28" t="s">
        <v>134</v>
      </c>
      <c r="M1650" s="28" t="s">
        <v>80</v>
      </c>
      <c r="N1650" s="28" t="s">
        <v>136</v>
      </c>
      <c r="O1650" s="29" t="n">
        <v>37</v>
      </c>
      <c r="P1650" s="30" t="n">
        <v>94.39</v>
      </c>
      <c r="Q1650" s="30" t="n">
        <v>49.41</v>
      </c>
      <c r="R1650" s="30" t="n">
        <f aca="false">ROUND(O1650*P1650,2)</f>
        <v>3492.43</v>
      </c>
      <c r="S1650" s="30" t="n">
        <f aca="false">ROUND(O1650*Q1650,2)</f>
        <v>1828.17</v>
      </c>
      <c r="T1650" s="30" t="n">
        <f aca="false">ROUND(R1650*SUMIFS(Parametros!$E$23:$E$38,Parametros!$B$23:$B$38,J1650,Parametros!$C$23:$C$38,C1650,Parametros!$D$23:$D$38,D1650),2)</f>
        <v>48.89</v>
      </c>
      <c r="U1650" s="30" t="n">
        <f aca="false">R1650-S1650-T1650</f>
        <v>1615.37</v>
      </c>
    </row>
    <row r="1651" customFormat="false" ht="15" hidden="false" customHeight="false" outlineLevel="0" collapsed="false">
      <c r="A1651" s="0" t="n">
        <v>1650</v>
      </c>
      <c r="B1651" s="27" t="n">
        <v>45799</v>
      </c>
      <c r="C1651" s="0" t="n">
        <v>2025</v>
      </c>
      <c r="D1651" s="28" t="s">
        <v>108</v>
      </c>
      <c r="E1651" s="0" t="n">
        <v>5</v>
      </c>
      <c r="F1651" s="28" t="s">
        <v>111</v>
      </c>
      <c r="G1651" s="28" t="s">
        <v>147</v>
      </c>
      <c r="H1651" s="28" t="s">
        <v>98</v>
      </c>
      <c r="I1651" s="28" t="s">
        <v>99</v>
      </c>
      <c r="J1651" s="28" t="s">
        <v>71</v>
      </c>
      <c r="K1651" s="28" t="s">
        <v>76</v>
      </c>
      <c r="L1651" s="28" t="s">
        <v>134</v>
      </c>
      <c r="M1651" s="28" t="s">
        <v>80</v>
      </c>
      <c r="N1651" s="28" t="s">
        <v>136</v>
      </c>
      <c r="O1651" s="29" t="n">
        <v>27</v>
      </c>
      <c r="P1651" s="30" t="n">
        <v>94.39</v>
      </c>
      <c r="Q1651" s="30" t="n">
        <v>49.41</v>
      </c>
      <c r="R1651" s="30" t="n">
        <f aca="false">ROUND(O1651*P1651,2)</f>
        <v>2548.53</v>
      </c>
      <c r="S1651" s="30" t="n">
        <f aca="false">ROUND(O1651*Q1651,2)</f>
        <v>1334.07</v>
      </c>
      <c r="T1651" s="30" t="n">
        <f aca="false">ROUND(R1651*SUMIFS(Parametros!$E$23:$E$38,Parametros!$B$23:$B$38,J1651,Parametros!$C$23:$C$38,C1651,Parametros!$D$23:$D$38,D1651),2)</f>
        <v>188.59</v>
      </c>
      <c r="U1651" s="30" t="n">
        <f aca="false">R1651-S1651-T1651</f>
        <v>1025.87</v>
      </c>
    </row>
    <row r="1652" customFormat="false" ht="15" hidden="false" customHeight="false" outlineLevel="0" collapsed="false">
      <c r="A1652" s="0" t="n">
        <v>1651</v>
      </c>
      <c r="B1652" s="27" t="n">
        <v>45779</v>
      </c>
      <c r="C1652" s="0" t="n">
        <v>2025</v>
      </c>
      <c r="D1652" s="28" t="s">
        <v>108</v>
      </c>
      <c r="E1652" s="0" t="n">
        <v>5</v>
      </c>
      <c r="F1652" s="28" t="s">
        <v>111</v>
      </c>
      <c r="G1652" s="28" t="s">
        <v>147</v>
      </c>
      <c r="H1652" s="28" t="s">
        <v>98</v>
      </c>
      <c r="I1652" s="28" t="s">
        <v>99</v>
      </c>
      <c r="J1652" s="28" t="s">
        <v>66</v>
      </c>
      <c r="K1652" s="28" t="s">
        <v>76</v>
      </c>
      <c r="L1652" s="28" t="s">
        <v>134</v>
      </c>
      <c r="M1652" s="28" t="s">
        <v>82</v>
      </c>
      <c r="N1652" s="28" t="s">
        <v>137</v>
      </c>
      <c r="O1652" s="29" t="n">
        <v>44</v>
      </c>
      <c r="P1652" s="30" t="n">
        <v>64.58</v>
      </c>
      <c r="Q1652" s="30" t="n">
        <v>36.49</v>
      </c>
      <c r="R1652" s="30" t="n">
        <f aca="false">ROUND(O1652*P1652,2)</f>
        <v>2841.52</v>
      </c>
      <c r="S1652" s="30" t="n">
        <f aca="false">ROUND(O1652*Q1652,2)</f>
        <v>1605.56</v>
      </c>
      <c r="T1652" s="30" t="n">
        <f aca="false">ROUND(R1652*SUMIFS(Parametros!$E$23:$E$38,Parametros!$B$23:$B$38,J1652,Parametros!$C$23:$C$38,C1652,Parametros!$D$23:$D$38,D1652),2)</f>
        <v>39.78</v>
      </c>
      <c r="U1652" s="30" t="n">
        <f aca="false">R1652-S1652-T1652</f>
        <v>1196.18</v>
      </c>
    </row>
    <row r="1653" customFormat="false" ht="15" hidden="false" customHeight="false" outlineLevel="0" collapsed="false">
      <c r="A1653" s="0" t="n">
        <v>1652</v>
      </c>
      <c r="B1653" s="27" t="n">
        <v>45786</v>
      </c>
      <c r="C1653" s="0" t="n">
        <v>2025</v>
      </c>
      <c r="D1653" s="28" t="s">
        <v>108</v>
      </c>
      <c r="E1653" s="0" t="n">
        <v>5</v>
      </c>
      <c r="F1653" s="28" t="s">
        <v>111</v>
      </c>
      <c r="G1653" s="28" t="s">
        <v>147</v>
      </c>
      <c r="H1653" s="28" t="s">
        <v>98</v>
      </c>
      <c r="I1653" s="28" t="s">
        <v>99</v>
      </c>
      <c r="J1653" s="28" t="s">
        <v>71</v>
      </c>
      <c r="K1653" s="28" t="s">
        <v>76</v>
      </c>
      <c r="L1653" s="28" t="s">
        <v>134</v>
      </c>
      <c r="M1653" s="28" t="s">
        <v>82</v>
      </c>
      <c r="N1653" s="28" t="s">
        <v>137</v>
      </c>
      <c r="O1653" s="29" t="n">
        <v>26</v>
      </c>
      <c r="P1653" s="30" t="n">
        <v>64.58</v>
      </c>
      <c r="Q1653" s="30" t="n">
        <v>36.49</v>
      </c>
      <c r="R1653" s="30" t="n">
        <f aca="false">ROUND(O1653*P1653,2)</f>
        <v>1679.08</v>
      </c>
      <c r="S1653" s="30" t="n">
        <f aca="false">ROUND(O1653*Q1653,2)</f>
        <v>948.74</v>
      </c>
      <c r="T1653" s="30" t="n">
        <f aca="false">ROUND(R1653*SUMIFS(Parametros!$E$23:$E$38,Parametros!$B$23:$B$38,J1653,Parametros!$C$23:$C$38,C1653,Parametros!$D$23:$D$38,D1653),2)</f>
        <v>124.25</v>
      </c>
      <c r="U1653" s="30" t="n">
        <f aca="false">R1653-S1653-T1653</f>
        <v>606.09</v>
      </c>
    </row>
    <row r="1654" customFormat="false" ht="15" hidden="false" customHeight="false" outlineLevel="0" collapsed="false">
      <c r="A1654" s="0" t="n">
        <v>1653</v>
      </c>
      <c r="B1654" s="27" t="n">
        <v>45793</v>
      </c>
      <c r="C1654" s="0" t="n">
        <v>2025</v>
      </c>
      <c r="D1654" s="28" t="s">
        <v>108</v>
      </c>
      <c r="E1654" s="0" t="n">
        <v>5</v>
      </c>
      <c r="F1654" s="28" t="s">
        <v>111</v>
      </c>
      <c r="G1654" s="28" t="s">
        <v>147</v>
      </c>
      <c r="H1654" s="28" t="s">
        <v>98</v>
      </c>
      <c r="I1654" s="28" t="s">
        <v>99</v>
      </c>
      <c r="J1654" s="28" t="s">
        <v>66</v>
      </c>
      <c r="K1654" s="28" t="s">
        <v>84</v>
      </c>
      <c r="L1654" s="28" t="s">
        <v>138</v>
      </c>
      <c r="M1654" s="28" t="s">
        <v>86</v>
      </c>
      <c r="N1654" s="28" t="s">
        <v>139</v>
      </c>
      <c r="O1654" s="29" t="n">
        <v>15</v>
      </c>
      <c r="P1654" s="30" t="n">
        <v>119.23</v>
      </c>
      <c r="Q1654" s="30" t="n">
        <v>65.51</v>
      </c>
      <c r="R1654" s="30" t="n">
        <f aca="false">ROUND(O1654*P1654,2)</f>
        <v>1788.45</v>
      </c>
      <c r="S1654" s="30" t="n">
        <f aca="false">ROUND(O1654*Q1654,2)</f>
        <v>982.65</v>
      </c>
      <c r="T1654" s="30" t="n">
        <f aca="false">ROUND(R1654*SUMIFS(Parametros!$E$23:$E$38,Parametros!$B$23:$B$38,J1654,Parametros!$C$23:$C$38,C1654,Parametros!$D$23:$D$38,D1654),2)</f>
        <v>25.04</v>
      </c>
      <c r="U1654" s="30" t="n">
        <f aca="false">R1654-S1654-T1654</f>
        <v>780.76</v>
      </c>
    </row>
    <row r="1655" customFormat="false" ht="15" hidden="false" customHeight="false" outlineLevel="0" collapsed="false">
      <c r="A1655" s="0" t="n">
        <v>1654</v>
      </c>
      <c r="B1655" s="27" t="n">
        <v>45800</v>
      </c>
      <c r="C1655" s="0" t="n">
        <v>2025</v>
      </c>
      <c r="D1655" s="28" t="s">
        <v>108</v>
      </c>
      <c r="E1655" s="0" t="n">
        <v>5</v>
      </c>
      <c r="F1655" s="28" t="s">
        <v>111</v>
      </c>
      <c r="G1655" s="28" t="s">
        <v>147</v>
      </c>
      <c r="H1655" s="28" t="s">
        <v>98</v>
      </c>
      <c r="I1655" s="28" t="s">
        <v>99</v>
      </c>
      <c r="J1655" s="28" t="s">
        <v>71</v>
      </c>
      <c r="K1655" s="28" t="s">
        <v>84</v>
      </c>
      <c r="L1655" s="28" t="s">
        <v>138</v>
      </c>
      <c r="M1655" s="28" t="s">
        <v>86</v>
      </c>
      <c r="N1655" s="28" t="s">
        <v>139</v>
      </c>
      <c r="O1655" s="29" t="n">
        <v>15</v>
      </c>
      <c r="P1655" s="30" t="n">
        <v>119.23</v>
      </c>
      <c r="Q1655" s="30" t="n">
        <v>65.51</v>
      </c>
      <c r="R1655" s="30" t="n">
        <f aca="false">ROUND(O1655*P1655,2)</f>
        <v>1788.45</v>
      </c>
      <c r="S1655" s="30" t="n">
        <f aca="false">ROUND(O1655*Q1655,2)</f>
        <v>982.65</v>
      </c>
      <c r="T1655" s="30" t="n">
        <f aca="false">ROUND(R1655*SUMIFS(Parametros!$E$23:$E$38,Parametros!$B$23:$B$38,J1655,Parametros!$C$23:$C$38,C1655,Parametros!$D$23:$D$38,D1655),2)</f>
        <v>132.35</v>
      </c>
      <c r="U1655" s="30" t="n">
        <f aca="false">R1655-S1655-T1655</f>
        <v>673.45</v>
      </c>
    </row>
    <row r="1656" customFormat="false" ht="15" hidden="false" customHeight="false" outlineLevel="0" collapsed="false">
      <c r="A1656" s="0" t="n">
        <v>1655</v>
      </c>
      <c r="B1656" s="27" t="n">
        <v>45780</v>
      </c>
      <c r="C1656" s="0" t="n">
        <v>2025</v>
      </c>
      <c r="D1656" s="28" t="s">
        <v>108</v>
      </c>
      <c r="E1656" s="0" t="n">
        <v>5</v>
      </c>
      <c r="F1656" s="28" t="s">
        <v>111</v>
      </c>
      <c r="G1656" s="28" t="s">
        <v>147</v>
      </c>
      <c r="H1656" s="28" t="s">
        <v>98</v>
      </c>
      <c r="I1656" s="28" t="s">
        <v>99</v>
      </c>
      <c r="J1656" s="28" t="s">
        <v>66</v>
      </c>
      <c r="K1656" s="28" t="s">
        <v>84</v>
      </c>
      <c r="L1656" s="28" t="s">
        <v>138</v>
      </c>
      <c r="M1656" s="28" t="s">
        <v>88</v>
      </c>
      <c r="N1656" s="28" t="s">
        <v>140</v>
      </c>
      <c r="O1656" s="29" t="n">
        <v>20</v>
      </c>
      <c r="P1656" s="30" t="n">
        <v>84.46</v>
      </c>
      <c r="Q1656" s="30" t="n">
        <v>49.47</v>
      </c>
      <c r="R1656" s="30" t="n">
        <f aca="false">ROUND(O1656*P1656,2)</f>
        <v>1689.2</v>
      </c>
      <c r="S1656" s="30" t="n">
        <f aca="false">ROUND(O1656*Q1656,2)</f>
        <v>989.4</v>
      </c>
      <c r="T1656" s="30" t="n">
        <f aca="false">ROUND(R1656*SUMIFS(Parametros!$E$23:$E$38,Parametros!$B$23:$B$38,J1656,Parametros!$C$23:$C$38,C1656,Parametros!$D$23:$D$38,D1656),2)</f>
        <v>23.65</v>
      </c>
      <c r="U1656" s="30" t="n">
        <f aca="false">R1656-S1656-T1656</f>
        <v>676.15</v>
      </c>
    </row>
    <row r="1657" customFormat="false" ht="15" hidden="false" customHeight="false" outlineLevel="0" collapsed="false">
      <c r="A1657" s="0" t="n">
        <v>1656</v>
      </c>
      <c r="B1657" s="27" t="n">
        <v>45787</v>
      </c>
      <c r="C1657" s="0" t="n">
        <v>2025</v>
      </c>
      <c r="D1657" s="28" t="s">
        <v>108</v>
      </c>
      <c r="E1657" s="0" t="n">
        <v>5</v>
      </c>
      <c r="F1657" s="28" t="s">
        <v>111</v>
      </c>
      <c r="G1657" s="28" t="s">
        <v>147</v>
      </c>
      <c r="H1657" s="28" t="s">
        <v>98</v>
      </c>
      <c r="I1657" s="28" t="s">
        <v>99</v>
      </c>
      <c r="J1657" s="28" t="s">
        <v>71</v>
      </c>
      <c r="K1657" s="28" t="s">
        <v>84</v>
      </c>
      <c r="L1657" s="28" t="s">
        <v>138</v>
      </c>
      <c r="M1657" s="28" t="s">
        <v>88</v>
      </c>
      <c r="N1657" s="28" t="s">
        <v>140</v>
      </c>
      <c r="O1657" s="29" t="n">
        <v>13</v>
      </c>
      <c r="P1657" s="30" t="n">
        <v>84.46</v>
      </c>
      <c r="Q1657" s="30" t="n">
        <v>49.47</v>
      </c>
      <c r="R1657" s="30" t="n">
        <f aca="false">ROUND(O1657*P1657,2)</f>
        <v>1097.98</v>
      </c>
      <c r="S1657" s="30" t="n">
        <f aca="false">ROUND(O1657*Q1657,2)</f>
        <v>643.11</v>
      </c>
      <c r="T1657" s="30" t="n">
        <f aca="false">ROUND(R1657*SUMIFS(Parametros!$E$23:$E$38,Parametros!$B$23:$B$38,J1657,Parametros!$C$23:$C$38,C1657,Parametros!$D$23:$D$38,D1657),2)</f>
        <v>81.25</v>
      </c>
      <c r="U1657" s="30" t="n">
        <f aca="false">R1657-S1657-T1657</f>
        <v>373.62</v>
      </c>
    </row>
    <row r="1658" customFormat="false" ht="15" hidden="false" customHeight="false" outlineLevel="0" collapsed="false">
      <c r="A1658" s="0" t="n">
        <v>1657</v>
      </c>
      <c r="B1658" s="27" t="n">
        <v>45794</v>
      </c>
      <c r="C1658" s="0" t="n">
        <v>2025</v>
      </c>
      <c r="D1658" s="28" t="s">
        <v>108</v>
      </c>
      <c r="E1658" s="0" t="n">
        <v>5</v>
      </c>
      <c r="F1658" s="28" t="s">
        <v>111</v>
      </c>
      <c r="G1658" s="28" t="s">
        <v>147</v>
      </c>
      <c r="H1658" s="28" t="s">
        <v>98</v>
      </c>
      <c r="I1658" s="28" t="s">
        <v>99</v>
      </c>
      <c r="J1658" s="28" t="s">
        <v>66</v>
      </c>
      <c r="K1658" s="28" t="s">
        <v>90</v>
      </c>
      <c r="L1658" s="28" t="s">
        <v>141</v>
      </c>
      <c r="M1658" s="28" t="s">
        <v>92</v>
      </c>
      <c r="N1658" s="28" t="s">
        <v>142</v>
      </c>
      <c r="O1658" s="29" t="n">
        <v>20</v>
      </c>
      <c r="P1658" s="30" t="n">
        <v>129.17</v>
      </c>
      <c r="Q1658" s="30" t="n">
        <v>78.33</v>
      </c>
      <c r="R1658" s="30" t="n">
        <f aca="false">ROUND(O1658*P1658,2)</f>
        <v>2583.4</v>
      </c>
      <c r="S1658" s="30" t="n">
        <f aca="false">ROUND(O1658*Q1658,2)</f>
        <v>1566.6</v>
      </c>
      <c r="T1658" s="30" t="n">
        <f aca="false">ROUND(R1658*SUMIFS(Parametros!$E$23:$E$38,Parametros!$B$23:$B$38,J1658,Parametros!$C$23:$C$38,C1658,Parametros!$D$23:$D$38,D1658),2)</f>
        <v>36.17</v>
      </c>
      <c r="U1658" s="30" t="n">
        <f aca="false">R1658-S1658-T1658</f>
        <v>980.63</v>
      </c>
    </row>
    <row r="1659" customFormat="false" ht="15" hidden="false" customHeight="false" outlineLevel="0" collapsed="false">
      <c r="A1659" s="0" t="n">
        <v>1658</v>
      </c>
      <c r="B1659" s="27" t="n">
        <v>45801</v>
      </c>
      <c r="C1659" s="0" t="n">
        <v>2025</v>
      </c>
      <c r="D1659" s="28" t="s">
        <v>108</v>
      </c>
      <c r="E1659" s="0" t="n">
        <v>5</v>
      </c>
      <c r="F1659" s="28" t="s">
        <v>111</v>
      </c>
      <c r="G1659" s="28" t="s">
        <v>147</v>
      </c>
      <c r="H1659" s="28" t="s">
        <v>98</v>
      </c>
      <c r="I1659" s="28" t="s">
        <v>99</v>
      </c>
      <c r="J1659" s="28" t="s">
        <v>71</v>
      </c>
      <c r="K1659" s="28" t="s">
        <v>90</v>
      </c>
      <c r="L1659" s="28" t="s">
        <v>141</v>
      </c>
      <c r="M1659" s="28" t="s">
        <v>92</v>
      </c>
      <c r="N1659" s="28" t="s">
        <v>142</v>
      </c>
      <c r="O1659" s="29" t="n">
        <v>18</v>
      </c>
      <c r="P1659" s="30" t="n">
        <v>129.17</v>
      </c>
      <c r="Q1659" s="30" t="n">
        <v>78.33</v>
      </c>
      <c r="R1659" s="30" t="n">
        <f aca="false">ROUND(O1659*P1659,2)</f>
        <v>2325.06</v>
      </c>
      <c r="S1659" s="30" t="n">
        <f aca="false">ROUND(O1659*Q1659,2)</f>
        <v>1409.94</v>
      </c>
      <c r="T1659" s="30" t="n">
        <f aca="false">ROUND(R1659*SUMIFS(Parametros!$E$23:$E$38,Parametros!$B$23:$B$38,J1659,Parametros!$C$23:$C$38,C1659,Parametros!$D$23:$D$38,D1659),2)</f>
        <v>172.05</v>
      </c>
      <c r="U1659" s="30" t="n">
        <f aca="false">R1659-S1659-T1659</f>
        <v>743.07</v>
      </c>
    </row>
    <row r="1660" customFormat="false" ht="15" hidden="false" customHeight="false" outlineLevel="0" collapsed="false">
      <c r="A1660" s="0" t="n">
        <v>1659</v>
      </c>
      <c r="B1660" s="27" t="n">
        <v>45781</v>
      </c>
      <c r="C1660" s="0" t="n">
        <v>2025</v>
      </c>
      <c r="D1660" s="28" t="s">
        <v>108</v>
      </c>
      <c r="E1660" s="0" t="n">
        <v>5</v>
      </c>
      <c r="F1660" s="28" t="s">
        <v>111</v>
      </c>
      <c r="G1660" s="28" t="s">
        <v>147</v>
      </c>
      <c r="H1660" s="28" t="s">
        <v>98</v>
      </c>
      <c r="I1660" s="28" t="s">
        <v>99</v>
      </c>
      <c r="J1660" s="28" t="s">
        <v>66</v>
      </c>
      <c r="K1660" s="28" t="s">
        <v>90</v>
      </c>
      <c r="L1660" s="28" t="s">
        <v>141</v>
      </c>
      <c r="M1660" s="28" t="s">
        <v>94</v>
      </c>
      <c r="N1660" s="28" t="s">
        <v>143</v>
      </c>
      <c r="O1660" s="29" t="n">
        <v>27</v>
      </c>
      <c r="P1660" s="30" t="n">
        <v>34.78</v>
      </c>
      <c r="Q1660" s="30" t="n">
        <v>18.39</v>
      </c>
      <c r="R1660" s="30" t="n">
        <f aca="false">ROUND(O1660*P1660,2)</f>
        <v>939.06</v>
      </c>
      <c r="S1660" s="30" t="n">
        <f aca="false">ROUND(O1660*Q1660,2)</f>
        <v>496.53</v>
      </c>
      <c r="T1660" s="30" t="n">
        <f aca="false">ROUND(R1660*SUMIFS(Parametros!$E$23:$E$38,Parametros!$B$23:$B$38,J1660,Parametros!$C$23:$C$38,C1660,Parametros!$D$23:$D$38,D1660),2)</f>
        <v>13.15</v>
      </c>
      <c r="U1660" s="30" t="n">
        <f aca="false">R1660-S1660-T1660</f>
        <v>429.38</v>
      </c>
    </row>
    <row r="1661" customFormat="false" ht="15" hidden="false" customHeight="false" outlineLevel="0" collapsed="false">
      <c r="A1661" s="0" t="n">
        <v>1660</v>
      </c>
      <c r="B1661" s="27" t="n">
        <v>45788</v>
      </c>
      <c r="C1661" s="0" t="n">
        <v>2025</v>
      </c>
      <c r="D1661" s="28" t="s">
        <v>108</v>
      </c>
      <c r="E1661" s="0" t="n">
        <v>5</v>
      </c>
      <c r="F1661" s="28" t="s">
        <v>111</v>
      </c>
      <c r="G1661" s="28" t="s">
        <v>147</v>
      </c>
      <c r="H1661" s="28" t="s">
        <v>98</v>
      </c>
      <c r="I1661" s="28" t="s">
        <v>99</v>
      </c>
      <c r="J1661" s="28" t="s">
        <v>71</v>
      </c>
      <c r="K1661" s="28" t="s">
        <v>90</v>
      </c>
      <c r="L1661" s="28" t="s">
        <v>141</v>
      </c>
      <c r="M1661" s="28" t="s">
        <v>94</v>
      </c>
      <c r="N1661" s="28" t="s">
        <v>143</v>
      </c>
      <c r="O1661" s="29" t="n">
        <v>15</v>
      </c>
      <c r="P1661" s="30" t="n">
        <v>34.78</v>
      </c>
      <c r="Q1661" s="30" t="n">
        <v>18.39</v>
      </c>
      <c r="R1661" s="30" t="n">
        <f aca="false">ROUND(O1661*P1661,2)</f>
        <v>521.7</v>
      </c>
      <c r="S1661" s="30" t="n">
        <f aca="false">ROUND(O1661*Q1661,2)</f>
        <v>275.85</v>
      </c>
      <c r="T1661" s="30" t="n">
        <f aca="false">ROUND(R1661*SUMIFS(Parametros!$E$23:$E$38,Parametros!$B$23:$B$38,J1661,Parametros!$C$23:$C$38,C1661,Parametros!$D$23:$D$38,D1661),2)</f>
        <v>38.61</v>
      </c>
      <c r="U1661" s="30" t="n">
        <f aca="false">R1661-S1661-T1661</f>
        <v>207.24</v>
      </c>
    </row>
    <row r="1662" customFormat="false" ht="15" hidden="false" customHeight="false" outlineLevel="0" collapsed="false">
      <c r="A1662" s="0" t="n">
        <v>1661</v>
      </c>
      <c r="B1662" s="27" t="n">
        <v>45795</v>
      </c>
      <c r="C1662" s="0" t="n">
        <v>2025</v>
      </c>
      <c r="D1662" s="28" t="s">
        <v>108</v>
      </c>
      <c r="E1662" s="0" t="n">
        <v>5</v>
      </c>
      <c r="F1662" s="28" t="s">
        <v>111</v>
      </c>
      <c r="G1662" s="28" t="s">
        <v>147</v>
      </c>
      <c r="H1662" s="28" t="s">
        <v>100</v>
      </c>
      <c r="I1662" s="28" t="s">
        <v>101</v>
      </c>
      <c r="J1662" s="28" t="s">
        <v>66</v>
      </c>
      <c r="K1662" s="28" t="s">
        <v>67</v>
      </c>
      <c r="L1662" s="28" t="s">
        <v>130</v>
      </c>
      <c r="M1662" s="28" t="s">
        <v>69</v>
      </c>
      <c r="N1662" s="28" t="s">
        <v>131</v>
      </c>
      <c r="O1662" s="29" t="n">
        <v>7</v>
      </c>
      <c r="P1662" s="30" t="n">
        <v>1155.06</v>
      </c>
      <c r="Q1662" s="30" t="n">
        <v>766.32</v>
      </c>
      <c r="R1662" s="30" t="n">
        <f aca="false">ROUND(O1662*P1662,2)</f>
        <v>8085.42</v>
      </c>
      <c r="S1662" s="30" t="n">
        <f aca="false">ROUND(O1662*Q1662,2)</f>
        <v>5364.24</v>
      </c>
      <c r="T1662" s="30" t="n">
        <f aca="false">ROUND(R1662*SUMIFS(Parametros!$E$23:$E$38,Parametros!$B$23:$B$38,J1662,Parametros!$C$23:$C$38,C1662,Parametros!$D$23:$D$38,D1662),2)</f>
        <v>113.2</v>
      </c>
      <c r="U1662" s="30" t="n">
        <f aca="false">R1662-S1662-T1662</f>
        <v>2607.98</v>
      </c>
    </row>
    <row r="1663" customFormat="false" ht="15" hidden="false" customHeight="false" outlineLevel="0" collapsed="false">
      <c r="A1663" s="0" t="n">
        <v>1662</v>
      </c>
      <c r="B1663" s="27" t="n">
        <v>45802</v>
      </c>
      <c r="C1663" s="0" t="n">
        <v>2025</v>
      </c>
      <c r="D1663" s="28" t="s">
        <v>108</v>
      </c>
      <c r="E1663" s="0" t="n">
        <v>5</v>
      </c>
      <c r="F1663" s="28" t="s">
        <v>111</v>
      </c>
      <c r="G1663" s="28" t="s">
        <v>147</v>
      </c>
      <c r="H1663" s="28" t="s">
        <v>100</v>
      </c>
      <c r="I1663" s="28" t="s">
        <v>101</v>
      </c>
      <c r="J1663" s="28" t="s">
        <v>71</v>
      </c>
      <c r="K1663" s="28" t="s">
        <v>67</v>
      </c>
      <c r="L1663" s="28" t="s">
        <v>130</v>
      </c>
      <c r="M1663" s="28" t="s">
        <v>69</v>
      </c>
      <c r="N1663" s="28" t="s">
        <v>131</v>
      </c>
      <c r="O1663" s="29" t="n">
        <v>5</v>
      </c>
      <c r="P1663" s="30" t="n">
        <v>1155.06</v>
      </c>
      <c r="Q1663" s="30" t="n">
        <v>766.32</v>
      </c>
      <c r="R1663" s="30" t="n">
        <f aca="false">ROUND(O1663*P1663,2)</f>
        <v>5775.3</v>
      </c>
      <c r="S1663" s="30" t="n">
        <f aca="false">ROUND(O1663*Q1663,2)</f>
        <v>3831.6</v>
      </c>
      <c r="T1663" s="30" t="n">
        <f aca="false">ROUND(R1663*SUMIFS(Parametros!$E$23:$E$38,Parametros!$B$23:$B$38,J1663,Parametros!$C$23:$C$38,C1663,Parametros!$D$23:$D$38,D1663),2)</f>
        <v>427.37</v>
      </c>
      <c r="U1663" s="30" t="n">
        <f aca="false">R1663-S1663-T1663</f>
        <v>1516.33</v>
      </c>
    </row>
    <row r="1664" customFormat="false" ht="15" hidden="false" customHeight="false" outlineLevel="0" collapsed="false">
      <c r="A1664" s="0" t="n">
        <v>1663</v>
      </c>
      <c r="B1664" s="27" t="n">
        <v>45782</v>
      </c>
      <c r="C1664" s="0" t="n">
        <v>2025</v>
      </c>
      <c r="D1664" s="28" t="s">
        <v>108</v>
      </c>
      <c r="E1664" s="0" t="n">
        <v>5</v>
      </c>
      <c r="F1664" s="28" t="s">
        <v>111</v>
      </c>
      <c r="G1664" s="28" t="s">
        <v>147</v>
      </c>
      <c r="H1664" s="28" t="s">
        <v>100</v>
      </c>
      <c r="I1664" s="28" t="s">
        <v>101</v>
      </c>
      <c r="J1664" s="28" t="s">
        <v>66</v>
      </c>
      <c r="K1664" s="28" t="s">
        <v>67</v>
      </c>
      <c r="L1664" s="28" t="s">
        <v>130</v>
      </c>
      <c r="M1664" s="28" t="s">
        <v>72</v>
      </c>
      <c r="N1664" s="28" t="s">
        <v>132</v>
      </c>
      <c r="O1664" s="29" t="n">
        <v>6</v>
      </c>
      <c r="P1664" s="30" t="n">
        <v>433.15</v>
      </c>
      <c r="Q1664" s="30" t="n">
        <v>280.42</v>
      </c>
      <c r="R1664" s="30" t="n">
        <f aca="false">ROUND(O1664*P1664,2)</f>
        <v>2598.9</v>
      </c>
      <c r="S1664" s="30" t="n">
        <f aca="false">ROUND(O1664*Q1664,2)</f>
        <v>1682.52</v>
      </c>
      <c r="T1664" s="30" t="n">
        <f aca="false">ROUND(R1664*SUMIFS(Parametros!$E$23:$E$38,Parametros!$B$23:$B$38,J1664,Parametros!$C$23:$C$38,C1664,Parametros!$D$23:$D$38,D1664),2)</f>
        <v>36.38</v>
      </c>
      <c r="U1664" s="30" t="n">
        <f aca="false">R1664-S1664-T1664</f>
        <v>880</v>
      </c>
    </row>
    <row r="1665" customFormat="false" ht="15" hidden="false" customHeight="false" outlineLevel="0" collapsed="false">
      <c r="A1665" s="0" t="n">
        <v>1664</v>
      </c>
      <c r="B1665" s="27" t="n">
        <v>45789</v>
      </c>
      <c r="C1665" s="0" t="n">
        <v>2025</v>
      </c>
      <c r="D1665" s="28" t="s">
        <v>108</v>
      </c>
      <c r="E1665" s="0" t="n">
        <v>5</v>
      </c>
      <c r="F1665" s="28" t="s">
        <v>111</v>
      </c>
      <c r="G1665" s="28" t="s">
        <v>147</v>
      </c>
      <c r="H1665" s="28" t="s">
        <v>100</v>
      </c>
      <c r="I1665" s="28" t="s">
        <v>101</v>
      </c>
      <c r="J1665" s="28" t="s">
        <v>71</v>
      </c>
      <c r="K1665" s="28" t="s">
        <v>67</v>
      </c>
      <c r="L1665" s="28" t="s">
        <v>130</v>
      </c>
      <c r="M1665" s="28" t="s">
        <v>72</v>
      </c>
      <c r="N1665" s="28" t="s">
        <v>132</v>
      </c>
      <c r="O1665" s="29" t="n">
        <v>4</v>
      </c>
      <c r="P1665" s="30" t="n">
        <v>433.15</v>
      </c>
      <c r="Q1665" s="30" t="n">
        <v>280.42</v>
      </c>
      <c r="R1665" s="30" t="n">
        <f aca="false">ROUND(O1665*P1665,2)</f>
        <v>1732.6</v>
      </c>
      <c r="S1665" s="30" t="n">
        <f aca="false">ROUND(O1665*Q1665,2)</f>
        <v>1121.68</v>
      </c>
      <c r="T1665" s="30" t="n">
        <f aca="false">ROUND(R1665*SUMIFS(Parametros!$E$23:$E$38,Parametros!$B$23:$B$38,J1665,Parametros!$C$23:$C$38,C1665,Parametros!$D$23:$D$38,D1665),2)</f>
        <v>128.21</v>
      </c>
      <c r="U1665" s="30" t="n">
        <f aca="false">R1665-S1665-T1665</f>
        <v>482.71</v>
      </c>
    </row>
    <row r="1666" customFormat="false" ht="15" hidden="false" customHeight="false" outlineLevel="0" collapsed="false">
      <c r="A1666" s="0" t="n">
        <v>1665</v>
      </c>
      <c r="B1666" s="27" t="n">
        <v>45796</v>
      </c>
      <c r="C1666" s="0" t="n">
        <v>2025</v>
      </c>
      <c r="D1666" s="28" t="s">
        <v>108</v>
      </c>
      <c r="E1666" s="0" t="n">
        <v>5</v>
      </c>
      <c r="F1666" s="28" t="s">
        <v>111</v>
      </c>
      <c r="G1666" s="28" t="s">
        <v>147</v>
      </c>
      <c r="H1666" s="28" t="s">
        <v>100</v>
      </c>
      <c r="I1666" s="28" t="s">
        <v>101</v>
      </c>
      <c r="J1666" s="28" t="s">
        <v>66</v>
      </c>
      <c r="K1666" s="28" t="s">
        <v>67</v>
      </c>
      <c r="L1666" s="28" t="s">
        <v>130</v>
      </c>
      <c r="M1666" s="28" t="s">
        <v>74</v>
      </c>
      <c r="N1666" s="28" t="s">
        <v>133</v>
      </c>
      <c r="O1666" s="29" t="n">
        <v>7</v>
      </c>
      <c r="P1666" s="30" t="n">
        <v>1588.21</v>
      </c>
      <c r="Q1666" s="30" t="n">
        <v>1155.66</v>
      </c>
      <c r="R1666" s="30" t="n">
        <f aca="false">ROUND(O1666*P1666,2)</f>
        <v>11117.47</v>
      </c>
      <c r="S1666" s="30" t="n">
        <f aca="false">ROUND(O1666*Q1666,2)</f>
        <v>8089.62</v>
      </c>
      <c r="T1666" s="30" t="n">
        <f aca="false">ROUND(R1666*SUMIFS(Parametros!$E$23:$E$38,Parametros!$B$23:$B$38,J1666,Parametros!$C$23:$C$38,C1666,Parametros!$D$23:$D$38,D1666),2)</f>
        <v>155.64</v>
      </c>
      <c r="U1666" s="30" t="n">
        <f aca="false">R1666-S1666-T1666</f>
        <v>2872.21</v>
      </c>
    </row>
    <row r="1667" customFormat="false" ht="15" hidden="false" customHeight="false" outlineLevel="0" collapsed="false">
      <c r="A1667" s="0" t="n">
        <v>1666</v>
      </c>
      <c r="B1667" s="27" t="n">
        <v>45803</v>
      </c>
      <c r="C1667" s="0" t="n">
        <v>2025</v>
      </c>
      <c r="D1667" s="28" t="s">
        <v>108</v>
      </c>
      <c r="E1667" s="0" t="n">
        <v>5</v>
      </c>
      <c r="F1667" s="28" t="s">
        <v>111</v>
      </c>
      <c r="G1667" s="28" t="s">
        <v>147</v>
      </c>
      <c r="H1667" s="28" t="s">
        <v>100</v>
      </c>
      <c r="I1667" s="28" t="s">
        <v>101</v>
      </c>
      <c r="J1667" s="28" t="s">
        <v>71</v>
      </c>
      <c r="K1667" s="28" t="s">
        <v>67</v>
      </c>
      <c r="L1667" s="28" t="s">
        <v>130</v>
      </c>
      <c r="M1667" s="28" t="s">
        <v>74</v>
      </c>
      <c r="N1667" s="28" t="s">
        <v>133</v>
      </c>
      <c r="O1667" s="29" t="n">
        <v>5</v>
      </c>
      <c r="P1667" s="30" t="n">
        <v>1588.21</v>
      </c>
      <c r="Q1667" s="30" t="n">
        <v>1155.66</v>
      </c>
      <c r="R1667" s="30" t="n">
        <f aca="false">ROUND(O1667*P1667,2)</f>
        <v>7941.05</v>
      </c>
      <c r="S1667" s="30" t="n">
        <f aca="false">ROUND(O1667*Q1667,2)</f>
        <v>5778.3</v>
      </c>
      <c r="T1667" s="30" t="n">
        <f aca="false">ROUND(R1667*SUMIFS(Parametros!$E$23:$E$38,Parametros!$B$23:$B$38,J1667,Parametros!$C$23:$C$38,C1667,Parametros!$D$23:$D$38,D1667),2)</f>
        <v>587.64</v>
      </c>
      <c r="U1667" s="30" t="n">
        <f aca="false">R1667-S1667-T1667</f>
        <v>1575.11</v>
      </c>
    </row>
    <row r="1668" customFormat="false" ht="15" hidden="false" customHeight="false" outlineLevel="0" collapsed="false">
      <c r="A1668" s="0" t="n">
        <v>1667</v>
      </c>
      <c r="B1668" s="27" t="n">
        <v>45783</v>
      </c>
      <c r="C1668" s="0" t="n">
        <v>2025</v>
      </c>
      <c r="D1668" s="28" t="s">
        <v>108</v>
      </c>
      <c r="E1668" s="0" t="n">
        <v>5</v>
      </c>
      <c r="F1668" s="28" t="s">
        <v>111</v>
      </c>
      <c r="G1668" s="28" t="s">
        <v>147</v>
      </c>
      <c r="H1668" s="28" t="s">
        <v>100</v>
      </c>
      <c r="I1668" s="28" t="s">
        <v>101</v>
      </c>
      <c r="J1668" s="28" t="s">
        <v>66</v>
      </c>
      <c r="K1668" s="28" t="s">
        <v>76</v>
      </c>
      <c r="L1668" s="28" t="s">
        <v>134</v>
      </c>
      <c r="M1668" s="28" t="s">
        <v>78</v>
      </c>
      <c r="N1668" s="28" t="s">
        <v>135</v>
      </c>
      <c r="O1668" s="29" t="n">
        <v>31</v>
      </c>
      <c r="P1668" s="30" t="n">
        <v>27.82</v>
      </c>
      <c r="Q1668" s="30" t="n">
        <v>13.84</v>
      </c>
      <c r="R1668" s="30" t="n">
        <f aca="false">ROUND(O1668*P1668,2)</f>
        <v>862.42</v>
      </c>
      <c r="S1668" s="30" t="n">
        <f aca="false">ROUND(O1668*Q1668,2)</f>
        <v>429.04</v>
      </c>
      <c r="T1668" s="30" t="n">
        <f aca="false">ROUND(R1668*SUMIFS(Parametros!$E$23:$E$38,Parametros!$B$23:$B$38,J1668,Parametros!$C$23:$C$38,C1668,Parametros!$D$23:$D$38,D1668),2)</f>
        <v>12.07</v>
      </c>
      <c r="U1668" s="30" t="n">
        <f aca="false">R1668-S1668-T1668</f>
        <v>421.31</v>
      </c>
    </row>
    <row r="1669" customFormat="false" ht="15" hidden="false" customHeight="false" outlineLevel="0" collapsed="false">
      <c r="A1669" s="0" t="n">
        <v>1668</v>
      </c>
      <c r="B1669" s="27" t="n">
        <v>45790</v>
      </c>
      <c r="C1669" s="0" t="n">
        <v>2025</v>
      </c>
      <c r="D1669" s="28" t="s">
        <v>108</v>
      </c>
      <c r="E1669" s="0" t="n">
        <v>5</v>
      </c>
      <c r="F1669" s="28" t="s">
        <v>111</v>
      </c>
      <c r="G1669" s="28" t="s">
        <v>147</v>
      </c>
      <c r="H1669" s="28" t="s">
        <v>100</v>
      </c>
      <c r="I1669" s="28" t="s">
        <v>101</v>
      </c>
      <c r="J1669" s="28" t="s">
        <v>71</v>
      </c>
      <c r="K1669" s="28" t="s">
        <v>76</v>
      </c>
      <c r="L1669" s="28" t="s">
        <v>134</v>
      </c>
      <c r="M1669" s="28" t="s">
        <v>78</v>
      </c>
      <c r="N1669" s="28" t="s">
        <v>135</v>
      </c>
      <c r="O1669" s="29" t="n">
        <v>18</v>
      </c>
      <c r="P1669" s="30" t="n">
        <v>27.82</v>
      </c>
      <c r="Q1669" s="30" t="n">
        <v>13.84</v>
      </c>
      <c r="R1669" s="30" t="n">
        <f aca="false">ROUND(O1669*P1669,2)</f>
        <v>500.76</v>
      </c>
      <c r="S1669" s="30" t="n">
        <f aca="false">ROUND(O1669*Q1669,2)</f>
        <v>249.12</v>
      </c>
      <c r="T1669" s="30" t="n">
        <f aca="false">ROUND(R1669*SUMIFS(Parametros!$E$23:$E$38,Parametros!$B$23:$B$38,J1669,Parametros!$C$23:$C$38,C1669,Parametros!$D$23:$D$38,D1669),2)</f>
        <v>37.06</v>
      </c>
      <c r="U1669" s="30" t="n">
        <f aca="false">R1669-S1669-T1669</f>
        <v>214.58</v>
      </c>
    </row>
    <row r="1670" customFormat="false" ht="15" hidden="false" customHeight="false" outlineLevel="0" collapsed="false">
      <c r="A1670" s="0" t="n">
        <v>1669</v>
      </c>
      <c r="B1670" s="27" t="n">
        <v>45797</v>
      </c>
      <c r="C1670" s="0" t="n">
        <v>2025</v>
      </c>
      <c r="D1670" s="28" t="s">
        <v>108</v>
      </c>
      <c r="E1670" s="0" t="n">
        <v>5</v>
      </c>
      <c r="F1670" s="28" t="s">
        <v>111</v>
      </c>
      <c r="G1670" s="28" t="s">
        <v>147</v>
      </c>
      <c r="H1670" s="28" t="s">
        <v>100</v>
      </c>
      <c r="I1670" s="28" t="s">
        <v>101</v>
      </c>
      <c r="J1670" s="28" t="s">
        <v>66</v>
      </c>
      <c r="K1670" s="28" t="s">
        <v>76</v>
      </c>
      <c r="L1670" s="28" t="s">
        <v>134</v>
      </c>
      <c r="M1670" s="28" t="s">
        <v>80</v>
      </c>
      <c r="N1670" s="28" t="s">
        <v>136</v>
      </c>
      <c r="O1670" s="29" t="n">
        <v>24</v>
      </c>
      <c r="P1670" s="30" t="n">
        <v>94.39</v>
      </c>
      <c r="Q1670" s="30" t="n">
        <v>49.41</v>
      </c>
      <c r="R1670" s="30" t="n">
        <f aca="false">ROUND(O1670*P1670,2)</f>
        <v>2265.36</v>
      </c>
      <c r="S1670" s="30" t="n">
        <f aca="false">ROUND(O1670*Q1670,2)</f>
        <v>1185.84</v>
      </c>
      <c r="T1670" s="30" t="n">
        <f aca="false">ROUND(R1670*SUMIFS(Parametros!$E$23:$E$38,Parametros!$B$23:$B$38,J1670,Parametros!$C$23:$C$38,C1670,Parametros!$D$23:$D$38,D1670),2)</f>
        <v>31.72</v>
      </c>
      <c r="U1670" s="30" t="n">
        <f aca="false">R1670-S1670-T1670</f>
        <v>1047.8</v>
      </c>
    </row>
    <row r="1671" customFormat="false" ht="15" hidden="false" customHeight="false" outlineLevel="0" collapsed="false">
      <c r="A1671" s="0" t="n">
        <v>1670</v>
      </c>
      <c r="B1671" s="27" t="n">
        <v>45804</v>
      </c>
      <c r="C1671" s="0" t="n">
        <v>2025</v>
      </c>
      <c r="D1671" s="28" t="s">
        <v>108</v>
      </c>
      <c r="E1671" s="0" t="n">
        <v>5</v>
      </c>
      <c r="F1671" s="28" t="s">
        <v>111</v>
      </c>
      <c r="G1671" s="28" t="s">
        <v>147</v>
      </c>
      <c r="H1671" s="28" t="s">
        <v>100</v>
      </c>
      <c r="I1671" s="28" t="s">
        <v>101</v>
      </c>
      <c r="J1671" s="28" t="s">
        <v>71</v>
      </c>
      <c r="K1671" s="28" t="s">
        <v>76</v>
      </c>
      <c r="L1671" s="28" t="s">
        <v>134</v>
      </c>
      <c r="M1671" s="28" t="s">
        <v>80</v>
      </c>
      <c r="N1671" s="28" t="s">
        <v>136</v>
      </c>
      <c r="O1671" s="29" t="n">
        <v>24</v>
      </c>
      <c r="P1671" s="30" t="n">
        <v>94.39</v>
      </c>
      <c r="Q1671" s="30" t="n">
        <v>49.41</v>
      </c>
      <c r="R1671" s="30" t="n">
        <f aca="false">ROUND(O1671*P1671,2)</f>
        <v>2265.36</v>
      </c>
      <c r="S1671" s="30" t="n">
        <f aca="false">ROUND(O1671*Q1671,2)</f>
        <v>1185.84</v>
      </c>
      <c r="T1671" s="30" t="n">
        <f aca="false">ROUND(R1671*SUMIFS(Parametros!$E$23:$E$38,Parametros!$B$23:$B$38,J1671,Parametros!$C$23:$C$38,C1671,Parametros!$D$23:$D$38,D1671),2)</f>
        <v>167.64</v>
      </c>
      <c r="U1671" s="30" t="n">
        <f aca="false">R1671-S1671-T1671</f>
        <v>911.88</v>
      </c>
    </row>
    <row r="1672" customFormat="false" ht="15" hidden="false" customHeight="false" outlineLevel="0" collapsed="false">
      <c r="A1672" s="0" t="n">
        <v>1671</v>
      </c>
      <c r="B1672" s="27" t="n">
        <v>45784</v>
      </c>
      <c r="C1672" s="0" t="n">
        <v>2025</v>
      </c>
      <c r="D1672" s="28" t="s">
        <v>108</v>
      </c>
      <c r="E1672" s="0" t="n">
        <v>5</v>
      </c>
      <c r="F1672" s="28" t="s">
        <v>111</v>
      </c>
      <c r="G1672" s="28" t="s">
        <v>147</v>
      </c>
      <c r="H1672" s="28" t="s">
        <v>100</v>
      </c>
      <c r="I1672" s="28" t="s">
        <v>101</v>
      </c>
      <c r="J1672" s="28" t="s">
        <v>66</v>
      </c>
      <c r="K1672" s="28" t="s">
        <v>76</v>
      </c>
      <c r="L1672" s="28" t="s">
        <v>134</v>
      </c>
      <c r="M1672" s="28" t="s">
        <v>82</v>
      </c>
      <c r="N1672" s="28" t="s">
        <v>137</v>
      </c>
      <c r="O1672" s="29" t="n">
        <v>26</v>
      </c>
      <c r="P1672" s="30" t="n">
        <v>64.58</v>
      </c>
      <c r="Q1672" s="30" t="n">
        <v>36.49</v>
      </c>
      <c r="R1672" s="30" t="n">
        <f aca="false">ROUND(O1672*P1672,2)</f>
        <v>1679.08</v>
      </c>
      <c r="S1672" s="30" t="n">
        <f aca="false">ROUND(O1672*Q1672,2)</f>
        <v>948.74</v>
      </c>
      <c r="T1672" s="30" t="n">
        <f aca="false">ROUND(R1672*SUMIFS(Parametros!$E$23:$E$38,Parametros!$B$23:$B$38,J1672,Parametros!$C$23:$C$38,C1672,Parametros!$D$23:$D$38,D1672),2)</f>
        <v>23.51</v>
      </c>
      <c r="U1672" s="30" t="n">
        <f aca="false">R1672-S1672-T1672</f>
        <v>706.83</v>
      </c>
    </row>
    <row r="1673" customFormat="false" ht="15" hidden="false" customHeight="false" outlineLevel="0" collapsed="false">
      <c r="A1673" s="0" t="n">
        <v>1672</v>
      </c>
      <c r="B1673" s="27" t="n">
        <v>45791</v>
      </c>
      <c r="C1673" s="0" t="n">
        <v>2025</v>
      </c>
      <c r="D1673" s="28" t="s">
        <v>108</v>
      </c>
      <c r="E1673" s="0" t="n">
        <v>5</v>
      </c>
      <c r="F1673" s="28" t="s">
        <v>111</v>
      </c>
      <c r="G1673" s="28" t="s">
        <v>147</v>
      </c>
      <c r="H1673" s="28" t="s">
        <v>100</v>
      </c>
      <c r="I1673" s="28" t="s">
        <v>101</v>
      </c>
      <c r="J1673" s="28" t="s">
        <v>71</v>
      </c>
      <c r="K1673" s="28" t="s">
        <v>76</v>
      </c>
      <c r="L1673" s="28" t="s">
        <v>134</v>
      </c>
      <c r="M1673" s="28" t="s">
        <v>82</v>
      </c>
      <c r="N1673" s="28" t="s">
        <v>137</v>
      </c>
      <c r="O1673" s="29" t="n">
        <v>19</v>
      </c>
      <c r="P1673" s="30" t="n">
        <v>64.58</v>
      </c>
      <c r="Q1673" s="30" t="n">
        <v>36.49</v>
      </c>
      <c r="R1673" s="30" t="n">
        <f aca="false">ROUND(O1673*P1673,2)</f>
        <v>1227.02</v>
      </c>
      <c r="S1673" s="30" t="n">
        <f aca="false">ROUND(O1673*Q1673,2)</f>
        <v>693.31</v>
      </c>
      <c r="T1673" s="30" t="n">
        <f aca="false">ROUND(R1673*SUMIFS(Parametros!$E$23:$E$38,Parametros!$B$23:$B$38,J1673,Parametros!$C$23:$C$38,C1673,Parametros!$D$23:$D$38,D1673),2)</f>
        <v>90.8</v>
      </c>
      <c r="U1673" s="30" t="n">
        <f aca="false">R1673-S1673-T1673</f>
        <v>442.91</v>
      </c>
    </row>
    <row r="1674" customFormat="false" ht="15" hidden="false" customHeight="false" outlineLevel="0" collapsed="false">
      <c r="A1674" s="0" t="n">
        <v>1673</v>
      </c>
      <c r="B1674" s="27" t="n">
        <v>45798</v>
      </c>
      <c r="C1674" s="0" t="n">
        <v>2025</v>
      </c>
      <c r="D1674" s="28" t="s">
        <v>108</v>
      </c>
      <c r="E1674" s="0" t="n">
        <v>5</v>
      </c>
      <c r="F1674" s="28" t="s">
        <v>111</v>
      </c>
      <c r="G1674" s="28" t="s">
        <v>147</v>
      </c>
      <c r="H1674" s="28" t="s">
        <v>100</v>
      </c>
      <c r="I1674" s="28" t="s">
        <v>101</v>
      </c>
      <c r="J1674" s="28" t="s">
        <v>66</v>
      </c>
      <c r="K1674" s="28" t="s">
        <v>84</v>
      </c>
      <c r="L1674" s="28" t="s">
        <v>138</v>
      </c>
      <c r="M1674" s="28" t="s">
        <v>86</v>
      </c>
      <c r="N1674" s="28" t="s">
        <v>139</v>
      </c>
      <c r="O1674" s="29" t="n">
        <v>15</v>
      </c>
      <c r="P1674" s="30" t="n">
        <v>119.23</v>
      </c>
      <c r="Q1674" s="30" t="n">
        <v>65.51</v>
      </c>
      <c r="R1674" s="30" t="n">
        <f aca="false">ROUND(O1674*P1674,2)</f>
        <v>1788.45</v>
      </c>
      <c r="S1674" s="30" t="n">
        <f aca="false">ROUND(O1674*Q1674,2)</f>
        <v>982.65</v>
      </c>
      <c r="T1674" s="30" t="n">
        <f aca="false">ROUND(R1674*SUMIFS(Parametros!$E$23:$E$38,Parametros!$B$23:$B$38,J1674,Parametros!$C$23:$C$38,C1674,Parametros!$D$23:$D$38,D1674),2)</f>
        <v>25.04</v>
      </c>
      <c r="U1674" s="30" t="n">
        <f aca="false">R1674-S1674-T1674</f>
        <v>780.76</v>
      </c>
    </row>
    <row r="1675" customFormat="false" ht="15" hidden="false" customHeight="false" outlineLevel="0" collapsed="false">
      <c r="A1675" s="0" t="n">
        <v>1674</v>
      </c>
      <c r="B1675" s="27" t="n">
        <v>45778</v>
      </c>
      <c r="C1675" s="0" t="n">
        <v>2025</v>
      </c>
      <c r="D1675" s="28" t="s">
        <v>108</v>
      </c>
      <c r="E1675" s="0" t="n">
        <v>5</v>
      </c>
      <c r="F1675" s="28" t="s">
        <v>111</v>
      </c>
      <c r="G1675" s="28" t="s">
        <v>147</v>
      </c>
      <c r="H1675" s="28" t="s">
        <v>100</v>
      </c>
      <c r="I1675" s="28" t="s">
        <v>101</v>
      </c>
      <c r="J1675" s="28" t="s">
        <v>71</v>
      </c>
      <c r="K1675" s="28" t="s">
        <v>84</v>
      </c>
      <c r="L1675" s="28" t="s">
        <v>138</v>
      </c>
      <c r="M1675" s="28" t="s">
        <v>86</v>
      </c>
      <c r="N1675" s="28" t="s">
        <v>139</v>
      </c>
      <c r="O1675" s="29" t="n">
        <v>10</v>
      </c>
      <c r="P1675" s="30" t="n">
        <v>119.23</v>
      </c>
      <c r="Q1675" s="30" t="n">
        <v>65.51</v>
      </c>
      <c r="R1675" s="30" t="n">
        <f aca="false">ROUND(O1675*P1675,2)</f>
        <v>1192.3</v>
      </c>
      <c r="S1675" s="30" t="n">
        <f aca="false">ROUND(O1675*Q1675,2)</f>
        <v>655.1</v>
      </c>
      <c r="T1675" s="30" t="n">
        <f aca="false">ROUND(R1675*SUMIFS(Parametros!$E$23:$E$38,Parametros!$B$23:$B$38,J1675,Parametros!$C$23:$C$38,C1675,Parametros!$D$23:$D$38,D1675),2)</f>
        <v>88.23</v>
      </c>
      <c r="U1675" s="30" t="n">
        <f aca="false">R1675-S1675-T1675</f>
        <v>448.97</v>
      </c>
    </row>
    <row r="1676" customFormat="false" ht="15" hidden="false" customHeight="false" outlineLevel="0" collapsed="false">
      <c r="A1676" s="0" t="n">
        <v>1675</v>
      </c>
      <c r="B1676" s="27" t="n">
        <v>45785</v>
      </c>
      <c r="C1676" s="0" t="n">
        <v>2025</v>
      </c>
      <c r="D1676" s="28" t="s">
        <v>108</v>
      </c>
      <c r="E1676" s="0" t="n">
        <v>5</v>
      </c>
      <c r="F1676" s="28" t="s">
        <v>111</v>
      </c>
      <c r="G1676" s="28" t="s">
        <v>147</v>
      </c>
      <c r="H1676" s="28" t="s">
        <v>100</v>
      </c>
      <c r="I1676" s="28" t="s">
        <v>101</v>
      </c>
      <c r="J1676" s="28" t="s">
        <v>66</v>
      </c>
      <c r="K1676" s="28" t="s">
        <v>84</v>
      </c>
      <c r="L1676" s="28" t="s">
        <v>138</v>
      </c>
      <c r="M1676" s="28" t="s">
        <v>88</v>
      </c>
      <c r="N1676" s="28" t="s">
        <v>140</v>
      </c>
      <c r="O1676" s="29" t="n">
        <v>15</v>
      </c>
      <c r="P1676" s="30" t="n">
        <v>84.46</v>
      </c>
      <c r="Q1676" s="30" t="n">
        <v>49.47</v>
      </c>
      <c r="R1676" s="30" t="n">
        <f aca="false">ROUND(O1676*P1676,2)</f>
        <v>1266.9</v>
      </c>
      <c r="S1676" s="30" t="n">
        <f aca="false">ROUND(O1676*Q1676,2)</f>
        <v>742.05</v>
      </c>
      <c r="T1676" s="30" t="n">
        <f aca="false">ROUND(R1676*SUMIFS(Parametros!$E$23:$E$38,Parametros!$B$23:$B$38,J1676,Parametros!$C$23:$C$38,C1676,Parametros!$D$23:$D$38,D1676),2)</f>
        <v>17.74</v>
      </c>
      <c r="U1676" s="30" t="n">
        <f aca="false">R1676-S1676-T1676</f>
        <v>507.11</v>
      </c>
    </row>
    <row r="1677" customFormat="false" ht="15" hidden="false" customHeight="false" outlineLevel="0" collapsed="false">
      <c r="A1677" s="0" t="n">
        <v>1676</v>
      </c>
      <c r="B1677" s="27" t="n">
        <v>45792</v>
      </c>
      <c r="C1677" s="0" t="n">
        <v>2025</v>
      </c>
      <c r="D1677" s="28" t="s">
        <v>108</v>
      </c>
      <c r="E1677" s="0" t="n">
        <v>5</v>
      </c>
      <c r="F1677" s="28" t="s">
        <v>111</v>
      </c>
      <c r="G1677" s="28" t="s">
        <v>147</v>
      </c>
      <c r="H1677" s="28" t="s">
        <v>100</v>
      </c>
      <c r="I1677" s="28" t="s">
        <v>101</v>
      </c>
      <c r="J1677" s="28" t="s">
        <v>71</v>
      </c>
      <c r="K1677" s="28" t="s">
        <v>84</v>
      </c>
      <c r="L1677" s="28" t="s">
        <v>138</v>
      </c>
      <c r="M1677" s="28" t="s">
        <v>88</v>
      </c>
      <c r="N1677" s="28" t="s">
        <v>140</v>
      </c>
      <c r="O1677" s="29" t="n">
        <v>11</v>
      </c>
      <c r="P1677" s="30" t="n">
        <v>84.46</v>
      </c>
      <c r="Q1677" s="30" t="n">
        <v>49.47</v>
      </c>
      <c r="R1677" s="30" t="n">
        <f aca="false">ROUND(O1677*P1677,2)</f>
        <v>929.06</v>
      </c>
      <c r="S1677" s="30" t="n">
        <f aca="false">ROUND(O1677*Q1677,2)</f>
        <v>544.17</v>
      </c>
      <c r="T1677" s="30" t="n">
        <f aca="false">ROUND(R1677*SUMIFS(Parametros!$E$23:$E$38,Parametros!$B$23:$B$38,J1677,Parametros!$C$23:$C$38,C1677,Parametros!$D$23:$D$38,D1677),2)</f>
        <v>68.75</v>
      </c>
      <c r="U1677" s="30" t="n">
        <f aca="false">R1677-S1677-T1677</f>
        <v>316.14</v>
      </c>
    </row>
    <row r="1678" customFormat="false" ht="15" hidden="false" customHeight="false" outlineLevel="0" collapsed="false">
      <c r="A1678" s="0" t="n">
        <v>1677</v>
      </c>
      <c r="B1678" s="27" t="n">
        <v>45799</v>
      </c>
      <c r="C1678" s="0" t="n">
        <v>2025</v>
      </c>
      <c r="D1678" s="28" t="s">
        <v>108</v>
      </c>
      <c r="E1678" s="0" t="n">
        <v>5</v>
      </c>
      <c r="F1678" s="28" t="s">
        <v>111</v>
      </c>
      <c r="G1678" s="28" t="s">
        <v>147</v>
      </c>
      <c r="H1678" s="28" t="s">
        <v>100</v>
      </c>
      <c r="I1678" s="28" t="s">
        <v>101</v>
      </c>
      <c r="J1678" s="28" t="s">
        <v>66</v>
      </c>
      <c r="K1678" s="28" t="s">
        <v>90</v>
      </c>
      <c r="L1678" s="28" t="s">
        <v>141</v>
      </c>
      <c r="M1678" s="28" t="s">
        <v>92</v>
      </c>
      <c r="N1678" s="28" t="s">
        <v>142</v>
      </c>
      <c r="O1678" s="29" t="n">
        <v>15</v>
      </c>
      <c r="P1678" s="30" t="n">
        <v>129.17</v>
      </c>
      <c r="Q1678" s="30" t="n">
        <v>78.33</v>
      </c>
      <c r="R1678" s="30" t="n">
        <f aca="false">ROUND(O1678*P1678,2)</f>
        <v>1937.55</v>
      </c>
      <c r="S1678" s="30" t="n">
        <f aca="false">ROUND(O1678*Q1678,2)</f>
        <v>1174.95</v>
      </c>
      <c r="T1678" s="30" t="n">
        <f aca="false">ROUND(R1678*SUMIFS(Parametros!$E$23:$E$38,Parametros!$B$23:$B$38,J1678,Parametros!$C$23:$C$38,C1678,Parametros!$D$23:$D$38,D1678),2)</f>
        <v>27.13</v>
      </c>
      <c r="U1678" s="30" t="n">
        <f aca="false">R1678-S1678-T1678</f>
        <v>735.47</v>
      </c>
    </row>
    <row r="1679" customFormat="false" ht="15" hidden="false" customHeight="false" outlineLevel="0" collapsed="false">
      <c r="A1679" s="0" t="n">
        <v>1678</v>
      </c>
      <c r="B1679" s="27" t="n">
        <v>45779</v>
      </c>
      <c r="C1679" s="0" t="n">
        <v>2025</v>
      </c>
      <c r="D1679" s="28" t="s">
        <v>108</v>
      </c>
      <c r="E1679" s="0" t="n">
        <v>5</v>
      </c>
      <c r="F1679" s="28" t="s">
        <v>111</v>
      </c>
      <c r="G1679" s="28" t="s">
        <v>147</v>
      </c>
      <c r="H1679" s="28" t="s">
        <v>100</v>
      </c>
      <c r="I1679" s="28" t="s">
        <v>101</v>
      </c>
      <c r="J1679" s="28" t="s">
        <v>71</v>
      </c>
      <c r="K1679" s="28" t="s">
        <v>90</v>
      </c>
      <c r="L1679" s="28" t="s">
        <v>141</v>
      </c>
      <c r="M1679" s="28" t="s">
        <v>92</v>
      </c>
      <c r="N1679" s="28" t="s">
        <v>142</v>
      </c>
      <c r="O1679" s="29" t="n">
        <v>11</v>
      </c>
      <c r="P1679" s="30" t="n">
        <v>129.17</v>
      </c>
      <c r="Q1679" s="30" t="n">
        <v>78.33</v>
      </c>
      <c r="R1679" s="30" t="n">
        <f aca="false">ROUND(O1679*P1679,2)</f>
        <v>1420.87</v>
      </c>
      <c r="S1679" s="30" t="n">
        <f aca="false">ROUND(O1679*Q1679,2)</f>
        <v>861.63</v>
      </c>
      <c r="T1679" s="30" t="n">
        <f aca="false">ROUND(R1679*SUMIFS(Parametros!$E$23:$E$38,Parametros!$B$23:$B$38,J1679,Parametros!$C$23:$C$38,C1679,Parametros!$D$23:$D$38,D1679),2)</f>
        <v>105.14</v>
      </c>
      <c r="U1679" s="30" t="n">
        <f aca="false">R1679-S1679-T1679</f>
        <v>454.1</v>
      </c>
    </row>
    <row r="1680" customFormat="false" ht="15" hidden="false" customHeight="false" outlineLevel="0" collapsed="false">
      <c r="A1680" s="0" t="n">
        <v>1679</v>
      </c>
      <c r="B1680" s="27" t="n">
        <v>45786</v>
      </c>
      <c r="C1680" s="0" t="n">
        <v>2025</v>
      </c>
      <c r="D1680" s="28" t="s">
        <v>108</v>
      </c>
      <c r="E1680" s="0" t="n">
        <v>5</v>
      </c>
      <c r="F1680" s="28" t="s">
        <v>111</v>
      </c>
      <c r="G1680" s="28" t="s">
        <v>147</v>
      </c>
      <c r="H1680" s="28" t="s">
        <v>100</v>
      </c>
      <c r="I1680" s="28" t="s">
        <v>101</v>
      </c>
      <c r="J1680" s="28" t="s">
        <v>66</v>
      </c>
      <c r="K1680" s="28" t="s">
        <v>90</v>
      </c>
      <c r="L1680" s="28" t="s">
        <v>141</v>
      </c>
      <c r="M1680" s="28" t="s">
        <v>94</v>
      </c>
      <c r="N1680" s="28" t="s">
        <v>143</v>
      </c>
      <c r="O1680" s="29" t="n">
        <v>16</v>
      </c>
      <c r="P1680" s="30" t="n">
        <v>34.78</v>
      </c>
      <c r="Q1680" s="30" t="n">
        <v>18.39</v>
      </c>
      <c r="R1680" s="30" t="n">
        <f aca="false">ROUND(O1680*P1680,2)</f>
        <v>556.48</v>
      </c>
      <c r="S1680" s="30" t="n">
        <f aca="false">ROUND(O1680*Q1680,2)</f>
        <v>294.24</v>
      </c>
      <c r="T1680" s="30" t="n">
        <f aca="false">ROUND(R1680*SUMIFS(Parametros!$E$23:$E$38,Parametros!$B$23:$B$38,J1680,Parametros!$C$23:$C$38,C1680,Parametros!$D$23:$D$38,D1680),2)</f>
        <v>7.79</v>
      </c>
      <c r="U1680" s="30" t="n">
        <f aca="false">R1680-S1680-T1680</f>
        <v>254.45</v>
      </c>
    </row>
    <row r="1681" customFormat="false" ht="15" hidden="false" customHeight="false" outlineLevel="0" collapsed="false">
      <c r="A1681" s="0" t="n">
        <v>1680</v>
      </c>
      <c r="B1681" s="27" t="n">
        <v>45793</v>
      </c>
      <c r="C1681" s="0" t="n">
        <v>2025</v>
      </c>
      <c r="D1681" s="28" t="s">
        <v>108</v>
      </c>
      <c r="E1681" s="0" t="n">
        <v>5</v>
      </c>
      <c r="F1681" s="28" t="s">
        <v>111</v>
      </c>
      <c r="G1681" s="28" t="s">
        <v>147</v>
      </c>
      <c r="H1681" s="28" t="s">
        <v>100</v>
      </c>
      <c r="I1681" s="28" t="s">
        <v>101</v>
      </c>
      <c r="J1681" s="28" t="s">
        <v>71</v>
      </c>
      <c r="K1681" s="28" t="s">
        <v>90</v>
      </c>
      <c r="L1681" s="28" t="s">
        <v>141</v>
      </c>
      <c r="M1681" s="28" t="s">
        <v>94</v>
      </c>
      <c r="N1681" s="28" t="s">
        <v>143</v>
      </c>
      <c r="O1681" s="29" t="n">
        <v>11</v>
      </c>
      <c r="P1681" s="30" t="n">
        <v>34.78</v>
      </c>
      <c r="Q1681" s="30" t="n">
        <v>18.39</v>
      </c>
      <c r="R1681" s="30" t="n">
        <f aca="false">ROUND(O1681*P1681,2)</f>
        <v>382.58</v>
      </c>
      <c r="S1681" s="30" t="n">
        <f aca="false">ROUND(O1681*Q1681,2)</f>
        <v>202.29</v>
      </c>
      <c r="T1681" s="30" t="n">
        <f aca="false">ROUND(R1681*SUMIFS(Parametros!$E$23:$E$38,Parametros!$B$23:$B$38,J1681,Parametros!$C$23:$C$38,C1681,Parametros!$D$23:$D$38,D1681),2)</f>
        <v>28.31</v>
      </c>
      <c r="U1681" s="30" t="n">
        <f aca="false">R1681-S1681-T1681</f>
        <v>151.98</v>
      </c>
    </row>
    <row r="1682" customFormat="false" ht="15" hidden="false" customHeight="false" outlineLevel="0" collapsed="false">
      <c r="A1682" s="0" t="n">
        <v>1681</v>
      </c>
      <c r="B1682" s="27" t="n">
        <v>45800</v>
      </c>
      <c r="C1682" s="0" t="n">
        <v>2025</v>
      </c>
      <c r="D1682" s="28" t="s">
        <v>108</v>
      </c>
      <c r="E1682" s="0" t="n">
        <v>5</v>
      </c>
      <c r="F1682" s="28" t="s">
        <v>111</v>
      </c>
      <c r="G1682" s="28" t="s">
        <v>147</v>
      </c>
      <c r="H1682" s="28" t="s">
        <v>102</v>
      </c>
      <c r="I1682" s="28" t="s">
        <v>103</v>
      </c>
      <c r="J1682" s="28" t="s">
        <v>66</v>
      </c>
      <c r="K1682" s="28" t="s">
        <v>67</v>
      </c>
      <c r="L1682" s="28" t="s">
        <v>130</v>
      </c>
      <c r="M1682" s="28" t="s">
        <v>69</v>
      </c>
      <c r="N1682" s="28" t="s">
        <v>131</v>
      </c>
      <c r="O1682" s="29" t="n">
        <v>6</v>
      </c>
      <c r="P1682" s="30" t="n">
        <v>1155.06</v>
      </c>
      <c r="Q1682" s="30" t="n">
        <v>766.32</v>
      </c>
      <c r="R1682" s="30" t="n">
        <f aca="false">ROUND(O1682*P1682,2)</f>
        <v>6930.36</v>
      </c>
      <c r="S1682" s="30" t="n">
        <f aca="false">ROUND(O1682*Q1682,2)</f>
        <v>4597.92</v>
      </c>
      <c r="T1682" s="30" t="n">
        <f aca="false">ROUND(R1682*SUMIFS(Parametros!$E$23:$E$38,Parametros!$B$23:$B$38,J1682,Parametros!$C$23:$C$38,C1682,Parametros!$D$23:$D$38,D1682),2)</f>
        <v>97.03</v>
      </c>
      <c r="U1682" s="30" t="n">
        <f aca="false">R1682-S1682-T1682</f>
        <v>2235.41</v>
      </c>
    </row>
    <row r="1683" customFormat="false" ht="15" hidden="false" customHeight="false" outlineLevel="0" collapsed="false">
      <c r="A1683" s="0" t="n">
        <v>1682</v>
      </c>
      <c r="B1683" s="27" t="n">
        <v>45780</v>
      </c>
      <c r="C1683" s="0" t="n">
        <v>2025</v>
      </c>
      <c r="D1683" s="28" t="s">
        <v>108</v>
      </c>
      <c r="E1683" s="0" t="n">
        <v>5</v>
      </c>
      <c r="F1683" s="28" t="s">
        <v>111</v>
      </c>
      <c r="G1683" s="28" t="s">
        <v>147</v>
      </c>
      <c r="H1683" s="28" t="s">
        <v>102</v>
      </c>
      <c r="I1683" s="28" t="s">
        <v>103</v>
      </c>
      <c r="J1683" s="28" t="s">
        <v>71</v>
      </c>
      <c r="K1683" s="28" t="s">
        <v>67</v>
      </c>
      <c r="L1683" s="28" t="s">
        <v>130</v>
      </c>
      <c r="M1683" s="28" t="s">
        <v>69</v>
      </c>
      <c r="N1683" s="28" t="s">
        <v>131</v>
      </c>
      <c r="O1683" s="29" t="n">
        <v>4</v>
      </c>
      <c r="P1683" s="30" t="n">
        <v>1155.06</v>
      </c>
      <c r="Q1683" s="30" t="n">
        <v>766.32</v>
      </c>
      <c r="R1683" s="30" t="n">
        <f aca="false">ROUND(O1683*P1683,2)</f>
        <v>4620.24</v>
      </c>
      <c r="S1683" s="30" t="n">
        <f aca="false">ROUND(O1683*Q1683,2)</f>
        <v>3065.28</v>
      </c>
      <c r="T1683" s="30" t="n">
        <f aca="false">ROUND(R1683*SUMIFS(Parametros!$E$23:$E$38,Parametros!$B$23:$B$38,J1683,Parametros!$C$23:$C$38,C1683,Parametros!$D$23:$D$38,D1683),2)</f>
        <v>341.9</v>
      </c>
      <c r="U1683" s="30" t="n">
        <f aca="false">R1683-S1683-T1683</f>
        <v>1213.06</v>
      </c>
    </row>
    <row r="1684" customFormat="false" ht="15" hidden="false" customHeight="false" outlineLevel="0" collapsed="false">
      <c r="A1684" s="0" t="n">
        <v>1683</v>
      </c>
      <c r="B1684" s="27" t="n">
        <v>45787</v>
      </c>
      <c r="C1684" s="0" t="n">
        <v>2025</v>
      </c>
      <c r="D1684" s="28" t="s">
        <v>108</v>
      </c>
      <c r="E1684" s="0" t="n">
        <v>5</v>
      </c>
      <c r="F1684" s="28" t="s">
        <v>111</v>
      </c>
      <c r="G1684" s="28" t="s">
        <v>147</v>
      </c>
      <c r="H1684" s="28" t="s">
        <v>102</v>
      </c>
      <c r="I1684" s="28" t="s">
        <v>103</v>
      </c>
      <c r="J1684" s="28" t="s">
        <v>66</v>
      </c>
      <c r="K1684" s="28" t="s">
        <v>67</v>
      </c>
      <c r="L1684" s="28" t="s">
        <v>130</v>
      </c>
      <c r="M1684" s="28" t="s">
        <v>72</v>
      </c>
      <c r="N1684" s="28" t="s">
        <v>132</v>
      </c>
      <c r="O1684" s="29" t="n">
        <v>6</v>
      </c>
      <c r="P1684" s="30" t="n">
        <v>433.15</v>
      </c>
      <c r="Q1684" s="30" t="n">
        <v>280.42</v>
      </c>
      <c r="R1684" s="30" t="n">
        <f aca="false">ROUND(O1684*P1684,2)</f>
        <v>2598.9</v>
      </c>
      <c r="S1684" s="30" t="n">
        <f aca="false">ROUND(O1684*Q1684,2)</f>
        <v>1682.52</v>
      </c>
      <c r="T1684" s="30" t="n">
        <f aca="false">ROUND(R1684*SUMIFS(Parametros!$E$23:$E$38,Parametros!$B$23:$B$38,J1684,Parametros!$C$23:$C$38,C1684,Parametros!$D$23:$D$38,D1684),2)</f>
        <v>36.38</v>
      </c>
      <c r="U1684" s="30" t="n">
        <f aca="false">R1684-S1684-T1684</f>
        <v>880</v>
      </c>
    </row>
    <row r="1685" customFormat="false" ht="15" hidden="false" customHeight="false" outlineLevel="0" collapsed="false">
      <c r="A1685" s="0" t="n">
        <v>1684</v>
      </c>
      <c r="B1685" s="27" t="n">
        <v>45794</v>
      </c>
      <c r="C1685" s="0" t="n">
        <v>2025</v>
      </c>
      <c r="D1685" s="28" t="s">
        <v>108</v>
      </c>
      <c r="E1685" s="0" t="n">
        <v>5</v>
      </c>
      <c r="F1685" s="28" t="s">
        <v>111</v>
      </c>
      <c r="G1685" s="28" t="s">
        <v>147</v>
      </c>
      <c r="H1685" s="28" t="s">
        <v>102</v>
      </c>
      <c r="I1685" s="28" t="s">
        <v>103</v>
      </c>
      <c r="J1685" s="28" t="s">
        <v>71</v>
      </c>
      <c r="K1685" s="28" t="s">
        <v>67</v>
      </c>
      <c r="L1685" s="28" t="s">
        <v>130</v>
      </c>
      <c r="M1685" s="28" t="s">
        <v>72</v>
      </c>
      <c r="N1685" s="28" t="s">
        <v>132</v>
      </c>
      <c r="O1685" s="29" t="n">
        <v>5</v>
      </c>
      <c r="P1685" s="30" t="n">
        <v>433.15</v>
      </c>
      <c r="Q1685" s="30" t="n">
        <v>280.42</v>
      </c>
      <c r="R1685" s="30" t="n">
        <f aca="false">ROUND(O1685*P1685,2)</f>
        <v>2165.75</v>
      </c>
      <c r="S1685" s="30" t="n">
        <f aca="false">ROUND(O1685*Q1685,2)</f>
        <v>1402.1</v>
      </c>
      <c r="T1685" s="30" t="n">
        <f aca="false">ROUND(R1685*SUMIFS(Parametros!$E$23:$E$38,Parametros!$B$23:$B$38,J1685,Parametros!$C$23:$C$38,C1685,Parametros!$D$23:$D$38,D1685),2)</f>
        <v>160.27</v>
      </c>
      <c r="U1685" s="30" t="n">
        <f aca="false">R1685-S1685-T1685</f>
        <v>603.38</v>
      </c>
    </row>
    <row r="1686" customFormat="false" ht="15" hidden="false" customHeight="false" outlineLevel="0" collapsed="false">
      <c r="A1686" s="0" t="n">
        <v>1685</v>
      </c>
      <c r="B1686" s="27" t="n">
        <v>45801</v>
      </c>
      <c r="C1686" s="0" t="n">
        <v>2025</v>
      </c>
      <c r="D1686" s="28" t="s">
        <v>108</v>
      </c>
      <c r="E1686" s="0" t="n">
        <v>5</v>
      </c>
      <c r="F1686" s="28" t="s">
        <v>111</v>
      </c>
      <c r="G1686" s="28" t="s">
        <v>147</v>
      </c>
      <c r="H1686" s="28" t="s">
        <v>102</v>
      </c>
      <c r="I1686" s="28" t="s">
        <v>103</v>
      </c>
      <c r="J1686" s="28" t="s">
        <v>66</v>
      </c>
      <c r="K1686" s="28" t="s">
        <v>67</v>
      </c>
      <c r="L1686" s="28" t="s">
        <v>130</v>
      </c>
      <c r="M1686" s="28" t="s">
        <v>74</v>
      </c>
      <c r="N1686" s="28" t="s">
        <v>133</v>
      </c>
      <c r="O1686" s="29" t="n">
        <v>6</v>
      </c>
      <c r="P1686" s="30" t="n">
        <v>1588.21</v>
      </c>
      <c r="Q1686" s="30" t="n">
        <v>1155.66</v>
      </c>
      <c r="R1686" s="30" t="n">
        <f aca="false">ROUND(O1686*P1686,2)</f>
        <v>9529.26</v>
      </c>
      <c r="S1686" s="30" t="n">
        <f aca="false">ROUND(O1686*Q1686,2)</f>
        <v>6933.96</v>
      </c>
      <c r="T1686" s="30" t="n">
        <f aca="false">ROUND(R1686*SUMIFS(Parametros!$E$23:$E$38,Parametros!$B$23:$B$38,J1686,Parametros!$C$23:$C$38,C1686,Parametros!$D$23:$D$38,D1686),2)</f>
        <v>133.41</v>
      </c>
      <c r="U1686" s="30" t="n">
        <f aca="false">R1686-S1686-T1686</f>
        <v>2461.89</v>
      </c>
    </row>
    <row r="1687" customFormat="false" ht="15" hidden="false" customHeight="false" outlineLevel="0" collapsed="false">
      <c r="A1687" s="0" t="n">
        <v>1686</v>
      </c>
      <c r="B1687" s="27" t="n">
        <v>45781</v>
      </c>
      <c r="C1687" s="0" t="n">
        <v>2025</v>
      </c>
      <c r="D1687" s="28" t="s">
        <v>108</v>
      </c>
      <c r="E1687" s="0" t="n">
        <v>5</v>
      </c>
      <c r="F1687" s="28" t="s">
        <v>111</v>
      </c>
      <c r="G1687" s="28" t="s">
        <v>147</v>
      </c>
      <c r="H1687" s="28" t="s">
        <v>102</v>
      </c>
      <c r="I1687" s="28" t="s">
        <v>103</v>
      </c>
      <c r="J1687" s="28" t="s">
        <v>71</v>
      </c>
      <c r="K1687" s="28" t="s">
        <v>67</v>
      </c>
      <c r="L1687" s="28" t="s">
        <v>130</v>
      </c>
      <c r="M1687" s="28" t="s">
        <v>74</v>
      </c>
      <c r="N1687" s="28" t="s">
        <v>133</v>
      </c>
      <c r="O1687" s="29" t="n">
        <v>5</v>
      </c>
      <c r="P1687" s="30" t="n">
        <v>1588.21</v>
      </c>
      <c r="Q1687" s="30" t="n">
        <v>1155.66</v>
      </c>
      <c r="R1687" s="30" t="n">
        <f aca="false">ROUND(O1687*P1687,2)</f>
        <v>7941.05</v>
      </c>
      <c r="S1687" s="30" t="n">
        <f aca="false">ROUND(O1687*Q1687,2)</f>
        <v>5778.3</v>
      </c>
      <c r="T1687" s="30" t="n">
        <f aca="false">ROUND(R1687*SUMIFS(Parametros!$E$23:$E$38,Parametros!$B$23:$B$38,J1687,Parametros!$C$23:$C$38,C1687,Parametros!$D$23:$D$38,D1687),2)</f>
        <v>587.64</v>
      </c>
      <c r="U1687" s="30" t="n">
        <f aca="false">R1687-S1687-T1687</f>
        <v>1575.11</v>
      </c>
    </row>
    <row r="1688" customFormat="false" ht="15" hidden="false" customHeight="false" outlineLevel="0" collapsed="false">
      <c r="A1688" s="0" t="n">
        <v>1687</v>
      </c>
      <c r="B1688" s="27" t="n">
        <v>45788</v>
      </c>
      <c r="C1688" s="0" t="n">
        <v>2025</v>
      </c>
      <c r="D1688" s="28" t="s">
        <v>108</v>
      </c>
      <c r="E1688" s="0" t="n">
        <v>5</v>
      </c>
      <c r="F1688" s="28" t="s">
        <v>111</v>
      </c>
      <c r="G1688" s="28" t="s">
        <v>147</v>
      </c>
      <c r="H1688" s="28" t="s">
        <v>102</v>
      </c>
      <c r="I1688" s="28" t="s">
        <v>103</v>
      </c>
      <c r="J1688" s="28" t="s">
        <v>66</v>
      </c>
      <c r="K1688" s="28" t="s">
        <v>76</v>
      </c>
      <c r="L1688" s="28" t="s">
        <v>134</v>
      </c>
      <c r="M1688" s="28" t="s">
        <v>78</v>
      </c>
      <c r="N1688" s="28" t="s">
        <v>135</v>
      </c>
      <c r="O1688" s="29" t="n">
        <v>34</v>
      </c>
      <c r="P1688" s="30" t="n">
        <v>27.82</v>
      </c>
      <c r="Q1688" s="30" t="n">
        <v>13.84</v>
      </c>
      <c r="R1688" s="30" t="n">
        <f aca="false">ROUND(O1688*P1688,2)</f>
        <v>945.88</v>
      </c>
      <c r="S1688" s="30" t="n">
        <f aca="false">ROUND(O1688*Q1688,2)</f>
        <v>470.56</v>
      </c>
      <c r="T1688" s="30" t="n">
        <f aca="false">ROUND(R1688*SUMIFS(Parametros!$E$23:$E$38,Parametros!$B$23:$B$38,J1688,Parametros!$C$23:$C$38,C1688,Parametros!$D$23:$D$38,D1688),2)</f>
        <v>13.24</v>
      </c>
      <c r="U1688" s="30" t="n">
        <f aca="false">R1688-S1688-T1688</f>
        <v>462.08</v>
      </c>
    </row>
    <row r="1689" customFormat="false" ht="15" hidden="false" customHeight="false" outlineLevel="0" collapsed="false">
      <c r="A1689" s="0" t="n">
        <v>1688</v>
      </c>
      <c r="B1689" s="27" t="n">
        <v>45795</v>
      </c>
      <c r="C1689" s="0" t="n">
        <v>2025</v>
      </c>
      <c r="D1689" s="28" t="s">
        <v>108</v>
      </c>
      <c r="E1689" s="0" t="n">
        <v>5</v>
      </c>
      <c r="F1689" s="28" t="s">
        <v>111</v>
      </c>
      <c r="G1689" s="28" t="s">
        <v>147</v>
      </c>
      <c r="H1689" s="28" t="s">
        <v>102</v>
      </c>
      <c r="I1689" s="28" t="s">
        <v>103</v>
      </c>
      <c r="J1689" s="28" t="s">
        <v>71</v>
      </c>
      <c r="K1689" s="28" t="s">
        <v>76</v>
      </c>
      <c r="L1689" s="28" t="s">
        <v>134</v>
      </c>
      <c r="M1689" s="28" t="s">
        <v>78</v>
      </c>
      <c r="N1689" s="28" t="s">
        <v>135</v>
      </c>
      <c r="O1689" s="29" t="n">
        <v>20</v>
      </c>
      <c r="P1689" s="30" t="n">
        <v>27.82</v>
      </c>
      <c r="Q1689" s="30" t="n">
        <v>13.84</v>
      </c>
      <c r="R1689" s="30" t="n">
        <f aca="false">ROUND(O1689*P1689,2)</f>
        <v>556.4</v>
      </c>
      <c r="S1689" s="30" t="n">
        <f aca="false">ROUND(O1689*Q1689,2)</f>
        <v>276.8</v>
      </c>
      <c r="T1689" s="30" t="n">
        <f aca="false">ROUND(R1689*SUMIFS(Parametros!$E$23:$E$38,Parametros!$B$23:$B$38,J1689,Parametros!$C$23:$C$38,C1689,Parametros!$D$23:$D$38,D1689),2)</f>
        <v>41.17</v>
      </c>
      <c r="U1689" s="30" t="n">
        <f aca="false">R1689-S1689-T1689</f>
        <v>238.43</v>
      </c>
    </row>
    <row r="1690" customFormat="false" ht="15" hidden="false" customHeight="false" outlineLevel="0" collapsed="false">
      <c r="A1690" s="0" t="n">
        <v>1689</v>
      </c>
      <c r="B1690" s="27" t="n">
        <v>45802</v>
      </c>
      <c r="C1690" s="0" t="n">
        <v>2025</v>
      </c>
      <c r="D1690" s="28" t="s">
        <v>108</v>
      </c>
      <c r="E1690" s="0" t="n">
        <v>5</v>
      </c>
      <c r="F1690" s="28" t="s">
        <v>111</v>
      </c>
      <c r="G1690" s="28" t="s">
        <v>147</v>
      </c>
      <c r="H1690" s="28" t="s">
        <v>102</v>
      </c>
      <c r="I1690" s="28" t="s">
        <v>103</v>
      </c>
      <c r="J1690" s="28" t="s">
        <v>66</v>
      </c>
      <c r="K1690" s="28" t="s">
        <v>76</v>
      </c>
      <c r="L1690" s="28" t="s">
        <v>134</v>
      </c>
      <c r="M1690" s="28" t="s">
        <v>80</v>
      </c>
      <c r="N1690" s="28" t="s">
        <v>136</v>
      </c>
      <c r="O1690" s="29" t="n">
        <v>27</v>
      </c>
      <c r="P1690" s="30" t="n">
        <v>94.39</v>
      </c>
      <c r="Q1690" s="30" t="n">
        <v>49.41</v>
      </c>
      <c r="R1690" s="30" t="n">
        <f aca="false">ROUND(O1690*P1690,2)</f>
        <v>2548.53</v>
      </c>
      <c r="S1690" s="30" t="n">
        <f aca="false">ROUND(O1690*Q1690,2)</f>
        <v>1334.07</v>
      </c>
      <c r="T1690" s="30" t="n">
        <f aca="false">ROUND(R1690*SUMIFS(Parametros!$E$23:$E$38,Parametros!$B$23:$B$38,J1690,Parametros!$C$23:$C$38,C1690,Parametros!$D$23:$D$38,D1690),2)</f>
        <v>35.68</v>
      </c>
      <c r="U1690" s="30" t="n">
        <f aca="false">R1690-S1690-T1690</f>
        <v>1178.78</v>
      </c>
    </row>
    <row r="1691" customFormat="false" ht="15" hidden="false" customHeight="false" outlineLevel="0" collapsed="false">
      <c r="A1691" s="0" t="n">
        <v>1690</v>
      </c>
      <c r="B1691" s="27" t="n">
        <v>45782</v>
      </c>
      <c r="C1691" s="0" t="n">
        <v>2025</v>
      </c>
      <c r="D1691" s="28" t="s">
        <v>108</v>
      </c>
      <c r="E1691" s="0" t="n">
        <v>5</v>
      </c>
      <c r="F1691" s="28" t="s">
        <v>111</v>
      </c>
      <c r="G1691" s="28" t="s">
        <v>147</v>
      </c>
      <c r="H1691" s="28" t="s">
        <v>102</v>
      </c>
      <c r="I1691" s="28" t="s">
        <v>103</v>
      </c>
      <c r="J1691" s="28" t="s">
        <v>71</v>
      </c>
      <c r="K1691" s="28" t="s">
        <v>76</v>
      </c>
      <c r="L1691" s="28" t="s">
        <v>134</v>
      </c>
      <c r="M1691" s="28" t="s">
        <v>80</v>
      </c>
      <c r="N1691" s="28" t="s">
        <v>136</v>
      </c>
      <c r="O1691" s="29" t="n">
        <v>19</v>
      </c>
      <c r="P1691" s="30" t="n">
        <v>94.39</v>
      </c>
      <c r="Q1691" s="30" t="n">
        <v>49.41</v>
      </c>
      <c r="R1691" s="30" t="n">
        <f aca="false">ROUND(O1691*P1691,2)</f>
        <v>1793.41</v>
      </c>
      <c r="S1691" s="30" t="n">
        <f aca="false">ROUND(O1691*Q1691,2)</f>
        <v>938.79</v>
      </c>
      <c r="T1691" s="30" t="n">
        <f aca="false">ROUND(R1691*SUMIFS(Parametros!$E$23:$E$38,Parametros!$B$23:$B$38,J1691,Parametros!$C$23:$C$38,C1691,Parametros!$D$23:$D$38,D1691),2)</f>
        <v>132.71</v>
      </c>
      <c r="U1691" s="30" t="n">
        <f aca="false">R1691-S1691-T1691</f>
        <v>721.91</v>
      </c>
    </row>
    <row r="1692" customFormat="false" ht="15" hidden="false" customHeight="false" outlineLevel="0" collapsed="false">
      <c r="A1692" s="0" t="n">
        <v>1691</v>
      </c>
      <c r="B1692" s="27" t="n">
        <v>45789</v>
      </c>
      <c r="C1692" s="0" t="n">
        <v>2025</v>
      </c>
      <c r="D1692" s="28" t="s">
        <v>108</v>
      </c>
      <c r="E1692" s="0" t="n">
        <v>5</v>
      </c>
      <c r="F1692" s="28" t="s">
        <v>111</v>
      </c>
      <c r="G1692" s="28" t="s">
        <v>147</v>
      </c>
      <c r="H1692" s="28" t="s">
        <v>102</v>
      </c>
      <c r="I1692" s="28" t="s">
        <v>103</v>
      </c>
      <c r="J1692" s="28" t="s">
        <v>66</v>
      </c>
      <c r="K1692" s="28" t="s">
        <v>76</v>
      </c>
      <c r="L1692" s="28" t="s">
        <v>134</v>
      </c>
      <c r="M1692" s="28" t="s">
        <v>82</v>
      </c>
      <c r="N1692" s="28" t="s">
        <v>137</v>
      </c>
      <c r="O1692" s="29" t="n">
        <v>31</v>
      </c>
      <c r="P1692" s="30" t="n">
        <v>64.58</v>
      </c>
      <c r="Q1692" s="30" t="n">
        <v>36.49</v>
      </c>
      <c r="R1692" s="30" t="n">
        <f aca="false">ROUND(O1692*P1692,2)</f>
        <v>2001.98</v>
      </c>
      <c r="S1692" s="30" t="n">
        <f aca="false">ROUND(O1692*Q1692,2)</f>
        <v>1131.19</v>
      </c>
      <c r="T1692" s="30" t="n">
        <f aca="false">ROUND(R1692*SUMIFS(Parametros!$E$23:$E$38,Parametros!$B$23:$B$38,J1692,Parametros!$C$23:$C$38,C1692,Parametros!$D$23:$D$38,D1692),2)</f>
        <v>28.03</v>
      </c>
      <c r="U1692" s="30" t="n">
        <f aca="false">R1692-S1692-T1692</f>
        <v>842.76</v>
      </c>
    </row>
    <row r="1693" customFormat="false" ht="15" hidden="false" customHeight="false" outlineLevel="0" collapsed="false">
      <c r="A1693" s="0" t="n">
        <v>1692</v>
      </c>
      <c r="B1693" s="27" t="n">
        <v>45796</v>
      </c>
      <c r="C1693" s="0" t="n">
        <v>2025</v>
      </c>
      <c r="D1693" s="28" t="s">
        <v>108</v>
      </c>
      <c r="E1693" s="0" t="n">
        <v>5</v>
      </c>
      <c r="F1693" s="28" t="s">
        <v>111</v>
      </c>
      <c r="G1693" s="28" t="s">
        <v>147</v>
      </c>
      <c r="H1693" s="28" t="s">
        <v>102</v>
      </c>
      <c r="I1693" s="28" t="s">
        <v>103</v>
      </c>
      <c r="J1693" s="28" t="s">
        <v>71</v>
      </c>
      <c r="K1693" s="28" t="s">
        <v>76</v>
      </c>
      <c r="L1693" s="28" t="s">
        <v>134</v>
      </c>
      <c r="M1693" s="28" t="s">
        <v>82</v>
      </c>
      <c r="N1693" s="28" t="s">
        <v>137</v>
      </c>
      <c r="O1693" s="29" t="n">
        <v>22</v>
      </c>
      <c r="P1693" s="30" t="n">
        <v>64.58</v>
      </c>
      <c r="Q1693" s="30" t="n">
        <v>36.49</v>
      </c>
      <c r="R1693" s="30" t="n">
        <f aca="false">ROUND(O1693*P1693,2)</f>
        <v>1420.76</v>
      </c>
      <c r="S1693" s="30" t="n">
        <f aca="false">ROUND(O1693*Q1693,2)</f>
        <v>802.78</v>
      </c>
      <c r="T1693" s="30" t="n">
        <f aca="false">ROUND(R1693*SUMIFS(Parametros!$E$23:$E$38,Parametros!$B$23:$B$38,J1693,Parametros!$C$23:$C$38,C1693,Parametros!$D$23:$D$38,D1693),2)</f>
        <v>105.14</v>
      </c>
      <c r="U1693" s="30" t="n">
        <f aca="false">R1693-S1693-T1693</f>
        <v>512.84</v>
      </c>
    </row>
    <row r="1694" customFormat="false" ht="15" hidden="false" customHeight="false" outlineLevel="0" collapsed="false">
      <c r="A1694" s="0" t="n">
        <v>1693</v>
      </c>
      <c r="B1694" s="27" t="n">
        <v>45803</v>
      </c>
      <c r="C1694" s="0" t="n">
        <v>2025</v>
      </c>
      <c r="D1694" s="28" t="s">
        <v>108</v>
      </c>
      <c r="E1694" s="0" t="n">
        <v>5</v>
      </c>
      <c r="F1694" s="28" t="s">
        <v>111</v>
      </c>
      <c r="G1694" s="28" t="s">
        <v>147</v>
      </c>
      <c r="H1694" s="28" t="s">
        <v>102</v>
      </c>
      <c r="I1694" s="28" t="s">
        <v>103</v>
      </c>
      <c r="J1694" s="28" t="s">
        <v>66</v>
      </c>
      <c r="K1694" s="28" t="s">
        <v>84</v>
      </c>
      <c r="L1694" s="28" t="s">
        <v>138</v>
      </c>
      <c r="M1694" s="28" t="s">
        <v>86</v>
      </c>
      <c r="N1694" s="28" t="s">
        <v>139</v>
      </c>
      <c r="O1694" s="29" t="n">
        <v>13</v>
      </c>
      <c r="P1694" s="30" t="n">
        <v>119.23</v>
      </c>
      <c r="Q1694" s="30" t="n">
        <v>65.51</v>
      </c>
      <c r="R1694" s="30" t="n">
        <f aca="false">ROUND(O1694*P1694,2)</f>
        <v>1549.99</v>
      </c>
      <c r="S1694" s="30" t="n">
        <f aca="false">ROUND(O1694*Q1694,2)</f>
        <v>851.63</v>
      </c>
      <c r="T1694" s="30" t="n">
        <f aca="false">ROUND(R1694*SUMIFS(Parametros!$E$23:$E$38,Parametros!$B$23:$B$38,J1694,Parametros!$C$23:$C$38,C1694,Parametros!$D$23:$D$38,D1694),2)</f>
        <v>21.7</v>
      </c>
      <c r="U1694" s="30" t="n">
        <f aca="false">R1694-S1694-T1694</f>
        <v>676.66</v>
      </c>
    </row>
    <row r="1695" customFormat="false" ht="15" hidden="false" customHeight="false" outlineLevel="0" collapsed="false">
      <c r="A1695" s="0" t="n">
        <v>1694</v>
      </c>
      <c r="B1695" s="27" t="n">
        <v>45783</v>
      </c>
      <c r="C1695" s="0" t="n">
        <v>2025</v>
      </c>
      <c r="D1695" s="28" t="s">
        <v>108</v>
      </c>
      <c r="E1695" s="0" t="n">
        <v>5</v>
      </c>
      <c r="F1695" s="28" t="s">
        <v>111</v>
      </c>
      <c r="G1695" s="28" t="s">
        <v>147</v>
      </c>
      <c r="H1695" s="28" t="s">
        <v>102</v>
      </c>
      <c r="I1695" s="28" t="s">
        <v>103</v>
      </c>
      <c r="J1695" s="28" t="s">
        <v>71</v>
      </c>
      <c r="K1695" s="28" t="s">
        <v>84</v>
      </c>
      <c r="L1695" s="28" t="s">
        <v>138</v>
      </c>
      <c r="M1695" s="28" t="s">
        <v>86</v>
      </c>
      <c r="N1695" s="28" t="s">
        <v>139</v>
      </c>
      <c r="O1695" s="29" t="n">
        <v>8</v>
      </c>
      <c r="P1695" s="30" t="n">
        <v>119.23</v>
      </c>
      <c r="Q1695" s="30" t="n">
        <v>65.51</v>
      </c>
      <c r="R1695" s="30" t="n">
        <f aca="false">ROUND(O1695*P1695,2)</f>
        <v>953.84</v>
      </c>
      <c r="S1695" s="30" t="n">
        <f aca="false">ROUND(O1695*Q1695,2)</f>
        <v>524.08</v>
      </c>
      <c r="T1695" s="30" t="n">
        <f aca="false">ROUND(R1695*SUMIFS(Parametros!$E$23:$E$38,Parametros!$B$23:$B$38,J1695,Parametros!$C$23:$C$38,C1695,Parametros!$D$23:$D$38,D1695),2)</f>
        <v>70.58</v>
      </c>
      <c r="U1695" s="30" t="n">
        <f aca="false">R1695-S1695-T1695</f>
        <v>359.18</v>
      </c>
    </row>
    <row r="1696" customFormat="false" ht="15" hidden="false" customHeight="false" outlineLevel="0" collapsed="false">
      <c r="A1696" s="0" t="n">
        <v>1695</v>
      </c>
      <c r="B1696" s="27" t="n">
        <v>45790</v>
      </c>
      <c r="C1696" s="0" t="n">
        <v>2025</v>
      </c>
      <c r="D1696" s="28" t="s">
        <v>108</v>
      </c>
      <c r="E1696" s="0" t="n">
        <v>5</v>
      </c>
      <c r="F1696" s="28" t="s">
        <v>111</v>
      </c>
      <c r="G1696" s="28" t="s">
        <v>147</v>
      </c>
      <c r="H1696" s="28" t="s">
        <v>102</v>
      </c>
      <c r="I1696" s="28" t="s">
        <v>103</v>
      </c>
      <c r="J1696" s="28" t="s">
        <v>66</v>
      </c>
      <c r="K1696" s="28" t="s">
        <v>84</v>
      </c>
      <c r="L1696" s="28" t="s">
        <v>138</v>
      </c>
      <c r="M1696" s="28" t="s">
        <v>88</v>
      </c>
      <c r="N1696" s="28" t="s">
        <v>140</v>
      </c>
      <c r="O1696" s="29" t="n">
        <v>13</v>
      </c>
      <c r="P1696" s="30" t="n">
        <v>84.46</v>
      </c>
      <c r="Q1696" s="30" t="n">
        <v>49.47</v>
      </c>
      <c r="R1696" s="30" t="n">
        <f aca="false">ROUND(O1696*P1696,2)</f>
        <v>1097.98</v>
      </c>
      <c r="S1696" s="30" t="n">
        <f aca="false">ROUND(O1696*Q1696,2)</f>
        <v>643.11</v>
      </c>
      <c r="T1696" s="30" t="n">
        <f aca="false">ROUND(R1696*SUMIFS(Parametros!$E$23:$E$38,Parametros!$B$23:$B$38,J1696,Parametros!$C$23:$C$38,C1696,Parametros!$D$23:$D$38,D1696),2)</f>
        <v>15.37</v>
      </c>
      <c r="U1696" s="30" t="n">
        <f aca="false">R1696-S1696-T1696</f>
        <v>439.5</v>
      </c>
    </row>
    <row r="1697" customFormat="false" ht="15" hidden="false" customHeight="false" outlineLevel="0" collapsed="false">
      <c r="A1697" s="0" t="n">
        <v>1696</v>
      </c>
      <c r="B1697" s="27" t="n">
        <v>45797</v>
      </c>
      <c r="C1697" s="0" t="n">
        <v>2025</v>
      </c>
      <c r="D1697" s="28" t="s">
        <v>108</v>
      </c>
      <c r="E1697" s="0" t="n">
        <v>5</v>
      </c>
      <c r="F1697" s="28" t="s">
        <v>111</v>
      </c>
      <c r="G1697" s="28" t="s">
        <v>147</v>
      </c>
      <c r="H1697" s="28" t="s">
        <v>102</v>
      </c>
      <c r="I1697" s="28" t="s">
        <v>103</v>
      </c>
      <c r="J1697" s="28" t="s">
        <v>71</v>
      </c>
      <c r="K1697" s="28" t="s">
        <v>84</v>
      </c>
      <c r="L1697" s="28" t="s">
        <v>138</v>
      </c>
      <c r="M1697" s="28" t="s">
        <v>88</v>
      </c>
      <c r="N1697" s="28" t="s">
        <v>140</v>
      </c>
      <c r="O1697" s="29" t="n">
        <v>9</v>
      </c>
      <c r="P1697" s="30" t="n">
        <v>84.46</v>
      </c>
      <c r="Q1697" s="30" t="n">
        <v>49.47</v>
      </c>
      <c r="R1697" s="30" t="n">
        <f aca="false">ROUND(O1697*P1697,2)</f>
        <v>760.14</v>
      </c>
      <c r="S1697" s="30" t="n">
        <f aca="false">ROUND(O1697*Q1697,2)</f>
        <v>445.23</v>
      </c>
      <c r="T1697" s="30" t="n">
        <f aca="false">ROUND(R1697*SUMIFS(Parametros!$E$23:$E$38,Parametros!$B$23:$B$38,J1697,Parametros!$C$23:$C$38,C1697,Parametros!$D$23:$D$38,D1697),2)</f>
        <v>56.25</v>
      </c>
      <c r="U1697" s="30" t="n">
        <f aca="false">R1697-S1697-T1697</f>
        <v>258.66</v>
      </c>
    </row>
    <row r="1698" customFormat="false" ht="15" hidden="false" customHeight="false" outlineLevel="0" collapsed="false">
      <c r="A1698" s="0" t="n">
        <v>1697</v>
      </c>
      <c r="B1698" s="27" t="n">
        <v>45804</v>
      </c>
      <c r="C1698" s="0" t="n">
        <v>2025</v>
      </c>
      <c r="D1698" s="28" t="s">
        <v>108</v>
      </c>
      <c r="E1698" s="0" t="n">
        <v>5</v>
      </c>
      <c r="F1698" s="28" t="s">
        <v>111</v>
      </c>
      <c r="G1698" s="28" t="s">
        <v>147</v>
      </c>
      <c r="H1698" s="28" t="s">
        <v>102</v>
      </c>
      <c r="I1698" s="28" t="s">
        <v>103</v>
      </c>
      <c r="J1698" s="28" t="s">
        <v>66</v>
      </c>
      <c r="K1698" s="28" t="s">
        <v>90</v>
      </c>
      <c r="L1698" s="28" t="s">
        <v>141</v>
      </c>
      <c r="M1698" s="28" t="s">
        <v>92</v>
      </c>
      <c r="N1698" s="28" t="s">
        <v>142</v>
      </c>
      <c r="O1698" s="29" t="n">
        <v>18</v>
      </c>
      <c r="P1698" s="30" t="n">
        <v>129.17</v>
      </c>
      <c r="Q1698" s="30" t="n">
        <v>78.33</v>
      </c>
      <c r="R1698" s="30" t="n">
        <f aca="false">ROUND(O1698*P1698,2)</f>
        <v>2325.06</v>
      </c>
      <c r="S1698" s="30" t="n">
        <f aca="false">ROUND(O1698*Q1698,2)</f>
        <v>1409.94</v>
      </c>
      <c r="T1698" s="30" t="n">
        <f aca="false">ROUND(R1698*SUMIFS(Parametros!$E$23:$E$38,Parametros!$B$23:$B$38,J1698,Parametros!$C$23:$C$38,C1698,Parametros!$D$23:$D$38,D1698),2)</f>
        <v>32.55</v>
      </c>
      <c r="U1698" s="30" t="n">
        <f aca="false">R1698-S1698-T1698</f>
        <v>882.57</v>
      </c>
    </row>
    <row r="1699" customFormat="false" ht="15" hidden="false" customHeight="false" outlineLevel="0" collapsed="false">
      <c r="A1699" s="0" t="n">
        <v>1698</v>
      </c>
      <c r="B1699" s="27" t="n">
        <v>45784</v>
      </c>
      <c r="C1699" s="0" t="n">
        <v>2025</v>
      </c>
      <c r="D1699" s="28" t="s">
        <v>108</v>
      </c>
      <c r="E1699" s="0" t="n">
        <v>5</v>
      </c>
      <c r="F1699" s="28" t="s">
        <v>111</v>
      </c>
      <c r="G1699" s="28" t="s">
        <v>147</v>
      </c>
      <c r="H1699" s="28" t="s">
        <v>102</v>
      </c>
      <c r="I1699" s="28" t="s">
        <v>103</v>
      </c>
      <c r="J1699" s="28" t="s">
        <v>71</v>
      </c>
      <c r="K1699" s="28" t="s">
        <v>90</v>
      </c>
      <c r="L1699" s="28" t="s">
        <v>141</v>
      </c>
      <c r="M1699" s="28" t="s">
        <v>92</v>
      </c>
      <c r="N1699" s="28" t="s">
        <v>142</v>
      </c>
      <c r="O1699" s="29" t="n">
        <v>12</v>
      </c>
      <c r="P1699" s="30" t="n">
        <v>129.17</v>
      </c>
      <c r="Q1699" s="30" t="n">
        <v>78.33</v>
      </c>
      <c r="R1699" s="30" t="n">
        <f aca="false">ROUND(O1699*P1699,2)</f>
        <v>1550.04</v>
      </c>
      <c r="S1699" s="30" t="n">
        <f aca="false">ROUND(O1699*Q1699,2)</f>
        <v>939.96</v>
      </c>
      <c r="T1699" s="30" t="n">
        <f aca="false">ROUND(R1699*SUMIFS(Parametros!$E$23:$E$38,Parametros!$B$23:$B$38,J1699,Parametros!$C$23:$C$38,C1699,Parametros!$D$23:$D$38,D1699),2)</f>
        <v>114.7</v>
      </c>
      <c r="U1699" s="30" t="n">
        <f aca="false">R1699-S1699-T1699</f>
        <v>495.38</v>
      </c>
    </row>
    <row r="1700" customFormat="false" ht="15" hidden="false" customHeight="false" outlineLevel="0" collapsed="false">
      <c r="A1700" s="0" t="n">
        <v>1699</v>
      </c>
      <c r="B1700" s="27" t="n">
        <v>45791</v>
      </c>
      <c r="C1700" s="0" t="n">
        <v>2025</v>
      </c>
      <c r="D1700" s="28" t="s">
        <v>108</v>
      </c>
      <c r="E1700" s="0" t="n">
        <v>5</v>
      </c>
      <c r="F1700" s="28" t="s">
        <v>111</v>
      </c>
      <c r="G1700" s="28" t="s">
        <v>147</v>
      </c>
      <c r="H1700" s="28" t="s">
        <v>102</v>
      </c>
      <c r="I1700" s="28" t="s">
        <v>103</v>
      </c>
      <c r="J1700" s="28" t="s">
        <v>66</v>
      </c>
      <c r="K1700" s="28" t="s">
        <v>90</v>
      </c>
      <c r="L1700" s="28" t="s">
        <v>141</v>
      </c>
      <c r="M1700" s="28" t="s">
        <v>94</v>
      </c>
      <c r="N1700" s="28" t="s">
        <v>143</v>
      </c>
      <c r="O1700" s="29" t="n">
        <v>15</v>
      </c>
      <c r="P1700" s="30" t="n">
        <v>34.78</v>
      </c>
      <c r="Q1700" s="30" t="n">
        <v>18.39</v>
      </c>
      <c r="R1700" s="30" t="n">
        <f aca="false">ROUND(O1700*P1700,2)</f>
        <v>521.7</v>
      </c>
      <c r="S1700" s="30" t="n">
        <f aca="false">ROUND(O1700*Q1700,2)</f>
        <v>275.85</v>
      </c>
      <c r="T1700" s="30" t="n">
        <f aca="false">ROUND(R1700*SUMIFS(Parametros!$E$23:$E$38,Parametros!$B$23:$B$38,J1700,Parametros!$C$23:$C$38,C1700,Parametros!$D$23:$D$38,D1700),2)</f>
        <v>7.3</v>
      </c>
      <c r="U1700" s="30" t="n">
        <f aca="false">R1700-S1700-T1700</f>
        <v>238.55</v>
      </c>
    </row>
    <row r="1701" customFormat="false" ht="15" hidden="false" customHeight="false" outlineLevel="0" collapsed="false">
      <c r="A1701" s="0" t="n">
        <v>1700</v>
      </c>
      <c r="B1701" s="27" t="n">
        <v>45798</v>
      </c>
      <c r="C1701" s="0" t="n">
        <v>2025</v>
      </c>
      <c r="D1701" s="28" t="s">
        <v>108</v>
      </c>
      <c r="E1701" s="0" t="n">
        <v>5</v>
      </c>
      <c r="F1701" s="28" t="s">
        <v>111</v>
      </c>
      <c r="G1701" s="28" t="s">
        <v>147</v>
      </c>
      <c r="H1701" s="28" t="s">
        <v>102</v>
      </c>
      <c r="I1701" s="28" t="s">
        <v>103</v>
      </c>
      <c r="J1701" s="28" t="s">
        <v>71</v>
      </c>
      <c r="K1701" s="28" t="s">
        <v>90</v>
      </c>
      <c r="L1701" s="28" t="s">
        <v>141</v>
      </c>
      <c r="M1701" s="28" t="s">
        <v>94</v>
      </c>
      <c r="N1701" s="28" t="s">
        <v>143</v>
      </c>
      <c r="O1701" s="29" t="n">
        <v>10</v>
      </c>
      <c r="P1701" s="30" t="n">
        <v>34.78</v>
      </c>
      <c r="Q1701" s="30" t="n">
        <v>18.39</v>
      </c>
      <c r="R1701" s="30" t="n">
        <f aca="false">ROUND(O1701*P1701,2)</f>
        <v>347.8</v>
      </c>
      <c r="S1701" s="30" t="n">
        <f aca="false">ROUND(O1701*Q1701,2)</f>
        <v>183.9</v>
      </c>
      <c r="T1701" s="30" t="n">
        <f aca="false">ROUND(R1701*SUMIFS(Parametros!$E$23:$E$38,Parametros!$B$23:$B$38,J1701,Parametros!$C$23:$C$38,C1701,Parametros!$D$23:$D$38,D1701),2)</f>
        <v>25.74</v>
      </c>
      <c r="U1701" s="30" t="n">
        <f aca="false">R1701-S1701-T1701</f>
        <v>138.16</v>
      </c>
    </row>
    <row r="1702" customFormat="false" ht="15" hidden="false" customHeight="false" outlineLevel="0" collapsed="false">
      <c r="A1702" s="0" t="n">
        <v>1701</v>
      </c>
      <c r="B1702" s="27" t="n">
        <v>45809</v>
      </c>
      <c r="C1702" s="0" t="n">
        <v>2025</v>
      </c>
      <c r="D1702" s="28" t="s">
        <v>108</v>
      </c>
      <c r="E1702" s="0" t="n">
        <v>6</v>
      </c>
      <c r="F1702" s="28" t="s">
        <v>113</v>
      </c>
      <c r="G1702" s="28" t="s">
        <v>148</v>
      </c>
      <c r="H1702" s="28" t="s">
        <v>64</v>
      </c>
      <c r="I1702" s="28" t="s">
        <v>65</v>
      </c>
      <c r="J1702" s="28" t="s">
        <v>66</v>
      </c>
      <c r="K1702" s="28" t="s">
        <v>67</v>
      </c>
      <c r="L1702" s="28" t="s">
        <v>130</v>
      </c>
      <c r="M1702" s="28" t="s">
        <v>69</v>
      </c>
      <c r="N1702" s="28" t="s">
        <v>131</v>
      </c>
      <c r="O1702" s="29" t="n">
        <v>23</v>
      </c>
      <c r="P1702" s="30" t="n">
        <v>1155.06</v>
      </c>
      <c r="Q1702" s="30" t="n">
        <v>766.32</v>
      </c>
      <c r="R1702" s="30" t="n">
        <f aca="false">ROUND(O1702*P1702,2)</f>
        <v>26566.38</v>
      </c>
      <c r="S1702" s="30" t="n">
        <f aca="false">ROUND(O1702*Q1702,2)</f>
        <v>17625.36</v>
      </c>
      <c r="T1702" s="30" t="n">
        <f aca="false">ROUND(R1702*SUMIFS(Parametros!$E$23:$E$38,Parametros!$B$23:$B$38,J1702,Parametros!$C$23:$C$38,C1702,Parametros!$D$23:$D$38,D1702),2)</f>
        <v>371.93</v>
      </c>
      <c r="U1702" s="30" t="n">
        <f aca="false">R1702-S1702-T1702</f>
        <v>8569.09</v>
      </c>
    </row>
    <row r="1703" customFormat="false" ht="15" hidden="false" customHeight="false" outlineLevel="0" collapsed="false">
      <c r="A1703" s="0" t="n">
        <v>1702</v>
      </c>
      <c r="B1703" s="27" t="n">
        <v>45816</v>
      </c>
      <c r="C1703" s="0" t="n">
        <v>2025</v>
      </c>
      <c r="D1703" s="28" t="s">
        <v>108</v>
      </c>
      <c r="E1703" s="0" t="n">
        <v>6</v>
      </c>
      <c r="F1703" s="28" t="s">
        <v>113</v>
      </c>
      <c r="G1703" s="28" t="s">
        <v>148</v>
      </c>
      <c r="H1703" s="28" t="s">
        <v>64</v>
      </c>
      <c r="I1703" s="28" t="s">
        <v>65</v>
      </c>
      <c r="J1703" s="28" t="s">
        <v>71</v>
      </c>
      <c r="K1703" s="28" t="s">
        <v>67</v>
      </c>
      <c r="L1703" s="28" t="s">
        <v>130</v>
      </c>
      <c r="M1703" s="28" t="s">
        <v>69</v>
      </c>
      <c r="N1703" s="28" t="s">
        <v>131</v>
      </c>
      <c r="O1703" s="29" t="n">
        <v>15</v>
      </c>
      <c r="P1703" s="30" t="n">
        <v>1155.06</v>
      </c>
      <c r="Q1703" s="30" t="n">
        <v>766.32</v>
      </c>
      <c r="R1703" s="30" t="n">
        <f aca="false">ROUND(O1703*P1703,2)</f>
        <v>17325.9</v>
      </c>
      <c r="S1703" s="30" t="n">
        <f aca="false">ROUND(O1703*Q1703,2)</f>
        <v>11494.8</v>
      </c>
      <c r="T1703" s="30" t="n">
        <f aca="false">ROUND(R1703*SUMIFS(Parametros!$E$23:$E$38,Parametros!$B$23:$B$38,J1703,Parametros!$C$23:$C$38,C1703,Parametros!$D$23:$D$38,D1703),2)</f>
        <v>1282.12</v>
      </c>
      <c r="U1703" s="30" t="n">
        <f aca="false">R1703-S1703-T1703</f>
        <v>4548.98</v>
      </c>
    </row>
    <row r="1704" customFormat="false" ht="15" hidden="false" customHeight="false" outlineLevel="0" collapsed="false">
      <c r="A1704" s="0" t="n">
        <v>1703</v>
      </c>
      <c r="B1704" s="27" t="n">
        <v>45823</v>
      </c>
      <c r="C1704" s="0" t="n">
        <v>2025</v>
      </c>
      <c r="D1704" s="28" t="s">
        <v>108</v>
      </c>
      <c r="E1704" s="0" t="n">
        <v>6</v>
      </c>
      <c r="F1704" s="28" t="s">
        <v>113</v>
      </c>
      <c r="G1704" s="28" t="s">
        <v>148</v>
      </c>
      <c r="H1704" s="28" t="s">
        <v>64</v>
      </c>
      <c r="I1704" s="28" t="s">
        <v>65</v>
      </c>
      <c r="J1704" s="28" t="s">
        <v>66</v>
      </c>
      <c r="K1704" s="28" t="s">
        <v>67</v>
      </c>
      <c r="L1704" s="28" t="s">
        <v>130</v>
      </c>
      <c r="M1704" s="28" t="s">
        <v>72</v>
      </c>
      <c r="N1704" s="28" t="s">
        <v>132</v>
      </c>
      <c r="O1704" s="29" t="n">
        <v>19</v>
      </c>
      <c r="P1704" s="30" t="n">
        <v>433.15</v>
      </c>
      <c r="Q1704" s="30" t="n">
        <v>280.42</v>
      </c>
      <c r="R1704" s="30" t="n">
        <f aca="false">ROUND(O1704*P1704,2)</f>
        <v>8229.85</v>
      </c>
      <c r="S1704" s="30" t="n">
        <f aca="false">ROUND(O1704*Q1704,2)</f>
        <v>5327.98</v>
      </c>
      <c r="T1704" s="30" t="n">
        <f aca="false">ROUND(R1704*SUMIFS(Parametros!$E$23:$E$38,Parametros!$B$23:$B$38,J1704,Parametros!$C$23:$C$38,C1704,Parametros!$D$23:$D$38,D1704),2)</f>
        <v>115.22</v>
      </c>
      <c r="U1704" s="30" t="n">
        <f aca="false">R1704-S1704-T1704</f>
        <v>2786.65</v>
      </c>
    </row>
    <row r="1705" customFormat="false" ht="15" hidden="false" customHeight="false" outlineLevel="0" collapsed="false">
      <c r="A1705" s="0" t="n">
        <v>1704</v>
      </c>
      <c r="B1705" s="27" t="n">
        <v>45830</v>
      </c>
      <c r="C1705" s="0" t="n">
        <v>2025</v>
      </c>
      <c r="D1705" s="28" t="s">
        <v>108</v>
      </c>
      <c r="E1705" s="0" t="n">
        <v>6</v>
      </c>
      <c r="F1705" s="28" t="s">
        <v>113</v>
      </c>
      <c r="G1705" s="28" t="s">
        <v>148</v>
      </c>
      <c r="H1705" s="28" t="s">
        <v>64</v>
      </c>
      <c r="I1705" s="28" t="s">
        <v>65</v>
      </c>
      <c r="J1705" s="28" t="s">
        <v>71</v>
      </c>
      <c r="K1705" s="28" t="s">
        <v>67</v>
      </c>
      <c r="L1705" s="28" t="s">
        <v>130</v>
      </c>
      <c r="M1705" s="28" t="s">
        <v>72</v>
      </c>
      <c r="N1705" s="28" t="s">
        <v>132</v>
      </c>
      <c r="O1705" s="29" t="n">
        <v>15</v>
      </c>
      <c r="P1705" s="30" t="n">
        <v>433.15</v>
      </c>
      <c r="Q1705" s="30" t="n">
        <v>280.42</v>
      </c>
      <c r="R1705" s="30" t="n">
        <f aca="false">ROUND(O1705*P1705,2)</f>
        <v>6497.25</v>
      </c>
      <c r="S1705" s="30" t="n">
        <f aca="false">ROUND(O1705*Q1705,2)</f>
        <v>4206.3</v>
      </c>
      <c r="T1705" s="30" t="n">
        <f aca="false">ROUND(R1705*SUMIFS(Parametros!$E$23:$E$38,Parametros!$B$23:$B$38,J1705,Parametros!$C$23:$C$38,C1705,Parametros!$D$23:$D$38,D1705),2)</f>
        <v>480.8</v>
      </c>
      <c r="U1705" s="30" t="n">
        <f aca="false">R1705-S1705-T1705</f>
        <v>1810.15</v>
      </c>
    </row>
    <row r="1706" customFormat="false" ht="15" hidden="false" customHeight="false" outlineLevel="0" collapsed="false">
      <c r="A1706" s="0" t="n">
        <v>1705</v>
      </c>
      <c r="B1706" s="27" t="n">
        <v>45810</v>
      </c>
      <c r="C1706" s="0" t="n">
        <v>2025</v>
      </c>
      <c r="D1706" s="28" t="s">
        <v>108</v>
      </c>
      <c r="E1706" s="0" t="n">
        <v>6</v>
      </c>
      <c r="F1706" s="28" t="s">
        <v>113</v>
      </c>
      <c r="G1706" s="28" t="s">
        <v>148</v>
      </c>
      <c r="H1706" s="28" t="s">
        <v>64</v>
      </c>
      <c r="I1706" s="28" t="s">
        <v>65</v>
      </c>
      <c r="J1706" s="28" t="s">
        <v>66</v>
      </c>
      <c r="K1706" s="28" t="s">
        <v>67</v>
      </c>
      <c r="L1706" s="28" t="s">
        <v>130</v>
      </c>
      <c r="M1706" s="28" t="s">
        <v>74</v>
      </c>
      <c r="N1706" s="28" t="s">
        <v>133</v>
      </c>
      <c r="O1706" s="29" t="n">
        <v>24</v>
      </c>
      <c r="P1706" s="30" t="n">
        <v>1588.21</v>
      </c>
      <c r="Q1706" s="30" t="n">
        <v>1155.66</v>
      </c>
      <c r="R1706" s="30" t="n">
        <f aca="false">ROUND(O1706*P1706,2)</f>
        <v>38117.04</v>
      </c>
      <c r="S1706" s="30" t="n">
        <f aca="false">ROUND(O1706*Q1706,2)</f>
        <v>27735.84</v>
      </c>
      <c r="T1706" s="30" t="n">
        <f aca="false">ROUND(R1706*SUMIFS(Parametros!$E$23:$E$38,Parametros!$B$23:$B$38,J1706,Parametros!$C$23:$C$38,C1706,Parametros!$D$23:$D$38,D1706),2)</f>
        <v>533.64</v>
      </c>
      <c r="U1706" s="30" t="n">
        <f aca="false">R1706-S1706-T1706</f>
        <v>9847.56</v>
      </c>
    </row>
    <row r="1707" customFormat="false" ht="15" hidden="false" customHeight="false" outlineLevel="0" collapsed="false">
      <c r="A1707" s="0" t="n">
        <v>1706</v>
      </c>
      <c r="B1707" s="27" t="n">
        <v>45817</v>
      </c>
      <c r="C1707" s="0" t="n">
        <v>2025</v>
      </c>
      <c r="D1707" s="28" t="s">
        <v>108</v>
      </c>
      <c r="E1707" s="0" t="n">
        <v>6</v>
      </c>
      <c r="F1707" s="28" t="s">
        <v>113</v>
      </c>
      <c r="G1707" s="28" t="s">
        <v>148</v>
      </c>
      <c r="H1707" s="28" t="s">
        <v>64</v>
      </c>
      <c r="I1707" s="28" t="s">
        <v>65</v>
      </c>
      <c r="J1707" s="28" t="s">
        <v>71</v>
      </c>
      <c r="K1707" s="28" t="s">
        <v>67</v>
      </c>
      <c r="L1707" s="28" t="s">
        <v>130</v>
      </c>
      <c r="M1707" s="28" t="s">
        <v>74</v>
      </c>
      <c r="N1707" s="28" t="s">
        <v>133</v>
      </c>
      <c r="O1707" s="29" t="n">
        <v>13</v>
      </c>
      <c r="P1707" s="30" t="n">
        <v>1588.21</v>
      </c>
      <c r="Q1707" s="30" t="n">
        <v>1155.66</v>
      </c>
      <c r="R1707" s="30" t="n">
        <f aca="false">ROUND(O1707*P1707,2)</f>
        <v>20646.73</v>
      </c>
      <c r="S1707" s="30" t="n">
        <f aca="false">ROUND(O1707*Q1707,2)</f>
        <v>15023.58</v>
      </c>
      <c r="T1707" s="30" t="n">
        <f aca="false">ROUND(R1707*SUMIFS(Parametros!$E$23:$E$38,Parametros!$B$23:$B$38,J1707,Parametros!$C$23:$C$38,C1707,Parametros!$D$23:$D$38,D1707),2)</f>
        <v>1527.86</v>
      </c>
      <c r="U1707" s="30" t="n">
        <f aca="false">R1707-S1707-T1707</f>
        <v>4095.29</v>
      </c>
    </row>
    <row r="1708" customFormat="false" ht="15" hidden="false" customHeight="false" outlineLevel="0" collapsed="false">
      <c r="A1708" s="0" t="n">
        <v>1707</v>
      </c>
      <c r="B1708" s="27" t="n">
        <v>45824</v>
      </c>
      <c r="C1708" s="0" t="n">
        <v>2025</v>
      </c>
      <c r="D1708" s="28" t="s">
        <v>108</v>
      </c>
      <c r="E1708" s="0" t="n">
        <v>6</v>
      </c>
      <c r="F1708" s="28" t="s">
        <v>113</v>
      </c>
      <c r="G1708" s="28" t="s">
        <v>148</v>
      </c>
      <c r="H1708" s="28" t="s">
        <v>64</v>
      </c>
      <c r="I1708" s="28" t="s">
        <v>65</v>
      </c>
      <c r="J1708" s="28" t="s">
        <v>66</v>
      </c>
      <c r="K1708" s="28" t="s">
        <v>76</v>
      </c>
      <c r="L1708" s="28" t="s">
        <v>134</v>
      </c>
      <c r="M1708" s="28" t="s">
        <v>78</v>
      </c>
      <c r="N1708" s="28" t="s">
        <v>135</v>
      </c>
      <c r="O1708" s="29" t="n">
        <v>83</v>
      </c>
      <c r="P1708" s="30" t="n">
        <v>27.82</v>
      </c>
      <c r="Q1708" s="30" t="n">
        <v>13.84</v>
      </c>
      <c r="R1708" s="30" t="n">
        <f aca="false">ROUND(O1708*P1708,2)</f>
        <v>2309.06</v>
      </c>
      <c r="S1708" s="30" t="n">
        <f aca="false">ROUND(O1708*Q1708,2)</f>
        <v>1148.72</v>
      </c>
      <c r="T1708" s="30" t="n">
        <f aca="false">ROUND(R1708*SUMIFS(Parametros!$E$23:$E$38,Parametros!$B$23:$B$38,J1708,Parametros!$C$23:$C$38,C1708,Parametros!$D$23:$D$38,D1708),2)</f>
        <v>32.33</v>
      </c>
      <c r="U1708" s="30" t="n">
        <f aca="false">R1708-S1708-T1708</f>
        <v>1128.01</v>
      </c>
    </row>
    <row r="1709" customFormat="false" ht="15" hidden="false" customHeight="false" outlineLevel="0" collapsed="false">
      <c r="A1709" s="0" t="n">
        <v>1708</v>
      </c>
      <c r="B1709" s="27" t="n">
        <v>45831</v>
      </c>
      <c r="C1709" s="0" t="n">
        <v>2025</v>
      </c>
      <c r="D1709" s="28" t="s">
        <v>108</v>
      </c>
      <c r="E1709" s="0" t="n">
        <v>6</v>
      </c>
      <c r="F1709" s="28" t="s">
        <v>113</v>
      </c>
      <c r="G1709" s="28" t="s">
        <v>148</v>
      </c>
      <c r="H1709" s="28" t="s">
        <v>64</v>
      </c>
      <c r="I1709" s="28" t="s">
        <v>65</v>
      </c>
      <c r="J1709" s="28" t="s">
        <v>71</v>
      </c>
      <c r="K1709" s="28" t="s">
        <v>76</v>
      </c>
      <c r="L1709" s="28" t="s">
        <v>134</v>
      </c>
      <c r="M1709" s="28" t="s">
        <v>78</v>
      </c>
      <c r="N1709" s="28" t="s">
        <v>135</v>
      </c>
      <c r="O1709" s="29" t="n">
        <v>79</v>
      </c>
      <c r="P1709" s="30" t="n">
        <v>27.82</v>
      </c>
      <c r="Q1709" s="30" t="n">
        <v>13.84</v>
      </c>
      <c r="R1709" s="30" t="n">
        <f aca="false">ROUND(O1709*P1709,2)</f>
        <v>2197.78</v>
      </c>
      <c r="S1709" s="30" t="n">
        <f aca="false">ROUND(O1709*Q1709,2)</f>
        <v>1093.36</v>
      </c>
      <c r="T1709" s="30" t="n">
        <f aca="false">ROUND(R1709*SUMIFS(Parametros!$E$23:$E$38,Parametros!$B$23:$B$38,J1709,Parametros!$C$23:$C$38,C1709,Parametros!$D$23:$D$38,D1709),2)</f>
        <v>162.64</v>
      </c>
      <c r="U1709" s="30" t="n">
        <f aca="false">R1709-S1709-T1709</f>
        <v>941.78</v>
      </c>
    </row>
    <row r="1710" customFormat="false" ht="15" hidden="false" customHeight="false" outlineLevel="0" collapsed="false">
      <c r="A1710" s="0" t="n">
        <v>1709</v>
      </c>
      <c r="B1710" s="27" t="n">
        <v>45811</v>
      </c>
      <c r="C1710" s="0" t="n">
        <v>2025</v>
      </c>
      <c r="D1710" s="28" t="s">
        <v>108</v>
      </c>
      <c r="E1710" s="0" t="n">
        <v>6</v>
      </c>
      <c r="F1710" s="28" t="s">
        <v>113</v>
      </c>
      <c r="G1710" s="28" t="s">
        <v>148</v>
      </c>
      <c r="H1710" s="28" t="s">
        <v>64</v>
      </c>
      <c r="I1710" s="28" t="s">
        <v>65</v>
      </c>
      <c r="J1710" s="28" t="s">
        <v>66</v>
      </c>
      <c r="K1710" s="28" t="s">
        <v>76</v>
      </c>
      <c r="L1710" s="28" t="s">
        <v>134</v>
      </c>
      <c r="M1710" s="28" t="s">
        <v>80</v>
      </c>
      <c r="N1710" s="28" t="s">
        <v>136</v>
      </c>
      <c r="O1710" s="29" t="n">
        <v>107</v>
      </c>
      <c r="P1710" s="30" t="n">
        <v>94.39</v>
      </c>
      <c r="Q1710" s="30" t="n">
        <v>49.41</v>
      </c>
      <c r="R1710" s="30" t="n">
        <f aca="false">ROUND(O1710*P1710,2)</f>
        <v>10099.73</v>
      </c>
      <c r="S1710" s="30" t="n">
        <f aca="false">ROUND(O1710*Q1710,2)</f>
        <v>5286.87</v>
      </c>
      <c r="T1710" s="30" t="n">
        <f aca="false">ROUND(R1710*SUMIFS(Parametros!$E$23:$E$38,Parametros!$B$23:$B$38,J1710,Parametros!$C$23:$C$38,C1710,Parametros!$D$23:$D$38,D1710),2)</f>
        <v>141.4</v>
      </c>
      <c r="U1710" s="30" t="n">
        <f aca="false">R1710-S1710-T1710</f>
        <v>4671.46</v>
      </c>
    </row>
    <row r="1711" customFormat="false" ht="15" hidden="false" customHeight="false" outlineLevel="0" collapsed="false">
      <c r="A1711" s="0" t="n">
        <v>1710</v>
      </c>
      <c r="B1711" s="27" t="n">
        <v>45818</v>
      </c>
      <c r="C1711" s="0" t="n">
        <v>2025</v>
      </c>
      <c r="D1711" s="28" t="s">
        <v>108</v>
      </c>
      <c r="E1711" s="0" t="n">
        <v>6</v>
      </c>
      <c r="F1711" s="28" t="s">
        <v>113</v>
      </c>
      <c r="G1711" s="28" t="s">
        <v>148</v>
      </c>
      <c r="H1711" s="28" t="s">
        <v>64</v>
      </c>
      <c r="I1711" s="28" t="s">
        <v>65</v>
      </c>
      <c r="J1711" s="28" t="s">
        <v>71</v>
      </c>
      <c r="K1711" s="28" t="s">
        <v>76</v>
      </c>
      <c r="L1711" s="28" t="s">
        <v>134</v>
      </c>
      <c r="M1711" s="28" t="s">
        <v>80</v>
      </c>
      <c r="N1711" s="28" t="s">
        <v>136</v>
      </c>
      <c r="O1711" s="29" t="n">
        <v>72</v>
      </c>
      <c r="P1711" s="30" t="n">
        <v>94.39</v>
      </c>
      <c r="Q1711" s="30" t="n">
        <v>49.41</v>
      </c>
      <c r="R1711" s="30" t="n">
        <f aca="false">ROUND(O1711*P1711,2)</f>
        <v>6796.08</v>
      </c>
      <c r="S1711" s="30" t="n">
        <f aca="false">ROUND(O1711*Q1711,2)</f>
        <v>3557.52</v>
      </c>
      <c r="T1711" s="30" t="n">
        <f aca="false">ROUND(R1711*SUMIFS(Parametros!$E$23:$E$38,Parametros!$B$23:$B$38,J1711,Parametros!$C$23:$C$38,C1711,Parametros!$D$23:$D$38,D1711),2)</f>
        <v>502.91</v>
      </c>
      <c r="U1711" s="30" t="n">
        <f aca="false">R1711-S1711-T1711</f>
        <v>2735.65</v>
      </c>
    </row>
    <row r="1712" customFormat="false" ht="15" hidden="false" customHeight="false" outlineLevel="0" collapsed="false">
      <c r="A1712" s="0" t="n">
        <v>1711</v>
      </c>
      <c r="B1712" s="27" t="n">
        <v>45825</v>
      </c>
      <c r="C1712" s="0" t="n">
        <v>2025</v>
      </c>
      <c r="D1712" s="28" t="s">
        <v>108</v>
      </c>
      <c r="E1712" s="0" t="n">
        <v>6</v>
      </c>
      <c r="F1712" s="28" t="s">
        <v>113</v>
      </c>
      <c r="G1712" s="28" t="s">
        <v>148</v>
      </c>
      <c r="H1712" s="28" t="s">
        <v>64</v>
      </c>
      <c r="I1712" s="28" t="s">
        <v>65</v>
      </c>
      <c r="J1712" s="28" t="s">
        <v>66</v>
      </c>
      <c r="K1712" s="28" t="s">
        <v>76</v>
      </c>
      <c r="L1712" s="28" t="s">
        <v>134</v>
      </c>
      <c r="M1712" s="28" t="s">
        <v>82</v>
      </c>
      <c r="N1712" s="28" t="s">
        <v>137</v>
      </c>
      <c r="O1712" s="29" t="n">
        <v>87</v>
      </c>
      <c r="P1712" s="30" t="n">
        <v>64.58</v>
      </c>
      <c r="Q1712" s="30" t="n">
        <v>36.49</v>
      </c>
      <c r="R1712" s="30" t="n">
        <f aca="false">ROUND(O1712*P1712,2)</f>
        <v>5618.46</v>
      </c>
      <c r="S1712" s="30" t="n">
        <f aca="false">ROUND(O1712*Q1712,2)</f>
        <v>3174.63</v>
      </c>
      <c r="T1712" s="30" t="n">
        <f aca="false">ROUND(R1712*SUMIFS(Parametros!$E$23:$E$38,Parametros!$B$23:$B$38,J1712,Parametros!$C$23:$C$38,C1712,Parametros!$D$23:$D$38,D1712),2)</f>
        <v>78.66</v>
      </c>
      <c r="U1712" s="30" t="n">
        <f aca="false">R1712-S1712-T1712</f>
        <v>2365.17</v>
      </c>
    </row>
    <row r="1713" customFormat="false" ht="15" hidden="false" customHeight="false" outlineLevel="0" collapsed="false">
      <c r="A1713" s="0" t="n">
        <v>1712</v>
      </c>
      <c r="B1713" s="27" t="n">
        <v>45832</v>
      </c>
      <c r="C1713" s="0" t="n">
        <v>2025</v>
      </c>
      <c r="D1713" s="28" t="s">
        <v>108</v>
      </c>
      <c r="E1713" s="0" t="n">
        <v>6</v>
      </c>
      <c r="F1713" s="28" t="s">
        <v>113</v>
      </c>
      <c r="G1713" s="28" t="s">
        <v>148</v>
      </c>
      <c r="H1713" s="28" t="s">
        <v>64</v>
      </c>
      <c r="I1713" s="28" t="s">
        <v>65</v>
      </c>
      <c r="J1713" s="28" t="s">
        <v>71</v>
      </c>
      <c r="K1713" s="28" t="s">
        <v>76</v>
      </c>
      <c r="L1713" s="28" t="s">
        <v>134</v>
      </c>
      <c r="M1713" s="28" t="s">
        <v>82</v>
      </c>
      <c r="N1713" s="28" t="s">
        <v>137</v>
      </c>
      <c r="O1713" s="29" t="n">
        <v>65</v>
      </c>
      <c r="P1713" s="30" t="n">
        <v>64.58</v>
      </c>
      <c r="Q1713" s="30" t="n">
        <v>36.49</v>
      </c>
      <c r="R1713" s="30" t="n">
        <f aca="false">ROUND(O1713*P1713,2)</f>
        <v>4197.7</v>
      </c>
      <c r="S1713" s="30" t="n">
        <f aca="false">ROUND(O1713*Q1713,2)</f>
        <v>2371.85</v>
      </c>
      <c r="T1713" s="30" t="n">
        <f aca="false">ROUND(R1713*SUMIFS(Parametros!$E$23:$E$38,Parametros!$B$23:$B$38,J1713,Parametros!$C$23:$C$38,C1713,Parametros!$D$23:$D$38,D1713),2)</f>
        <v>310.63</v>
      </c>
      <c r="U1713" s="30" t="n">
        <f aca="false">R1713-S1713-T1713</f>
        <v>1515.22</v>
      </c>
    </row>
    <row r="1714" customFormat="false" ht="15" hidden="false" customHeight="false" outlineLevel="0" collapsed="false">
      <c r="A1714" s="0" t="n">
        <v>1713</v>
      </c>
      <c r="B1714" s="27" t="n">
        <v>45812</v>
      </c>
      <c r="C1714" s="0" t="n">
        <v>2025</v>
      </c>
      <c r="D1714" s="28" t="s">
        <v>108</v>
      </c>
      <c r="E1714" s="0" t="n">
        <v>6</v>
      </c>
      <c r="F1714" s="28" t="s">
        <v>113</v>
      </c>
      <c r="G1714" s="28" t="s">
        <v>148</v>
      </c>
      <c r="H1714" s="28" t="s">
        <v>64</v>
      </c>
      <c r="I1714" s="28" t="s">
        <v>65</v>
      </c>
      <c r="J1714" s="28" t="s">
        <v>66</v>
      </c>
      <c r="K1714" s="28" t="s">
        <v>84</v>
      </c>
      <c r="L1714" s="28" t="s">
        <v>138</v>
      </c>
      <c r="M1714" s="28" t="s">
        <v>86</v>
      </c>
      <c r="N1714" s="28" t="s">
        <v>139</v>
      </c>
      <c r="O1714" s="29" t="n">
        <v>47</v>
      </c>
      <c r="P1714" s="30" t="n">
        <v>119.23</v>
      </c>
      <c r="Q1714" s="30" t="n">
        <v>65.51</v>
      </c>
      <c r="R1714" s="30" t="n">
        <f aca="false">ROUND(O1714*P1714,2)</f>
        <v>5603.81</v>
      </c>
      <c r="S1714" s="30" t="n">
        <f aca="false">ROUND(O1714*Q1714,2)</f>
        <v>3078.97</v>
      </c>
      <c r="T1714" s="30" t="n">
        <f aca="false">ROUND(R1714*SUMIFS(Parametros!$E$23:$E$38,Parametros!$B$23:$B$38,J1714,Parametros!$C$23:$C$38,C1714,Parametros!$D$23:$D$38,D1714),2)</f>
        <v>78.45</v>
      </c>
      <c r="U1714" s="30" t="n">
        <f aca="false">R1714-S1714-T1714</f>
        <v>2446.39</v>
      </c>
    </row>
    <row r="1715" customFormat="false" ht="15" hidden="false" customHeight="false" outlineLevel="0" collapsed="false">
      <c r="A1715" s="0" t="n">
        <v>1714</v>
      </c>
      <c r="B1715" s="27" t="n">
        <v>45819</v>
      </c>
      <c r="C1715" s="0" t="n">
        <v>2025</v>
      </c>
      <c r="D1715" s="28" t="s">
        <v>108</v>
      </c>
      <c r="E1715" s="0" t="n">
        <v>6</v>
      </c>
      <c r="F1715" s="28" t="s">
        <v>113</v>
      </c>
      <c r="G1715" s="28" t="s">
        <v>148</v>
      </c>
      <c r="H1715" s="28" t="s">
        <v>64</v>
      </c>
      <c r="I1715" s="28" t="s">
        <v>65</v>
      </c>
      <c r="J1715" s="28" t="s">
        <v>71</v>
      </c>
      <c r="K1715" s="28" t="s">
        <v>84</v>
      </c>
      <c r="L1715" s="28" t="s">
        <v>138</v>
      </c>
      <c r="M1715" s="28" t="s">
        <v>86</v>
      </c>
      <c r="N1715" s="28" t="s">
        <v>139</v>
      </c>
      <c r="O1715" s="29" t="n">
        <v>36</v>
      </c>
      <c r="P1715" s="30" t="n">
        <v>119.23</v>
      </c>
      <c r="Q1715" s="30" t="n">
        <v>65.51</v>
      </c>
      <c r="R1715" s="30" t="n">
        <f aca="false">ROUND(O1715*P1715,2)</f>
        <v>4292.28</v>
      </c>
      <c r="S1715" s="30" t="n">
        <f aca="false">ROUND(O1715*Q1715,2)</f>
        <v>2358.36</v>
      </c>
      <c r="T1715" s="30" t="n">
        <f aca="false">ROUND(R1715*SUMIFS(Parametros!$E$23:$E$38,Parametros!$B$23:$B$38,J1715,Parametros!$C$23:$C$38,C1715,Parametros!$D$23:$D$38,D1715),2)</f>
        <v>317.63</v>
      </c>
      <c r="U1715" s="30" t="n">
        <f aca="false">R1715-S1715-T1715</f>
        <v>1616.29</v>
      </c>
    </row>
    <row r="1716" customFormat="false" ht="15" hidden="false" customHeight="false" outlineLevel="0" collapsed="false">
      <c r="A1716" s="0" t="n">
        <v>1715</v>
      </c>
      <c r="B1716" s="27" t="n">
        <v>45826</v>
      </c>
      <c r="C1716" s="0" t="n">
        <v>2025</v>
      </c>
      <c r="D1716" s="28" t="s">
        <v>108</v>
      </c>
      <c r="E1716" s="0" t="n">
        <v>6</v>
      </c>
      <c r="F1716" s="28" t="s">
        <v>113</v>
      </c>
      <c r="G1716" s="28" t="s">
        <v>148</v>
      </c>
      <c r="H1716" s="28" t="s">
        <v>64</v>
      </c>
      <c r="I1716" s="28" t="s">
        <v>65</v>
      </c>
      <c r="J1716" s="28" t="s">
        <v>66</v>
      </c>
      <c r="K1716" s="28" t="s">
        <v>84</v>
      </c>
      <c r="L1716" s="28" t="s">
        <v>138</v>
      </c>
      <c r="M1716" s="28" t="s">
        <v>88</v>
      </c>
      <c r="N1716" s="28" t="s">
        <v>140</v>
      </c>
      <c r="O1716" s="29" t="n">
        <v>38</v>
      </c>
      <c r="P1716" s="30" t="n">
        <v>84.46</v>
      </c>
      <c r="Q1716" s="30" t="n">
        <v>49.47</v>
      </c>
      <c r="R1716" s="30" t="n">
        <f aca="false">ROUND(O1716*P1716,2)</f>
        <v>3209.48</v>
      </c>
      <c r="S1716" s="30" t="n">
        <f aca="false">ROUND(O1716*Q1716,2)</f>
        <v>1879.86</v>
      </c>
      <c r="T1716" s="30" t="n">
        <f aca="false">ROUND(R1716*SUMIFS(Parametros!$E$23:$E$38,Parametros!$B$23:$B$38,J1716,Parametros!$C$23:$C$38,C1716,Parametros!$D$23:$D$38,D1716),2)</f>
        <v>44.93</v>
      </c>
      <c r="U1716" s="30" t="n">
        <f aca="false">R1716-S1716-T1716</f>
        <v>1284.69</v>
      </c>
    </row>
    <row r="1717" customFormat="false" ht="15" hidden="false" customHeight="false" outlineLevel="0" collapsed="false">
      <c r="A1717" s="0" t="n">
        <v>1716</v>
      </c>
      <c r="B1717" s="27" t="n">
        <v>45833</v>
      </c>
      <c r="C1717" s="0" t="n">
        <v>2025</v>
      </c>
      <c r="D1717" s="28" t="s">
        <v>108</v>
      </c>
      <c r="E1717" s="0" t="n">
        <v>6</v>
      </c>
      <c r="F1717" s="28" t="s">
        <v>113</v>
      </c>
      <c r="G1717" s="28" t="s">
        <v>148</v>
      </c>
      <c r="H1717" s="28" t="s">
        <v>64</v>
      </c>
      <c r="I1717" s="28" t="s">
        <v>65</v>
      </c>
      <c r="J1717" s="28" t="s">
        <v>71</v>
      </c>
      <c r="K1717" s="28" t="s">
        <v>84</v>
      </c>
      <c r="L1717" s="28" t="s">
        <v>138</v>
      </c>
      <c r="M1717" s="28" t="s">
        <v>88</v>
      </c>
      <c r="N1717" s="28" t="s">
        <v>140</v>
      </c>
      <c r="O1717" s="29" t="n">
        <v>34</v>
      </c>
      <c r="P1717" s="30" t="n">
        <v>84.46</v>
      </c>
      <c r="Q1717" s="30" t="n">
        <v>49.47</v>
      </c>
      <c r="R1717" s="30" t="n">
        <f aca="false">ROUND(O1717*P1717,2)</f>
        <v>2871.64</v>
      </c>
      <c r="S1717" s="30" t="n">
        <f aca="false">ROUND(O1717*Q1717,2)</f>
        <v>1681.98</v>
      </c>
      <c r="T1717" s="30" t="n">
        <f aca="false">ROUND(R1717*SUMIFS(Parametros!$E$23:$E$38,Parametros!$B$23:$B$38,J1717,Parametros!$C$23:$C$38,C1717,Parametros!$D$23:$D$38,D1717),2)</f>
        <v>212.5</v>
      </c>
      <c r="U1717" s="30" t="n">
        <f aca="false">R1717-S1717-T1717</f>
        <v>977.16</v>
      </c>
    </row>
    <row r="1718" customFormat="false" ht="15" hidden="false" customHeight="false" outlineLevel="0" collapsed="false">
      <c r="A1718" s="0" t="n">
        <v>1717</v>
      </c>
      <c r="B1718" s="27" t="n">
        <v>45813</v>
      </c>
      <c r="C1718" s="0" t="n">
        <v>2025</v>
      </c>
      <c r="D1718" s="28" t="s">
        <v>108</v>
      </c>
      <c r="E1718" s="0" t="n">
        <v>6</v>
      </c>
      <c r="F1718" s="28" t="s">
        <v>113</v>
      </c>
      <c r="G1718" s="28" t="s">
        <v>148</v>
      </c>
      <c r="H1718" s="28" t="s">
        <v>64</v>
      </c>
      <c r="I1718" s="28" t="s">
        <v>65</v>
      </c>
      <c r="J1718" s="28" t="s">
        <v>66</v>
      </c>
      <c r="K1718" s="28" t="s">
        <v>90</v>
      </c>
      <c r="L1718" s="28" t="s">
        <v>141</v>
      </c>
      <c r="M1718" s="28" t="s">
        <v>92</v>
      </c>
      <c r="N1718" s="28" t="s">
        <v>142</v>
      </c>
      <c r="O1718" s="29" t="n">
        <v>48</v>
      </c>
      <c r="P1718" s="30" t="n">
        <v>129.17</v>
      </c>
      <c r="Q1718" s="30" t="n">
        <v>78.33</v>
      </c>
      <c r="R1718" s="30" t="n">
        <f aca="false">ROUND(O1718*P1718,2)</f>
        <v>6200.16</v>
      </c>
      <c r="S1718" s="30" t="n">
        <f aca="false">ROUND(O1718*Q1718,2)</f>
        <v>3759.84</v>
      </c>
      <c r="T1718" s="30" t="n">
        <f aca="false">ROUND(R1718*SUMIFS(Parametros!$E$23:$E$38,Parametros!$B$23:$B$38,J1718,Parametros!$C$23:$C$38,C1718,Parametros!$D$23:$D$38,D1718),2)</f>
        <v>86.8</v>
      </c>
      <c r="U1718" s="30" t="n">
        <f aca="false">R1718-S1718-T1718</f>
        <v>2353.52</v>
      </c>
    </row>
    <row r="1719" customFormat="false" ht="15" hidden="false" customHeight="false" outlineLevel="0" collapsed="false">
      <c r="A1719" s="0" t="n">
        <v>1718</v>
      </c>
      <c r="B1719" s="27" t="n">
        <v>45820</v>
      </c>
      <c r="C1719" s="0" t="n">
        <v>2025</v>
      </c>
      <c r="D1719" s="28" t="s">
        <v>108</v>
      </c>
      <c r="E1719" s="0" t="n">
        <v>6</v>
      </c>
      <c r="F1719" s="28" t="s">
        <v>113</v>
      </c>
      <c r="G1719" s="28" t="s">
        <v>148</v>
      </c>
      <c r="H1719" s="28" t="s">
        <v>64</v>
      </c>
      <c r="I1719" s="28" t="s">
        <v>65</v>
      </c>
      <c r="J1719" s="28" t="s">
        <v>71</v>
      </c>
      <c r="K1719" s="28" t="s">
        <v>90</v>
      </c>
      <c r="L1719" s="28" t="s">
        <v>141</v>
      </c>
      <c r="M1719" s="28" t="s">
        <v>92</v>
      </c>
      <c r="N1719" s="28" t="s">
        <v>142</v>
      </c>
      <c r="O1719" s="29" t="n">
        <v>36</v>
      </c>
      <c r="P1719" s="30" t="n">
        <v>129.17</v>
      </c>
      <c r="Q1719" s="30" t="n">
        <v>78.33</v>
      </c>
      <c r="R1719" s="30" t="n">
        <f aca="false">ROUND(O1719*P1719,2)</f>
        <v>4650.12</v>
      </c>
      <c r="S1719" s="30" t="n">
        <f aca="false">ROUND(O1719*Q1719,2)</f>
        <v>2819.88</v>
      </c>
      <c r="T1719" s="30" t="n">
        <f aca="false">ROUND(R1719*SUMIFS(Parametros!$E$23:$E$38,Parametros!$B$23:$B$38,J1719,Parametros!$C$23:$C$38,C1719,Parametros!$D$23:$D$38,D1719),2)</f>
        <v>344.11</v>
      </c>
      <c r="U1719" s="30" t="n">
        <f aca="false">R1719-S1719-T1719</f>
        <v>1486.13</v>
      </c>
    </row>
    <row r="1720" customFormat="false" ht="15" hidden="false" customHeight="false" outlineLevel="0" collapsed="false">
      <c r="A1720" s="0" t="n">
        <v>1719</v>
      </c>
      <c r="B1720" s="27" t="n">
        <v>45827</v>
      </c>
      <c r="C1720" s="0" t="n">
        <v>2025</v>
      </c>
      <c r="D1720" s="28" t="s">
        <v>108</v>
      </c>
      <c r="E1720" s="0" t="n">
        <v>6</v>
      </c>
      <c r="F1720" s="28" t="s">
        <v>113</v>
      </c>
      <c r="G1720" s="28" t="s">
        <v>148</v>
      </c>
      <c r="H1720" s="28" t="s">
        <v>64</v>
      </c>
      <c r="I1720" s="28" t="s">
        <v>65</v>
      </c>
      <c r="J1720" s="28" t="s">
        <v>66</v>
      </c>
      <c r="K1720" s="28" t="s">
        <v>90</v>
      </c>
      <c r="L1720" s="28" t="s">
        <v>141</v>
      </c>
      <c r="M1720" s="28" t="s">
        <v>94</v>
      </c>
      <c r="N1720" s="28" t="s">
        <v>143</v>
      </c>
      <c r="O1720" s="29" t="n">
        <v>48</v>
      </c>
      <c r="P1720" s="30" t="n">
        <v>34.78</v>
      </c>
      <c r="Q1720" s="30" t="n">
        <v>18.39</v>
      </c>
      <c r="R1720" s="30" t="n">
        <f aca="false">ROUND(O1720*P1720,2)</f>
        <v>1669.44</v>
      </c>
      <c r="S1720" s="30" t="n">
        <f aca="false">ROUND(O1720*Q1720,2)</f>
        <v>882.72</v>
      </c>
      <c r="T1720" s="30" t="n">
        <f aca="false">ROUND(R1720*SUMIFS(Parametros!$E$23:$E$38,Parametros!$B$23:$B$38,J1720,Parametros!$C$23:$C$38,C1720,Parametros!$D$23:$D$38,D1720),2)</f>
        <v>23.37</v>
      </c>
      <c r="U1720" s="30" t="n">
        <f aca="false">R1720-S1720-T1720</f>
        <v>763.35</v>
      </c>
    </row>
    <row r="1721" customFormat="false" ht="15" hidden="false" customHeight="false" outlineLevel="0" collapsed="false">
      <c r="A1721" s="0" t="n">
        <v>1720</v>
      </c>
      <c r="B1721" s="27" t="n">
        <v>45834</v>
      </c>
      <c r="C1721" s="0" t="n">
        <v>2025</v>
      </c>
      <c r="D1721" s="28" t="s">
        <v>108</v>
      </c>
      <c r="E1721" s="0" t="n">
        <v>6</v>
      </c>
      <c r="F1721" s="28" t="s">
        <v>113</v>
      </c>
      <c r="G1721" s="28" t="s">
        <v>148</v>
      </c>
      <c r="H1721" s="28" t="s">
        <v>64</v>
      </c>
      <c r="I1721" s="28" t="s">
        <v>65</v>
      </c>
      <c r="J1721" s="28" t="s">
        <v>71</v>
      </c>
      <c r="K1721" s="28" t="s">
        <v>90</v>
      </c>
      <c r="L1721" s="28" t="s">
        <v>141</v>
      </c>
      <c r="M1721" s="28" t="s">
        <v>94</v>
      </c>
      <c r="N1721" s="28" t="s">
        <v>143</v>
      </c>
      <c r="O1721" s="29" t="n">
        <v>41</v>
      </c>
      <c r="P1721" s="30" t="n">
        <v>34.78</v>
      </c>
      <c r="Q1721" s="30" t="n">
        <v>18.39</v>
      </c>
      <c r="R1721" s="30" t="n">
        <f aca="false">ROUND(O1721*P1721,2)</f>
        <v>1425.98</v>
      </c>
      <c r="S1721" s="30" t="n">
        <f aca="false">ROUND(O1721*Q1721,2)</f>
        <v>753.99</v>
      </c>
      <c r="T1721" s="30" t="n">
        <f aca="false">ROUND(R1721*SUMIFS(Parametros!$E$23:$E$38,Parametros!$B$23:$B$38,J1721,Parametros!$C$23:$C$38,C1721,Parametros!$D$23:$D$38,D1721),2)</f>
        <v>105.52</v>
      </c>
      <c r="U1721" s="30" t="n">
        <f aca="false">R1721-S1721-T1721</f>
        <v>566.47</v>
      </c>
    </row>
    <row r="1722" customFormat="false" ht="15" hidden="false" customHeight="false" outlineLevel="0" collapsed="false">
      <c r="A1722" s="0" t="n">
        <v>1721</v>
      </c>
      <c r="B1722" s="27" t="n">
        <v>45814</v>
      </c>
      <c r="C1722" s="0" t="n">
        <v>2025</v>
      </c>
      <c r="D1722" s="28" t="s">
        <v>108</v>
      </c>
      <c r="E1722" s="0" t="n">
        <v>6</v>
      </c>
      <c r="F1722" s="28" t="s">
        <v>113</v>
      </c>
      <c r="G1722" s="28" t="s">
        <v>148</v>
      </c>
      <c r="H1722" s="28" t="s">
        <v>96</v>
      </c>
      <c r="I1722" s="28" t="s">
        <v>97</v>
      </c>
      <c r="J1722" s="28" t="s">
        <v>66</v>
      </c>
      <c r="K1722" s="28" t="s">
        <v>67</v>
      </c>
      <c r="L1722" s="28" t="s">
        <v>130</v>
      </c>
      <c r="M1722" s="28" t="s">
        <v>69</v>
      </c>
      <c r="N1722" s="28" t="s">
        <v>131</v>
      </c>
      <c r="O1722" s="29" t="n">
        <v>11</v>
      </c>
      <c r="P1722" s="30" t="n">
        <v>1155.06</v>
      </c>
      <c r="Q1722" s="30" t="n">
        <v>766.32</v>
      </c>
      <c r="R1722" s="30" t="n">
        <f aca="false">ROUND(O1722*P1722,2)</f>
        <v>12705.66</v>
      </c>
      <c r="S1722" s="30" t="n">
        <f aca="false">ROUND(O1722*Q1722,2)</f>
        <v>8429.52</v>
      </c>
      <c r="T1722" s="30" t="n">
        <f aca="false">ROUND(R1722*SUMIFS(Parametros!$E$23:$E$38,Parametros!$B$23:$B$38,J1722,Parametros!$C$23:$C$38,C1722,Parametros!$D$23:$D$38,D1722),2)</f>
        <v>177.88</v>
      </c>
      <c r="U1722" s="30" t="n">
        <f aca="false">R1722-S1722-T1722</f>
        <v>4098.26</v>
      </c>
    </row>
    <row r="1723" customFormat="false" ht="15" hidden="false" customHeight="false" outlineLevel="0" collapsed="false">
      <c r="A1723" s="0" t="n">
        <v>1722</v>
      </c>
      <c r="B1723" s="27" t="n">
        <v>45821</v>
      </c>
      <c r="C1723" s="0" t="n">
        <v>2025</v>
      </c>
      <c r="D1723" s="28" t="s">
        <v>108</v>
      </c>
      <c r="E1723" s="0" t="n">
        <v>6</v>
      </c>
      <c r="F1723" s="28" t="s">
        <v>113</v>
      </c>
      <c r="G1723" s="28" t="s">
        <v>148</v>
      </c>
      <c r="H1723" s="28" t="s">
        <v>96</v>
      </c>
      <c r="I1723" s="28" t="s">
        <v>97</v>
      </c>
      <c r="J1723" s="28" t="s">
        <v>71</v>
      </c>
      <c r="K1723" s="28" t="s">
        <v>67</v>
      </c>
      <c r="L1723" s="28" t="s">
        <v>130</v>
      </c>
      <c r="M1723" s="28" t="s">
        <v>69</v>
      </c>
      <c r="N1723" s="28" t="s">
        <v>131</v>
      </c>
      <c r="O1723" s="29" t="n">
        <v>8</v>
      </c>
      <c r="P1723" s="30" t="n">
        <v>1155.06</v>
      </c>
      <c r="Q1723" s="30" t="n">
        <v>766.32</v>
      </c>
      <c r="R1723" s="30" t="n">
        <f aca="false">ROUND(O1723*P1723,2)</f>
        <v>9240.48</v>
      </c>
      <c r="S1723" s="30" t="n">
        <f aca="false">ROUND(O1723*Q1723,2)</f>
        <v>6130.56</v>
      </c>
      <c r="T1723" s="30" t="n">
        <f aca="false">ROUND(R1723*SUMIFS(Parametros!$E$23:$E$38,Parametros!$B$23:$B$38,J1723,Parametros!$C$23:$C$38,C1723,Parametros!$D$23:$D$38,D1723),2)</f>
        <v>683.8</v>
      </c>
      <c r="U1723" s="30" t="n">
        <f aca="false">R1723-S1723-T1723</f>
        <v>2426.12</v>
      </c>
    </row>
    <row r="1724" customFormat="false" ht="15" hidden="false" customHeight="false" outlineLevel="0" collapsed="false">
      <c r="A1724" s="0" t="n">
        <v>1723</v>
      </c>
      <c r="B1724" s="27" t="n">
        <v>45828</v>
      </c>
      <c r="C1724" s="0" t="n">
        <v>2025</v>
      </c>
      <c r="D1724" s="28" t="s">
        <v>108</v>
      </c>
      <c r="E1724" s="0" t="n">
        <v>6</v>
      </c>
      <c r="F1724" s="28" t="s">
        <v>113</v>
      </c>
      <c r="G1724" s="28" t="s">
        <v>148</v>
      </c>
      <c r="H1724" s="28" t="s">
        <v>96</v>
      </c>
      <c r="I1724" s="28" t="s">
        <v>97</v>
      </c>
      <c r="J1724" s="28" t="s">
        <v>66</v>
      </c>
      <c r="K1724" s="28" t="s">
        <v>67</v>
      </c>
      <c r="L1724" s="28" t="s">
        <v>130</v>
      </c>
      <c r="M1724" s="28" t="s">
        <v>72</v>
      </c>
      <c r="N1724" s="28" t="s">
        <v>132</v>
      </c>
      <c r="O1724" s="29" t="n">
        <v>14</v>
      </c>
      <c r="P1724" s="30" t="n">
        <v>433.15</v>
      </c>
      <c r="Q1724" s="30" t="n">
        <v>280.42</v>
      </c>
      <c r="R1724" s="30" t="n">
        <f aca="false">ROUND(O1724*P1724,2)</f>
        <v>6064.1</v>
      </c>
      <c r="S1724" s="30" t="n">
        <f aca="false">ROUND(O1724*Q1724,2)</f>
        <v>3925.88</v>
      </c>
      <c r="T1724" s="30" t="n">
        <f aca="false">ROUND(R1724*SUMIFS(Parametros!$E$23:$E$38,Parametros!$B$23:$B$38,J1724,Parametros!$C$23:$C$38,C1724,Parametros!$D$23:$D$38,D1724),2)</f>
        <v>84.9</v>
      </c>
      <c r="U1724" s="30" t="n">
        <f aca="false">R1724-S1724-T1724</f>
        <v>2053.32</v>
      </c>
    </row>
    <row r="1725" customFormat="false" ht="15" hidden="false" customHeight="false" outlineLevel="0" collapsed="false">
      <c r="A1725" s="0" t="n">
        <v>1724</v>
      </c>
      <c r="B1725" s="27" t="n">
        <v>45835</v>
      </c>
      <c r="C1725" s="0" t="n">
        <v>2025</v>
      </c>
      <c r="D1725" s="28" t="s">
        <v>108</v>
      </c>
      <c r="E1725" s="0" t="n">
        <v>6</v>
      </c>
      <c r="F1725" s="28" t="s">
        <v>113</v>
      </c>
      <c r="G1725" s="28" t="s">
        <v>148</v>
      </c>
      <c r="H1725" s="28" t="s">
        <v>96</v>
      </c>
      <c r="I1725" s="28" t="s">
        <v>97</v>
      </c>
      <c r="J1725" s="28" t="s">
        <v>71</v>
      </c>
      <c r="K1725" s="28" t="s">
        <v>67</v>
      </c>
      <c r="L1725" s="28" t="s">
        <v>130</v>
      </c>
      <c r="M1725" s="28" t="s">
        <v>72</v>
      </c>
      <c r="N1725" s="28" t="s">
        <v>132</v>
      </c>
      <c r="O1725" s="29" t="n">
        <v>10</v>
      </c>
      <c r="P1725" s="30" t="n">
        <v>433.15</v>
      </c>
      <c r="Q1725" s="30" t="n">
        <v>280.42</v>
      </c>
      <c r="R1725" s="30" t="n">
        <f aca="false">ROUND(O1725*P1725,2)</f>
        <v>4331.5</v>
      </c>
      <c r="S1725" s="30" t="n">
        <f aca="false">ROUND(O1725*Q1725,2)</f>
        <v>2804.2</v>
      </c>
      <c r="T1725" s="30" t="n">
        <f aca="false">ROUND(R1725*SUMIFS(Parametros!$E$23:$E$38,Parametros!$B$23:$B$38,J1725,Parametros!$C$23:$C$38,C1725,Parametros!$D$23:$D$38,D1725),2)</f>
        <v>320.53</v>
      </c>
      <c r="U1725" s="30" t="n">
        <f aca="false">R1725-S1725-T1725</f>
        <v>1206.77</v>
      </c>
    </row>
    <row r="1726" customFormat="false" ht="15" hidden="false" customHeight="false" outlineLevel="0" collapsed="false">
      <c r="A1726" s="0" t="n">
        <v>1725</v>
      </c>
      <c r="B1726" s="27" t="n">
        <v>45815</v>
      </c>
      <c r="C1726" s="0" t="n">
        <v>2025</v>
      </c>
      <c r="D1726" s="28" t="s">
        <v>108</v>
      </c>
      <c r="E1726" s="0" t="n">
        <v>6</v>
      </c>
      <c r="F1726" s="28" t="s">
        <v>113</v>
      </c>
      <c r="G1726" s="28" t="s">
        <v>148</v>
      </c>
      <c r="H1726" s="28" t="s">
        <v>96</v>
      </c>
      <c r="I1726" s="28" t="s">
        <v>97</v>
      </c>
      <c r="J1726" s="28" t="s">
        <v>66</v>
      </c>
      <c r="K1726" s="28" t="s">
        <v>67</v>
      </c>
      <c r="L1726" s="28" t="s">
        <v>130</v>
      </c>
      <c r="M1726" s="28" t="s">
        <v>74</v>
      </c>
      <c r="N1726" s="28" t="s">
        <v>133</v>
      </c>
      <c r="O1726" s="29" t="n">
        <v>10</v>
      </c>
      <c r="P1726" s="30" t="n">
        <v>1588.21</v>
      </c>
      <c r="Q1726" s="30" t="n">
        <v>1155.66</v>
      </c>
      <c r="R1726" s="30" t="n">
        <f aca="false">ROUND(O1726*P1726,2)</f>
        <v>15882.1</v>
      </c>
      <c r="S1726" s="30" t="n">
        <f aca="false">ROUND(O1726*Q1726,2)</f>
        <v>11556.6</v>
      </c>
      <c r="T1726" s="30" t="n">
        <f aca="false">ROUND(R1726*SUMIFS(Parametros!$E$23:$E$38,Parametros!$B$23:$B$38,J1726,Parametros!$C$23:$C$38,C1726,Parametros!$D$23:$D$38,D1726),2)</f>
        <v>222.35</v>
      </c>
      <c r="U1726" s="30" t="n">
        <f aca="false">R1726-S1726-T1726</f>
        <v>4103.15</v>
      </c>
    </row>
    <row r="1727" customFormat="false" ht="15" hidden="false" customHeight="false" outlineLevel="0" collapsed="false">
      <c r="A1727" s="0" t="n">
        <v>1726</v>
      </c>
      <c r="B1727" s="27" t="n">
        <v>45822</v>
      </c>
      <c r="C1727" s="0" t="n">
        <v>2025</v>
      </c>
      <c r="D1727" s="28" t="s">
        <v>108</v>
      </c>
      <c r="E1727" s="0" t="n">
        <v>6</v>
      </c>
      <c r="F1727" s="28" t="s">
        <v>113</v>
      </c>
      <c r="G1727" s="28" t="s">
        <v>148</v>
      </c>
      <c r="H1727" s="28" t="s">
        <v>96</v>
      </c>
      <c r="I1727" s="28" t="s">
        <v>97</v>
      </c>
      <c r="J1727" s="28" t="s">
        <v>71</v>
      </c>
      <c r="K1727" s="28" t="s">
        <v>67</v>
      </c>
      <c r="L1727" s="28" t="s">
        <v>130</v>
      </c>
      <c r="M1727" s="28" t="s">
        <v>74</v>
      </c>
      <c r="N1727" s="28" t="s">
        <v>133</v>
      </c>
      <c r="O1727" s="29" t="n">
        <v>7</v>
      </c>
      <c r="P1727" s="30" t="n">
        <v>1588.21</v>
      </c>
      <c r="Q1727" s="30" t="n">
        <v>1155.66</v>
      </c>
      <c r="R1727" s="30" t="n">
        <f aca="false">ROUND(O1727*P1727,2)</f>
        <v>11117.47</v>
      </c>
      <c r="S1727" s="30" t="n">
        <f aca="false">ROUND(O1727*Q1727,2)</f>
        <v>8089.62</v>
      </c>
      <c r="T1727" s="30" t="n">
        <f aca="false">ROUND(R1727*SUMIFS(Parametros!$E$23:$E$38,Parametros!$B$23:$B$38,J1727,Parametros!$C$23:$C$38,C1727,Parametros!$D$23:$D$38,D1727),2)</f>
        <v>822.69</v>
      </c>
      <c r="U1727" s="30" t="n">
        <f aca="false">R1727-S1727-T1727</f>
        <v>2205.16</v>
      </c>
    </row>
    <row r="1728" customFormat="false" ht="15" hidden="false" customHeight="false" outlineLevel="0" collapsed="false">
      <c r="A1728" s="0" t="n">
        <v>1727</v>
      </c>
      <c r="B1728" s="27" t="n">
        <v>45829</v>
      </c>
      <c r="C1728" s="0" t="n">
        <v>2025</v>
      </c>
      <c r="D1728" s="28" t="s">
        <v>108</v>
      </c>
      <c r="E1728" s="0" t="n">
        <v>6</v>
      </c>
      <c r="F1728" s="28" t="s">
        <v>113</v>
      </c>
      <c r="G1728" s="28" t="s">
        <v>148</v>
      </c>
      <c r="H1728" s="28" t="s">
        <v>96</v>
      </c>
      <c r="I1728" s="28" t="s">
        <v>97</v>
      </c>
      <c r="J1728" s="28" t="s">
        <v>66</v>
      </c>
      <c r="K1728" s="28" t="s">
        <v>76</v>
      </c>
      <c r="L1728" s="28" t="s">
        <v>134</v>
      </c>
      <c r="M1728" s="28" t="s">
        <v>78</v>
      </c>
      <c r="N1728" s="28" t="s">
        <v>135</v>
      </c>
      <c r="O1728" s="29" t="n">
        <v>64</v>
      </c>
      <c r="P1728" s="30" t="n">
        <v>27.82</v>
      </c>
      <c r="Q1728" s="30" t="n">
        <v>13.84</v>
      </c>
      <c r="R1728" s="30" t="n">
        <f aca="false">ROUND(O1728*P1728,2)</f>
        <v>1780.48</v>
      </c>
      <c r="S1728" s="30" t="n">
        <f aca="false">ROUND(O1728*Q1728,2)</f>
        <v>885.76</v>
      </c>
      <c r="T1728" s="30" t="n">
        <f aca="false">ROUND(R1728*SUMIFS(Parametros!$E$23:$E$38,Parametros!$B$23:$B$38,J1728,Parametros!$C$23:$C$38,C1728,Parametros!$D$23:$D$38,D1728),2)</f>
        <v>24.93</v>
      </c>
      <c r="U1728" s="30" t="n">
        <f aca="false">R1728-S1728-T1728</f>
        <v>869.79</v>
      </c>
    </row>
    <row r="1729" customFormat="false" ht="15" hidden="false" customHeight="false" outlineLevel="0" collapsed="false">
      <c r="A1729" s="0" t="n">
        <v>1728</v>
      </c>
      <c r="B1729" s="27" t="n">
        <v>45809</v>
      </c>
      <c r="C1729" s="0" t="n">
        <v>2025</v>
      </c>
      <c r="D1729" s="28" t="s">
        <v>108</v>
      </c>
      <c r="E1729" s="0" t="n">
        <v>6</v>
      </c>
      <c r="F1729" s="28" t="s">
        <v>113</v>
      </c>
      <c r="G1729" s="28" t="s">
        <v>148</v>
      </c>
      <c r="H1729" s="28" t="s">
        <v>96</v>
      </c>
      <c r="I1729" s="28" t="s">
        <v>97</v>
      </c>
      <c r="J1729" s="28" t="s">
        <v>71</v>
      </c>
      <c r="K1729" s="28" t="s">
        <v>76</v>
      </c>
      <c r="L1729" s="28" t="s">
        <v>134</v>
      </c>
      <c r="M1729" s="28" t="s">
        <v>78</v>
      </c>
      <c r="N1729" s="28" t="s">
        <v>135</v>
      </c>
      <c r="O1729" s="29" t="n">
        <v>37</v>
      </c>
      <c r="P1729" s="30" t="n">
        <v>27.82</v>
      </c>
      <c r="Q1729" s="30" t="n">
        <v>13.84</v>
      </c>
      <c r="R1729" s="30" t="n">
        <f aca="false">ROUND(O1729*P1729,2)</f>
        <v>1029.34</v>
      </c>
      <c r="S1729" s="30" t="n">
        <f aca="false">ROUND(O1729*Q1729,2)</f>
        <v>512.08</v>
      </c>
      <c r="T1729" s="30" t="n">
        <f aca="false">ROUND(R1729*SUMIFS(Parametros!$E$23:$E$38,Parametros!$B$23:$B$38,J1729,Parametros!$C$23:$C$38,C1729,Parametros!$D$23:$D$38,D1729),2)</f>
        <v>76.17</v>
      </c>
      <c r="U1729" s="30" t="n">
        <f aca="false">R1729-S1729-T1729</f>
        <v>441.09</v>
      </c>
    </row>
    <row r="1730" customFormat="false" ht="15" hidden="false" customHeight="false" outlineLevel="0" collapsed="false">
      <c r="A1730" s="0" t="n">
        <v>1729</v>
      </c>
      <c r="B1730" s="27" t="n">
        <v>45816</v>
      </c>
      <c r="C1730" s="0" t="n">
        <v>2025</v>
      </c>
      <c r="D1730" s="28" t="s">
        <v>108</v>
      </c>
      <c r="E1730" s="0" t="n">
        <v>6</v>
      </c>
      <c r="F1730" s="28" t="s">
        <v>113</v>
      </c>
      <c r="G1730" s="28" t="s">
        <v>148</v>
      </c>
      <c r="H1730" s="28" t="s">
        <v>96</v>
      </c>
      <c r="I1730" s="28" t="s">
        <v>97</v>
      </c>
      <c r="J1730" s="28" t="s">
        <v>66</v>
      </c>
      <c r="K1730" s="28" t="s">
        <v>76</v>
      </c>
      <c r="L1730" s="28" t="s">
        <v>134</v>
      </c>
      <c r="M1730" s="28" t="s">
        <v>80</v>
      </c>
      <c r="N1730" s="28" t="s">
        <v>136</v>
      </c>
      <c r="O1730" s="29" t="n">
        <v>58</v>
      </c>
      <c r="P1730" s="30" t="n">
        <v>94.39</v>
      </c>
      <c r="Q1730" s="30" t="n">
        <v>49.41</v>
      </c>
      <c r="R1730" s="30" t="n">
        <f aca="false">ROUND(O1730*P1730,2)</f>
        <v>5474.62</v>
      </c>
      <c r="S1730" s="30" t="n">
        <f aca="false">ROUND(O1730*Q1730,2)</f>
        <v>2865.78</v>
      </c>
      <c r="T1730" s="30" t="n">
        <f aca="false">ROUND(R1730*SUMIFS(Parametros!$E$23:$E$38,Parametros!$B$23:$B$38,J1730,Parametros!$C$23:$C$38,C1730,Parametros!$D$23:$D$38,D1730),2)</f>
        <v>76.64</v>
      </c>
      <c r="U1730" s="30" t="n">
        <f aca="false">R1730-S1730-T1730</f>
        <v>2532.2</v>
      </c>
    </row>
    <row r="1731" customFormat="false" ht="15" hidden="false" customHeight="false" outlineLevel="0" collapsed="false">
      <c r="A1731" s="0" t="n">
        <v>1730</v>
      </c>
      <c r="B1731" s="27" t="n">
        <v>45823</v>
      </c>
      <c r="C1731" s="0" t="n">
        <v>2025</v>
      </c>
      <c r="D1731" s="28" t="s">
        <v>108</v>
      </c>
      <c r="E1731" s="0" t="n">
        <v>6</v>
      </c>
      <c r="F1731" s="28" t="s">
        <v>113</v>
      </c>
      <c r="G1731" s="28" t="s">
        <v>148</v>
      </c>
      <c r="H1731" s="28" t="s">
        <v>96</v>
      </c>
      <c r="I1731" s="28" t="s">
        <v>97</v>
      </c>
      <c r="J1731" s="28" t="s">
        <v>71</v>
      </c>
      <c r="K1731" s="28" t="s">
        <v>76</v>
      </c>
      <c r="L1731" s="28" t="s">
        <v>134</v>
      </c>
      <c r="M1731" s="28" t="s">
        <v>80</v>
      </c>
      <c r="N1731" s="28" t="s">
        <v>136</v>
      </c>
      <c r="O1731" s="29" t="n">
        <v>46</v>
      </c>
      <c r="P1731" s="30" t="n">
        <v>94.39</v>
      </c>
      <c r="Q1731" s="30" t="n">
        <v>49.41</v>
      </c>
      <c r="R1731" s="30" t="n">
        <f aca="false">ROUND(O1731*P1731,2)</f>
        <v>4341.94</v>
      </c>
      <c r="S1731" s="30" t="n">
        <f aca="false">ROUND(O1731*Q1731,2)</f>
        <v>2272.86</v>
      </c>
      <c r="T1731" s="30" t="n">
        <f aca="false">ROUND(R1731*SUMIFS(Parametros!$E$23:$E$38,Parametros!$B$23:$B$38,J1731,Parametros!$C$23:$C$38,C1731,Parametros!$D$23:$D$38,D1731),2)</f>
        <v>321.3</v>
      </c>
      <c r="U1731" s="30" t="n">
        <f aca="false">R1731-S1731-T1731</f>
        <v>1747.78</v>
      </c>
    </row>
    <row r="1732" customFormat="false" ht="15" hidden="false" customHeight="false" outlineLevel="0" collapsed="false">
      <c r="A1732" s="0" t="n">
        <v>1731</v>
      </c>
      <c r="B1732" s="27" t="n">
        <v>45830</v>
      </c>
      <c r="C1732" s="0" t="n">
        <v>2025</v>
      </c>
      <c r="D1732" s="28" t="s">
        <v>108</v>
      </c>
      <c r="E1732" s="0" t="n">
        <v>6</v>
      </c>
      <c r="F1732" s="28" t="s">
        <v>113</v>
      </c>
      <c r="G1732" s="28" t="s">
        <v>148</v>
      </c>
      <c r="H1732" s="28" t="s">
        <v>96</v>
      </c>
      <c r="I1732" s="28" t="s">
        <v>97</v>
      </c>
      <c r="J1732" s="28" t="s">
        <v>66</v>
      </c>
      <c r="K1732" s="28" t="s">
        <v>76</v>
      </c>
      <c r="L1732" s="28" t="s">
        <v>134</v>
      </c>
      <c r="M1732" s="28" t="s">
        <v>82</v>
      </c>
      <c r="N1732" s="28" t="s">
        <v>137</v>
      </c>
      <c r="O1732" s="29" t="n">
        <v>64</v>
      </c>
      <c r="P1732" s="30" t="n">
        <v>64.58</v>
      </c>
      <c r="Q1732" s="30" t="n">
        <v>36.49</v>
      </c>
      <c r="R1732" s="30" t="n">
        <f aca="false">ROUND(O1732*P1732,2)</f>
        <v>4133.12</v>
      </c>
      <c r="S1732" s="30" t="n">
        <f aca="false">ROUND(O1732*Q1732,2)</f>
        <v>2335.36</v>
      </c>
      <c r="T1732" s="30" t="n">
        <f aca="false">ROUND(R1732*SUMIFS(Parametros!$E$23:$E$38,Parametros!$B$23:$B$38,J1732,Parametros!$C$23:$C$38,C1732,Parametros!$D$23:$D$38,D1732),2)</f>
        <v>57.86</v>
      </c>
      <c r="U1732" s="30" t="n">
        <f aca="false">R1732-S1732-T1732</f>
        <v>1739.9</v>
      </c>
    </row>
    <row r="1733" customFormat="false" ht="15" hidden="false" customHeight="false" outlineLevel="0" collapsed="false">
      <c r="A1733" s="0" t="n">
        <v>1732</v>
      </c>
      <c r="B1733" s="27" t="n">
        <v>45810</v>
      </c>
      <c r="C1733" s="0" t="n">
        <v>2025</v>
      </c>
      <c r="D1733" s="28" t="s">
        <v>108</v>
      </c>
      <c r="E1733" s="0" t="n">
        <v>6</v>
      </c>
      <c r="F1733" s="28" t="s">
        <v>113</v>
      </c>
      <c r="G1733" s="28" t="s">
        <v>148</v>
      </c>
      <c r="H1733" s="28" t="s">
        <v>96</v>
      </c>
      <c r="I1733" s="28" t="s">
        <v>97</v>
      </c>
      <c r="J1733" s="28" t="s">
        <v>71</v>
      </c>
      <c r="K1733" s="28" t="s">
        <v>76</v>
      </c>
      <c r="L1733" s="28" t="s">
        <v>134</v>
      </c>
      <c r="M1733" s="28" t="s">
        <v>82</v>
      </c>
      <c r="N1733" s="28" t="s">
        <v>137</v>
      </c>
      <c r="O1733" s="29" t="n">
        <v>43</v>
      </c>
      <c r="P1733" s="30" t="n">
        <v>64.58</v>
      </c>
      <c r="Q1733" s="30" t="n">
        <v>36.49</v>
      </c>
      <c r="R1733" s="30" t="n">
        <f aca="false">ROUND(O1733*P1733,2)</f>
        <v>2776.94</v>
      </c>
      <c r="S1733" s="30" t="n">
        <f aca="false">ROUND(O1733*Q1733,2)</f>
        <v>1569.07</v>
      </c>
      <c r="T1733" s="30" t="n">
        <f aca="false">ROUND(R1733*SUMIFS(Parametros!$E$23:$E$38,Parametros!$B$23:$B$38,J1733,Parametros!$C$23:$C$38,C1733,Parametros!$D$23:$D$38,D1733),2)</f>
        <v>205.49</v>
      </c>
      <c r="U1733" s="30" t="n">
        <f aca="false">R1733-S1733-T1733</f>
        <v>1002.38</v>
      </c>
    </row>
    <row r="1734" customFormat="false" ht="15" hidden="false" customHeight="false" outlineLevel="0" collapsed="false">
      <c r="A1734" s="0" t="n">
        <v>1733</v>
      </c>
      <c r="B1734" s="27" t="n">
        <v>45817</v>
      </c>
      <c r="C1734" s="0" t="n">
        <v>2025</v>
      </c>
      <c r="D1734" s="28" t="s">
        <v>108</v>
      </c>
      <c r="E1734" s="0" t="n">
        <v>6</v>
      </c>
      <c r="F1734" s="28" t="s">
        <v>113</v>
      </c>
      <c r="G1734" s="28" t="s">
        <v>148</v>
      </c>
      <c r="H1734" s="28" t="s">
        <v>96</v>
      </c>
      <c r="I1734" s="28" t="s">
        <v>97</v>
      </c>
      <c r="J1734" s="28" t="s">
        <v>66</v>
      </c>
      <c r="K1734" s="28" t="s">
        <v>84</v>
      </c>
      <c r="L1734" s="28" t="s">
        <v>138</v>
      </c>
      <c r="M1734" s="28" t="s">
        <v>86</v>
      </c>
      <c r="N1734" s="28" t="s">
        <v>139</v>
      </c>
      <c r="O1734" s="29" t="n">
        <v>28</v>
      </c>
      <c r="P1734" s="30" t="n">
        <v>119.23</v>
      </c>
      <c r="Q1734" s="30" t="n">
        <v>65.51</v>
      </c>
      <c r="R1734" s="30" t="n">
        <f aca="false">ROUND(O1734*P1734,2)</f>
        <v>3338.44</v>
      </c>
      <c r="S1734" s="30" t="n">
        <f aca="false">ROUND(O1734*Q1734,2)</f>
        <v>1834.28</v>
      </c>
      <c r="T1734" s="30" t="n">
        <f aca="false">ROUND(R1734*SUMIFS(Parametros!$E$23:$E$38,Parametros!$B$23:$B$38,J1734,Parametros!$C$23:$C$38,C1734,Parametros!$D$23:$D$38,D1734),2)</f>
        <v>46.74</v>
      </c>
      <c r="U1734" s="30" t="n">
        <f aca="false">R1734-S1734-T1734</f>
        <v>1457.42</v>
      </c>
    </row>
    <row r="1735" customFormat="false" ht="15" hidden="false" customHeight="false" outlineLevel="0" collapsed="false">
      <c r="A1735" s="0" t="n">
        <v>1734</v>
      </c>
      <c r="B1735" s="27" t="n">
        <v>45824</v>
      </c>
      <c r="C1735" s="0" t="n">
        <v>2025</v>
      </c>
      <c r="D1735" s="28" t="s">
        <v>108</v>
      </c>
      <c r="E1735" s="0" t="n">
        <v>6</v>
      </c>
      <c r="F1735" s="28" t="s">
        <v>113</v>
      </c>
      <c r="G1735" s="28" t="s">
        <v>148</v>
      </c>
      <c r="H1735" s="28" t="s">
        <v>96</v>
      </c>
      <c r="I1735" s="28" t="s">
        <v>97</v>
      </c>
      <c r="J1735" s="28" t="s">
        <v>71</v>
      </c>
      <c r="K1735" s="28" t="s">
        <v>84</v>
      </c>
      <c r="L1735" s="28" t="s">
        <v>138</v>
      </c>
      <c r="M1735" s="28" t="s">
        <v>86</v>
      </c>
      <c r="N1735" s="28" t="s">
        <v>139</v>
      </c>
      <c r="O1735" s="29" t="n">
        <v>16</v>
      </c>
      <c r="P1735" s="30" t="n">
        <v>119.23</v>
      </c>
      <c r="Q1735" s="30" t="n">
        <v>65.51</v>
      </c>
      <c r="R1735" s="30" t="n">
        <f aca="false">ROUND(O1735*P1735,2)</f>
        <v>1907.68</v>
      </c>
      <c r="S1735" s="30" t="n">
        <f aca="false">ROUND(O1735*Q1735,2)</f>
        <v>1048.16</v>
      </c>
      <c r="T1735" s="30" t="n">
        <f aca="false">ROUND(R1735*SUMIFS(Parametros!$E$23:$E$38,Parametros!$B$23:$B$38,J1735,Parametros!$C$23:$C$38,C1735,Parametros!$D$23:$D$38,D1735),2)</f>
        <v>141.17</v>
      </c>
      <c r="U1735" s="30" t="n">
        <f aca="false">R1735-S1735-T1735</f>
        <v>718.35</v>
      </c>
    </row>
    <row r="1736" customFormat="false" ht="15" hidden="false" customHeight="false" outlineLevel="0" collapsed="false">
      <c r="A1736" s="0" t="n">
        <v>1735</v>
      </c>
      <c r="B1736" s="27" t="n">
        <v>45831</v>
      </c>
      <c r="C1736" s="0" t="n">
        <v>2025</v>
      </c>
      <c r="D1736" s="28" t="s">
        <v>108</v>
      </c>
      <c r="E1736" s="0" t="n">
        <v>6</v>
      </c>
      <c r="F1736" s="28" t="s">
        <v>113</v>
      </c>
      <c r="G1736" s="28" t="s">
        <v>148</v>
      </c>
      <c r="H1736" s="28" t="s">
        <v>96</v>
      </c>
      <c r="I1736" s="28" t="s">
        <v>97</v>
      </c>
      <c r="J1736" s="28" t="s">
        <v>66</v>
      </c>
      <c r="K1736" s="28" t="s">
        <v>84</v>
      </c>
      <c r="L1736" s="28" t="s">
        <v>138</v>
      </c>
      <c r="M1736" s="28" t="s">
        <v>88</v>
      </c>
      <c r="N1736" s="28" t="s">
        <v>140</v>
      </c>
      <c r="O1736" s="29" t="n">
        <v>30</v>
      </c>
      <c r="P1736" s="30" t="n">
        <v>84.46</v>
      </c>
      <c r="Q1736" s="30" t="n">
        <v>49.47</v>
      </c>
      <c r="R1736" s="30" t="n">
        <f aca="false">ROUND(O1736*P1736,2)</f>
        <v>2533.8</v>
      </c>
      <c r="S1736" s="30" t="n">
        <f aca="false">ROUND(O1736*Q1736,2)</f>
        <v>1484.1</v>
      </c>
      <c r="T1736" s="30" t="n">
        <f aca="false">ROUND(R1736*SUMIFS(Parametros!$E$23:$E$38,Parametros!$B$23:$B$38,J1736,Parametros!$C$23:$C$38,C1736,Parametros!$D$23:$D$38,D1736),2)</f>
        <v>35.47</v>
      </c>
      <c r="U1736" s="30" t="n">
        <f aca="false">R1736-S1736-T1736</f>
        <v>1014.23</v>
      </c>
    </row>
    <row r="1737" customFormat="false" ht="15" hidden="false" customHeight="false" outlineLevel="0" collapsed="false">
      <c r="A1737" s="0" t="n">
        <v>1736</v>
      </c>
      <c r="B1737" s="27" t="n">
        <v>45811</v>
      </c>
      <c r="C1737" s="0" t="n">
        <v>2025</v>
      </c>
      <c r="D1737" s="28" t="s">
        <v>108</v>
      </c>
      <c r="E1737" s="0" t="n">
        <v>6</v>
      </c>
      <c r="F1737" s="28" t="s">
        <v>113</v>
      </c>
      <c r="G1737" s="28" t="s">
        <v>148</v>
      </c>
      <c r="H1737" s="28" t="s">
        <v>96</v>
      </c>
      <c r="I1737" s="28" t="s">
        <v>97</v>
      </c>
      <c r="J1737" s="28" t="s">
        <v>71</v>
      </c>
      <c r="K1737" s="28" t="s">
        <v>84</v>
      </c>
      <c r="L1737" s="28" t="s">
        <v>138</v>
      </c>
      <c r="M1737" s="28" t="s">
        <v>88</v>
      </c>
      <c r="N1737" s="28" t="s">
        <v>140</v>
      </c>
      <c r="O1737" s="29" t="n">
        <v>20</v>
      </c>
      <c r="P1737" s="30" t="n">
        <v>84.46</v>
      </c>
      <c r="Q1737" s="30" t="n">
        <v>49.47</v>
      </c>
      <c r="R1737" s="30" t="n">
        <f aca="false">ROUND(O1737*P1737,2)</f>
        <v>1689.2</v>
      </c>
      <c r="S1737" s="30" t="n">
        <f aca="false">ROUND(O1737*Q1737,2)</f>
        <v>989.4</v>
      </c>
      <c r="T1737" s="30" t="n">
        <f aca="false">ROUND(R1737*SUMIFS(Parametros!$E$23:$E$38,Parametros!$B$23:$B$38,J1737,Parametros!$C$23:$C$38,C1737,Parametros!$D$23:$D$38,D1737),2)</f>
        <v>125</v>
      </c>
      <c r="U1737" s="30" t="n">
        <f aca="false">R1737-S1737-T1737</f>
        <v>574.8</v>
      </c>
    </row>
    <row r="1738" customFormat="false" ht="15" hidden="false" customHeight="false" outlineLevel="0" collapsed="false">
      <c r="A1738" s="0" t="n">
        <v>1737</v>
      </c>
      <c r="B1738" s="27" t="n">
        <v>45818</v>
      </c>
      <c r="C1738" s="0" t="n">
        <v>2025</v>
      </c>
      <c r="D1738" s="28" t="s">
        <v>108</v>
      </c>
      <c r="E1738" s="0" t="n">
        <v>6</v>
      </c>
      <c r="F1738" s="28" t="s">
        <v>113</v>
      </c>
      <c r="G1738" s="28" t="s">
        <v>148</v>
      </c>
      <c r="H1738" s="28" t="s">
        <v>96</v>
      </c>
      <c r="I1738" s="28" t="s">
        <v>97</v>
      </c>
      <c r="J1738" s="28" t="s">
        <v>66</v>
      </c>
      <c r="K1738" s="28" t="s">
        <v>90</v>
      </c>
      <c r="L1738" s="28" t="s">
        <v>141</v>
      </c>
      <c r="M1738" s="28" t="s">
        <v>92</v>
      </c>
      <c r="N1738" s="28" t="s">
        <v>142</v>
      </c>
      <c r="O1738" s="29" t="n">
        <v>35</v>
      </c>
      <c r="P1738" s="30" t="n">
        <v>129.17</v>
      </c>
      <c r="Q1738" s="30" t="n">
        <v>78.33</v>
      </c>
      <c r="R1738" s="30" t="n">
        <f aca="false">ROUND(O1738*P1738,2)</f>
        <v>4520.95</v>
      </c>
      <c r="S1738" s="30" t="n">
        <f aca="false">ROUND(O1738*Q1738,2)</f>
        <v>2741.55</v>
      </c>
      <c r="T1738" s="30" t="n">
        <f aca="false">ROUND(R1738*SUMIFS(Parametros!$E$23:$E$38,Parametros!$B$23:$B$38,J1738,Parametros!$C$23:$C$38,C1738,Parametros!$D$23:$D$38,D1738),2)</f>
        <v>63.29</v>
      </c>
      <c r="U1738" s="30" t="n">
        <f aca="false">R1738-S1738-T1738</f>
        <v>1716.11</v>
      </c>
    </row>
    <row r="1739" customFormat="false" ht="15" hidden="false" customHeight="false" outlineLevel="0" collapsed="false">
      <c r="A1739" s="0" t="n">
        <v>1738</v>
      </c>
      <c r="B1739" s="27" t="n">
        <v>45825</v>
      </c>
      <c r="C1739" s="0" t="n">
        <v>2025</v>
      </c>
      <c r="D1739" s="28" t="s">
        <v>108</v>
      </c>
      <c r="E1739" s="0" t="n">
        <v>6</v>
      </c>
      <c r="F1739" s="28" t="s">
        <v>113</v>
      </c>
      <c r="G1739" s="28" t="s">
        <v>148</v>
      </c>
      <c r="H1739" s="28" t="s">
        <v>96</v>
      </c>
      <c r="I1739" s="28" t="s">
        <v>97</v>
      </c>
      <c r="J1739" s="28" t="s">
        <v>71</v>
      </c>
      <c r="K1739" s="28" t="s">
        <v>90</v>
      </c>
      <c r="L1739" s="28" t="s">
        <v>141</v>
      </c>
      <c r="M1739" s="28" t="s">
        <v>92</v>
      </c>
      <c r="N1739" s="28" t="s">
        <v>142</v>
      </c>
      <c r="O1739" s="29" t="n">
        <v>21</v>
      </c>
      <c r="P1739" s="30" t="n">
        <v>129.17</v>
      </c>
      <c r="Q1739" s="30" t="n">
        <v>78.33</v>
      </c>
      <c r="R1739" s="30" t="n">
        <f aca="false">ROUND(O1739*P1739,2)</f>
        <v>2712.57</v>
      </c>
      <c r="S1739" s="30" t="n">
        <f aca="false">ROUND(O1739*Q1739,2)</f>
        <v>1644.93</v>
      </c>
      <c r="T1739" s="30" t="n">
        <f aca="false">ROUND(R1739*SUMIFS(Parametros!$E$23:$E$38,Parametros!$B$23:$B$38,J1739,Parametros!$C$23:$C$38,C1739,Parametros!$D$23:$D$38,D1739),2)</f>
        <v>200.73</v>
      </c>
      <c r="U1739" s="30" t="n">
        <f aca="false">R1739-S1739-T1739</f>
        <v>866.91</v>
      </c>
    </row>
    <row r="1740" customFormat="false" ht="15" hidden="false" customHeight="false" outlineLevel="0" collapsed="false">
      <c r="A1740" s="0" t="n">
        <v>1739</v>
      </c>
      <c r="B1740" s="27" t="n">
        <v>45832</v>
      </c>
      <c r="C1740" s="0" t="n">
        <v>2025</v>
      </c>
      <c r="D1740" s="28" t="s">
        <v>108</v>
      </c>
      <c r="E1740" s="0" t="n">
        <v>6</v>
      </c>
      <c r="F1740" s="28" t="s">
        <v>113</v>
      </c>
      <c r="G1740" s="28" t="s">
        <v>148</v>
      </c>
      <c r="H1740" s="28" t="s">
        <v>96</v>
      </c>
      <c r="I1740" s="28" t="s">
        <v>97</v>
      </c>
      <c r="J1740" s="28" t="s">
        <v>66</v>
      </c>
      <c r="K1740" s="28" t="s">
        <v>90</v>
      </c>
      <c r="L1740" s="28" t="s">
        <v>141</v>
      </c>
      <c r="M1740" s="28" t="s">
        <v>94</v>
      </c>
      <c r="N1740" s="28" t="s">
        <v>143</v>
      </c>
      <c r="O1740" s="29" t="n">
        <v>38</v>
      </c>
      <c r="P1740" s="30" t="n">
        <v>34.78</v>
      </c>
      <c r="Q1740" s="30" t="n">
        <v>18.39</v>
      </c>
      <c r="R1740" s="30" t="n">
        <f aca="false">ROUND(O1740*P1740,2)</f>
        <v>1321.64</v>
      </c>
      <c r="S1740" s="30" t="n">
        <f aca="false">ROUND(O1740*Q1740,2)</f>
        <v>698.82</v>
      </c>
      <c r="T1740" s="30" t="n">
        <f aca="false">ROUND(R1740*SUMIFS(Parametros!$E$23:$E$38,Parametros!$B$23:$B$38,J1740,Parametros!$C$23:$C$38,C1740,Parametros!$D$23:$D$38,D1740),2)</f>
        <v>18.5</v>
      </c>
      <c r="U1740" s="30" t="n">
        <f aca="false">R1740-S1740-T1740</f>
        <v>604.32</v>
      </c>
    </row>
    <row r="1741" customFormat="false" ht="15" hidden="false" customHeight="false" outlineLevel="0" collapsed="false">
      <c r="A1741" s="0" t="n">
        <v>1740</v>
      </c>
      <c r="B1741" s="27" t="n">
        <v>45812</v>
      </c>
      <c r="C1741" s="0" t="n">
        <v>2025</v>
      </c>
      <c r="D1741" s="28" t="s">
        <v>108</v>
      </c>
      <c r="E1741" s="0" t="n">
        <v>6</v>
      </c>
      <c r="F1741" s="28" t="s">
        <v>113</v>
      </c>
      <c r="G1741" s="28" t="s">
        <v>148</v>
      </c>
      <c r="H1741" s="28" t="s">
        <v>96</v>
      </c>
      <c r="I1741" s="28" t="s">
        <v>97</v>
      </c>
      <c r="J1741" s="28" t="s">
        <v>71</v>
      </c>
      <c r="K1741" s="28" t="s">
        <v>90</v>
      </c>
      <c r="L1741" s="28" t="s">
        <v>141</v>
      </c>
      <c r="M1741" s="28" t="s">
        <v>94</v>
      </c>
      <c r="N1741" s="28" t="s">
        <v>143</v>
      </c>
      <c r="O1741" s="29" t="n">
        <v>23</v>
      </c>
      <c r="P1741" s="30" t="n">
        <v>34.78</v>
      </c>
      <c r="Q1741" s="30" t="n">
        <v>18.39</v>
      </c>
      <c r="R1741" s="30" t="n">
        <f aca="false">ROUND(O1741*P1741,2)</f>
        <v>799.94</v>
      </c>
      <c r="S1741" s="30" t="n">
        <f aca="false">ROUND(O1741*Q1741,2)</f>
        <v>422.97</v>
      </c>
      <c r="T1741" s="30" t="n">
        <f aca="false">ROUND(R1741*SUMIFS(Parametros!$E$23:$E$38,Parametros!$B$23:$B$38,J1741,Parametros!$C$23:$C$38,C1741,Parametros!$D$23:$D$38,D1741),2)</f>
        <v>59.2</v>
      </c>
      <c r="U1741" s="30" t="n">
        <f aca="false">R1741-S1741-T1741</f>
        <v>317.77</v>
      </c>
    </row>
    <row r="1742" customFormat="false" ht="15" hidden="false" customHeight="false" outlineLevel="0" collapsed="false">
      <c r="A1742" s="0" t="n">
        <v>1741</v>
      </c>
      <c r="B1742" s="27" t="n">
        <v>45819</v>
      </c>
      <c r="C1742" s="0" t="n">
        <v>2025</v>
      </c>
      <c r="D1742" s="28" t="s">
        <v>108</v>
      </c>
      <c r="E1742" s="0" t="n">
        <v>6</v>
      </c>
      <c r="F1742" s="28" t="s">
        <v>113</v>
      </c>
      <c r="G1742" s="28" t="s">
        <v>148</v>
      </c>
      <c r="H1742" s="28" t="s">
        <v>98</v>
      </c>
      <c r="I1742" s="28" t="s">
        <v>99</v>
      </c>
      <c r="J1742" s="28" t="s">
        <v>66</v>
      </c>
      <c r="K1742" s="28" t="s">
        <v>67</v>
      </c>
      <c r="L1742" s="28" t="s">
        <v>130</v>
      </c>
      <c r="M1742" s="28" t="s">
        <v>69</v>
      </c>
      <c r="N1742" s="28" t="s">
        <v>131</v>
      </c>
      <c r="O1742" s="29" t="n">
        <v>8</v>
      </c>
      <c r="P1742" s="30" t="n">
        <v>1155.06</v>
      </c>
      <c r="Q1742" s="30" t="n">
        <v>766.32</v>
      </c>
      <c r="R1742" s="30" t="n">
        <f aca="false">ROUND(O1742*P1742,2)</f>
        <v>9240.48</v>
      </c>
      <c r="S1742" s="30" t="n">
        <f aca="false">ROUND(O1742*Q1742,2)</f>
        <v>6130.56</v>
      </c>
      <c r="T1742" s="30" t="n">
        <f aca="false">ROUND(R1742*SUMIFS(Parametros!$E$23:$E$38,Parametros!$B$23:$B$38,J1742,Parametros!$C$23:$C$38,C1742,Parametros!$D$23:$D$38,D1742),2)</f>
        <v>129.37</v>
      </c>
      <c r="U1742" s="30" t="n">
        <f aca="false">R1742-S1742-T1742</f>
        <v>2980.55</v>
      </c>
    </row>
    <row r="1743" customFormat="false" ht="15" hidden="false" customHeight="false" outlineLevel="0" collapsed="false">
      <c r="A1743" s="0" t="n">
        <v>1742</v>
      </c>
      <c r="B1743" s="27" t="n">
        <v>45826</v>
      </c>
      <c r="C1743" s="0" t="n">
        <v>2025</v>
      </c>
      <c r="D1743" s="28" t="s">
        <v>108</v>
      </c>
      <c r="E1743" s="0" t="n">
        <v>6</v>
      </c>
      <c r="F1743" s="28" t="s">
        <v>113</v>
      </c>
      <c r="G1743" s="28" t="s">
        <v>148</v>
      </c>
      <c r="H1743" s="28" t="s">
        <v>98</v>
      </c>
      <c r="I1743" s="28" t="s">
        <v>99</v>
      </c>
      <c r="J1743" s="28" t="s">
        <v>71</v>
      </c>
      <c r="K1743" s="28" t="s">
        <v>67</v>
      </c>
      <c r="L1743" s="28" t="s">
        <v>130</v>
      </c>
      <c r="M1743" s="28" t="s">
        <v>69</v>
      </c>
      <c r="N1743" s="28" t="s">
        <v>131</v>
      </c>
      <c r="O1743" s="29" t="n">
        <v>6</v>
      </c>
      <c r="P1743" s="30" t="n">
        <v>1155.06</v>
      </c>
      <c r="Q1743" s="30" t="n">
        <v>766.32</v>
      </c>
      <c r="R1743" s="30" t="n">
        <f aca="false">ROUND(O1743*P1743,2)</f>
        <v>6930.36</v>
      </c>
      <c r="S1743" s="30" t="n">
        <f aca="false">ROUND(O1743*Q1743,2)</f>
        <v>4597.92</v>
      </c>
      <c r="T1743" s="30" t="n">
        <f aca="false">ROUND(R1743*SUMIFS(Parametros!$E$23:$E$38,Parametros!$B$23:$B$38,J1743,Parametros!$C$23:$C$38,C1743,Parametros!$D$23:$D$38,D1743),2)</f>
        <v>512.85</v>
      </c>
      <c r="U1743" s="30" t="n">
        <f aca="false">R1743-S1743-T1743</f>
        <v>1819.59</v>
      </c>
    </row>
    <row r="1744" customFormat="false" ht="15" hidden="false" customHeight="false" outlineLevel="0" collapsed="false">
      <c r="A1744" s="0" t="n">
        <v>1743</v>
      </c>
      <c r="B1744" s="27" t="n">
        <v>45833</v>
      </c>
      <c r="C1744" s="0" t="n">
        <v>2025</v>
      </c>
      <c r="D1744" s="28" t="s">
        <v>108</v>
      </c>
      <c r="E1744" s="0" t="n">
        <v>6</v>
      </c>
      <c r="F1744" s="28" t="s">
        <v>113</v>
      </c>
      <c r="G1744" s="28" t="s">
        <v>148</v>
      </c>
      <c r="H1744" s="28" t="s">
        <v>98</v>
      </c>
      <c r="I1744" s="28" t="s">
        <v>99</v>
      </c>
      <c r="J1744" s="28" t="s">
        <v>66</v>
      </c>
      <c r="K1744" s="28" t="s">
        <v>67</v>
      </c>
      <c r="L1744" s="28" t="s">
        <v>130</v>
      </c>
      <c r="M1744" s="28" t="s">
        <v>72</v>
      </c>
      <c r="N1744" s="28" t="s">
        <v>132</v>
      </c>
      <c r="O1744" s="29" t="n">
        <v>8</v>
      </c>
      <c r="P1744" s="30" t="n">
        <v>433.15</v>
      </c>
      <c r="Q1744" s="30" t="n">
        <v>280.42</v>
      </c>
      <c r="R1744" s="30" t="n">
        <f aca="false">ROUND(O1744*P1744,2)</f>
        <v>3465.2</v>
      </c>
      <c r="S1744" s="30" t="n">
        <f aca="false">ROUND(O1744*Q1744,2)</f>
        <v>2243.36</v>
      </c>
      <c r="T1744" s="30" t="n">
        <f aca="false">ROUND(R1744*SUMIFS(Parametros!$E$23:$E$38,Parametros!$B$23:$B$38,J1744,Parametros!$C$23:$C$38,C1744,Parametros!$D$23:$D$38,D1744),2)</f>
        <v>48.51</v>
      </c>
      <c r="U1744" s="30" t="n">
        <f aca="false">R1744-S1744-T1744</f>
        <v>1173.33</v>
      </c>
    </row>
    <row r="1745" customFormat="false" ht="15" hidden="false" customHeight="false" outlineLevel="0" collapsed="false">
      <c r="A1745" s="0" t="n">
        <v>1744</v>
      </c>
      <c r="B1745" s="27" t="n">
        <v>45813</v>
      </c>
      <c r="C1745" s="0" t="n">
        <v>2025</v>
      </c>
      <c r="D1745" s="28" t="s">
        <v>108</v>
      </c>
      <c r="E1745" s="0" t="n">
        <v>6</v>
      </c>
      <c r="F1745" s="28" t="s">
        <v>113</v>
      </c>
      <c r="G1745" s="28" t="s">
        <v>148</v>
      </c>
      <c r="H1745" s="28" t="s">
        <v>98</v>
      </c>
      <c r="I1745" s="28" t="s">
        <v>99</v>
      </c>
      <c r="J1745" s="28" t="s">
        <v>71</v>
      </c>
      <c r="K1745" s="28" t="s">
        <v>67</v>
      </c>
      <c r="L1745" s="28" t="s">
        <v>130</v>
      </c>
      <c r="M1745" s="28" t="s">
        <v>72</v>
      </c>
      <c r="N1745" s="28" t="s">
        <v>132</v>
      </c>
      <c r="O1745" s="29" t="n">
        <v>6</v>
      </c>
      <c r="P1745" s="30" t="n">
        <v>433.15</v>
      </c>
      <c r="Q1745" s="30" t="n">
        <v>280.42</v>
      </c>
      <c r="R1745" s="30" t="n">
        <f aca="false">ROUND(O1745*P1745,2)</f>
        <v>2598.9</v>
      </c>
      <c r="S1745" s="30" t="n">
        <f aca="false">ROUND(O1745*Q1745,2)</f>
        <v>1682.52</v>
      </c>
      <c r="T1745" s="30" t="n">
        <f aca="false">ROUND(R1745*SUMIFS(Parametros!$E$23:$E$38,Parametros!$B$23:$B$38,J1745,Parametros!$C$23:$C$38,C1745,Parametros!$D$23:$D$38,D1745),2)</f>
        <v>192.32</v>
      </c>
      <c r="U1745" s="30" t="n">
        <f aca="false">R1745-S1745-T1745</f>
        <v>724.06</v>
      </c>
    </row>
    <row r="1746" customFormat="false" ht="15" hidden="false" customHeight="false" outlineLevel="0" collapsed="false">
      <c r="A1746" s="0" t="n">
        <v>1745</v>
      </c>
      <c r="B1746" s="27" t="n">
        <v>45820</v>
      </c>
      <c r="C1746" s="0" t="n">
        <v>2025</v>
      </c>
      <c r="D1746" s="28" t="s">
        <v>108</v>
      </c>
      <c r="E1746" s="0" t="n">
        <v>6</v>
      </c>
      <c r="F1746" s="28" t="s">
        <v>113</v>
      </c>
      <c r="G1746" s="28" t="s">
        <v>148</v>
      </c>
      <c r="H1746" s="28" t="s">
        <v>98</v>
      </c>
      <c r="I1746" s="28" t="s">
        <v>99</v>
      </c>
      <c r="J1746" s="28" t="s">
        <v>66</v>
      </c>
      <c r="K1746" s="28" t="s">
        <v>67</v>
      </c>
      <c r="L1746" s="28" t="s">
        <v>130</v>
      </c>
      <c r="M1746" s="28" t="s">
        <v>74</v>
      </c>
      <c r="N1746" s="28" t="s">
        <v>133</v>
      </c>
      <c r="O1746" s="29" t="n">
        <v>10</v>
      </c>
      <c r="P1746" s="30" t="n">
        <v>1588.21</v>
      </c>
      <c r="Q1746" s="30" t="n">
        <v>1155.66</v>
      </c>
      <c r="R1746" s="30" t="n">
        <f aca="false">ROUND(O1746*P1746,2)</f>
        <v>15882.1</v>
      </c>
      <c r="S1746" s="30" t="n">
        <f aca="false">ROUND(O1746*Q1746,2)</f>
        <v>11556.6</v>
      </c>
      <c r="T1746" s="30" t="n">
        <f aca="false">ROUND(R1746*SUMIFS(Parametros!$E$23:$E$38,Parametros!$B$23:$B$38,J1746,Parametros!$C$23:$C$38,C1746,Parametros!$D$23:$D$38,D1746),2)</f>
        <v>222.35</v>
      </c>
      <c r="U1746" s="30" t="n">
        <f aca="false">R1746-S1746-T1746</f>
        <v>4103.15</v>
      </c>
    </row>
    <row r="1747" customFormat="false" ht="15" hidden="false" customHeight="false" outlineLevel="0" collapsed="false">
      <c r="A1747" s="0" t="n">
        <v>1746</v>
      </c>
      <c r="B1747" s="27" t="n">
        <v>45827</v>
      </c>
      <c r="C1747" s="0" t="n">
        <v>2025</v>
      </c>
      <c r="D1747" s="28" t="s">
        <v>108</v>
      </c>
      <c r="E1747" s="0" t="n">
        <v>6</v>
      </c>
      <c r="F1747" s="28" t="s">
        <v>113</v>
      </c>
      <c r="G1747" s="28" t="s">
        <v>148</v>
      </c>
      <c r="H1747" s="28" t="s">
        <v>98</v>
      </c>
      <c r="I1747" s="28" t="s">
        <v>99</v>
      </c>
      <c r="J1747" s="28" t="s">
        <v>71</v>
      </c>
      <c r="K1747" s="28" t="s">
        <v>67</v>
      </c>
      <c r="L1747" s="28" t="s">
        <v>130</v>
      </c>
      <c r="M1747" s="28" t="s">
        <v>74</v>
      </c>
      <c r="N1747" s="28" t="s">
        <v>133</v>
      </c>
      <c r="O1747" s="29" t="n">
        <v>7</v>
      </c>
      <c r="P1747" s="30" t="n">
        <v>1588.21</v>
      </c>
      <c r="Q1747" s="30" t="n">
        <v>1155.66</v>
      </c>
      <c r="R1747" s="30" t="n">
        <f aca="false">ROUND(O1747*P1747,2)</f>
        <v>11117.47</v>
      </c>
      <c r="S1747" s="30" t="n">
        <f aca="false">ROUND(O1747*Q1747,2)</f>
        <v>8089.62</v>
      </c>
      <c r="T1747" s="30" t="n">
        <f aca="false">ROUND(R1747*SUMIFS(Parametros!$E$23:$E$38,Parametros!$B$23:$B$38,J1747,Parametros!$C$23:$C$38,C1747,Parametros!$D$23:$D$38,D1747),2)</f>
        <v>822.69</v>
      </c>
      <c r="U1747" s="30" t="n">
        <f aca="false">R1747-S1747-T1747</f>
        <v>2205.16</v>
      </c>
    </row>
    <row r="1748" customFormat="false" ht="15" hidden="false" customHeight="false" outlineLevel="0" collapsed="false">
      <c r="A1748" s="0" t="n">
        <v>1747</v>
      </c>
      <c r="B1748" s="27" t="n">
        <v>45834</v>
      </c>
      <c r="C1748" s="0" t="n">
        <v>2025</v>
      </c>
      <c r="D1748" s="28" t="s">
        <v>108</v>
      </c>
      <c r="E1748" s="0" t="n">
        <v>6</v>
      </c>
      <c r="F1748" s="28" t="s">
        <v>113</v>
      </c>
      <c r="G1748" s="28" t="s">
        <v>148</v>
      </c>
      <c r="H1748" s="28" t="s">
        <v>98</v>
      </c>
      <c r="I1748" s="28" t="s">
        <v>99</v>
      </c>
      <c r="J1748" s="28" t="s">
        <v>66</v>
      </c>
      <c r="K1748" s="28" t="s">
        <v>76</v>
      </c>
      <c r="L1748" s="28" t="s">
        <v>134</v>
      </c>
      <c r="M1748" s="28" t="s">
        <v>78</v>
      </c>
      <c r="N1748" s="28" t="s">
        <v>135</v>
      </c>
      <c r="O1748" s="29" t="n">
        <v>47</v>
      </c>
      <c r="P1748" s="30" t="n">
        <v>27.82</v>
      </c>
      <c r="Q1748" s="30" t="n">
        <v>13.84</v>
      </c>
      <c r="R1748" s="30" t="n">
        <f aca="false">ROUND(O1748*P1748,2)</f>
        <v>1307.54</v>
      </c>
      <c r="S1748" s="30" t="n">
        <f aca="false">ROUND(O1748*Q1748,2)</f>
        <v>650.48</v>
      </c>
      <c r="T1748" s="30" t="n">
        <f aca="false">ROUND(R1748*SUMIFS(Parametros!$E$23:$E$38,Parametros!$B$23:$B$38,J1748,Parametros!$C$23:$C$38,C1748,Parametros!$D$23:$D$38,D1748),2)</f>
        <v>18.31</v>
      </c>
      <c r="U1748" s="30" t="n">
        <f aca="false">R1748-S1748-T1748</f>
        <v>638.75</v>
      </c>
    </row>
    <row r="1749" customFormat="false" ht="15" hidden="false" customHeight="false" outlineLevel="0" collapsed="false">
      <c r="A1749" s="0" t="n">
        <v>1748</v>
      </c>
      <c r="B1749" s="27" t="n">
        <v>45814</v>
      </c>
      <c r="C1749" s="0" t="n">
        <v>2025</v>
      </c>
      <c r="D1749" s="28" t="s">
        <v>108</v>
      </c>
      <c r="E1749" s="0" t="n">
        <v>6</v>
      </c>
      <c r="F1749" s="28" t="s">
        <v>113</v>
      </c>
      <c r="G1749" s="28" t="s">
        <v>148</v>
      </c>
      <c r="H1749" s="28" t="s">
        <v>98</v>
      </c>
      <c r="I1749" s="28" t="s">
        <v>99</v>
      </c>
      <c r="J1749" s="28" t="s">
        <v>71</v>
      </c>
      <c r="K1749" s="28" t="s">
        <v>76</v>
      </c>
      <c r="L1749" s="28" t="s">
        <v>134</v>
      </c>
      <c r="M1749" s="28" t="s">
        <v>78</v>
      </c>
      <c r="N1749" s="28" t="s">
        <v>135</v>
      </c>
      <c r="O1749" s="29" t="n">
        <v>27</v>
      </c>
      <c r="P1749" s="30" t="n">
        <v>27.82</v>
      </c>
      <c r="Q1749" s="30" t="n">
        <v>13.84</v>
      </c>
      <c r="R1749" s="30" t="n">
        <f aca="false">ROUND(O1749*P1749,2)</f>
        <v>751.14</v>
      </c>
      <c r="S1749" s="30" t="n">
        <f aca="false">ROUND(O1749*Q1749,2)</f>
        <v>373.68</v>
      </c>
      <c r="T1749" s="30" t="n">
        <f aca="false">ROUND(R1749*SUMIFS(Parametros!$E$23:$E$38,Parametros!$B$23:$B$38,J1749,Parametros!$C$23:$C$38,C1749,Parametros!$D$23:$D$38,D1749),2)</f>
        <v>55.58</v>
      </c>
      <c r="U1749" s="30" t="n">
        <f aca="false">R1749-S1749-T1749</f>
        <v>321.88</v>
      </c>
    </row>
    <row r="1750" customFormat="false" ht="15" hidden="false" customHeight="false" outlineLevel="0" collapsed="false">
      <c r="A1750" s="0" t="n">
        <v>1749</v>
      </c>
      <c r="B1750" s="27" t="n">
        <v>45821</v>
      </c>
      <c r="C1750" s="0" t="n">
        <v>2025</v>
      </c>
      <c r="D1750" s="28" t="s">
        <v>108</v>
      </c>
      <c r="E1750" s="0" t="n">
        <v>6</v>
      </c>
      <c r="F1750" s="28" t="s">
        <v>113</v>
      </c>
      <c r="G1750" s="28" t="s">
        <v>148</v>
      </c>
      <c r="H1750" s="28" t="s">
        <v>98</v>
      </c>
      <c r="I1750" s="28" t="s">
        <v>99</v>
      </c>
      <c r="J1750" s="28" t="s">
        <v>66</v>
      </c>
      <c r="K1750" s="28" t="s">
        <v>76</v>
      </c>
      <c r="L1750" s="28" t="s">
        <v>134</v>
      </c>
      <c r="M1750" s="28" t="s">
        <v>80</v>
      </c>
      <c r="N1750" s="28" t="s">
        <v>136</v>
      </c>
      <c r="O1750" s="29" t="n">
        <v>44</v>
      </c>
      <c r="P1750" s="30" t="n">
        <v>94.39</v>
      </c>
      <c r="Q1750" s="30" t="n">
        <v>49.41</v>
      </c>
      <c r="R1750" s="30" t="n">
        <f aca="false">ROUND(O1750*P1750,2)</f>
        <v>4153.16</v>
      </c>
      <c r="S1750" s="30" t="n">
        <f aca="false">ROUND(O1750*Q1750,2)</f>
        <v>2174.04</v>
      </c>
      <c r="T1750" s="30" t="n">
        <f aca="false">ROUND(R1750*SUMIFS(Parametros!$E$23:$E$38,Parametros!$B$23:$B$38,J1750,Parametros!$C$23:$C$38,C1750,Parametros!$D$23:$D$38,D1750),2)</f>
        <v>58.14</v>
      </c>
      <c r="U1750" s="30" t="n">
        <f aca="false">R1750-S1750-T1750</f>
        <v>1920.98</v>
      </c>
    </row>
    <row r="1751" customFormat="false" ht="15" hidden="false" customHeight="false" outlineLevel="0" collapsed="false">
      <c r="A1751" s="0" t="n">
        <v>1750</v>
      </c>
      <c r="B1751" s="27" t="n">
        <v>45828</v>
      </c>
      <c r="C1751" s="0" t="n">
        <v>2025</v>
      </c>
      <c r="D1751" s="28" t="s">
        <v>108</v>
      </c>
      <c r="E1751" s="0" t="n">
        <v>6</v>
      </c>
      <c r="F1751" s="28" t="s">
        <v>113</v>
      </c>
      <c r="G1751" s="28" t="s">
        <v>148</v>
      </c>
      <c r="H1751" s="28" t="s">
        <v>98</v>
      </c>
      <c r="I1751" s="28" t="s">
        <v>99</v>
      </c>
      <c r="J1751" s="28" t="s">
        <v>71</v>
      </c>
      <c r="K1751" s="28" t="s">
        <v>76</v>
      </c>
      <c r="L1751" s="28" t="s">
        <v>134</v>
      </c>
      <c r="M1751" s="28" t="s">
        <v>80</v>
      </c>
      <c r="N1751" s="28" t="s">
        <v>136</v>
      </c>
      <c r="O1751" s="29" t="n">
        <v>24</v>
      </c>
      <c r="P1751" s="30" t="n">
        <v>94.39</v>
      </c>
      <c r="Q1751" s="30" t="n">
        <v>49.41</v>
      </c>
      <c r="R1751" s="30" t="n">
        <f aca="false">ROUND(O1751*P1751,2)</f>
        <v>2265.36</v>
      </c>
      <c r="S1751" s="30" t="n">
        <f aca="false">ROUND(O1751*Q1751,2)</f>
        <v>1185.84</v>
      </c>
      <c r="T1751" s="30" t="n">
        <f aca="false">ROUND(R1751*SUMIFS(Parametros!$E$23:$E$38,Parametros!$B$23:$B$38,J1751,Parametros!$C$23:$C$38,C1751,Parametros!$D$23:$D$38,D1751),2)</f>
        <v>167.64</v>
      </c>
      <c r="U1751" s="30" t="n">
        <f aca="false">R1751-S1751-T1751</f>
        <v>911.88</v>
      </c>
    </row>
    <row r="1752" customFormat="false" ht="15" hidden="false" customHeight="false" outlineLevel="0" collapsed="false">
      <c r="A1752" s="0" t="n">
        <v>1751</v>
      </c>
      <c r="B1752" s="27" t="n">
        <v>45835</v>
      </c>
      <c r="C1752" s="0" t="n">
        <v>2025</v>
      </c>
      <c r="D1752" s="28" t="s">
        <v>108</v>
      </c>
      <c r="E1752" s="0" t="n">
        <v>6</v>
      </c>
      <c r="F1752" s="28" t="s">
        <v>113</v>
      </c>
      <c r="G1752" s="28" t="s">
        <v>148</v>
      </c>
      <c r="H1752" s="28" t="s">
        <v>98</v>
      </c>
      <c r="I1752" s="28" t="s">
        <v>99</v>
      </c>
      <c r="J1752" s="28" t="s">
        <v>66</v>
      </c>
      <c r="K1752" s="28" t="s">
        <v>76</v>
      </c>
      <c r="L1752" s="28" t="s">
        <v>134</v>
      </c>
      <c r="M1752" s="28" t="s">
        <v>82</v>
      </c>
      <c r="N1752" s="28" t="s">
        <v>137</v>
      </c>
      <c r="O1752" s="29" t="n">
        <v>35</v>
      </c>
      <c r="P1752" s="30" t="n">
        <v>64.58</v>
      </c>
      <c r="Q1752" s="30" t="n">
        <v>36.49</v>
      </c>
      <c r="R1752" s="30" t="n">
        <f aca="false">ROUND(O1752*P1752,2)</f>
        <v>2260.3</v>
      </c>
      <c r="S1752" s="30" t="n">
        <f aca="false">ROUND(O1752*Q1752,2)</f>
        <v>1277.15</v>
      </c>
      <c r="T1752" s="30" t="n">
        <f aca="false">ROUND(R1752*SUMIFS(Parametros!$E$23:$E$38,Parametros!$B$23:$B$38,J1752,Parametros!$C$23:$C$38,C1752,Parametros!$D$23:$D$38,D1752),2)</f>
        <v>31.64</v>
      </c>
      <c r="U1752" s="30" t="n">
        <f aca="false">R1752-S1752-T1752</f>
        <v>951.51</v>
      </c>
    </row>
    <row r="1753" customFormat="false" ht="15" hidden="false" customHeight="false" outlineLevel="0" collapsed="false">
      <c r="A1753" s="0" t="n">
        <v>1752</v>
      </c>
      <c r="B1753" s="27" t="n">
        <v>45815</v>
      </c>
      <c r="C1753" s="0" t="n">
        <v>2025</v>
      </c>
      <c r="D1753" s="28" t="s">
        <v>108</v>
      </c>
      <c r="E1753" s="0" t="n">
        <v>6</v>
      </c>
      <c r="F1753" s="28" t="s">
        <v>113</v>
      </c>
      <c r="G1753" s="28" t="s">
        <v>148</v>
      </c>
      <c r="H1753" s="28" t="s">
        <v>98</v>
      </c>
      <c r="I1753" s="28" t="s">
        <v>99</v>
      </c>
      <c r="J1753" s="28" t="s">
        <v>71</v>
      </c>
      <c r="K1753" s="28" t="s">
        <v>76</v>
      </c>
      <c r="L1753" s="28" t="s">
        <v>134</v>
      </c>
      <c r="M1753" s="28" t="s">
        <v>82</v>
      </c>
      <c r="N1753" s="28" t="s">
        <v>137</v>
      </c>
      <c r="O1753" s="29" t="n">
        <v>29</v>
      </c>
      <c r="P1753" s="30" t="n">
        <v>64.58</v>
      </c>
      <c r="Q1753" s="30" t="n">
        <v>36.49</v>
      </c>
      <c r="R1753" s="30" t="n">
        <f aca="false">ROUND(O1753*P1753,2)</f>
        <v>1872.82</v>
      </c>
      <c r="S1753" s="30" t="n">
        <f aca="false">ROUND(O1753*Q1753,2)</f>
        <v>1058.21</v>
      </c>
      <c r="T1753" s="30" t="n">
        <f aca="false">ROUND(R1753*SUMIFS(Parametros!$E$23:$E$38,Parametros!$B$23:$B$38,J1753,Parametros!$C$23:$C$38,C1753,Parametros!$D$23:$D$38,D1753),2)</f>
        <v>138.59</v>
      </c>
      <c r="U1753" s="30" t="n">
        <f aca="false">R1753-S1753-T1753</f>
        <v>676.02</v>
      </c>
    </row>
    <row r="1754" customFormat="false" ht="15" hidden="false" customHeight="false" outlineLevel="0" collapsed="false">
      <c r="A1754" s="0" t="n">
        <v>1753</v>
      </c>
      <c r="B1754" s="27" t="n">
        <v>45822</v>
      </c>
      <c r="C1754" s="0" t="n">
        <v>2025</v>
      </c>
      <c r="D1754" s="28" t="s">
        <v>108</v>
      </c>
      <c r="E1754" s="0" t="n">
        <v>6</v>
      </c>
      <c r="F1754" s="28" t="s">
        <v>113</v>
      </c>
      <c r="G1754" s="28" t="s">
        <v>148</v>
      </c>
      <c r="H1754" s="28" t="s">
        <v>98</v>
      </c>
      <c r="I1754" s="28" t="s">
        <v>99</v>
      </c>
      <c r="J1754" s="28" t="s">
        <v>66</v>
      </c>
      <c r="K1754" s="28" t="s">
        <v>84</v>
      </c>
      <c r="L1754" s="28" t="s">
        <v>138</v>
      </c>
      <c r="M1754" s="28" t="s">
        <v>86</v>
      </c>
      <c r="N1754" s="28" t="s">
        <v>139</v>
      </c>
      <c r="O1754" s="29" t="n">
        <v>18</v>
      </c>
      <c r="P1754" s="30" t="n">
        <v>119.23</v>
      </c>
      <c r="Q1754" s="30" t="n">
        <v>65.51</v>
      </c>
      <c r="R1754" s="30" t="n">
        <f aca="false">ROUND(O1754*P1754,2)</f>
        <v>2146.14</v>
      </c>
      <c r="S1754" s="30" t="n">
        <f aca="false">ROUND(O1754*Q1754,2)</f>
        <v>1179.18</v>
      </c>
      <c r="T1754" s="30" t="n">
        <f aca="false">ROUND(R1754*SUMIFS(Parametros!$E$23:$E$38,Parametros!$B$23:$B$38,J1754,Parametros!$C$23:$C$38,C1754,Parametros!$D$23:$D$38,D1754),2)</f>
        <v>30.05</v>
      </c>
      <c r="U1754" s="30" t="n">
        <f aca="false">R1754-S1754-T1754</f>
        <v>936.91</v>
      </c>
    </row>
    <row r="1755" customFormat="false" ht="15" hidden="false" customHeight="false" outlineLevel="0" collapsed="false">
      <c r="A1755" s="0" t="n">
        <v>1754</v>
      </c>
      <c r="B1755" s="27" t="n">
        <v>45829</v>
      </c>
      <c r="C1755" s="0" t="n">
        <v>2025</v>
      </c>
      <c r="D1755" s="28" t="s">
        <v>108</v>
      </c>
      <c r="E1755" s="0" t="n">
        <v>6</v>
      </c>
      <c r="F1755" s="28" t="s">
        <v>113</v>
      </c>
      <c r="G1755" s="28" t="s">
        <v>148</v>
      </c>
      <c r="H1755" s="28" t="s">
        <v>98</v>
      </c>
      <c r="I1755" s="28" t="s">
        <v>99</v>
      </c>
      <c r="J1755" s="28" t="s">
        <v>71</v>
      </c>
      <c r="K1755" s="28" t="s">
        <v>84</v>
      </c>
      <c r="L1755" s="28" t="s">
        <v>138</v>
      </c>
      <c r="M1755" s="28" t="s">
        <v>86</v>
      </c>
      <c r="N1755" s="28" t="s">
        <v>139</v>
      </c>
      <c r="O1755" s="29" t="n">
        <v>14</v>
      </c>
      <c r="P1755" s="30" t="n">
        <v>119.23</v>
      </c>
      <c r="Q1755" s="30" t="n">
        <v>65.51</v>
      </c>
      <c r="R1755" s="30" t="n">
        <f aca="false">ROUND(O1755*P1755,2)</f>
        <v>1669.22</v>
      </c>
      <c r="S1755" s="30" t="n">
        <f aca="false">ROUND(O1755*Q1755,2)</f>
        <v>917.14</v>
      </c>
      <c r="T1755" s="30" t="n">
        <f aca="false">ROUND(R1755*SUMIFS(Parametros!$E$23:$E$38,Parametros!$B$23:$B$38,J1755,Parametros!$C$23:$C$38,C1755,Parametros!$D$23:$D$38,D1755),2)</f>
        <v>123.52</v>
      </c>
      <c r="U1755" s="30" t="n">
        <f aca="false">R1755-S1755-T1755</f>
        <v>628.56</v>
      </c>
    </row>
    <row r="1756" customFormat="false" ht="15" hidden="false" customHeight="false" outlineLevel="0" collapsed="false">
      <c r="A1756" s="0" t="n">
        <v>1755</v>
      </c>
      <c r="B1756" s="27" t="n">
        <v>45809</v>
      </c>
      <c r="C1756" s="0" t="n">
        <v>2025</v>
      </c>
      <c r="D1756" s="28" t="s">
        <v>108</v>
      </c>
      <c r="E1756" s="0" t="n">
        <v>6</v>
      </c>
      <c r="F1756" s="28" t="s">
        <v>113</v>
      </c>
      <c r="G1756" s="28" t="s">
        <v>148</v>
      </c>
      <c r="H1756" s="28" t="s">
        <v>98</v>
      </c>
      <c r="I1756" s="28" t="s">
        <v>99</v>
      </c>
      <c r="J1756" s="28" t="s">
        <v>66</v>
      </c>
      <c r="K1756" s="28" t="s">
        <v>84</v>
      </c>
      <c r="L1756" s="28" t="s">
        <v>138</v>
      </c>
      <c r="M1756" s="28" t="s">
        <v>88</v>
      </c>
      <c r="N1756" s="28" t="s">
        <v>140</v>
      </c>
      <c r="O1756" s="29" t="n">
        <v>16</v>
      </c>
      <c r="P1756" s="30" t="n">
        <v>84.46</v>
      </c>
      <c r="Q1756" s="30" t="n">
        <v>49.47</v>
      </c>
      <c r="R1756" s="30" t="n">
        <f aca="false">ROUND(O1756*P1756,2)</f>
        <v>1351.36</v>
      </c>
      <c r="S1756" s="30" t="n">
        <f aca="false">ROUND(O1756*Q1756,2)</f>
        <v>791.52</v>
      </c>
      <c r="T1756" s="30" t="n">
        <f aca="false">ROUND(R1756*SUMIFS(Parametros!$E$23:$E$38,Parametros!$B$23:$B$38,J1756,Parametros!$C$23:$C$38,C1756,Parametros!$D$23:$D$38,D1756),2)</f>
        <v>18.92</v>
      </c>
      <c r="U1756" s="30" t="n">
        <f aca="false">R1756-S1756-T1756</f>
        <v>540.92</v>
      </c>
    </row>
    <row r="1757" customFormat="false" ht="15" hidden="false" customHeight="false" outlineLevel="0" collapsed="false">
      <c r="A1757" s="0" t="n">
        <v>1756</v>
      </c>
      <c r="B1757" s="27" t="n">
        <v>45816</v>
      </c>
      <c r="C1757" s="0" t="n">
        <v>2025</v>
      </c>
      <c r="D1757" s="28" t="s">
        <v>108</v>
      </c>
      <c r="E1757" s="0" t="n">
        <v>6</v>
      </c>
      <c r="F1757" s="28" t="s">
        <v>113</v>
      </c>
      <c r="G1757" s="28" t="s">
        <v>148</v>
      </c>
      <c r="H1757" s="28" t="s">
        <v>98</v>
      </c>
      <c r="I1757" s="28" t="s">
        <v>99</v>
      </c>
      <c r="J1757" s="28" t="s">
        <v>71</v>
      </c>
      <c r="K1757" s="28" t="s">
        <v>84</v>
      </c>
      <c r="L1757" s="28" t="s">
        <v>138</v>
      </c>
      <c r="M1757" s="28" t="s">
        <v>88</v>
      </c>
      <c r="N1757" s="28" t="s">
        <v>140</v>
      </c>
      <c r="O1757" s="29" t="n">
        <v>14</v>
      </c>
      <c r="P1757" s="30" t="n">
        <v>84.46</v>
      </c>
      <c r="Q1757" s="30" t="n">
        <v>49.47</v>
      </c>
      <c r="R1757" s="30" t="n">
        <f aca="false">ROUND(O1757*P1757,2)</f>
        <v>1182.44</v>
      </c>
      <c r="S1757" s="30" t="n">
        <f aca="false">ROUND(O1757*Q1757,2)</f>
        <v>692.58</v>
      </c>
      <c r="T1757" s="30" t="n">
        <f aca="false">ROUND(R1757*SUMIFS(Parametros!$E$23:$E$38,Parametros!$B$23:$B$38,J1757,Parametros!$C$23:$C$38,C1757,Parametros!$D$23:$D$38,D1757),2)</f>
        <v>87.5</v>
      </c>
      <c r="U1757" s="30" t="n">
        <f aca="false">R1757-S1757-T1757</f>
        <v>402.36</v>
      </c>
    </row>
    <row r="1758" customFormat="false" ht="15" hidden="false" customHeight="false" outlineLevel="0" collapsed="false">
      <c r="A1758" s="0" t="n">
        <v>1757</v>
      </c>
      <c r="B1758" s="27" t="n">
        <v>45823</v>
      </c>
      <c r="C1758" s="0" t="n">
        <v>2025</v>
      </c>
      <c r="D1758" s="28" t="s">
        <v>108</v>
      </c>
      <c r="E1758" s="0" t="n">
        <v>6</v>
      </c>
      <c r="F1758" s="28" t="s">
        <v>113</v>
      </c>
      <c r="G1758" s="28" t="s">
        <v>148</v>
      </c>
      <c r="H1758" s="28" t="s">
        <v>98</v>
      </c>
      <c r="I1758" s="28" t="s">
        <v>99</v>
      </c>
      <c r="J1758" s="28" t="s">
        <v>66</v>
      </c>
      <c r="K1758" s="28" t="s">
        <v>90</v>
      </c>
      <c r="L1758" s="28" t="s">
        <v>141</v>
      </c>
      <c r="M1758" s="28" t="s">
        <v>92</v>
      </c>
      <c r="N1758" s="28" t="s">
        <v>142</v>
      </c>
      <c r="O1758" s="29" t="n">
        <v>24</v>
      </c>
      <c r="P1758" s="30" t="n">
        <v>129.17</v>
      </c>
      <c r="Q1758" s="30" t="n">
        <v>78.33</v>
      </c>
      <c r="R1758" s="30" t="n">
        <f aca="false">ROUND(O1758*P1758,2)</f>
        <v>3100.08</v>
      </c>
      <c r="S1758" s="30" t="n">
        <f aca="false">ROUND(O1758*Q1758,2)</f>
        <v>1879.92</v>
      </c>
      <c r="T1758" s="30" t="n">
        <f aca="false">ROUND(R1758*SUMIFS(Parametros!$E$23:$E$38,Parametros!$B$23:$B$38,J1758,Parametros!$C$23:$C$38,C1758,Parametros!$D$23:$D$38,D1758),2)</f>
        <v>43.4</v>
      </c>
      <c r="U1758" s="30" t="n">
        <f aca="false">R1758-S1758-T1758</f>
        <v>1176.76</v>
      </c>
    </row>
    <row r="1759" customFormat="false" ht="15" hidden="false" customHeight="false" outlineLevel="0" collapsed="false">
      <c r="A1759" s="0" t="n">
        <v>1758</v>
      </c>
      <c r="B1759" s="27" t="n">
        <v>45830</v>
      </c>
      <c r="C1759" s="0" t="n">
        <v>2025</v>
      </c>
      <c r="D1759" s="28" t="s">
        <v>108</v>
      </c>
      <c r="E1759" s="0" t="n">
        <v>6</v>
      </c>
      <c r="F1759" s="28" t="s">
        <v>113</v>
      </c>
      <c r="G1759" s="28" t="s">
        <v>148</v>
      </c>
      <c r="H1759" s="28" t="s">
        <v>98</v>
      </c>
      <c r="I1759" s="28" t="s">
        <v>99</v>
      </c>
      <c r="J1759" s="28" t="s">
        <v>71</v>
      </c>
      <c r="K1759" s="28" t="s">
        <v>90</v>
      </c>
      <c r="L1759" s="28" t="s">
        <v>141</v>
      </c>
      <c r="M1759" s="28" t="s">
        <v>92</v>
      </c>
      <c r="N1759" s="28" t="s">
        <v>142</v>
      </c>
      <c r="O1759" s="29" t="n">
        <v>17</v>
      </c>
      <c r="P1759" s="30" t="n">
        <v>129.17</v>
      </c>
      <c r="Q1759" s="30" t="n">
        <v>78.33</v>
      </c>
      <c r="R1759" s="30" t="n">
        <f aca="false">ROUND(O1759*P1759,2)</f>
        <v>2195.89</v>
      </c>
      <c r="S1759" s="30" t="n">
        <f aca="false">ROUND(O1759*Q1759,2)</f>
        <v>1331.61</v>
      </c>
      <c r="T1759" s="30" t="n">
        <f aca="false">ROUND(R1759*SUMIFS(Parametros!$E$23:$E$38,Parametros!$B$23:$B$38,J1759,Parametros!$C$23:$C$38,C1759,Parametros!$D$23:$D$38,D1759),2)</f>
        <v>162.5</v>
      </c>
      <c r="U1759" s="30" t="n">
        <f aca="false">R1759-S1759-T1759</f>
        <v>701.78</v>
      </c>
    </row>
    <row r="1760" customFormat="false" ht="15" hidden="false" customHeight="false" outlineLevel="0" collapsed="false">
      <c r="A1760" s="0" t="n">
        <v>1759</v>
      </c>
      <c r="B1760" s="27" t="n">
        <v>45810</v>
      </c>
      <c r="C1760" s="0" t="n">
        <v>2025</v>
      </c>
      <c r="D1760" s="28" t="s">
        <v>108</v>
      </c>
      <c r="E1760" s="0" t="n">
        <v>6</v>
      </c>
      <c r="F1760" s="28" t="s">
        <v>113</v>
      </c>
      <c r="G1760" s="28" t="s">
        <v>148</v>
      </c>
      <c r="H1760" s="28" t="s">
        <v>98</v>
      </c>
      <c r="I1760" s="28" t="s">
        <v>99</v>
      </c>
      <c r="J1760" s="28" t="s">
        <v>66</v>
      </c>
      <c r="K1760" s="28" t="s">
        <v>90</v>
      </c>
      <c r="L1760" s="28" t="s">
        <v>141</v>
      </c>
      <c r="M1760" s="28" t="s">
        <v>94</v>
      </c>
      <c r="N1760" s="28" t="s">
        <v>143</v>
      </c>
      <c r="O1760" s="29" t="n">
        <v>28</v>
      </c>
      <c r="P1760" s="30" t="n">
        <v>34.78</v>
      </c>
      <c r="Q1760" s="30" t="n">
        <v>18.39</v>
      </c>
      <c r="R1760" s="30" t="n">
        <f aca="false">ROUND(O1760*P1760,2)</f>
        <v>973.84</v>
      </c>
      <c r="S1760" s="30" t="n">
        <f aca="false">ROUND(O1760*Q1760,2)</f>
        <v>514.92</v>
      </c>
      <c r="T1760" s="30" t="n">
        <f aca="false">ROUND(R1760*SUMIFS(Parametros!$E$23:$E$38,Parametros!$B$23:$B$38,J1760,Parametros!$C$23:$C$38,C1760,Parametros!$D$23:$D$38,D1760),2)</f>
        <v>13.63</v>
      </c>
      <c r="U1760" s="30" t="n">
        <f aca="false">R1760-S1760-T1760</f>
        <v>445.29</v>
      </c>
    </row>
    <row r="1761" customFormat="false" ht="15" hidden="false" customHeight="false" outlineLevel="0" collapsed="false">
      <c r="A1761" s="0" t="n">
        <v>1760</v>
      </c>
      <c r="B1761" s="27" t="n">
        <v>45817</v>
      </c>
      <c r="C1761" s="0" t="n">
        <v>2025</v>
      </c>
      <c r="D1761" s="28" t="s">
        <v>108</v>
      </c>
      <c r="E1761" s="0" t="n">
        <v>6</v>
      </c>
      <c r="F1761" s="28" t="s">
        <v>113</v>
      </c>
      <c r="G1761" s="28" t="s">
        <v>148</v>
      </c>
      <c r="H1761" s="28" t="s">
        <v>98</v>
      </c>
      <c r="I1761" s="28" t="s">
        <v>99</v>
      </c>
      <c r="J1761" s="28" t="s">
        <v>71</v>
      </c>
      <c r="K1761" s="28" t="s">
        <v>90</v>
      </c>
      <c r="L1761" s="28" t="s">
        <v>141</v>
      </c>
      <c r="M1761" s="28" t="s">
        <v>94</v>
      </c>
      <c r="N1761" s="28" t="s">
        <v>143</v>
      </c>
      <c r="O1761" s="29" t="n">
        <v>16</v>
      </c>
      <c r="P1761" s="30" t="n">
        <v>34.78</v>
      </c>
      <c r="Q1761" s="30" t="n">
        <v>18.39</v>
      </c>
      <c r="R1761" s="30" t="n">
        <f aca="false">ROUND(O1761*P1761,2)</f>
        <v>556.48</v>
      </c>
      <c r="S1761" s="30" t="n">
        <f aca="false">ROUND(O1761*Q1761,2)</f>
        <v>294.24</v>
      </c>
      <c r="T1761" s="30" t="n">
        <f aca="false">ROUND(R1761*SUMIFS(Parametros!$E$23:$E$38,Parametros!$B$23:$B$38,J1761,Parametros!$C$23:$C$38,C1761,Parametros!$D$23:$D$38,D1761),2)</f>
        <v>41.18</v>
      </c>
      <c r="U1761" s="30" t="n">
        <f aca="false">R1761-S1761-T1761</f>
        <v>221.06</v>
      </c>
    </row>
    <row r="1762" customFormat="false" ht="15" hidden="false" customHeight="false" outlineLevel="0" collapsed="false">
      <c r="A1762" s="0" t="n">
        <v>1761</v>
      </c>
      <c r="B1762" s="27" t="n">
        <v>45824</v>
      </c>
      <c r="C1762" s="0" t="n">
        <v>2025</v>
      </c>
      <c r="D1762" s="28" t="s">
        <v>108</v>
      </c>
      <c r="E1762" s="0" t="n">
        <v>6</v>
      </c>
      <c r="F1762" s="28" t="s">
        <v>113</v>
      </c>
      <c r="G1762" s="28" t="s">
        <v>148</v>
      </c>
      <c r="H1762" s="28" t="s">
        <v>100</v>
      </c>
      <c r="I1762" s="28" t="s">
        <v>101</v>
      </c>
      <c r="J1762" s="28" t="s">
        <v>66</v>
      </c>
      <c r="K1762" s="28" t="s">
        <v>67</v>
      </c>
      <c r="L1762" s="28" t="s">
        <v>130</v>
      </c>
      <c r="M1762" s="28" t="s">
        <v>69</v>
      </c>
      <c r="N1762" s="28" t="s">
        <v>131</v>
      </c>
      <c r="O1762" s="29" t="n">
        <v>7</v>
      </c>
      <c r="P1762" s="30" t="n">
        <v>1155.06</v>
      </c>
      <c r="Q1762" s="30" t="n">
        <v>766.32</v>
      </c>
      <c r="R1762" s="30" t="n">
        <f aca="false">ROUND(O1762*P1762,2)</f>
        <v>8085.42</v>
      </c>
      <c r="S1762" s="30" t="n">
        <f aca="false">ROUND(O1762*Q1762,2)</f>
        <v>5364.24</v>
      </c>
      <c r="T1762" s="30" t="n">
        <f aca="false">ROUND(R1762*SUMIFS(Parametros!$E$23:$E$38,Parametros!$B$23:$B$38,J1762,Parametros!$C$23:$C$38,C1762,Parametros!$D$23:$D$38,D1762),2)</f>
        <v>113.2</v>
      </c>
      <c r="U1762" s="30" t="n">
        <f aca="false">R1762-S1762-T1762</f>
        <v>2607.98</v>
      </c>
    </row>
    <row r="1763" customFormat="false" ht="15" hidden="false" customHeight="false" outlineLevel="0" collapsed="false">
      <c r="A1763" s="0" t="n">
        <v>1762</v>
      </c>
      <c r="B1763" s="27" t="n">
        <v>45831</v>
      </c>
      <c r="C1763" s="0" t="n">
        <v>2025</v>
      </c>
      <c r="D1763" s="28" t="s">
        <v>108</v>
      </c>
      <c r="E1763" s="0" t="n">
        <v>6</v>
      </c>
      <c r="F1763" s="28" t="s">
        <v>113</v>
      </c>
      <c r="G1763" s="28" t="s">
        <v>148</v>
      </c>
      <c r="H1763" s="28" t="s">
        <v>100</v>
      </c>
      <c r="I1763" s="28" t="s">
        <v>101</v>
      </c>
      <c r="J1763" s="28" t="s">
        <v>71</v>
      </c>
      <c r="K1763" s="28" t="s">
        <v>67</v>
      </c>
      <c r="L1763" s="28" t="s">
        <v>130</v>
      </c>
      <c r="M1763" s="28" t="s">
        <v>69</v>
      </c>
      <c r="N1763" s="28" t="s">
        <v>131</v>
      </c>
      <c r="O1763" s="29" t="n">
        <v>5</v>
      </c>
      <c r="P1763" s="30" t="n">
        <v>1155.06</v>
      </c>
      <c r="Q1763" s="30" t="n">
        <v>766.32</v>
      </c>
      <c r="R1763" s="30" t="n">
        <f aca="false">ROUND(O1763*P1763,2)</f>
        <v>5775.3</v>
      </c>
      <c r="S1763" s="30" t="n">
        <f aca="false">ROUND(O1763*Q1763,2)</f>
        <v>3831.6</v>
      </c>
      <c r="T1763" s="30" t="n">
        <f aca="false">ROUND(R1763*SUMIFS(Parametros!$E$23:$E$38,Parametros!$B$23:$B$38,J1763,Parametros!$C$23:$C$38,C1763,Parametros!$D$23:$D$38,D1763),2)</f>
        <v>427.37</v>
      </c>
      <c r="U1763" s="30" t="n">
        <f aca="false">R1763-S1763-T1763</f>
        <v>1516.33</v>
      </c>
    </row>
    <row r="1764" customFormat="false" ht="15" hidden="false" customHeight="false" outlineLevel="0" collapsed="false">
      <c r="A1764" s="0" t="n">
        <v>1763</v>
      </c>
      <c r="B1764" s="27" t="n">
        <v>45811</v>
      </c>
      <c r="C1764" s="0" t="n">
        <v>2025</v>
      </c>
      <c r="D1764" s="28" t="s">
        <v>108</v>
      </c>
      <c r="E1764" s="0" t="n">
        <v>6</v>
      </c>
      <c r="F1764" s="28" t="s">
        <v>113</v>
      </c>
      <c r="G1764" s="28" t="s">
        <v>148</v>
      </c>
      <c r="H1764" s="28" t="s">
        <v>100</v>
      </c>
      <c r="I1764" s="28" t="s">
        <v>101</v>
      </c>
      <c r="J1764" s="28" t="s">
        <v>66</v>
      </c>
      <c r="K1764" s="28" t="s">
        <v>67</v>
      </c>
      <c r="L1764" s="28" t="s">
        <v>130</v>
      </c>
      <c r="M1764" s="28" t="s">
        <v>72</v>
      </c>
      <c r="N1764" s="28" t="s">
        <v>132</v>
      </c>
      <c r="O1764" s="29" t="n">
        <v>7</v>
      </c>
      <c r="P1764" s="30" t="n">
        <v>433.15</v>
      </c>
      <c r="Q1764" s="30" t="n">
        <v>280.42</v>
      </c>
      <c r="R1764" s="30" t="n">
        <f aca="false">ROUND(O1764*P1764,2)</f>
        <v>3032.05</v>
      </c>
      <c r="S1764" s="30" t="n">
        <f aca="false">ROUND(O1764*Q1764,2)</f>
        <v>1962.94</v>
      </c>
      <c r="T1764" s="30" t="n">
        <f aca="false">ROUND(R1764*SUMIFS(Parametros!$E$23:$E$38,Parametros!$B$23:$B$38,J1764,Parametros!$C$23:$C$38,C1764,Parametros!$D$23:$D$38,D1764),2)</f>
        <v>42.45</v>
      </c>
      <c r="U1764" s="30" t="n">
        <f aca="false">R1764-S1764-T1764</f>
        <v>1026.66</v>
      </c>
    </row>
    <row r="1765" customFormat="false" ht="15" hidden="false" customHeight="false" outlineLevel="0" collapsed="false">
      <c r="A1765" s="0" t="n">
        <v>1764</v>
      </c>
      <c r="B1765" s="27" t="n">
        <v>45818</v>
      </c>
      <c r="C1765" s="0" t="n">
        <v>2025</v>
      </c>
      <c r="D1765" s="28" t="s">
        <v>108</v>
      </c>
      <c r="E1765" s="0" t="n">
        <v>6</v>
      </c>
      <c r="F1765" s="28" t="s">
        <v>113</v>
      </c>
      <c r="G1765" s="28" t="s">
        <v>148</v>
      </c>
      <c r="H1765" s="28" t="s">
        <v>100</v>
      </c>
      <c r="I1765" s="28" t="s">
        <v>101</v>
      </c>
      <c r="J1765" s="28" t="s">
        <v>71</v>
      </c>
      <c r="K1765" s="28" t="s">
        <v>67</v>
      </c>
      <c r="L1765" s="28" t="s">
        <v>130</v>
      </c>
      <c r="M1765" s="28" t="s">
        <v>72</v>
      </c>
      <c r="N1765" s="28" t="s">
        <v>132</v>
      </c>
      <c r="O1765" s="29" t="n">
        <v>5</v>
      </c>
      <c r="P1765" s="30" t="n">
        <v>433.15</v>
      </c>
      <c r="Q1765" s="30" t="n">
        <v>280.42</v>
      </c>
      <c r="R1765" s="30" t="n">
        <f aca="false">ROUND(O1765*P1765,2)</f>
        <v>2165.75</v>
      </c>
      <c r="S1765" s="30" t="n">
        <f aca="false">ROUND(O1765*Q1765,2)</f>
        <v>1402.1</v>
      </c>
      <c r="T1765" s="30" t="n">
        <f aca="false">ROUND(R1765*SUMIFS(Parametros!$E$23:$E$38,Parametros!$B$23:$B$38,J1765,Parametros!$C$23:$C$38,C1765,Parametros!$D$23:$D$38,D1765),2)</f>
        <v>160.27</v>
      </c>
      <c r="U1765" s="30" t="n">
        <f aca="false">R1765-S1765-T1765</f>
        <v>603.38</v>
      </c>
    </row>
    <row r="1766" customFormat="false" ht="15" hidden="false" customHeight="false" outlineLevel="0" collapsed="false">
      <c r="A1766" s="0" t="n">
        <v>1765</v>
      </c>
      <c r="B1766" s="27" t="n">
        <v>45825</v>
      </c>
      <c r="C1766" s="0" t="n">
        <v>2025</v>
      </c>
      <c r="D1766" s="28" t="s">
        <v>108</v>
      </c>
      <c r="E1766" s="0" t="n">
        <v>6</v>
      </c>
      <c r="F1766" s="28" t="s">
        <v>113</v>
      </c>
      <c r="G1766" s="28" t="s">
        <v>148</v>
      </c>
      <c r="H1766" s="28" t="s">
        <v>100</v>
      </c>
      <c r="I1766" s="28" t="s">
        <v>101</v>
      </c>
      <c r="J1766" s="28" t="s">
        <v>66</v>
      </c>
      <c r="K1766" s="28" t="s">
        <v>67</v>
      </c>
      <c r="L1766" s="28" t="s">
        <v>130</v>
      </c>
      <c r="M1766" s="28" t="s">
        <v>74</v>
      </c>
      <c r="N1766" s="28" t="s">
        <v>133</v>
      </c>
      <c r="O1766" s="29" t="n">
        <v>8</v>
      </c>
      <c r="P1766" s="30" t="n">
        <v>1588.21</v>
      </c>
      <c r="Q1766" s="30" t="n">
        <v>1155.66</v>
      </c>
      <c r="R1766" s="30" t="n">
        <f aca="false">ROUND(O1766*P1766,2)</f>
        <v>12705.68</v>
      </c>
      <c r="S1766" s="30" t="n">
        <f aca="false">ROUND(O1766*Q1766,2)</f>
        <v>9245.28</v>
      </c>
      <c r="T1766" s="30" t="n">
        <f aca="false">ROUND(R1766*SUMIFS(Parametros!$E$23:$E$38,Parametros!$B$23:$B$38,J1766,Parametros!$C$23:$C$38,C1766,Parametros!$D$23:$D$38,D1766),2)</f>
        <v>177.88</v>
      </c>
      <c r="U1766" s="30" t="n">
        <f aca="false">R1766-S1766-T1766</f>
        <v>3282.52</v>
      </c>
    </row>
    <row r="1767" customFormat="false" ht="15" hidden="false" customHeight="false" outlineLevel="0" collapsed="false">
      <c r="A1767" s="0" t="n">
        <v>1766</v>
      </c>
      <c r="B1767" s="27" t="n">
        <v>45832</v>
      </c>
      <c r="C1767" s="0" t="n">
        <v>2025</v>
      </c>
      <c r="D1767" s="28" t="s">
        <v>108</v>
      </c>
      <c r="E1767" s="0" t="n">
        <v>6</v>
      </c>
      <c r="F1767" s="28" t="s">
        <v>113</v>
      </c>
      <c r="G1767" s="28" t="s">
        <v>148</v>
      </c>
      <c r="H1767" s="28" t="s">
        <v>100</v>
      </c>
      <c r="I1767" s="28" t="s">
        <v>101</v>
      </c>
      <c r="J1767" s="28" t="s">
        <v>71</v>
      </c>
      <c r="K1767" s="28" t="s">
        <v>67</v>
      </c>
      <c r="L1767" s="28" t="s">
        <v>130</v>
      </c>
      <c r="M1767" s="28" t="s">
        <v>74</v>
      </c>
      <c r="N1767" s="28" t="s">
        <v>133</v>
      </c>
      <c r="O1767" s="29" t="n">
        <v>4</v>
      </c>
      <c r="P1767" s="30" t="n">
        <v>1588.21</v>
      </c>
      <c r="Q1767" s="30" t="n">
        <v>1155.66</v>
      </c>
      <c r="R1767" s="30" t="n">
        <f aca="false">ROUND(O1767*P1767,2)</f>
        <v>6352.84</v>
      </c>
      <c r="S1767" s="30" t="n">
        <f aca="false">ROUND(O1767*Q1767,2)</f>
        <v>4622.64</v>
      </c>
      <c r="T1767" s="30" t="n">
        <f aca="false">ROUND(R1767*SUMIFS(Parametros!$E$23:$E$38,Parametros!$B$23:$B$38,J1767,Parametros!$C$23:$C$38,C1767,Parametros!$D$23:$D$38,D1767),2)</f>
        <v>470.11</v>
      </c>
      <c r="U1767" s="30" t="n">
        <f aca="false">R1767-S1767-T1767</f>
        <v>1260.09</v>
      </c>
    </row>
    <row r="1768" customFormat="false" ht="15" hidden="false" customHeight="false" outlineLevel="0" collapsed="false">
      <c r="A1768" s="0" t="n">
        <v>1767</v>
      </c>
      <c r="B1768" s="27" t="n">
        <v>45812</v>
      </c>
      <c r="C1768" s="0" t="n">
        <v>2025</v>
      </c>
      <c r="D1768" s="28" t="s">
        <v>108</v>
      </c>
      <c r="E1768" s="0" t="n">
        <v>6</v>
      </c>
      <c r="F1768" s="28" t="s">
        <v>113</v>
      </c>
      <c r="G1768" s="28" t="s">
        <v>148</v>
      </c>
      <c r="H1768" s="28" t="s">
        <v>100</v>
      </c>
      <c r="I1768" s="28" t="s">
        <v>101</v>
      </c>
      <c r="J1768" s="28" t="s">
        <v>66</v>
      </c>
      <c r="K1768" s="28" t="s">
        <v>76</v>
      </c>
      <c r="L1768" s="28" t="s">
        <v>134</v>
      </c>
      <c r="M1768" s="28" t="s">
        <v>78</v>
      </c>
      <c r="N1768" s="28" t="s">
        <v>135</v>
      </c>
      <c r="O1768" s="29" t="n">
        <v>30</v>
      </c>
      <c r="P1768" s="30" t="n">
        <v>27.82</v>
      </c>
      <c r="Q1768" s="30" t="n">
        <v>13.84</v>
      </c>
      <c r="R1768" s="30" t="n">
        <f aca="false">ROUND(O1768*P1768,2)</f>
        <v>834.6</v>
      </c>
      <c r="S1768" s="30" t="n">
        <f aca="false">ROUND(O1768*Q1768,2)</f>
        <v>415.2</v>
      </c>
      <c r="T1768" s="30" t="n">
        <f aca="false">ROUND(R1768*SUMIFS(Parametros!$E$23:$E$38,Parametros!$B$23:$B$38,J1768,Parametros!$C$23:$C$38,C1768,Parametros!$D$23:$D$38,D1768),2)</f>
        <v>11.68</v>
      </c>
      <c r="U1768" s="30" t="n">
        <f aca="false">R1768-S1768-T1768</f>
        <v>407.72</v>
      </c>
    </row>
    <row r="1769" customFormat="false" ht="15" hidden="false" customHeight="false" outlineLevel="0" collapsed="false">
      <c r="A1769" s="0" t="n">
        <v>1768</v>
      </c>
      <c r="B1769" s="27" t="n">
        <v>45819</v>
      </c>
      <c r="C1769" s="0" t="n">
        <v>2025</v>
      </c>
      <c r="D1769" s="28" t="s">
        <v>108</v>
      </c>
      <c r="E1769" s="0" t="n">
        <v>6</v>
      </c>
      <c r="F1769" s="28" t="s">
        <v>113</v>
      </c>
      <c r="G1769" s="28" t="s">
        <v>148</v>
      </c>
      <c r="H1769" s="28" t="s">
        <v>100</v>
      </c>
      <c r="I1769" s="28" t="s">
        <v>101</v>
      </c>
      <c r="J1769" s="28" t="s">
        <v>71</v>
      </c>
      <c r="K1769" s="28" t="s">
        <v>76</v>
      </c>
      <c r="L1769" s="28" t="s">
        <v>134</v>
      </c>
      <c r="M1769" s="28" t="s">
        <v>78</v>
      </c>
      <c r="N1769" s="28" t="s">
        <v>135</v>
      </c>
      <c r="O1769" s="29" t="n">
        <v>21</v>
      </c>
      <c r="P1769" s="30" t="n">
        <v>27.82</v>
      </c>
      <c r="Q1769" s="30" t="n">
        <v>13.84</v>
      </c>
      <c r="R1769" s="30" t="n">
        <f aca="false">ROUND(O1769*P1769,2)</f>
        <v>584.22</v>
      </c>
      <c r="S1769" s="30" t="n">
        <f aca="false">ROUND(O1769*Q1769,2)</f>
        <v>290.64</v>
      </c>
      <c r="T1769" s="30" t="n">
        <f aca="false">ROUND(R1769*SUMIFS(Parametros!$E$23:$E$38,Parametros!$B$23:$B$38,J1769,Parametros!$C$23:$C$38,C1769,Parametros!$D$23:$D$38,D1769),2)</f>
        <v>43.23</v>
      </c>
      <c r="U1769" s="30" t="n">
        <f aca="false">R1769-S1769-T1769</f>
        <v>250.35</v>
      </c>
    </row>
    <row r="1770" customFormat="false" ht="15" hidden="false" customHeight="false" outlineLevel="0" collapsed="false">
      <c r="A1770" s="0" t="n">
        <v>1769</v>
      </c>
      <c r="B1770" s="27" t="n">
        <v>45826</v>
      </c>
      <c r="C1770" s="0" t="n">
        <v>2025</v>
      </c>
      <c r="D1770" s="28" t="s">
        <v>108</v>
      </c>
      <c r="E1770" s="0" t="n">
        <v>6</v>
      </c>
      <c r="F1770" s="28" t="s">
        <v>113</v>
      </c>
      <c r="G1770" s="28" t="s">
        <v>148</v>
      </c>
      <c r="H1770" s="28" t="s">
        <v>100</v>
      </c>
      <c r="I1770" s="28" t="s">
        <v>101</v>
      </c>
      <c r="J1770" s="28" t="s">
        <v>66</v>
      </c>
      <c r="K1770" s="28" t="s">
        <v>76</v>
      </c>
      <c r="L1770" s="28" t="s">
        <v>134</v>
      </c>
      <c r="M1770" s="28" t="s">
        <v>80</v>
      </c>
      <c r="N1770" s="28" t="s">
        <v>136</v>
      </c>
      <c r="O1770" s="29" t="n">
        <v>28</v>
      </c>
      <c r="P1770" s="30" t="n">
        <v>94.39</v>
      </c>
      <c r="Q1770" s="30" t="n">
        <v>49.41</v>
      </c>
      <c r="R1770" s="30" t="n">
        <f aca="false">ROUND(O1770*P1770,2)</f>
        <v>2642.92</v>
      </c>
      <c r="S1770" s="30" t="n">
        <f aca="false">ROUND(O1770*Q1770,2)</f>
        <v>1383.48</v>
      </c>
      <c r="T1770" s="30" t="n">
        <f aca="false">ROUND(R1770*SUMIFS(Parametros!$E$23:$E$38,Parametros!$B$23:$B$38,J1770,Parametros!$C$23:$C$38,C1770,Parametros!$D$23:$D$38,D1770),2)</f>
        <v>37</v>
      </c>
      <c r="U1770" s="30" t="n">
        <f aca="false">R1770-S1770-T1770</f>
        <v>1222.44</v>
      </c>
    </row>
    <row r="1771" customFormat="false" ht="15" hidden="false" customHeight="false" outlineLevel="0" collapsed="false">
      <c r="A1771" s="0" t="n">
        <v>1770</v>
      </c>
      <c r="B1771" s="27" t="n">
        <v>45833</v>
      </c>
      <c r="C1771" s="0" t="n">
        <v>2025</v>
      </c>
      <c r="D1771" s="28" t="s">
        <v>108</v>
      </c>
      <c r="E1771" s="0" t="n">
        <v>6</v>
      </c>
      <c r="F1771" s="28" t="s">
        <v>113</v>
      </c>
      <c r="G1771" s="28" t="s">
        <v>148</v>
      </c>
      <c r="H1771" s="28" t="s">
        <v>100</v>
      </c>
      <c r="I1771" s="28" t="s">
        <v>101</v>
      </c>
      <c r="J1771" s="28" t="s">
        <v>71</v>
      </c>
      <c r="K1771" s="28" t="s">
        <v>76</v>
      </c>
      <c r="L1771" s="28" t="s">
        <v>134</v>
      </c>
      <c r="M1771" s="28" t="s">
        <v>80</v>
      </c>
      <c r="N1771" s="28" t="s">
        <v>136</v>
      </c>
      <c r="O1771" s="29" t="n">
        <v>19</v>
      </c>
      <c r="P1771" s="30" t="n">
        <v>94.39</v>
      </c>
      <c r="Q1771" s="30" t="n">
        <v>49.41</v>
      </c>
      <c r="R1771" s="30" t="n">
        <f aca="false">ROUND(O1771*P1771,2)</f>
        <v>1793.41</v>
      </c>
      <c r="S1771" s="30" t="n">
        <f aca="false">ROUND(O1771*Q1771,2)</f>
        <v>938.79</v>
      </c>
      <c r="T1771" s="30" t="n">
        <f aca="false">ROUND(R1771*SUMIFS(Parametros!$E$23:$E$38,Parametros!$B$23:$B$38,J1771,Parametros!$C$23:$C$38,C1771,Parametros!$D$23:$D$38,D1771),2)</f>
        <v>132.71</v>
      </c>
      <c r="U1771" s="30" t="n">
        <f aca="false">R1771-S1771-T1771</f>
        <v>721.91</v>
      </c>
    </row>
    <row r="1772" customFormat="false" ht="15" hidden="false" customHeight="false" outlineLevel="0" collapsed="false">
      <c r="A1772" s="0" t="n">
        <v>1771</v>
      </c>
      <c r="B1772" s="27" t="n">
        <v>45813</v>
      </c>
      <c r="C1772" s="0" t="n">
        <v>2025</v>
      </c>
      <c r="D1772" s="28" t="s">
        <v>108</v>
      </c>
      <c r="E1772" s="0" t="n">
        <v>6</v>
      </c>
      <c r="F1772" s="28" t="s">
        <v>113</v>
      </c>
      <c r="G1772" s="28" t="s">
        <v>148</v>
      </c>
      <c r="H1772" s="28" t="s">
        <v>100</v>
      </c>
      <c r="I1772" s="28" t="s">
        <v>101</v>
      </c>
      <c r="J1772" s="28" t="s">
        <v>66</v>
      </c>
      <c r="K1772" s="28" t="s">
        <v>76</v>
      </c>
      <c r="L1772" s="28" t="s">
        <v>134</v>
      </c>
      <c r="M1772" s="28" t="s">
        <v>82</v>
      </c>
      <c r="N1772" s="28" t="s">
        <v>137</v>
      </c>
      <c r="O1772" s="29" t="n">
        <v>30</v>
      </c>
      <c r="P1772" s="30" t="n">
        <v>64.58</v>
      </c>
      <c r="Q1772" s="30" t="n">
        <v>36.49</v>
      </c>
      <c r="R1772" s="30" t="n">
        <f aca="false">ROUND(O1772*P1772,2)</f>
        <v>1937.4</v>
      </c>
      <c r="S1772" s="30" t="n">
        <f aca="false">ROUND(O1772*Q1772,2)</f>
        <v>1094.7</v>
      </c>
      <c r="T1772" s="30" t="n">
        <f aca="false">ROUND(R1772*SUMIFS(Parametros!$E$23:$E$38,Parametros!$B$23:$B$38,J1772,Parametros!$C$23:$C$38,C1772,Parametros!$D$23:$D$38,D1772),2)</f>
        <v>27.12</v>
      </c>
      <c r="U1772" s="30" t="n">
        <f aca="false">R1772-S1772-T1772</f>
        <v>815.58</v>
      </c>
    </row>
    <row r="1773" customFormat="false" ht="15" hidden="false" customHeight="false" outlineLevel="0" collapsed="false">
      <c r="A1773" s="0" t="n">
        <v>1772</v>
      </c>
      <c r="B1773" s="27" t="n">
        <v>45820</v>
      </c>
      <c r="C1773" s="0" t="n">
        <v>2025</v>
      </c>
      <c r="D1773" s="28" t="s">
        <v>108</v>
      </c>
      <c r="E1773" s="0" t="n">
        <v>6</v>
      </c>
      <c r="F1773" s="28" t="s">
        <v>113</v>
      </c>
      <c r="G1773" s="28" t="s">
        <v>148</v>
      </c>
      <c r="H1773" s="28" t="s">
        <v>100</v>
      </c>
      <c r="I1773" s="28" t="s">
        <v>101</v>
      </c>
      <c r="J1773" s="28" t="s">
        <v>71</v>
      </c>
      <c r="K1773" s="28" t="s">
        <v>76</v>
      </c>
      <c r="L1773" s="28" t="s">
        <v>134</v>
      </c>
      <c r="M1773" s="28" t="s">
        <v>82</v>
      </c>
      <c r="N1773" s="28" t="s">
        <v>137</v>
      </c>
      <c r="O1773" s="29" t="n">
        <v>22</v>
      </c>
      <c r="P1773" s="30" t="n">
        <v>64.58</v>
      </c>
      <c r="Q1773" s="30" t="n">
        <v>36.49</v>
      </c>
      <c r="R1773" s="30" t="n">
        <f aca="false">ROUND(O1773*P1773,2)</f>
        <v>1420.76</v>
      </c>
      <c r="S1773" s="30" t="n">
        <f aca="false">ROUND(O1773*Q1773,2)</f>
        <v>802.78</v>
      </c>
      <c r="T1773" s="30" t="n">
        <f aca="false">ROUND(R1773*SUMIFS(Parametros!$E$23:$E$38,Parametros!$B$23:$B$38,J1773,Parametros!$C$23:$C$38,C1773,Parametros!$D$23:$D$38,D1773),2)</f>
        <v>105.14</v>
      </c>
      <c r="U1773" s="30" t="n">
        <f aca="false">R1773-S1773-T1773</f>
        <v>512.84</v>
      </c>
    </row>
    <row r="1774" customFormat="false" ht="15" hidden="false" customHeight="false" outlineLevel="0" collapsed="false">
      <c r="A1774" s="0" t="n">
        <v>1773</v>
      </c>
      <c r="B1774" s="27" t="n">
        <v>45827</v>
      </c>
      <c r="C1774" s="0" t="n">
        <v>2025</v>
      </c>
      <c r="D1774" s="28" t="s">
        <v>108</v>
      </c>
      <c r="E1774" s="0" t="n">
        <v>6</v>
      </c>
      <c r="F1774" s="28" t="s">
        <v>113</v>
      </c>
      <c r="G1774" s="28" t="s">
        <v>148</v>
      </c>
      <c r="H1774" s="28" t="s">
        <v>100</v>
      </c>
      <c r="I1774" s="28" t="s">
        <v>101</v>
      </c>
      <c r="J1774" s="28" t="s">
        <v>66</v>
      </c>
      <c r="K1774" s="28" t="s">
        <v>84</v>
      </c>
      <c r="L1774" s="28" t="s">
        <v>138</v>
      </c>
      <c r="M1774" s="28" t="s">
        <v>86</v>
      </c>
      <c r="N1774" s="28" t="s">
        <v>139</v>
      </c>
      <c r="O1774" s="29" t="n">
        <v>14</v>
      </c>
      <c r="P1774" s="30" t="n">
        <v>119.23</v>
      </c>
      <c r="Q1774" s="30" t="n">
        <v>65.51</v>
      </c>
      <c r="R1774" s="30" t="n">
        <f aca="false">ROUND(O1774*P1774,2)</f>
        <v>1669.22</v>
      </c>
      <c r="S1774" s="30" t="n">
        <f aca="false">ROUND(O1774*Q1774,2)</f>
        <v>917.14</v>
      </c>
      <c r="T1774" s="30" t="n">
        <f aca="false">ROUND(R1774*SUMIFS(Parametros!$E$23:$E$38,Parametros!$B$23:$B$38,J1774,Parametros!$C$23:$C$38,C1774,Parametros!$D$23:$D$38,D1774),2)</f>
        <v>23.37</v>
      </c>
      <c r="U1774" s="30" t="n">
        <f aca="false">R1774-S1774-T1774</f>
        <v>728.71</v>
      </c>
    </row>
    <row r="1775" customFormat="false" ht="15" hidden="false" customHeight="false" outlineLevel="0" collapsed="false">
      <c r="A1775" s="0" t="n">
        <v>1774</v>
      </c>
      <c r="B1775" s="27" t="n">
        <v>45834</v>
      </c>
      <c r="C1775" s="0" t="n">
        <v>2025</v>
      </c>
      <c r="D1775" s="28" t="s">
        <v>108</v>
      </c>
      <c r="E1775" s="0" t="n">
        <v>6</v>
      </c>
      <c r="F1775" s="28" t="s">
        <v>113</v>
      </c>
      <c r="G1775" s="28" t="s">
        <v>148</v>
      </c>
      <c r="H1775" s="28" t="s">
        <v>100</v>
      </c>
      <c r="I1775" s="28" t="s">
        <v>101</v>
      </c>
      <c r="J1775" s="28" t="s">
        <v>71</v>
      </c>
      <c r="K1775" s="28" t="s">
        <v>84</v>
      </c>
      <c r="L1775" s="28" t="s">
        <v>138</v>
      </c>
      <c r="M1775" s="28" t="s">
        <v>86</v>
      </c>
      <c r="N1775" s="28" t="s">
        <v>139</v>
      </c>
      <c r="O1775" s="29" t="n">
        <v>9</v>
      </c>
      <c r="P1775" s="30" t="n">
        <v>119.23</v>
      </c>
      <c r="Q1775" s="30" t="n">
        <v>65.51</v>
      </c>
      <c r="R1775" s="30" t="n">
        <f aca="false">ROUND(O1775*P1775,2)</f>
        <v>1073.07</v>
      </c>
      <c r="S1775" s="30" t="n">
        <f aca="false">ROUND(O1775*Q1775,2)</f>
        <v>589.59</v>
      </c>
      <c r="T1775" s="30" t="n">
        <f aca="false">ROUND(R1775*SUMIFS(Parametros!$E$23:$E$38,Parametros!$B$23:$B$38,J1775,Parametros!$C$23:$C$38,C1775,Parametros!$D$23:$D$38,D1775),2)</f>
        <v>79.41</v>
      </c>
      <c r="U1775" s="30" t="n">
        <f aca="false">R1775-S1775-T1775</f>
        <v>404.07</v>
      </c>
    </row>
    <row r="1776" customFormat="false" ht="15" hidden="false" customHeight="false" outlineLevel="0" collapsed="false">
      <c r="A1776" s="0" t="n">
        <v>1775</v>
      </c>
      <c r="B1776" s="27" t="n">
        <v>45814</v>
      </c>
      <c r="C1776" s="0" t="n">
        <v>2025</v>
      </c>
      <c r="D1776" s="28" t="s">
        <v>108</v>
      </c>
      <c r="E1776" s="0" t="n">
        <v>6</v>
      </c>
      <c r="F1776" s="28" t="s">
        <v>113</v>
      </c>
      <c r="G1776" s="28" t="s">
        <v>148</v>
      </c>
      <c r="H1776" s="28" t="s">
        <v>100</v>
      </c>
      <c r="I1776" s="28" t="s">
        <v>101</v>
      </c>
      <c r="J1776" s="28" t="s">
        <v>66</v>
      </c>
      <c r="K1776" s="28" t="s">
        <v>84</v>
      </c>
      <c r="L1776" s="28" t="s">
        <v>138</v>
      </c>
      <c r="M1776" s="28" t="s">
        <v>88</v>
      </c>
      <c r="N1776" s="28" t="s">
        <v>140</v>
      </c>
      <c r="O1776" s="29" t="n">
        <v>16</v>
      </c>
      <c r="P1776" s="30" t="n">
        <v>84.46</v>
      </c>
      <c r="Q1776" s="30" t="n">
        <v>49.47</v>
      </c>
      <c r="R1776" s="30" t="n">
        <f aca="false">ROUND(O1776*P1776,2)</f>
        <v>1351.36</v>
      </c>
      <c r="S1776" s="30" t="n">
        <f aca="false">ROUND(O1776*Q1776,2)</f>
        <v>791.52</v>
      </c>
      <c r="T1776" s="30" t="n">
        <f aca="false">ROUND(R1776*SUMIFS(Parametros!$E$23:$E$38,Parametros!$B$23:$B$38,J1776,Parametros!$C$23:$C$38,C1776,Parametros!$D$23:$D$38,D1776),2)</f>
        <v>18.92</v>
      </c>
      <c r="U1776" s="30" t="n">
        <f aca="false">R1776-S1776-T1776</f>
        <v>540.92</v>
      </c>
    </row>
    <row r="1777" customFormat="false" ht="15" hidden="false" customHeight="false" outlineLevel="0" collapsed="false">
      <c r="A1777" s="0" t="n">
        <v>1776</v>
      </c>
      <c r="B1777" s="27" t="n">
        <v>45821</v>
      </c>
      <c r="C1777" s="0" t="n">
        <v>2025</v>
      </c>
      <c r="D1777" s="28" t="s">
        <v>108</v>
      </c>
      <c r="E1777" s="0" t="n">
        <v>6</v>
      </c>
      <c r="F1777" s="28" t="s">
        <v>113</v>
      </c>
      <c r="G1777" s="28" t="s">
        <v>148</v>
      </c>
      <c r="H1777" s="28" t="s">
        <v>100</v>
      </c>
      <c r="I1777" s="28" t="s">
        <v>101</v>
      </c>
      <c r="J1777" s="28" t="s">
        <v>71</v>
      </c>
      <c r="K1777" s="28" t="s">
        <v>84</v>
      </c>
      <c r="L1777" s="28" t="s">
        <v>138</v>
      </c>
      <c r="M1777" s="28" t="s">
        <v>88</v>
      </c>
      <c r="N1777" s="28" t="s">
        <v>140</v>
      </c>
      <c r="O1777" s="29" t="n">
        <v>10</v>
      </c>
      <c r="P1777" s="30" t="n">
        <v>84.46</v>
      </c>
      <c r="Q1777" s="30" t="n">
        <v>49.47</v>
      </c>
      <c r="R1777" s="30" t="n">
        <f aca="false">ROUND(O1777*P1777,2)</f>
        <v>844.6</v>
      </c>
      <c r="S1777" s="30" t="n">
        <f aca="false">ROUND(O1777*Q1777,2)</f>
        <v>494.7</v>
      </c>
      <c r="T1777" s="30" t="n">
        <f aca="false">ROUND(R1777*SUMIFS(Parametros!$E$23:$E$38,Parametros!$B$23:$B$38,J1777,Parametros!$C$23:$C$38,C1777,Parametros!$D$23:$D$38,D1777),2)</f>
        <v>62.5</v>
      </c>
      <c r="U1777" s="30" t="n">
        <f aca="false">R1777-S1777-T1777</f>
        <v>287.4</v>
      </c>
    </row>
    <row r="1778" customFormat="false" ht="15" hidden="false" customHeight="false" outlineLevel="0" collapsed="false">
      <c r="A1778" s="0" t="n">
        <v>1777</v>
      </c>
      <c r="B1778" s="27" t="n">
        <v>45828</v>
      </c>
      <c r="C1778" s="0" t="n">
        <v>2025</v>
      </c>
      <c r="D1778" s="28" t="s">
        <v>108</v>
      </c>
      <c r="E1778" s="0" t="n">
        <v>6</v>
      </c>
      <c r="F1778" s="28" t="s">
        <v>113</v>
      </c>
      <c r="G1778" s="28" t="s">
        <v>148</v>
      </c>
      <c r="H1778" s="28" t="s">
        <v>100</v>
      </c>
      <c r="I1778" s="28" t="s">
        <v>101</v>
      </c>
      <c r="J1778" s="28" t="s">
        <v>66</v>
      </c>
      <c r="K1778" s="28" t="s">
        <v>90</v>
      </c>
      <c r="L1778" s="28" t="s">
        <v>141</v>
      </c>
      <c r="M1778" s="28" t="s">
        <v>92</v>
      </c>
      <c r="N1778" s="28" t="s">
        <v>142</v>
      </c>
      <c r="O1778" s="29" t="n">
        <v>19</v>
      </c>
      <c r="P1778" s="30" t="n">
        <v>129.17</v>
      </c>
      <c r="Q1778" s="30" t="n">
        <v>78.33</v>
      </c>
      <c r="R1778" s="30" t="n">
        <f aca="false">ROUND(O1778*P1778,2)</f>
        <v>2454.23</v>
      </c>
      <c r="S1778" s="30" t="n">
        <f aca="false">ROUND(O1778*Q1778,2)</f>
        <v>1488.27</v>
      </c>
      <c r="T1778" s="30" t="n">
        <f aca="false">ROUND(R1778*SUMIFS(Parametros!$E$23:$E$38,Parametros!$B$23:$B$38,J1778,Parametros!$C$23:$C$38,C1778,Parametros!$D$23:$D$38,D1778),2)</f>
        <v>34.36</v>
      </c>
      <c r="U1778" s="30" t="n">
        <f aca="false">R1778-S1778-T1778</f>
        <v>931.6</v>
      </c>
    </row>
    <row r="1779" customFormat="false" ht="15" hidden="false" customHeight="false" outlineLevel="0" collapsed="false">
      <c r="A1779" s="0" t="n">
        <v>1778</v>
      </c>
      <c r="B1779" s="27" t="n">
        <v>45835</v>
      </c>
      <c r="C1779" s="0" t="n">
        <v>2025</v>
      </c>
      <c r="D1779" s="28" t="s">
        <v>108</v>
      </c>
      <c r="E1779" s="0" t="n">
        <v>6</v>
      </c>
      <c r="F1779" s="28" t="s">
        <v>113</v>
      </c>
      <c r="G1779" s="28" t="s">
        <v>148</v>
      </c>
      <c r="H1779" s="28" t="s">
        <v>100</v>
      </c>
      <c r="I1779" s="28" t="s">
        <v>101</v>
      </c>
      <c r="J1779" s="28" t="s">
        <v>71</v>
      </c>
      <c r="K1779" s="28" t="s">
        <v>90</v>
      </c>
      <c r="L1779" s="28" t="s">
        <v>141</v>
      </c>
      <c r="M1779" s="28" t="s">
        <v>92</v>
      </c>
      <c r="N1779" s="28" t="s">
        <v>142</v>
      </c>
      <c r="O1779" s="29" t="n">
        <v>10</v>
      </c>
      <c r="P1779" s="30" t="n">
        <v>129.17</v>
      </c>
      <c r="Q1779" s="30" t="n">
        <v>78.33</v>
      </c>
      <c r="R1779" s="30" t="n">
        <f aca="false">ROUND(O1779*P1779,2)</f>
        <v>1291.7</v>
      </c>
      <c r="S1779" s="30" t="n">
        <f aca="false">ROUND(O1779*Q1779,2)</f>
        <v>783.3</v>
      </c>
      <c r="T1779" s="30" t="n">
        <f aca="false">ROUND(R1779*SUMIFS(Parametros!$E$23:$E$38,Parametros!$B$23:$B$38,J1779,Parametros!$C$23:$C$38,C1779,Parametros!$D$23:$D$38,D1779),2)</f>
        <v>95.59</v>
      </c>
      <c r="U1779" s="30" t="n">
        <f aca="false">R1779-S1779-T1779</f>
        <v>412.81</v>
      </c>
    </row>
    <row r="1780" customFormat="false" ht="15" hidden="false" customHeight="false" outlineLevel="0" collapsed="false">
      <c r="A1780" s="0" t="n">
        <v>1779</v>
      </c>
      <c r="B1780" s="27" t="n">
        <v>45815</v>
      </c>
      <c r="C1780" s="0" t="n">
        <v>2025</v>
      </c>
      <c r="D1780" s="28" t="s">
        <v>108</v>
      </c>
      <c r="E1780" s="0" t="n">
        <v>6</v>
      </c>
      <c r="F1780" s="28" t="s">
        <v>113</v>
      </c>
      <c r="G1780" s="28" t="s">
        <v>148</v>
      </c>
      <c r="H1780" s="28" t="s">
        <v>100</v>
      </c>
      <c r="I1780" s="28" t="s">
        <v>101</v>
      </c>
      <c r="J1780" s="28" t="s">
        <v>66</v>
      </c>
      <c r="K1780" s="28" t="s">
        <v>90</v>
      </c>
      <c r="L1780" s="28" t="s">
        <v>141</v>
      </c>
      <c r="M1780" s="28" t="s">
        <v>94</v>
      </c>
      <c r="N1780" s="28" t="s">
        <v>143</v>
      </c>
      <c r="O1780" s="29" t="n">
        <v>21</v>
      </c>
      <c r="P1780" s="30" t="n">
        <v>34.78</v>
      </c>
      <c r="Q1780" s="30" t="n">
        <v>18.39</v>
      </c>
      <c r="R1780" s="30" t="n">
        <f aca="false">ROUND(O1780*P1780,2)</f>
        <v>730.38</v>
      </c>
      <c r="S1780" s="30" t="n">
        <f aca="false">ROUND(O1780*Q1780,2)</f>
        <v>386.19</v>
      </c>
      <c r="T1780" s="30" t="n">
        <f aca="false">ROUND(R1780*SUMIFS(Parametros!$E$23:$E$38,Parametros!$B$23:$B$38,J1780,Parametros!$C$23:$C$38,C1780,Parametros!$D$23:$D$38,D1780),2)</f>
        <v>10.23</v>
      </c>
      <c r="U1780" s="30" t="n">
        <f aca="false">R1780-S1780-T1780</f>
        <v>333.96</v>
      </c>
    </row>
    <row r="1781" customFormat="false" ht="15" hidden="false" customHeight="false" outlineLevel="0" collapsed="false">
      <c r="A1781" s="0" t="n">
        <v>1780</v>
      </c>
      <c r="B1781" s="27" t="n">
        <v>45822</v>
      </c>
      <c r="C1781" s="0" t="n">
        <v>2025</v>
      </c>
      <c r="D1781" s="28" t="s">
        <v>108</v>
      </c>
      <c r="E1781" s="0" t="n">
        <v>6</v>
      </c>
      <c r="F1781" s="28" t="s">
        <v>113</v>
      </c>
      <c r="G1781" s="28" t="s">
        <v>148</v>
      </c>
      <c r="H1781" s="28" t="s">
        <v>100</v>
      </c>
      <c r="I1781" s="28" t="s">
        <v>101</v>
      </c>
      <c r="J1781" s="28" t="s">
        <v>71</v>
      </c>
      <c r="K1781" s="28" t="s">
        <v>90</v>
      </c>
      <c r="L1781" s="28" t="s">
        <v>141</v>
      </c>
      <c r="M1781" s="28" t="s">
        <v>94</v>
      </c>
      <c r="N1781" s="28" t="s">
        <v>143</v>
      </c>
      <c r="O1781" s="29" t="n">
        <v>12</v>
      </c>
      <c r="P1781" s="30" t="n">
        <v>34.78</v>
      </c>
      <c r="Q1781" s="30" t="n">
        <v>18.39</v>
      </c>
      <c r="R1781" s="30" t="n">
        <f aca="false">ROUND(O1781*P1781,2)</f>
        <v>417.36</v>
      </c>
      <c r="S1781" s="30" t="n">
        <f aca="false">ROUND(O1781*Q1781,2)</f>
        <v>220.68</v>
      </c>
      <c r="T1781" s="30" t="n">
        <f aca="false">ROUND(R1781*SUMIFS(Parametros!$E$23:$E$38,Parametros!$B$23:$B$38,J1781,Parametros!$C$23:$C$38,C1781,Parametros!$D$23:$D$38,D1781),2)</f>
        <v>30.88</v>
      </c>
      <c r="U1781" s="30" t="n">
        <f aca="false">R1781-S1781-T1781</f>
        <v>165.8</v>
      </c>
    </row>
    <row r="1782" customFormat="false" ht="15" hidden="false" customHeight="false" outlineLevel="0" collapsed="false">
      <c r="A1782" s="0" t="n">
        <v>1781</v>
      </c>
      <c r="B1782" s="27" t="n">
        <v>45829</v>
      </c>
      <c r="C1782" s="0" t="n">
        <v>2025</v>
      </c>
      <c r="D1782" s="28" t="s">
        <v>108</v>
      </c>
      <c r="E1782" s="0" t="n">
        <v>6</v>
      </c>
      <c r="F1782" s="28" t="s">
        <v>113</v>
      </c>
      <c r="G1782" s="28" t="s">
        <v>148</v>
      </c>
      <c r="H1782" s="28" t="s">
        <v>102</v>
      </c>
      <c r="I1782" s="28" t="s">
        <v>103</v>
      </c>
      <c r="J1782" s="28" t="s">
        <v>66</v>
      </c>
      <c r="K1782" s="28" t="s">
        <v>67</v>
      </c>
      <c r="L1782" s="28" t="s">
        <v>130</v>
      </c>
      <c r="M1782" s="28" t="s">
        <v>69</v>
      </c>
      <c r="N1782" s="28" t="s">
        <v>131</v>
      </c>
      <c r="O1782" s="29" t="n">
        <v>8</v>
      </c>
      <c r="P1782" s="30" t="n">
        <v>1155.06</v>
      </c>
      <c r="Q1782" s="30" t="n">
        <v>766.32</v>
      </c>
      <c r="R1782" s="30" t="n">
        <f aca="false">ROUND(O1782*P1782,2)</f>
        <v>9240.48</v>
      </c>
      <c r="S1782" s="30" t="n">
        <f aca="false">ROUND(O1782*Q1782,2)</f>
        <v>6130.56</v>
      </c>
      <c r="T1782" s="30" t="n">
        <f aca="false">ROUND(R1782*SUMIFS(Parametros!$E$23:$E$38,Parametros!$B$23:$B$38,J1782,Parametros!$C$23:$C$38,C1782,Parametros!$D$23:$D$38,D1782),2)</f>
        <v>129.37</v>
      </c>
      <c r="U1782" s="30" t="n">
        <f aca="false">R1782-S1782-T1782</f>
        <v>2980.55</v>
      </c>
    </row>
    <row r="1783" customFormat="false" ht="15" hidden="false" customHeight="false" outlineLevel="0" collapsed="false">
      <c r="A1783" s="0" t="n">
        <v>1782</v>
      </c>
      <c r="B1783" s="27" t="n">
        <v>45809</v>
      </c>
      <c r="C1783" s="0" t="n">
        <v>2025</v>
      </c>
      <c r="D1783" s="28" t="s">
        <v>108</v>
      </c>
      <c r="E1783" s="0" t="n">
        <v>6</v>
      </c>
      <c r="F1783" s="28" t="s">
        <v>113</v>
      </c>
      <c r="G1783" s="28" t="s">
        <v>148</v>
      </c>
      <c r="H1783" s="28" t="s">
        <v>102</v>
      </c>
      <c r="I1783" s="28" t="s">
        <v>103</v>
      </c>
      <c r="J1783" s="28" t="s">
        <v>71</v>
      </c>
      <c r="K1783" s="28" t="s">
        <v>67</v>
      </c>
      <c r="L1783" s="28" t="s">
        <v>130</v>
      </c>
      <c r="M1783" s="28" t="s">
        <v>69</v>
      </c>
      <c r="N1783" s="28" t="s">
        <v>131</v>
      </c>
      <c r="O1783" s="29" t="n">
        <v>4</v>
      </c>
      <c r="P1783" s="30" t="n">
        <v>1155.06</v>
      </c>
      <c r="Q1783" s="30" t="n">
        <v>766.32</v>
      </c>
      <c r="R1783" s="30" t="n">
        <f aca="false">ROUND(O1783*P1783,2)</f>
        <v>4620.24</v>
      </c>
      <c r="S1783" s="30" t="n">
        <f aca="false">ROUND(O1783*Q1783,2)</f>
        <v>3065.28</v>
      </c>
      <c r="T1783" s="30" t="n">
        <f aca="false">ROUND(R1783*SUMIFS(Parametros!$E$23:$E$38,Parametros!$B$23:$B$38,J1783,Parametros!$C$23:$C$38,C1783,Parametros!$D$23:$D$38,D1783),2)</f>
        <v>341.9</v>
      </c>
      <c r="U1783" s="30" t="n">
        <f aca="false">R1783-S1783-T1783</f>
        <v>1213.06</v>
      </c>
    </row>
    <row r="1784" customFormat="false" ht="15" hidden="false" customHeight="false" outlineLevel="0" collapsed="false">
      <c r="A1784" s="0" t="n">
        <v>1783</v>
      </c>
      <c r="B1784" s="27" t="n">
        <v>45816</v>
      </c>
      <c r="C1784" s="0" t="n">
        <v>2025</v>
      </c>
      <c r="D1784" s="28" t="s">
        <v>108</v>
      </c>
      <c r="E1784" s="0" t="n">
        <v>6</v>
      </c>
      <c r="F1784" s="28" t="s">
        <v>113</v>
      </c>
      <c r="G1784" s="28" t="s">
        <v>148</v>
      </c>
      <c r="H1784" s="28" t="s">
        <v>102</v>
      </c>
      <c r="I1784" s="28" t="s">
        <v>103</v>
      </c>
      <c r="J1784" s="28" t="s">
        <v>66</v>
      </c>
      <c r="K1784" s="28" t="s">
        <v>67</v>
      </c>
      <c r="L1784" s="28" t="s">
        <v>130</v>
      </c>
      <c r="M1784" s="28" t="s">
        <v>72</v>
      </c>
      <c r="N1784" s="28" t="s">
        <v>132</v>
      </c>
      <c r="O1784" s="29" t="n">
        <v>7</v>
      </c>
      <c r="P1784" s="30" t="n">
        <v>433.15</v>
      </c>
      <c r="Q1784" s="30" t="n">
        <v>280.42</v>
      </c>
      <c r="R1784" s="30" t="n">
        <f aca="false">ROUND(O1784*P1784,2)</f>
        <v>3032.05</v>
      </c>
      <c r="S1784" s="30" t="n">
        <f aca="false">ROUND(O1784*Q1784,2)</f>
        <v>1962.94</v>
      </c>
      <c r="T1784" s="30" t="n">
        <f aca="false">ROUND(R1784*SUMIFS(Parametros!$E$23:$E$38,Parametros!$B$23:$B$38,J1784,Parametros!$C$23:$C$38,C1784,Parametros!$D$23:$D$38,D1784),2)</f>
        <v>42.45</v>
      </c>
      <c r="U1784" s="30" t="n">
        <f aca="false">R1784-S1784-T1784</f>
        <v>1026.66</v>
      </c>
    </row>
    <row r="1785" customFormat="false" ht="15" hidden="false" customHeight="false" outlineLevel="0" collapsed="false">
      <c r="A1785" s="0" t="n">
        <v>1784</v>
      </c>
      <c r="B1785" s="27" t="n">
        <v>45823</v>
      </c>
      <c r="C1785" s="0" t="n">
        <v>2025</v>
      </c>
      <c r="D1785" s="28" t="s">
        <v>108</v>
      </c>
      <c r="E1785" s="0" t="n">
        <v>6</v>
      </c>
      <c r="F1785" s="28" t="s">
        <v>113</v>
      </c>
      <c r="G1785" s="28" t="s">
        <v>148</v>
      </c>
      <c r="H1785" s="28" t="s">
        <v>102</v>
      </c>
      <c r="I1785" s="28" t="s">
        <v>103</v>
      </c>
      <c r="J1785" s="28" t="s">
        <v>71</v>
      </c>
      <c r="K1785" s="28" t="s">
        <v>67</v>
      </c>
      <c r="L1785" s="28" t="s">
        <v>130</v>
      </c>
      <c r="M1785" s="28" t="s">
        <v>72</v>
      </c>
      <c r="N1785" s="28" t="s">
        <v>132</v>
      </c>
      <c r="O1785" s="29" t="n">
        <v>4</v>
      </c>
      <c r="P1785" s="30" t="n">
        <v>433.15</v>
      </c>
      <c r="Q1785" s="30" t="n">
        <v>280.42</v>
      </c>
      <c r="R1785" s="30" t="n">
        <f aca="false">ROUND(O1785*P1785,2)</f>
        <v>1732.6</v>
      </c>
      <c r="S1785" s="30" t="n">
        <f aca="false">ROUND(O1785*Q1785,2)</f>
        <v>1121.68</v>
      </c>
      <c r="T1785" s="30" t="n">
        <f aca="false">ROUND(R1785*SUMIFS(Parametros!$E$23:$E$38,Parametros!$B$23:$B$38,J1785,Parametros!$C$23:$C$38,C1785,Parametros!$D$23:$D$38,D1785),2)</f>
        <v>128.21</v>
      </c>
      <c r="U1785" s="30" t="n">
        <f aca="false">R1785-S1785-T1785</f>
        <v>482.71</v>
      </c>
    </row>
    <row r="1786" customFormat="false" ht="15" hidden="false" customHeight="false" outlineLevel="0" collapsed="false">
      <c r="A1786" s="0" t="n">
        <v>1785</v>
      </c>
      <c r="B1786" s="27" t="n">
        <v>45830</v>
      </c>
      <c r="C1786" s="0" t="n">
        <v>2025</v>
      </c>
      <c r="D1786" s="28" t="s">
        <v>108</v>
      </c>
      <c r="E1786" s="0" t="n">
        <v>6</v>
      </c>
      <c r="F1786" s="28" t="s">
        <v>113</v>
      </c>
      <c r="G1786" s="28" t="s">
        <v>148</v>
      </c>
      <c r="H1786" s="28" t="s">
        <v>102</v>
      </c>
      <c r="I1786" s="28" t="s">
        <v>103</v>
      </c>
      <c r="J1786" s="28" t="s">
        <v>66</v>
      </c>
      <c r="K1786" s="28" t="s">
        <v>67</v>
      </c>
      <c r="L1786" s="28" t="s">
        <v>130</v>
      </c>
      <c r="M1786" s="28" t="s">
        <v>74</v>
      </c>
      <c r="N1786" s="28" t="s">
        <v>133</v>
      </c>
      <c r="O1786" s="29" t="n">
        <v>7</v>
      </c>
      <c r="P1786" s="30" t="n">
        <v>1588.21</v>
      </c>
      <c r="Q1786" s="30" t="n">
        <v>1155.66</v>
      </c>
      <c r="R1786" s="30" t="n">
        <f aca="false">ROUND(O1786*P1786,2)</f>
        <v>11117.47</v>
      </c>
      <c r="S1786" s="30" t="n">
        <f aca="false">ROUND(O1786*Q1786,2)</f>
        <v>8089.62</v>
      </c>
      <c r="T1786" s="30" t="n">
        <f aca="false">ROUND(R1786*SUMIFS(Parametros!$E$23:$E$38,Parametros!$B$23:$B$38,J1786,Parametros!$C$23:$C$38,C1786,Parametros!$D$23:$D$38,D1786),2)</f>
        <v>155.64</v>
      </c>
      <c r="U1786" s="30" t="n">
        <f aca="false">R1786-S1786-T1786</f>
        <v>2872.21</v>
      </c>
    </row>
    <row r="1787" customFormat="false" ht="15" hidden="false" customHeight="false" outlineLevel="0" collapsed="false">
      <c r="A1787" s="0" t="n">
        <v>1786</v>
      </c>
      <c r="B1787" s="27" t="n">
        <v>45810</v>
      </c>
      <c r="C1787" s="0" t="n">
        <v>2025</v>
      </c>
      <c r="D1787" s="28" t="s">
        <v>108</v>
      </c>
      <c r="E1787" s="0" t="n">
        <v>6</v>
      </c>
      <c r="F1787" s="28" t="s">
        <v>113</v>
      </c>
      <c r="G1787" s="28" t="s">
        <v>148</v>
      </c>
      <c r="H1787" s="28" t="s">
        <v>102</v>
      </c>
      <c r="I1787" s="28" t="s">
        <v>103</v>
      </c>
      <c r="J1787" s="28" t="s">
        <v>71</v>
      </c>
      <c r="K1787" s="28" t="s">
        <v>67</v>
      </c>
      <c r="L1787" s="28" t="s">
        <v>130</v>
      </c>
      <c r="M1787" s="28" t="s">
        <v>74</v>
      </c>
      <c r="N1787" s="28" t="s">
        <v>133</v>
      </c>
      <c r="O1787" s="29" t="n">
        <v>5</v>
      </c>
      <c r="P1787" s="30" t="n">
        <v>1588.21</v>
      </c>
      <c r="Q1787" s="30" t="n">
        <v>1155.66</v>
      </c>
      <c r="R1787" s="30" t="n">
        <f aca="false">ROUND(O1787*P1787,2)</f>
        <v>7941.05</v>
      </c>
      <c r="S1787" s="30" t="n">
        <f aca="false">ROUND(O1787*Q1787,2)</f>
        <v>5778.3</v>
      </c>
      <c r="T1787" s="30" t="n">
        <f aca="false">ROUND(R1787*SUMIFS(Parametros!$E$23:$E$38,Parametros!$B$23:$B$38,J1787,Parametros!$C$23:$C$38,C1787,Parametros!$D$23:$D$38,D1787),2)</f>
        <v>587.64</v>
      </c>
      <c r="U1787" s="30" t="n">
        <f aca="false">R1787-S1787-T1787</f>
        <v>1575.11</v>
      </c>
    </row>
    <row r="1788" customFormat="false" ht="15" hidden="false" customHeight="false" outlineLevel="0" collapsed="false">
      <c r="A1788" s="0" t="n">
        <v>1787</v>
      </c>
      <c r="B1788" s="27" t="n">
        <v>45817</v>
      </c>
      <c r="C1788" s="0" t="n">
        <v>2025</v>
      </c>
      <c r="D1788" s="28" t="s">
        <v>108</v>
      </c>
      <c r="E1788" s="0" t="n">
        <v>6</v>
      </c>
      <c r="F1788" s="28" t="s">
        <v>113</v>
      </c>
      <c r="G1788" s="28" t="s">
        <v>148</v>
      </c>
      <c r="H1788" s="28" t="s">
        <v>102</v>
      </c>
      <c r="I1788" s="28" t="s">
        <v>103</v>
      </c>
      <c r="J1788" s="28" t="s">
        <v>66</v>
      </c>
      <c r="K1788" s="28" t="s">
        <v>76</v>
      </c>
      <c r="L1788" s="28" t="s">
        <v>134</v>
      </c>
      <c r="M1788" s="28" t="s">
        <v>78</v>
      </c>
      <c r="N1788" s="28" t="s">
        <v>135</v>
      </c>
      <c r="O1788" s="29" t="n">
        <v>36</v>
      </c>
      <c r="P1788" s="30" t="n">
        <v>27.82</v>
      </c>
      <c r="Q1788" s="30" t="n">
        <v>13.84</v>
      </c>
      <c r="R1788" s="30" t="n">
        <f aca="false">ROUND(O1788*P1788,2)</f>
        <v>1001.52</v>
      </c>
      <c r="S1788" s="30" t="n">
        <f aca="false">ROUND(O1788*Q1788,2)</f>
        <v>498.24</v>
      </c>
      <c r="T1788" s="30" t="n">
        <f aca="false">ROUND(R1788*SUMIFS(Parametros!$E$23:$E$38,Parametros!$B$23:$B$38,J1788,Parametros!$C$23:$C$38,C1788,Parametros!$D$23:$D$38,D1788),2)</f>
        <v>14.02</v>
      </c>
      <c r="U1788" s="30" t="n">
        <f aca="false">R1788-S1788-T1788</f>
        <v>489.26</v>
      </c>
    </row>
    <row r="1789" customFormat="false" ht="15" hidden="false" customHeight="false" outlineLevel="0" collapsed="false">
      <c r="A1789" s="0" t="n">
        <v>1788</v>
      </c>
      <c r="B1789" s="27" t="n">
        <v>45824</v>
      </c>
      <c r="C1789" s="0" t="n">
        <v>2025</v>
      </c>
      <c r="D1789" s="28" t="s">
        <v>108</v>
      </c>
      <c r="E1789" s="0" t="n">
        <v>6</v>
      </c>
      <c r="F1789" s="28" t="s">
        <v>113</v>
      </c>
      <c r="G1789" s="28" t="s">
        <v>148</v>
      </c>
      <c r="H1789" s="28" t="s">
        <v>102</v>
      </c>
      <c r="I1789" s="28" t="s">
        <v>103</v>
      </c>
      <c r="J1789" s="28" t="s">
        <v>71</v>
      </c>
      <c r="K1789" s="28" t="s">
        <v>76</v>
      </c>
      <c r="L1789" s="28" t="s">
        <v>134</v>
      </c>
      <c r="M1789" s="28" t="s">
        <v>78</v>
      </c>
      <c r="N1789" s="28" t="s">
        <v>135</v>
      </c>
      <c r="O1789" s="29" t="n">
        <v>23</v>
      </c>
      <c r="P1789" s="30" t="n">
        <v>27.82</v>
      </c>
      <c r="Q1789" s="30" t="n">
        <v>13.84</v>
      </c>
      <c r="R1789" s="30" t="n">
        <f aca="false">ROUND(O1789*P1789,2)</f>
        <v>639.86</v>
      </c>
      <c r="S1789" s="30" t="n">
        <f aca="false">ROUND(O1789*Q1789,2)</f>
        <v>318.32</v>
      </c>
      <c r="T1789" s="30" t="n">
        <f aca="false">ROUND(R1789*SUMIFS(Parametros!$E$23:$E$38,Parametros!$B$23:$B$38,J1789,Parametros!$C$23:$C$38,C1789,Parametros!$D$23:$D$38,D1789),2)</f>
        <v>47.35</v>
      </c>
      <c r="U1789" s="30" t="n">
        <f aca="false">R1789-S1789-T1789</f>
        <v>274.19</v>
      </c>
    </row>
    <row r="1790" customFormat="false" ht="15" hidden="false" customHeight="false" outlineLevel="0" collapsed="false">
      <c r="A1790" s="0" t="n">
        <v>1789</v>
      </c>
      <c r="B1790" s="27" t="n">
        <v>45831</v>
      </c>
      <c r="C1790" s="0" t="n">
        <v>2025</v>
      </c>
      <c r="D1790" s="28" t="s">
        <v>108</v>
      </c>
      <c r="E1790" s="0" t="n">
        <v>6</v>
      </c>
      <c r="F1790" s="28" t="s">
        <v>113</v>
      </c>
      <c r="G1790" s="28" t="s">
        <v>148</v>
      </c>
      <c r="H1790" s="28" t="s">
        <v>102</v>
      </c>
      <c r="I1790" s="28" t="s">
        <v>103</v>
      </c>
      <c r="J1790" s="28" t="s">
        <v>66</v>
      </c>
      <c r="K1790" s="28" t="s">
        <v>76</v>
      </c>
      <c r="L1790" s="28" t="s">
        <v>134</v>
      </c>
      <c r="M1790" s="28" t="s">
        <v>80</v>
      </c>
      <c r="N1790" s="28" t="s">
        <v>136</v>
      </c>
      <c r="O1790" s="29" t="n">
        <v>32</v>
      </c>
      <c r="P1790" s="30" t="n">
        <v>94.39</v>
      </c>
      <c r="Q1790" s="30" t="n">
        <v>49.41</v>
      </c>
      <c r="R1790" s="30" t="n">
        <f aca="false">ROUND(O1790*P1790,2)</f>
        <v>3020.48</v>
      </c>
      <c r="S1790" s="30" t="n">
        <f aca="false">ROUND(O1790*Q1790,2)</f>
        <v>1581.12</v>
      </c>
      <c r="T1790" s="30" t="n">
        <f aca="false">ROUND(R1790*SUMIFS(Parametros!$E$23:$E$38,Parametros!$B$23:$B$38,J1790,Parametros!$C$23:$C$38,C1790,Parametros!$D$23:$D$38,D1790),2)</f>
        <v>42.29</v>
      </c>
      <c r="U1790" s="30" t="n">
        <f aca="false">R1790-S1790-T1790</f>
        <v>1397.07</v>
      </c>
    </row>
    <row r="1791" customFormat="false" ht="15" hidden="false" customHeight="false" outlineLevel="0" collapsed="false">
      <c r="A1791" s="0" t="n">
        <v>1790</v>
      </c>
      <c r="B1791" s="27" t="n">
        <v>45811</v>
      </c>
      <c r="C1791" s="0" t="n">
        <v>2025</v>
      </c>
      <c r="D1791" s="28" t="s">
        <v>108</v>
      </c>
      <c r="E1791" s="0" t="n">
        <v>6</v>
      </c>
      <c r="F1791" s="28" t="s">
        <v>113</v>
      </c>
      <c r="G1791" s="28" t="s">
        <v>148</v>
      </c>
      <c r="H1791" s="28" t="s">
        <v>102</v>
      </c>
      <c r="I1791" s="28" t="s">
        <v>103</v>
      </c>
      <c r="J1791" s="28" t="s">
        <v>71</v>
      </c>
      <c r="K1791" s="28" t="s">
        <v>76</v>
      </c>
      <c r="L1791" s="28" t="s">
        <v>134</v>
      </c>
      <c r="M1791" s="28" t="s">
        <v>80</v>
      </c>
      <c r="N1791" s="28" t="s">
        <v>136</v>
      </c>
      <c r="O1791" s="29" t="n">
        <v>24</v>
      </c>
      <c r="P1791" s="30" t="n">
        <v>94.39</v>
      </c>
      <c r="Q1791" s="30" t="n">
        <v>49.41</v>
      </c>
      <c r="R1791" s="30" t="n">
        <f aca="false">ROUND(O1791*P1791,2)</f>
        <v>2265.36</v>
      </c>
      <c r="S1791" s="30" t="n">
        <f aca="false">ROUND(O1791*Q1791,2)</f>
        <v>1185.84</v>
      </c>
      <c r="T1791" s="30" t="n">
        <f aca="false">ROUND(R1791*SUMIFS(Parametros!$E$23:$E$38,Parametros!$B$23:$B$38,J1791,Parametros!$C$23:$C$38,C1791,Parametros!$D$23:$D$38,D1791),2)</f>
        <v>167.64</v>
      </c>
      <c r="U1791" s="30" t="n">
        <f aca="false">R1791-S1791-T1791</f>
        <v>911.88</v>
      </c>
    </row>
    <row r="1792" customFormat="false" ht="15" hidden="false" customHeight="false" outlineLevel="0" collapsed="false">
      <c r="A1792" s="0" t="n">
        <v>1791</v>
      </c>
      <c r="B1792" s="27" t="n">
        <v>45818</v>
      </c>
      <c r="C1792" s="0" t="n">
        <v>2025</v>
      </c>
      <c r="D1792" s="28" t="s">
        <v>108</v>
      </c>
      <c r="E1792" s="0" t="n">
        <v>6</v>
      </c>
      <c r="F1792" s="28" t="s">
        <v>113</v>
      </c>
      <c r="G1792" s="28" t="s">
        <v>148</v>
      </c>
      <c r="H1792" s="28" t="s">
        <v>102</v>
      </c>
      <c r="I1792" s="28" t="s">
        <v>103</v>
      </c>
      <c r="J1792" s="28" t="s">
        <v>66</v>
      </c>
      <c r="K1792" s="28" t="s">
        <v>76</v>
      </c>
      <c r="L1792" s="28" t="s">
        <v>134</v>
      </c>
      <c r="M1792" s="28" t="s">
        <v>82</v>
      </c>
      <c r="N1792" s="28" t="s">
        <v>137</v>
      </c>
      <c r="O1792" s="29" t="n">
        <v>29</v>
      </c>
      <c r="P1792" s="30" t="n">
        <v>64.58</v>
      </c>
      <c r="Q1792" s="30" t="n">
        <v>36.49</v>
      </c>
      <c r="R1792" s="30" t="n">
        <f aca="false">ROUND(O1792*P1792,2)</f>
        <v>1872.82</v>
      </c>
      <c r="S1792" s="30" t="n">
        <f aca="false">ROUND(O1792*Q1792,2)</f>
        <v>1058.21</v>
      </c>
      <c r="T1792" s="30" t="n">
        <f aca="false">ROUND(R1792*SUMIFS(Parametros!$E$23:$E$38,Parametros!$B$23:$B$38,J1792,Parametros!$C$23:$C$38,C1792,Parametros!$D$23:$D$38,D1792),2)</f>
        <v>26.22</v>
      </c>
      <c r="U1792" s="30" t="n">
        <f aca="false">R1792-S1792-T1792</f>
        <v>788.39</v>
      </c>
    </row>
    <row r="1793" customFormat="false" ht="15" hidden="false" customHeight="false" outlineLevel="0" collapsed="false">
      <c r="A1793" s="0" t="n">
        <v>1792</v>
      </c>
      <c r="B1793" s="27" t="n">
        <v>45825</v>
      </c>
      <c r="C1793" s="0" t="n">
        <v>2025</v>
      </c>
      <c r="D1793" s="28" t="s">
        <v>108</v>
      </c>
      <c r="E1793" s="0" t="n">
        <v>6</v>
      </c>
      <c r="F1793" s="28" t="s">
        <v>113</v>
      </c>
      <c r="G1793" s="28" t="s">
        <v>148</v>
      </c>
      <c r="H1793" s="28" t="s">
        <v>102</v>
      </c>
      <c r="I1793" s="28" t="s">
        <v>103</v>
      </c>
      <c r="J1793" s="28" t="s">
        <v>71</v>
      </c>
      <c r="K1793" s="28" t="s">
        <v>76</v>
      </c>
      <c r="L1793" s="28" t="s">
        <v>134</v>
      </c>
      <c r="M1793" s="28" t="s">
        <v>82</v>
      </c>
      <c r="N1793" s="28" t="s">
        <v>137</v>
      </c>
      <c r="O1793" s="29" t="n">
        <v>20</v>
      </c>
      <c r="P1793" s="30" t="n">
        <v>64.58</v>
      </c>
      <c r="Q1793" s="30" t="n">
        <v>36.49</v>
      </c>
      <c r="R1793" s="30" t="n">
        <f aca="false">ROUND(O1793*P1793,2)</f>
        <v>1291.6</v>
      </c>
      <c r="S1793" s="30" t="n">
        <f aca="false">ROUND(O1793*Q1793,2)</f>
        <v>729.8</v>
      </c>
      <c r="T1793" s="30" t="n">
        <f aca="false">ROUND(R1793*SUMIFS(Parametros!$E$23:$E$38,Parametros!$B$23:$B$38,J1793,Parametros!$C$23:$C$38,C1793,Parametros!$D$23:$D$38,D1793),2)</f>
        <v>95.58</v>
      </c>
      <c r="U1793" s="30" t="n">
        <f aca="false">R1793-S1793-T1793</f>
        <v>466.22</v>
      </c>
    </row>
    <row r="1794" customFormat="false" ht="15" hidden="false" customHeight="false" outlineLevel="0" collapsed="false">
      <c r="A1794" s="0" t="n">
        <v>1793</v>
      </c>
      <c r="B1794" s="27" t="n">
        <v>45832</v>
      </c>
      <c r="C1794" s="0" t="n">
        <v>2025</v>
      </c>
      <c r="D1794" s="28" t="s">
        <v>108</v>
      </c>
      <c r="E1794" s="0" t="n">
        <v>6</v>
      </c>
      <c r="F1794" s="28" t="s">
        <v>113</v>
      </c>
      <c r="G1794" s="28" t="s">
        <v>148</v>
      </c>
      <c r="H1794" s="28" t="s">
        <v>102</v>
      </c>
      <c r="I1794" s="28" t="s">
        <v>103</v>
      </c>
      <c r="J1794" s="28" t="s">
        <v>66</v>
      </c>
      <c r="K1794" s="28" t="s">
        <v>84</v>
      </c>
      <c r="L1794" s="28" t="s">
        <v>138</v>
      </c>
      <c r="M1794" s="28" t="s">
        <v>86</v>
      </c>
      <c r="N1794" s="28" t="s">
        <v>139</v>
      </c>
      <c r="O1794" s="29" t="n">
        <v>15</v>
      </c>
      <c r="P1794" s="30" t="n">
        <v>119.23</v>
      </c>
      <c r="Q1794" s="30" t="n">
        <v>65.51</v>
      </c>
      <c r="R1794" s="30" t="n">
        <f aca="false">ROUND(O1794*P1794,2)</f>
        <v>1788.45</v>
      </c>
      <c r="S1794" s="30" t="n">
        <f aca="false">ROUND(O1794*Q1794,2)</f>
        <v>982.65</v>
      </c>
      <c r="T1794" s="30" t="n">
        <f aca="false">ROUND(R1794*SUMIFS(Parametros!$E$23:$E$38,Parametros!$B$23:$B$38,J1794,Parametros!$C$23:$C$38,C1794,Parametros!$D$23:$D$38,D1794),2)</f>
        <v>25.04</v>
      </c>
      <c r="U1794" s="30" t="n">
        <f aca="false">R1794-S1794-T1794</f>
        <v>780.76</v>
      </c>
    </row>
    <row r="1795" customFormat="false" ht="15" hidden="false" customHeight="false" outlineLevel="0" collapsed="false">
      <c r="A1795" s="0" t="n">
        <v>1794</v>
      </c>
      <c r="B1795" s="27" t="n">
        <v>45812</v>
      </c>
      <c r="C1795" s="0" t="n">
        <v>2025</v>
      </c>
      <c r="D1795" s="28" t="s">
        <v>108</v>
      </c>
      <c r="E1795" s="0" t="n">
        <v>6</v>
      </c>
      <c r="F1795" s="28" t="s">
        <v>113</v>
      </c>
      <c r="G1795" s="28" t="s">
        <v>148</v>
      </c>
      <c r="H1795" s="28" t="s">
        <v>102</v>
      </c>
      <c r="I1795" s="28" t="s">
        <v>103</v>
      </c>
      <c r="J1795" s="28" t="s">
        <v>71</v>
      </c>
      <c r="K1795" s="28" t="s">
        <v>84</v>
      </c>
      <c r="L1795" s="28" t="s">
        <v>138</v>
      </c>
      <c r="M1795" s="28" t="s">
        <v>86</v>
      </c>
      <c r="N1795" s="28" t="s">
        <v>139</v>
      </c>
      <c r="O1795" s="29" t="n">
        <v>11</v>
      </c>
      <c r="P1795" s="30" t="n">
        <v>119.23</v>
      </c>
      <c r="Q1795" s="30" t="n">
        <v>65.51</v>
      </c>
      <c r="R1795" s="30" t="n">
        <f aca="false">ROUND(O1795*P1795,2)</f>
        <v>1311.53</v>
      </c>
      <c r="S1795" s="30" t="n">
        <f aca="false">ROUND(O1795*Q1795,2)</f>
        <v>720.61</v>
      </c>
      <c r="T1795" s="30" t="n">
        <f aca="false">ROUND(R1795*SUMIFS(Parametros!$E$23:$E$38,Parametros!$B$23:$B$38,J1795,Parametros!$C$23:$C$38,C1795,Parametros!$D$23:$D$38,D1795),2)</f>
        <v>97.05</v>
      </c>
      <c r="U1795" s="30" t="n">
        <f aca="false">R1795-S1795-T1795</f>
        <v>493.87</v>
      </c>
    </row>
    <row r="1796" customFormat="false" ht="15" hidden="false" customHeight="false" outlineLevel="0" collapsed="false">
      <c r="A1796" s="0" t="n">
        <v>1795</v>
      </c>
      <c r="B1796" s="27" t="n">
        <v>45819</v>
      </c>
      <c r="C1796" s="0" t="n">
        <v>2025</v>
      </c>
      <c r="D1796" s="28" t="s">
        <v>108</v>
      </c>
      <c r="E1796" s="0" t="n">
        <v>6</v>
      </c>
      <c r="F1796" s="28" t="s">
        <v>113</v>
      </c>
      <c r="G1796" s="28" t="s">
        <v>148</v>
      </c>
      <c r="H1796" s="28" t="s">
        <v>102</v>
      </c>
      <c r="I1796" s="28" t="s">
        <v>103</v>
      </c>
      <c r="J1796" s="28" t="s">
        <v>66</v>
      </c>
      <c r="K1796" s="28" t="s">
        <v>84</v>
      </c>
      <c r="L1796" s="28" t="s">
        <v>138</v>
      </c>
      <c r="M1796" s="28" t="s">
        <v>88</v>
      </c>
      <c r="N1796" s="28" t="s">
        <v>140</v>
      </c>
      <c r="O1796" s="29" t="n">
        <v>16</v>
      </c>
      <c r="P1796" s="30" t="n">
        <v>84.46</v>
      </c>
      <c r="Q1796" s="30" t="n">
        <v>49.47</v>
      </c>
      <c r="R1796" s="30" t="n">
        <f aca="false">ROUND(O1796*P1796,2)</f>
        <v>1351.36</v>
      </c>
      <c r="S1796" s="30" t="n">
        <f aca="false">ROUND(O1796*Q1796,2)</f>
        <v>791.52</v>
      </c>
      <c r="T1796" s="30" t="n">
        <f aca="false">ROUND(R1796*SUMIFS(Parametros!$E$23:$E$38,Parametros!$B$23:$B$38,J1796,Parametros!$C$23:$C$38,C1796,Parametros!$D$23:$D$38,D1796),2)</f>
        <v>18.92</v>
      </c>
      <c r="U1796" s="30" t="n">
        <f aca="false">R1796-S1796-T1796</f>
        <v>540.92</v>
      </c>
    </row>
    <row r="1797" customFormat="false" ht="15" hidden="false" customHeight="false" outlineLevel="0" collapsed="false">
      <c r="A1797" s="0" t="n">
        <v>1796</v>
      </c>
      <c r="B1797" s="27" t="n">
        <v>45826</v>
      </c>
      <c r="C1797" s="0" t="n">
        <v>2025</v>
      </c>
      <c r="D1797" s="28" t="s">
        <v>108</v>
      </c>
      <c r="E1797" s="0" t="n">
        <v>6</v>
      </c>
      <c r="F1797" s="28" t="s">
        <v>113</v>
      </c>
      <c r="G1797" s="28" t="s">
        <v>148</v>
      </c>
      <c r="H1797" s="28" t="s">
        <v>102</v>
      </c>
      <c r="I1797" s="28" t="s">
        <v>103</v>
      </c>
      <c r="J1797" s="28" t="s">
        <v>71</v>
      </c>
      <c r="K1797" s="28" t="s">
        <v>84</v>
      </c>
      <c r="L1797" s="28" t="s">
        <v>138</v>
      </c>
      <c r="M1797" s="28" t="s">
        <v>88</v>
      </c>
      <c r="N1797" s="28" t="s">
        <v>140</v>
      </c>
      <c r="O1797" s="29" t="n">
        <v>11</v>
      </c>
      <c r="P1797" s="30" t="n">
        <v>84.46</v>
      </c>
      <c r="Q1797" s="30" t="n">
        <v>49.47</v>
      </c>
      <c r="R1797" s="30" t="n">
        <f aca="false">ROUND(O1797*P1797,2)</f>
        <v>929.06</v>
      </c>
      <c r="S1797" s="30" t="n">
        <f aca="false">ROUND(O1797*Q1797,2)</f>
        <v>544.17</v>
      </c>
      <c r="T1797" s="30" t="n">
        <f aca="false">ROUND(R1797*SUMIFS(Parametros!$E$23:$E$38,Parametros!$B$23:$B$38,J1797,Parametros!$C$23:$C$38,C1797,Parametros!$D$23:$D$38,D1797),2)</f>
        <v>68.75</v>
      </c>
      <c r="U1797" s="30" t="n">
        <f aca="false">R1797-S1797-T1797</f>
        <v>316.14</v>
      </c>
    </row>
    <row r="1798" customFormat="false" ht="15" hidden="false" customHeight="false" outlineLevel="0" collapsed="false">
      <c r="A1798" s="0" t="n">
        <v>1797</v>
      </c>
      <c r="B1798" s="27" t="n">
        <v>45833</v>
      </c>
      <c r="C1798" s="0" t="n">
        <v>2025</v>
      </c>
      <c r="D1798" s="28" t="s">
        <v>108</v>
      </c>
      <c r="E1798" s="0" t="n">
        <v>6</v>
      </c>
      <c r="F1798" s="28" t="s">
        <v>113</v>
      </c>
      <c r="G1798" s="28" t="s">
        <v>148</v>
      </c>
      <c r="H1798" s="28" t="s">
        <v>102</v>
      </c>
      <c r="I1798" s="28" t="s">
        <v>103</v>
      </c>
      <c r="J1798" s="28" t="s">
        <v>66</v>
      </c>
      <c r="K1798" s="28" t="s">
        <v>90</v>
      </c>
      <c r="L1798" s="28" t="s">
        <v>141</v>
      </c>
      <c r="M1798" s="28" t="s">
        <v>92</v>
      </c>
      <c r="N1798" s="28" t="s">
        <v>142</v>
      </c>
      <c r="O1798" s="29" t="n">
        <v>19</v>
      </c>
      <c r="P1798" s="30" t="n">
        <v>129.17</v>
      </c>
      <c r="Q1798" s="30" t="n">
        <v>78.33</v>
      </c>
      <c r="R1798" s="30" t="n">
        <f aca="false">ROUND(O1798*P1798,2)</f>
        <v>2454.23</v>
      </c>
      <c r="S1798" s="30" t="n">
        <f aca="false">ROUND(O1798*Q1798,2)</f>
        <v>1488.27</v>
      </c>
      <c r="T1798" s="30" t="n">
        <f aca="false">ROUND(R1798*SUMIFS(Parametros!$E$23:$E$38,Parametros!$B$23:$B$38,J1798,Parametros!$C$23:$C$38,C1798,Parametros!$D$23:$D$38,D1798),2)</f>
        <v>34.36</v>
      </c>
      <c r="U1798" s="30" t="n">
        <f aca="false">R1798-S1798-T1798</f>
        <v>931.6</v>
      </c>
    </row>
    <row r="1799" customFormat="false" ht="15" hidden="false" customHeight="false" outlineLevel="0" collapsed="false">
      <c r="A1799" s="0" t="n">
        <v>1798</v>
      </c>
      <c r="B1799" s="27" t="n">
        <v>45813</v>
      </c>
      <c r="C1799" s="0" t="n">
        <v>2025</v>
      </c>
      <c r="D1799" s="28" t="s">
        <v>108</v>
      </c>
      <c r="E1799" s="0" t="n">
        <v>6</v>
      </c>
      <c r="F1799" s="28" t="s">
        <v>113</v>
      </c>
      <c r="G1799" s="28" t="s">
        <v>148</v>
      </c>
      <c r="H1799" s="28" t="s">
        <v>102</v>
      </c>
      <c r="I1799" s="28" t="s">
        <v>103</v>
      </c>
      <c r="J1799" s="28" t="s">
        <v>71</v>
      </c>
      <c r="K1799" s="28" t="s">
        <v>90</v>
      </c>
      <c r="L1799" s="28" t="s">
        <v>141</v>
      </c>
      <c r="M1799" s="28" t="s">
        <v>92</v>
      </c>
      <c r="N1799" s="28" t="s">
        <v>142</v>
      </c>
      <c r="O1799" s="29" t="n">
        <v>12</v>
      </c>
      <c r="P1799" s="30" t="n">
        <v>129.17</v>
      </c>
      <c r="Q1799" s="30" t="n">
        <v>78.33</v>
      </c>
      <c r="R1799" s="30" t="n">
        <f aca="false">ROUND(O1799*P1799,2)</f>
        <v>1550.04</v>
      </c>
      <c r="S1799" s="30" t="n">
        <f aca="false">ROUND(O1799*Q1799,2)</f>
        <v>939.96</v>
      </c>
      <c r="T1799" s="30" t="n">
        <f aca="false">ROUND(R1799*SUMIFS(Parametros!$E$23:$E$38,Parametros!$B$23:$B$38,J1799,Parametros!$C$23:$C$38,C1799,Parametros!$D$23:$D$38,D1799),2)</f>
        <v>114.7</v>
      </c>
      <c r="U1799" s="30" t="n">
        <f aca="false">R1799-S1799-T1799</f>
        <v>495.38</v>
      </c>
    </row>
    <row r="1800" customFormat="false" ht="15" hidden="false" customHeight="false" outlineLevel="0" collapsed="false">
      <c r="A1800" s="0" t="n">
        <v>1799</v>
      </c>
      <c r="B1800" s="27" t="n">
        <v>45820</v>
      </c>
      <c r="C1800" s="0" t="n">
        <v>2025</v>
      </c>
      <c r="D1800" s="28" t="s">
        <v>108</v>
      </c>
      <c r="E1800" s="0" t="n">
        <v>6</v>
      </c>
      <c r="F1800" s="28" t="s">
        <v>113</v>
      </c>
      <c r="G1800" s="28" t="s">
        <v>148</v>
      </c>
      <c r="H1800" s="28" t="s">
        <v>102</v>
      </c>
      <c r="I1800" s="28" t="s">
        <v>103</v>
      </c>
      <c r="J1800" s="28" t="s">
        <v>66</v>
      </c>
      <c r="K1800" s="28" t="s">
        <v>90</v>
      </c>
      <c r="L1800" s="28" t="s">
        <v>141</v>
      </c>
      <c r="M1800" s="28" t="s">
        <v>94</v>
      </c>
      <c r="N1800" s="28" t="s">
        <v>143</v>
      </c>
      <c r="O1800" s="29" t="n">
        <v>19</v>
      </c>
      <c r="P1800" s="30" t="n">
        <v>34.78</v>
      </c>
      <c r="Q1800" s="30" t="n">
        <v>18.39</v>
      </c>
      <c r="R1800" s="30" t="n">
        <f aca="false">ROUND(O1800*P1800,2)</f>
        <v>660.82</v>
      </c>
      <c r="S1800" s="30" t="n">
        <f aca="false">ROUND(O1800*Q1800,2)</f>
        <v>349.41</v>
      </c>
      <c r="T1800" s="30" t="n">
        <f aca="false">ROUND(R1800*SUMIFS(Parametros!$E$23:$E$38,Parametros!$B$23:$B$38,J1800,Parametros!$C$23:$C$38,C1800,Parametros!$D$23:$D$38,D1800),2)</f>
        <v>9.25</v>
      </c>
      <c r="U1800" s="30" t="n">
        <f aca="false">R1800-S1800-T1800</f>
        <v>302.16</v>
      </c>
    </row>
    <row r="1801" customFormat="false" ht="15" hidden="false" customHeight="false" outlineLevel="0" collapsed="false">
      <c r="A1801" s="0" t="n">
        <v>1800</v>
      </c>
      <c r="B1801" s="27" t="n">
        <v>45827</v>
      </c>
      <c r="C1801" s="0" t="n">
        <v>2025</v>
      </c>
      <c r="D1801" s="28" t="s">
        <v>108</v>
      </c>
      <c r="E1801" s="0" t="n">
        <v>6</v>
      </c>
      <c r="F1801" s="28" t="s">
        <v>113</v>
      </c>
      <c r="G1801" s="28" t="s">
        <v>148</v>
      </c>
      <c r="H1801" s="28" t="s">
        <v>102</v>
      </c>
      <c r="I1801" s="28" t="s">
        <v>103</v>
      </c>
      <c r="J1801" s="28" t="s">
        <v>71</v>
      </c>
      <c r="K1801" s="28" t="s">
        <v>90</v>
      </c>
      <c r="L1801" s="28" t="s">
        <v>141</v>
      </c>
      <c r="M1801" s="28" t="s">
        <v>94</v>
      </c>
      <c r="N1801" s="28" t="s">
        <v>143</v>
      </c>
      <c r="O1801" s="29" t="n">
        <v>15</v>
      </c>
      <c r="P1801" s="30" t="n">
        <v>34.78</v>
      </c>
      <c r="Q1801" s="30" t="n">
        <v>18.39</v>
      </c>
      <c r="R1801" s="30" t="n">
        <f aca="false">ROUND(O1801*P1801,2)</f>
        <v>521.7</v>
      </c>
      <c r="S1801" s="30" t="n">
        <f aca="false">ROUND(O1801*Q1801,2)</f>
        <v>275.85</v>
      </c>
      <c r="T1801" s="30" t="n">
        <f aca="false">ROUND(R1801*SUMIFS(Parametros!$E$23:$E$38,Parametros!$B$23:$B$38,J1801,Parametros!$C$23:$C$38,C1801,Parametros!$D$23:$D$38,D1801),2)</f>
        <v>38.61</v>
      </c>
      <c r="U1801" s="30" t="n">
        <f aca="false">R1801-S1801-T1801</f>
        <v>207.24</v>
      </c>
    </row>
    <row r="1802" customFormat="false" ht="15" hidden="false" customHeight="false" outlineLevel="0" collapsed="false">
      <c r="A1802" s="0" t="n">
        <v>1801</v>
      </c>
      <c r="B1802" s="27" t="n">
        <v>45864</v>
      </c>
      <c r="C1802" s="0" t="n">
        <v>2025</v>
      </c>
      <c r="D1802" s="28" t="s">
        <v>115</v>
      </c>
      <c r="E1802" s="0" t="n">
        <v>7</v>
      </c>
      <c r="F1802" s="28" t="s">
        <v>116</v>
      </c>
      <c r="G1802" s="28" t="s">
        <v>149</v>
      </c>
      <c r="H1802" s="28" t="s">
        <v>64</v>
      </c>
      <c r="I1802" s="28" t="s">
        <v>65</v>
      </c>
      <c r="J1802" s="28" t="s">
        <v>66</v>
      </c>
      <c r="K1802" s="28" t="s">
        <v>67</v>
      </c>
      <c r="L1802" s="28" t="s">
        <v>130</v>
      </c>
      <c r="M1802" s="28" t="s">
        <v>69</v>
      </c>
      <c r="N1802" s="28" t="s">
        <v>131</v>
      </c>
      <c r="O1802" s="29" t="n">
        <v>20</v>
      </c>
      <c r="P1802" s="30" t="n">
        <v>1204.74</v>
      </c>
      <c r="Q1802" s="30" t="n">
        <v>766.32</v>
      </c>
      <c r="R1802" s="30" t="n">
        <f aca="false">ROUND(O1802*P1802,2)</f>
        <v>24094.8</v>
      </c>
      <c r="S1802" s="30" t="n">
        <f aca="false">ROUND(O1802*Q1802,2)</f>
        <v>15326.4</v>
      </c>
      <c r="T1802" s="30" t="n">
        <f aca="false">ROUND(R1802*SUMIFS(Parametros!$E$23:$E$38,Parametros!$B$23:$B$38,J1802,Parametros!$C$23:$C$38,C1802,Parametros!$D$23:$D$38,D1802),2)</f>
        <v>313.23</v>
      </c>
      <c r="U1802" s="30" t="n">
        <f aca="false">R1802-S1802-T1802</f>
        <v>8455.17</v>
      </c>
    </row>
    <row r="1803" customFormat="false" ht="15" hidden="false" customHeight="false" outlineLevel="0" collapsed="false">
      <c r="A1803" s="0" t="n">
        <v>1802</v>
      </c>
      <c r="B1803" s="27" t="n">
        <v>45844</v>
      </c>
      <c r="C1803" s="0" t="n">
        <v>2025</v>
      </c>
      <c r="D1803" s="28" t="s">
        <v>115</v>
      </c>
      <c r="E1803" s="0" t="n">
        <v>7</v>
      </c>
      <c r="F1803" s="28" t="s">
        <v>116</v>
      </c>
      <c r="G1803" s="28" t="s">
        <v>149</v>
      </c>
      <c r="H1803" s="28" t="s">
        <v>64</v>
      </c>
      <c r="I1803" s="28" t="s">
        <v>65</v>
      </c>
      <c r="J1803" s="28" t="s">
        <v>71</v>
      </c>
      <c r="K1803" s="28" t="s">
        <v>67</v>
      </c>
      <c r="L1803" s="28" t="s">
        <v>130</v>
      </c>
      <c r="M1803" s="28" t="s">
        <v>69</v>
      </c>
      <c r="N1803" s="28" t="s">
        <v>131</v>
      </c>
      <c r="O1803" s="29" t="n">
        <v>13</v>
      </c>
      <c r="P1803" s="30" t="n">
        <v>1204.74</v>
      </c>
      <c r="Q1803" s="30" t="n">
        <v>766.32</v>
      </c>
      <c r="R1803" s="30" t="n">
        <f aca="false">ROUND(O1803*P1803,2)</f>
        <v>15661.62</v>
      </c>
      <c r="S1803" s="30" t="n">
        <f aca="false">ROUND(O1803*Q1803,2)</f>
        <v>9962.16</v>
      </c>
      <c r="T1803" s="30" t="n">
        <f aca="false">ROUND(R1803*SUMIFS(Parametros!$E$23:$E$38,Parametros!$B$23:$B$38,J1803,Parametros!$C$23:$C$38,C1803,Parametros!$D$23:$D$38,D1803),2)</f>
        <v>877.05</v>
      </c>
      <c r="U1803" s="30" t="n">
        <f aca="false">R1803-S1803-T1803</f>
        <v>4822.41</v>
      </c>
    </row>
    <row r="1804" customFormat="false" ht="15" hidden="false" customHeight="false" outlineLevel="0" collapsed="false">
      <c r="A1804" s="0" t="n">
        <v>1803</v>
      </c>
      <c r="B1804" s="27" t="n">
        <v>45851</v>
      </c>
      <c r="C1804" s="0" t="n">
        <v>2025</v>
      </c>
      <c r="D1804" s="28" t="s">
        <v>115</v>
      </c>
      <c r="E1804" s="0" t="n">
        <v>7</v>
      </c>
      <c r="F1804" s="28" t="s">
        <v>116</v>
      </c>
      <c r="G1804" s="28" t="s">
        <v>149</v>
      </c>
      <c r="H1804" s="28" t="s">
        <v>64</v>
      </c>
      <c r="I1804" s="28" t="s">
        <v>65</v>
      </c>
      <c r="J1804" s="28" t="s">
        <v>66</v>
      </c>
      <c r="K1804" s="28" t="s">
        <v>67</v>
      </c>
      <c r="L1804" s="28" t="s">
        <v>130</v>
      </c>
      <c r="M1804" s="28" t="s">
        <v>72</v>
      </c>
      <c r="N1804" s="28" t="s">
        <v>132</v>
      </c>
      <c r="O1804" s="29" t="n">
        <v>22</v>
      </c>
      <c r="P1804" s="30" t="n">
        <v>451.78</v>
      </c>
      <c r="Q1804" s="30" t="n">
        <v>280.42</v>
      </c>
      <c r="R1804" s="30" t="n">
        <f aca="false">ROUND(O1804*P1804,2)</f>
        <v>9939.16</v>
      </c>
      <c r="S1804" s="30" t="n">
        <f aca="false">ROUND(O1804*Q1804,2)</f>
        <v>6169.24</v>
      </c>
      <c r="T1804" s="30" t="n">
        <f aca="false">ROUND(R1804*SUMIFS(Parametros!$E$23:$E$38,Parametros!$B$23:$B$38,J1804,Parametros!$C$23:$C$38,C1804,Parametros!$D$23:$D$38,D1804),2)</f>
        <v>129.21</v>
      </c>
      <c r="U1804" s="30" t="n">
        <f aca="false">R1804-S1804-T1804</f>
        <v>3640.71</v>
      </c>
    </row>
    <row r="1805" customFormat="false" ht="15" hidden="false" customHeight="false" outlineLevel="0" collapsed="false">
      <c r="A1805" s="0" t="n">
        <v>1804</v>
      </c>
      <c r="B1805" s="27" t="n">
        <v>45858</v>
      </c>
      <c r="C1805" s="0" t="n">
        <v>2025</v>
      </c>
      <c r="D1805" s="28" t="s">
        <v>115</v>
      </c>
      <c r="E1805" s="0" t="n">
        <v>7</v>
      </c>
      <c r="F1805" s="28" t="s">
        <v>116</v>
      </c>
      <c r="G1805" s="28" t="s">
        <v>149</v>
      </c>
      <c r="H1805" s="28" t="s">
        <v>64</v>
      </c>
      <c r="I1805" s="28" t="s">
        <v>65</v>
      </c>
      <c r="J1805" s="28" t="s">
        <v>71</v>
      </c>
      <c r="K1805" s="28" t="s">
        <v>67</v>
      </c>
      <c r="L1805" s="28" t="s">
        <v>130</v>
      </c>
      <c r="M1805" s="28" t="s">
        <v>72</v>
      </c>
      <c r="N1805" s="28" t="s">
        <v>132</v>
      </c>
      <c r="O1805" s="29" t="n">
        <v>17</v>
      </c>
      <c r="P1805" s="30" t="n">
        <v>451.78</v>
      </c>
      <c r="Q1805" s="30" t="n">
        <v>280.42</v>
      </c>
      <c r="R1805" s="30" t="n">
        <f aca="false">ROUND(O1805*P1805,2)</f>
        <v>7680.26</v>
      </c>
      <c r="S1805" s="30" t="n">
        <f aca="false">ROUND(O1805*Q1805,2)</f>
        <v>4767.14</v>
      </c>
      <c r="T1805" s="30" t="n">
        <f aca="false">ROUND(R1805*SUMIFS(Parametros!$E$23:$E$38,Parametros!$B$23:$B$38,J1805,Parametros!$C$23:$C$38,C1805,Parametros!$D$23:$D$38,D1805),2)</f>
        <v>430.09</v>
      </c>
      <c r="U1805" s="30" t="n">
        <f aca="false">R1805-S1805-T1805</f>
        <v>2483.03</v>
      </c>
    </row>
    <row r="1806" customFormat="false" ht="15" hidden="false" customHeight="false" outlineLevel="0" collapsed="false">
      <c r="A1806" s="0" t="n">
        <v>1805</v>
      </c>
      <c r="B1806" s="27" t="n">
        <v>45865</v>
      </c>
      <c r="C1806" s="0" t="n">
        <v>2025</v>
      </c>
      <c r="D1806" s="28" t="s">
        <v>115</v>
      </c>
      <c r="E1806" s="0" t="n">
        <v>7</v>
      </c>
      <c r="F1806" s="28" t="s">
        <v>116</v>
      </c>
      <c r="G1806" s="28" t="s">
        <v>149</v>
      </c>
      <c r="H1806" s="28" t="s">
        <v>64</v>
      </c>
      <c r="I1806" s="28" t="s">
        <v>65</v>
      </c>
      <c r="J1806" s="28" t="s">
        <v>66</v>
      </c>
      <c r="K1806" s="28" t="s">
        <v>67</v>
      </c>
      <c r="L1806" s="28" t="s">
        <v>130</v>
      </c>
      <c r="M1806" s="28" t="s">
        <v>74</v>
      </c>
      <c r="N1806" s="28" t="s">
        <v>133</v>
      </c>
      <c r="O1806" s="29" t="n">
        <v>22</v>
      </c>
      <c r="P1806" s="30" t="n">
        <v>1656.52</v>
      </c>
      <c r="Q1806" s="30" t="n">
        <v>1155.66</v>
      </c>
      <c r="R1806" s="30" t="n">
        <f aca="false">ROUND(O1806*P1806,2)</f>
        <v>36443.44</v>
      </c>
      <c r="S1806" s="30" t="n">
        <f aca="false">ROUND(O1806*Q1806,2)</f>
        <v>25424.52</v>
      </c>
      <c r="T1806" s="30" t="n">
        <f aca="false">ROUND(R1806*SUMIFS(Parametros!$E$23:$E$38,Parametros!$B$23:$B$38,J1806,Parametros!$C$23:$C$38,C1806,Parametros!$D$23:$D$38,D1806),2)</f>
        <v>473.76</v>
      </c>
      <c r="U1806" s="30" t="n">
        <f aca="false">R1806-S1806-T1806</f>
        <v>10545.16</v>
      </c>
    </row>
    <row r="1807" customFormat="false" ht="15" hidden="false" customHeight="false" outlineLevel="0" collapsed="false">
      <c r="A1807" s="0" t="n">
        <v>1806</v>
      </c>
      <c r="B1807" s="27" t="n">
        <v>45845</v>
      </c>
      <c r="C1807" s="0" t="n">
        <v>2025</v>
      </c>
      <c r="D1807" s="28" t="s">
        <v>115</v>
      </c>
      <c r="E1807" s="0" t="n">
        <v>7</v>
      </c>
      <c r="F1807" s="28" t="s">
        <v>116</v>
      </c>
      <c r="G1807" s="28" t="s">
        <v>149</v>
      </c>
      <c r="H1807" s="28" t="s">
        <v>64</v>
      </c>
      <c r="I1807" s="28" t="s">
        <v>65</v>
      </c>
      <c r="J1807" s="28" t="s">
        <v>71</v>
      </c>
      <c r="K1807" s="28" t="s">
        <v>67</v>
      </c>
      <c r="L1807" s="28" t="s">
        <v>130</v>
      </c>
      <c r="M1807" s="28" t="s">
        <v>74</v>
      </c>
      <c r="N1807" s="28" t="s">
        <v>133</v>
      </c>
      <c r="O1807" s="29" t="n">
        <v>18</v>
      </c>
      <c r="P1807" s="30" t="n">
        <v>1656.52</v>
      </c>
      <c r="Q1807" s="30" t="n">
        <v>1155.66</v>
      </c>
      <c r="R1807" s="30" t="n">
        <f aca="false">ROUND(O1807*P1807,2)</f>
        <v>29817.36</v>
      </c>
      <c r="S1807" s="30" t="n">
        <f aca="false">ROUND(O1807*Q1807,2)</f>
        <v>20801.88</v>
      </c>
      <c r="T1807" s="30" t="n">
        <f aca="false">ROUND(R1807*SUMIFS(Parametros!$E$23:$E$38,Parametros!$B$23:$B$38,J1807,Parametros!$C$23:$C$38,C1807,Parametros!$D$23:$D$38,D1807),2)</f>
        <v>1669.77</v>
      </c>
      <c r="U1807" s="30" t="n">
        <f aca="false">R1807-S1807-T1807</f>
        <v>7345.71</v>
      </c>
    </row>
    <row r="1808" customFormat="false" ht="15" hidden="false" customHeight="false" outlineLevel="0" collapsed="false">
      <c r="A1808" s="0" t="n">
        <v>1807</v>
      </c>
      <c r="B1808" s="27" t="n">
        <v>45852</v>
      </c>
      <c r="C1808" s="0" t="n">
        <v>2025</v>
      </c>
      <c r="D1808" s="28" t="s">
        <v>115</v>
      </c>
      <c r="E1808" s="0" t="n">
        <v>7</v>
      </c>
      <c r="F1808" s="28" t="s">
        <v>116</v>
      </c>
      <c r="G1808" s="28" t="s">
        <v>149</v>
      </c>
      <c r="H1808" s="28" t="s">
        <v>64</v>
      </c>
      <c r="I1808" s="28" t="s">
        <v>65</v>
      </c>
      <c r="J1808" s="28" t="s">
        <v>66</v>
      </c>
      <c r="K1808" s="28" t="s">
        <v>76</v>
      </c>
      <c r="L1808" s="28" t="s">
        <v>134</v>
      </c>
      <c r="M1808" s="28" t="s">
        <v>78</v>
      </c>
      <c r="N1808" s="28" t="s">
        <v>135</v>
      </c>
      <c r="O1808" s="29" t="n">
        <v>95</v>
      </c>
      <c r="P1808" s="30" t="n">
        <v>28.11</v>
      </c>
      <c r="Q1808" s="30" t="n">
        <v>13.84</v>
      </c>
      <c r="R1808" s="30" t="n">
        <f aca="false">ROUND(O1808*P1808,2)</f>
        <v>2670.45</v>
      </c>
      <c r="S1808" s="30" t="n">
        <f aca="false">ROUND(O1808*Q1808,2)</f>
        <v>1314.8</v>
      </c>
      <c r="T1808" s="30" t="n">
        <f aca="false">ROUND(R1808*SUMIFS(Parametros!$E$23:$E$38,Parametros!$B$23:$B$38,J1808,Parametros!$C$23:$C$38,C1808,Parametros!$D$23:$D$38,D1808),2)</f>
        <v>34.72</v>
      </c>
      <c r="U1808" s="30" t="n">
        <f aca="false">R1808-S1808-T1808</f>
        <v>1320.93</v>
      </c>
    </row>
    <row r="1809" customFormat="false" ht="15" hidden="false" customHeight="false" outlineLevel="0" collapsed="false">
      <c r="A1809" s="0" t="n">
        <v>1808</v>
      </c>
      <c r="B1809" s="27" t="n">
        <v>45859</v>
      </c>
      <c r="C1809" s="0" t="n">
        <v>2025</v>
      </c>
      <c r="D1809" s="28" t="s">
        <v>115</v>
      </c>
      <c r="E1809" s="0" t="n">
        <v>7</v>
      </c>
      <c r="F1809" s="28" t="s">
        <v>116</v>
      </c>
      <c r="G1809" s="28" t="s">
        <v>149</v>
      </c>
      <c r="H1809" s="28" t="s">
        <v>64</v>
      </c>
      <c r="I1809" s="28" t="s">
        <v>65</v>
      </c>
      <c r="J1809" s="28" t="s">
        <v>71</v>
      </c>
      <c r="K1809" s="28" t="s">
        <v>76</v>
      </c>
      <c r="L1809" s="28" t="s">
        <v>134</v>
      </c>
      <c r="M1809" s="28" t="s">
        <v>78</v>
      </c>
      <c r="N1809" s="28" t="s">
        <v>135</v>
      </c>
      <c r="O1809" s="29" t="n">
        <v>81</v>
      </c>
      <c r="P1809" s="30" t="n">
        <v>28.11</v>
      </c>
      <c r="Q1809" s="30" t="n">
        <v>13.84</v>
      </c>
      <c r="R1809" s="30" t="n">
        <f aca="false">ROUND(O1809*P1809,2)</f>
        <v>2276.91</v>
      </c>
      <c r="S1809" s="30" t="n">
        <f aca="false">ROUND(O1809*Q1809,2)</f>
        <v>1121.04</v>
      </c>
      <c r="T1809" s="30" t="n">
        <f aca="false">ROUND(R1809*SUMIFS(Parametros!$E$23:$E$38,Parametros!$B$23:$B$38,J1809,Parametros!$C$23:$C$38,C1809,Parametros!$D$23:$D$38,D1809),2)</f>
        <v>127.51</v>
      </c>
      <c r="U1809" s="30" t="n">
        <f aca="false">R1809-S1809-T1809</f>
        <v>1028.36</v>
      </c>
    </row>
    <row r="1810" customFormat="false" ht="15" hidden="false" customHeight="false" outlineLevel="0" collapsed="false">
      <c r="A1810" s="0" t="n">
        <v>1809</v>
      </c>
      <c r="B1810" s="27" t="n">
        <v>45839</v>
      </c>
      <c r="C1810" s="0" t="n">
        <v>2025</v>
      </c>
      <c r="D1810" s="28" t="s">
        <v>115</v>
      </c>
      <c r="E1810" s="0" t="n">
        <v>7</v>
      </c>
      <c r="F1810" s="28" t="s">
        <v>116</v>
      </c>
      <c r="G1810" s="28" t="s">
        <v>149</v>
      </c>
      <c r="H1810" s="28" t="s">
        <v>64</v>
      </c>
      <c r="I1810" s="28" t="s">
        <v>65</v>
      </c>
      <c r="J1810" s="28" t="s">
        <v>66</v>
      </c>
      <c r="K1810" s="28" t="s">
        <v>76</v>
      </c>
      <c r="L1810" s="28" t="s">
        <v>134</v>
      </c>
      <c r="M1810" s="28" t="s">
        <v>80</v>
      </c>
      <c r="N1810" s="28" t="s">
        <v>136</v>
      </c>
      <c r="O1810" s="29" t="n">
        <v>92</v>
      </c>
      <c r="P1810" s="30" t="n">
        <v>95.38</v>
      </c>
      <c r="Q1810" s="30" t="n">
        <v>49.41</v>
      </c>
      <c r="R1810" s="30" t="n">
        <f aca="false">ROUND(O1810*P1810,2)</f>
        <v>8774.96</v>
      </c>
      <c r="S1810" s="30" t="n">
        <f aca="false">ROUND(O1810*Q1810,2)</f>
        <v>4545.72</v>
      </c>
      <c r="T1810" s="30" t="n">
        <f aca="false">ROUND(R1810*SUMIFS(Parametros!$E$23:$E$38,Parametros!$B$23:$B$38,J1810,Parametros!$C$23:$C$38,C1810,Parametros!$D$23:$D$38,D1810),2)</f>
        <v>114.07</v>
      </c>
      <c r="U1810" s="30" t="n">
        <f aca="false">R1810-S1810-T1810</f>
        <v>4115.17</v>
      </c>
    </row>
    <row r="1811" customFormat="false" ht="15" hidden="false" customHeight="false" outlineLevel="0" collapsed="false">
      <c r="A1811" s="0" t="n">
        <v>1810</v>
      </c>
      <c r="B1811" s="27" t="n">
        <v>45846</v>
      </c>
      <c r="C1811" s="0" t="n">
        <v>2025</v>
      </c>
      <c r="D1811" s="28" t="s">
        <v>115</v>
      </c>
      <c r="E1811" s="0" t="n">
        <v>7</v>
      </c>
      <c r="F1811" s="28" t="s">
        <v>116</v>
      </c>
      <c r="G1811" s="28" t="s">
        <v>149</v>
      </c>
      <c r="H1811" s="28" t="s">
        <v>64</v>
      </c>
      <c r="I1811" s="28" t="s">
        <v>65</v>
      </c>
      <c r="J1811" s="28" t="s">
        <v>71</v>
      </c>
      <c r="K1811" s="28" t="s">
        <v>76</v>
      </c>
      <c r="L1811" s="28" t="s">
        <v>134</v>
      </c>
      <c r="M1811" s="28" t="s">
        <v>80</v>
      </c>
      <c r="N1811" s="28" t="s">
        <v>136</v>
      </c>
      <c r="O1811" s="29" t="n">
        <v>60</v>
      </c>
      <c r="P1811" s="30" t="n">
        <v>95.38</v>
      </c>
      <c r="Q1811" s="30" t="n">
        <v>49.41</v>
      </c>
      <c r="R1811" s="30" t="n">
        <f aca="false">ROUND(O1811*P1811,2)</f>
        <v>5722.8</v>
      </c>
      <c r="S1811" s="30" t="n">
        <f aca="false">ROUND(O1811*Q1811,2)</f>
        <v>2964.6</v>
      </c>
      <c r="T1811" s="30" t="n">
        <f aca="false">ROUND(R1811*SUMIFS(Parametros!$E$23:$E$38,Parametros!$B$23:$B$38,J1811,Parametros!$C$23:$C$38,C1811,Parametros!$D$23:$D$38,D1811),2)</f>
        <v>320.48</v>
      </c>
      <c r="U1811" s="30" t="n">
        <f aca="false">R1811-S1811-T1811</f>
        <v>2437.72</v>
      </c>
    </row>
    <row r="1812" customFormat="false" ht="15" hidden="false" customHeight="false" outlineLevel="0" collapsed="false">
      <c r="A1812" s="0" t="n">
        <v>1811</v>
      </c>
      <c r="B1812" s="27" t="n">
        <v>45853</v>
      </c>
      <c r="C1812" s="0" t="n">
        <v>2025</v>
      </c>
      <c r="D1812" s="28" t="s">
        <v>115</v>
      </c>
      <c r="E1812" s="0" t="n">
        <v>7</v>
      </c>
      <c r="F1812" s="28" t="s">
        <v>116</v>
      </c>
      <c r="G1812" s="28" t="s">
        <v>149</v>
      </c>
      <c r="H1812" s="28" t="s">
        <v>64</v>
      </c>
      <c r="I1812" s="28" t="s">
        <v>65</v>
      </c>
      <c r="J1812" s="28" t="s">
        <v>66</v>
      </c>
      <c r="K1812" s="28" t="s">
        <v>76</v>
      </c>
      <c r="L1812" s="28" t="s">
        <v>134</v>
      </c>
      <c r="M1812" s="28" t="s">
        <v>82</v>
      </c>
      <c r="N1812" s="28" t="s">
        <v>137</v>
      </c>
      <c r="O1812" s="29" t="n">
        <v>88</v>
      </c>
      <c r="P1812" s="30" t="n">
        <v>65.26</v>
      </c>
      <c r="Q1812" s="30" t="n">
        <v>36.49</v>
      </c>
      <c r="R1812" s="30" t="n">
        <f aca="false">ROUND(O1812*P1812,2)</f>
        <v>5742.88</v>
      </c>
      <c r="S1812" s="30" t="n">
        <f aca="false">ROUND(O1812*Q1812,2)</f>
        <v>3211.12</v>
      </c>
      <c r="T1812" s="30" t="n">
        <f aca="false">ROUND(R1812*SUMIFS(Parametros!$E$23:$E$38,Parametros!$B$23:$B$38,J1812,Parametros!$C$23:$C$38,C1812,Parametros!$D$23:$D$38,D1812),2)</f>
        <v>74.66</v>
      </c>
      <c r="U1812" s="30" t="n">
        <f aca="false">R1812-S1812-T1812</f>
        <v>2457.1</v>
      </c>
    </row>
    <row r="1813" customFormat="false" ht="15" hidden="false" customHeight="false" outlineLevel="0" collapsed="false">
      <c r="A1813" s="0" t="n">
        <v>1812</v>
      </c>
      <c r="B1813" s="27" t="n">
        <v>45860</v>
      </c>
      <c r="C1813" s="0" t="n">
        <v>2025</v>
      </c>
      <c r="D1813" s="28" t="s">
        <v>115</v>
      </c>
      <c r="E1813" s="0" t="n">
        <v>7</v>
      </c>
      <c r="F1813" s="28" t="s">
        <v>116</v>
      </c>
      <c r="G1813" s="28" t="s">
        <v>149</v>
      </c>
      <c r="H1813" s="28" t="s">
        <v>64</v>
      </c>
      <c r="I1813" s="28" t="s">
        <v>65</v>
      </c>
      <c r="J1813" s="28" t="s">
        <v>71</v>
      </c>
      <c r="K1813" s="28" t="s">
        <v>76</v>
      </c>
      <c r="L1813" s="28" t="s">
        <v>134</v>
      </c>
      <c r="M1813" s="28" t="s">
        <v>82</v>
      </c>
      <c r="N1813" s="28" t="s">
        <v>137</v>
      </c>
      <c r="O1813" s="29" t="n">
        <v>67</v>
      </c>
      <c r="P1813" s="30" t="n">
        <v>65.26</v>
      </c>
      <c r="Q1813" s="30" t="n">
        <v>36.49</v>
      </c>
      <c r="R1813" s="30" t="n">
        <f aca="false">ROUND(O1813*P1813,2)</f>
        <v>4372.42</v>
      </c>
      <c r="S1813" s="30" t="n">
        <f aca="false">ROUND(O1813*Q1813,2)</f>
        <v>2444.83</v>
      </c>
      <c r="T1813" s="30" t="n">
        <f aca="false">ROUND(R1813*SUMIFS(Parametros!$E$23:$E$38,Parametros!$B$23:$B$38,J1813,Parametros!$C$23:$C$38,C1813,Parametros!$D$23:$D$38,D1813),2)</f>
        <v>244.86</v>
      </c>
      <c r="U1813" s="30" t="n">
        <f aca="false">R1813-S1813-T1813</f>
        <v>1682.73</v>
      </c>
    </row>
    <row r="1814" customFormat="false" ht="15" hidden="false" customHeight="false" outlineLevel="0" collapsed="false">
      <c r="A1814" s="0" t="n">
        <v>1813</v>
      </c>
      <c r="B1814" s="27" t="n">
        <v>45840</v>
      </c>
      <c r="C1814" s="0" t="n">
        <v>2025</v>
      </c>
      <c r="D1814" s="28" t="s">
        <v>115</v>
      </c>
      <c r="E1814" s="0" t="n">
        <v>7</v>
      </c>
      <c r="F1814" s="28" t="s">
        <v>116</v>
      </c>
      <c r="G1814" s="28" t="s">
        <v>149</v>
      </c>
      <c r="H1814" s="28" t="s">
        <v>64</v>
      </c>
      <c r="I1814" s="28" t="s">
        <v>65</v>
      </c>
      <c r="J1814" s="28" t="s">
        <v>66</v>
      </c>
      <c r="K1814" s="28" t="s">
        <v>84</v>
      </c>
      <c r="L1814" s="28" t="s">
        <v>138</v>
      </c>
      <c r="M1814" s="28" t="s">
        <v>86</v>
      </c>
      <c r="N1814" s="28" t="s">
        <v>139</v>
      </c>
      <c r="O1814" s="29" t="n">
        <v>44</v>
      </c>
      <c r="P1814" s="30" t="n">
        <v>120.47</v>
      </c>
      <c r="Q1814" s="30" t="n">
        <v>65.51</v>
      </c>
      <c r="R1814" s="30" t="n">
        <f aca="false">ROUND(O1814*P1814,2)</f>
        <v>5300.68</v>
      </c>
      <c r="S1814" s="30" t="n">
        <f aca="false">ROUND(O1814*Q1814,2)</f>
        <v>2882.44</v>
      </c>
      <c r="T1814" s="30" t="n">
        <f aca="false">ROUND(R1814*SUMIFS(Parametros!$E$23:$E$38,Parametros!$B$23:$B$38,J1814,Parametros!$C$23:$C$38,C1814,Parametros!$D$23:$D$38,D1814),2)</f>
        <v>68.91</v>
      </c>
      <c r="U1814" s="30" t="n">
        <f aca="false">R1814-S1814-T1814</f>
        <v>2349.33</v>
      </c>
    </row>
    <row r="1815" customFormat="false" ht="15" hidden="false" customHeight="false" outlineLevel="0" collapsed="false">
      <c r="A1815" s="0" t="n">
        <v>1814</v>
      </c>
      <c r="B1815" s="27" t="n">
        <v>45847</v>
      </c>
      <c r="C1815" s="0" t="n">
        <v>2025</v>
      </c>
      <c r="D1815" s="28" t="s">
        <v>115</v>
      </c>
      <c r="E1815" s="0" t="n">
        <v>7</v>
      </c>
      <c r="F1815" s="28" t="s">
        <v>116</v>
      </c>
      <c r="G1815" s="28" t="s">
        <v>149</v>
      </c>
      <c r="H1815" s="28" t="s">
        <v>64</v>
      </c>
      <c r="I1815" s="28" t="s">
        <v>65</v>
      </c>
      <c r="J1815" s="28" t="s">
        <v>71</v>
      </c>
      <c r="K1815" s="28" t="s">
        <v>84</v>
      </c>
      <c r="L1815" s="28" t="s">
        <v>138</v>
      </c>
      <c r="M1815" s="28" t="s">
        <v>86</v>
      </c>
      <c r="N1815" s="28" t="s">
        <v>139</v>
      </c>
      <c r="O1815" s="29" t="n">
        <v>35</v>
      </c>
      <c r="P1815" s="30" t="n">
        <v>120.47</v>
      </c>
      <c r="Q1815" s="30" t="n">
        <v>65.51</v>
      </c>
      <c r="R1815" s="30" t="n">
        <f aca="false">ROUND(O1815*P1815,2)</f>
        <v>4216.45</v>
      </c>
      <c r="S1815" s="30" t="n">
        <f aca="false">ROUND(O1815*Q1815,2)</f>
        <v>2292.85</v>
      </c>
      <c r="T1815" s="30" t="n">
        <f aca="false">ROUND(R1815*SUMIFS(Parametros!$E$23:$E$38,Parametros!$B$23:$B$38,J1815,Parametros!$C$23:$C$38,C1815,Parametros!$D$23:$D$38,D1815),2)</f>
        <v>236.12</v>
      </c>
      <c r="U1815" s="30" t="n">
        <f aca="false">R1815-S1815-T1815</f>
        <v>1687.48</v>
      </c>
    </row>
    <row r="1816" customFormat="false" ht="15" hidden="false" customHeight="false" outlineLevel="0" collapsed="false">
      <c r="A1816" s="0" t="n">
        <v>1815</v>
      </c>
      <c r="B1816" s="27" t="n">
        <v>45854</v>
      </c>
      <c r="C1816" s="0" t="n">
        <v>2025</v>
      </c>
      <c r="D1816" s="28" t="s">
        <v>115</v>
      </c>
      <c r="E1816" s="0" t="n">
        <v>7</v>
      </c>
      <c r="F1816" s="28" t="s">
        <v>116</v>
      </c>
      <c r="G1816" s="28" t="s">
        <v>149</v>
      </c>
      <c r="H1816" s="28" t="s">
        <v>64</v>
      </c>
      <c r="I1816" s="28" t="s">
        <v>65</v>
      </c>
      <c r="J1816" s="28" t="s">
        <v>66</v>
      </c>
      <c r="K1816" s="28" t="s">
        <v>84</v>
      </c>
      <c r="L1816" s="28" t="s">
        <v>138</v>
      </c>
      <c r="M1816" s="28" t="s">
        <v>88</v>
      </c>
      <c r="N1816" s="28" t="s">
        <v>140</v>
      </c>
      <c r="O1816" s="29" t="n">
        <v>50</v>
      </c>
      <c r="P1816" s="30" t="n">
        <v>85.34</v>
      </c>
      <c r="Q1816" s="30" t="n">
        <v>49.47</v>
      </c>
      <c r="R1816" s="30" t="n">
        <f aca="false">ROUND(O1816*P1816,2)</f>
        <v>4267</v>
      </c>
      <c r="S1816" s="30" t="n">
        <f aca="false">ROUND(O1816*Q1816,2)</f>
        <v>2473.5</v>
      </c>
      <c r="T1816" s="30" t="n">
        <f aca="false">ROUND(R1816*SUMIFS(Parametros!$E$23:$E$38,Parametros!$B$23:$B$38,J1816,Parametros!$C$23:$C$38,C1816,Parametros!$D$23:$D$38,D1816),2)</f>
        <v>55.47</v>
      </c>
      <c r="U1816" s="30" t="n">
        <f aca="false">R1816-S1816-T1816</f>
        <v>1738.03</v>
      </c>
    </row>
    <row r="1817" customFormat="false" ht="15" hidden="false" customHeight="false" outlineLevel="0" collapsed="false">
      <c r="A1817" s="0" t="n">
        <v>1816</v>
      </c>
      <c r="B1817" s="27" t="n">
        <v>45861</v>
      </c>
      <c r="C1817" s="0" t="n">
        <v>2025</v>
      </c>
      <c r="D1817" s="28" t="s">
        <v>115</v>
      </c>
      <c r="E1817" s="0" t="n">
        <v>7</v>
      </c>
      <c r="F1817" s="28" t="s">
        <v>116</v>
      </c>
      <c r="G1817" s="28" t="s">
        <v>149</v>
      </c>
      <c r="H1817" s="28" t="s">
        <v>64</v>
      </c>
      <c r="I1817" s="28" t="s">
        <v>65</v>
      </c>
      <c r="J1817" s="28" t="s">
        <v>71</v>
      </c>
      <c r="K1817" s="28" t="s">
        <v>84</v>
      </c>
      <c r="L1817" s="28" t="s">
        <v>138</v>
      </c>
      <c r="M1817" s="28" t="s">
        <v>88</v>
      </c>
      <c r="N1817" s="28" t="s">
        <v>140</v>
      </c>
      <c r="O1817" s="29" t="n">
        <v>31</v>
      </c>
      <c r="P1817" s="30" t="n">
        <v>85.34</v>
      </c>
      <c r="Q1817" s="30" t="n">
        <v>49.47</v>
      </c>
      <c r="R1817" s="30" t="n">
        <f aca="false">ROUND(O1817*P1817,2)</f>
        <v>2645.54</v>
      </c>
      <c r="S1817" s="30" t="n">
        <f aca="false">ROUND(O1817*Q1817,2)</f>
        <v>1533.57</v>
      </c>
      <c r="T1817" s="30" t="n">
        <f aca="false">ROUND(R1817*SUMIFS(Parametros!$E$23:$E$38,Parametros!$B$23:$B$38,J1817,Parametros!$C$23:$C$38,C1817,Parametros!$D$23:$D$38,D1817),2)</f>
        <v>148.15</v>
      </c>
      <c r="U1817" s="30" t="n">
        <f aca="false">R1817-S1817-T1817</f>
        <v>963.82</v>
      </c>
    </row>
    <row r="1818" customFormat="false" ht="15" hidden="false" customHeight="false" outlineLevel="0" collapsed="false">
      <c r="A1818" s="0" t="n">
        <v>1817</v>
      </c>
      <c r="B1818" s="27" t="n">
        <v>45841</v>
      </c>
      <c r="C1818" s="0" t="n">
        <v>2025</v>
      </c>
      <c r="D1818" s="28" t="s">
        <v>115</v>
      </c>
      <c r="E1818" s="0" t="n">
        <v>7</v>
      </c>
      <c r="F1818" s="28" t="s">
        <v>116</v>
      </c>
      <c r="G1818" s="28" t="s">
        <v>149</v>
      </c>
      <c r="H1818" s="28" t="s">
        <v>64</v>
      </c>
      <c r="I1818" s="28" t="s">
        <v>65</v>
      </c>
      <c r="J1818" s="28" t="s">
        <v>66</v>
      </c>
      <c r="K1818" s="28" t="s">
        <v>90</v>
      </c>
      <c r="L1818" s="28" t="s">
        <v>141</v>
      </c>
      <c r="M1818" s="28" t="s">
        <v>92</v>
      </c>
      <c r="N1818" s="28" t="s">
        <v>142</v>
      </c>
      <c r="O1818" s="29" t="n">
        <v>55</v>
      </c>
      <c r="P1818" s="30" t="n">
        <v>130.51</v>
      </c>
      <c r="Q1818" s="30" t="n">
        <v>78.33</v>
      </c>
      <c r="R1818" s="30" t="n">
        <f aca="false">ROUND(O1818*P1818,2)</f>
        <v>7178.05</v>
      </c>
      <c r="S1818" s="30" t="n">
        <f aca="false">ROUND(O1818*Q1818,2)</f>
        <v>4308.15</v>
      </c>
      <c r="T1818" s="30" t="n">
        <f aca="false">ROUND(R1818*SUMIFS(Parametros!$E$23:$E$38,Parametros!$B$23:$B$38,J1818,Parametros!$C$23:$C$38,C1818,Parametros!$D$23:$D$38,D1818),2)</f>
        <v>93.31</v>
      </c>
      <c r="U1818" s="30" t="n">
        <f aca="false">R1818-S1818-T1818</f>
        <v>2776.59</v>
      </c>
    </row>
    <row r="1819" customFormat="false" ht="15" hidden="false" customHeight="false" outlineLevel="0" collapsed="false">
      <c r="A1819" s="0" t="n">
        <v>1818</v>
      </c>
      <c r="B1819" s="27" t="n">
        <v>45848</v>
      </c>
      <c r="C1819" s="0" t="n">
        <v>2025</v>
      </c>
      <c r="D1819" s="28" t="s">
        <v>115</v>
      </c>
      <c r="E1819" s="0" t="n">
        <v>7</v>
      </c>
      <c r="F1819" s="28" t="s">
        <v>116</v>
      </c>
      <c r="G1819" s="28" t="s">
        <v>149</v>
      </c>
      <c r="H1819" s="28" t="s">
        <v>64</v>
      </c>
      <c r="I1819" s="28" t="s">
        <v>65</v>
      </c>
      <c r="J1819" s="28" t="s">
        <v>71</v>
      </c>
      <c r="K1819" s="28" t="s">
        <v>90</v>
      </c>
      <c r="L1819" s="28" t="s">
        <v>141</v>
      </c>
      <c r="M1819" s="28" t="s">
        <v>92</v>
      </c>
      <c r="N1819" s="28" t="s">
        <v>142</v>
      </c>
      <c r="O1819" s="29" t="n">
        <v>39</v>
      </c>
      <c r="P1819" s="30" t="n">
        <v>130.51</v>
      </c>
      <c r="Q1819" s="30" t="n">
        <v>78.33</v>
      </c>
      <c r="R1819" s="30" t="n">
        <f aca="false">ROUND(O1819*P1819,2)</f>
        <v>5089.89</v>
      </c>
      <c r="S1819" s="30" t="n">
        <f aca="false">ROUND(O1819*Q1819,2)</f>
        <v>3054.87</v>
      </c>
      <c r="T1819" s="30" t="n">
        <f aca="false">ROUND(R1819*SUMIFS(Parametros!$E$23:$E$38,Parametros!$B$23:$B$38,J1819,Parametros!$C$23:$C$38,C1819,Parametros!$D$23:$D$38,D1819),2)</f>
        <v>285.03</v>
      </c>
      <c r="U1819" s="30" t="n">
        <f aca="false">R1819-S1819-T1819</f>
        <v>1749.99</v>
      </c>
    </row>
    <row r="1820" customFormat="false" ht="15" hidden="false" customHeight="false" outlineLevel="0" collapsed="false">
      <c r="A1820" s="0" t="n">
        <v>1819</v>
      </c>
      <c r="B1820" s="27" t="n">
        <v>45855</v>
      </c>
      <c r="C1820" s="0" t="n">
        <v>2025</v>
      </c>
      <c r="D1820" s="28" t="s">
        <v>115</v>
      </c>
      <c r="E1820" s="0" t="n">
        <v>7</v>
      </c>
      <c r="F1820" s="28" t="s">
        <v>116</v>
      </c>
      <c r="G1820" s="28" t="s">
        <v>149</v>
      </c>
      <c r="H1820" s="28" t="s">
        <v>64</v>
      </c>
      <c r="I1820" s="28" t="s">
        <v>65</v>
      </c>
      <c r="J1820" s="28" t="s">
        <v>66</v>
      </c>
      <c r="K1820" s="28" t="s">
        <v>90</v>
      </c>
      <c r="L1820" s="28" t="s">
        <v>141</v>
      </c>
      <c r="M1820" s="28" t="s">
        <v>94</v>
      </c>
      <c r="N1820" s="28" t="s">
        <v>143</v>
      </c>
      <c r="O1820" s="29" t="n">
        <v>52</v>
      </c>
      <c r="P1820" s="30" t="n">
        <v>35.14</v>
      </c>
      <c r="Q1820" s="30" t="n">
        <v>18.39</v>
      </c>
      <c r="R1820" s="30" t="n">
        <f aca="false">ROUND(O1820*P1820,2)</f>
        <v>1827.28</v>
      </c>
      <c r="S1820" s="30" t="n">
        <f aca="false">ROUND(O1820*Q1820,2)</f>
        <v>956.28</v>
      </c>
      <c r="T1820" s="30" t="n">
        <f aca="false">ROUND(R1820*SUMIFS(Parametros!$E$23:$E$38,Parametros!$B$23:$B$38,J1820,Parametros!$C$23:$C$38,C1820,Parametros!$D$23:$D$38,D1820),2)</f>
        <v>23.75</v>
      </c>
      <c r="U1820" s="30" t="n">
        <f aca="false">R1820-S1820-T1820</f>
        <v>847.25</v>
      </c>
    </row>
    <row r="1821" customFormat="false" ht="15" hidden="false" customHeight="false" outlineLevel="0" collapsed="false">
      <c r="A1821" s="0" t="n">
        <v>1820</v>
      </c>
      <c r="B1821" s="27" t="n">
        <v>45862</v>
      </c>
      <c r="C1821" s="0" t="n">
        <v>2025</v>
      </c>
      <c r="D1821" s="28" t="s">
        <v>115</v>
      </c>
      <c r="E1821" s="0" t="n">
        <v>7</v>
      </c>
      <c r="F1821" s="28" t="s">
        <v>116</v>
      </c>
      <c r="G1821" s="28" t="s">
        <v>149</v>
      </c>
      <c r="H1821" s="28" t="s">
        <v>64</v>
      </c>
      <c r="I1821" s="28" t="s">
        <v>65</v>
      </c>
      <c r="J1821" s="28" t="s">
        <v>71</v>
      </c>
      <c r="K1821" s="28" t="s">
        <v>90</v>
      </c>
      <c r="L1821" s="28" t="s">
        <v>141</v>
      </c>
      <c r="M1821" s="28" t="s">
        <v>94</v>
      </c>
      <c r="N1821" s="28" t="s">
        <v>143</v>
      </c>
      <c r="O1821" s="29" t="n">
        <v>46</v>
      </c>
      <c r="P1821" s="30" t="n">
        <v>35.14</v>
      </c>
      <c r="Q1821" s="30" t="n">
        <v>18.39</v>
      </c>
      <c r="R1821" s="30" t="n">
        <f aca="false">ROUND(O1821*P1821,2)</f>
        <v>1616.44</v>
      </c>
      <c r="S1821" s="30" t="n">
        <f aca="false">ROUND(O1821*Q1821,2)</f>
        <v>845.94</v>
      </c>
      <c r="T1821" s="30" t="n">
        <f aca="false">ROUND(R1821*SUMIFS(Parametros!$E$23:$E$38,Parametros!$B$23:$B$38,J1821,Parametros!$C$23:$C$38,C1821,Parametros!$D$23:$D$38,D1821),2)</f>
        <v>90.52</v>
      </c>
      <c r="U1821" s="30" t="n">
        <f aca="false">R1821-S1821-T1821</f>
        <v>679.98</v>
      </c>
    </row>
    <row r="1822" customFormat="false" ht="15" hidden="false" customHeight="false" outlineLevel="0" collapsed="false">
      <c r="A1822" s="0" t="n">
        <v>1821</v>
      </c>
      <c r="B1822" s="27" t="n">
        <v>45842</v>
      </c>
      <c r="C1822" s="0" t="n">
        <v>2025</v>
      </c>
      <c r="D1822" s="28" t="s">
        <v>115</v>
      </c>
      <c r="E1822" s="0" t="n">
        <v>7</v>
      </c>
      <c r="F1822" s="28" t="s">
        <v>116</v>
      </c>
      <c r="G1822" s="28" t="s">
        <v>149</v>
      </c>
      <c r="H1822" s="28" t="s">
        <v>96</v>
      </c>
      <c r="I1822" s="28" t="s">
        <v>97</v>
      </c>
      <c r="J1822" s="28" t="s">
        <v>66</v>
      </c>
      <c r="K1822" s="28" t="s">
        <v>67</v>
      </c>
      <c r="L1822" s="28" t="s">
        <v>130</v>
      </c>
      <c r="M1822" s="28" t="s">
        <v>69</v>
      </c>
      <c r="N1822" s="28" t="s">
        <v>131</v>
      </c>
      <c r="O1822" s="29" t="n">
        <v>14</v>
      </c>
      <c r="P1822" s="30" t="n">
        <v>1204.74</v>
      </c>
      <c r="Q1822" s="30" t="n">
        <v>766.32</v>
      </c>
      <c r="R1822" s="30" t="n">
        <f aca="false">ROUND(O1822*P1822,2)</f>
        <v>16866.36</v>
      </c>
      <c r="S1822" s="30" t="n">
        <f aca="false">ROUND(O1822*Q1822,2)</f>
        <v>10728.48</v>
      </c>
      <c r="T1822" s="30" t="n">
        <f aca="false">ROUND(R1822*SUMIFS(Parametros!$E$23:$E$38,Parametros!$B$23:$B$38,J1822,Parametros!$C$23:$C$38,C1822,Parametros!$D$23:$D$38,D1822),2)</f>
        <v>219.26</v>
      </c>
      <c r="U1822" s="30" t="n">
        <f aca="false">R1822-S1822-T1822</f>
        <v>5918.62</v>
      </c>
    </row>
    <row r="1823" customFormat="false" ht="15" hidden="false" customHeight="false" outlineLevel="0" collapsed="false">
      <c r="A1823" s="0" t="n">
        <v>1822</v>
      </c>
      <c r="B1823" s="27" t="n">
        <v>45849</v>
      </c>
      <c r="C1823" s="0" t="n">
        <v>2025</v>
      </c>
      <c r="D1823" s="28" t="s">
        <v>115</v>
      </c>
      <c r="E1823" s="0" t="n">
        <v>7</v>
      </c>
      <c r="F1823" s="28" t="s">
        <v>116</v>
      </c>
      <c r="G1823" s="28" t="s">
        <v>149</v>
      </c>
      <c r="H1823" s="28" t="s">
        <v>96</v>
      </c>
      <c r="I1823" s="28" t="s">
        <v>97</v>
      </c>
      <c r="J1823" s="28" t="s">
        <v>71</v>
      </c>
      <c r="K1823" s="28" t="s">
        <v>67</v>
      </c>
      <c r="L1823" s="28" t="s">
        <v>130</v>
      </c>
      <c r="M1823" s="28" t="s">
        <v>69</v>
      </c>
      <c r="N1823" s="28" t="s">
        <v>131</v>
      </c>
      <c r="O1823" s="29" t="n">
        <v>8</v>
      </c>
      <c r="P1823" s="30" t="n">
        <v>1204.74</v>
      </c>
      <c r="Q1823" s="30" t="n">
        <v>766.32</v>
      </c>
      <c r="R1823" s="30" t="n">
        <f aca="false">ROUND(O1823*P1823,2)</f>
        <v>9637.92</v>
      </c>
      <c r="S1823" s="30" t="n">
        <f aca="false">ROUND(O1823*Q1823,2)</f>
        <v>6130.56</v>
      </c>
      <c r="T1823" s="30" t="n">
        <f aca="false">ROUND(R1823*SUMIFS(Parametros!$E$23:$E$38,Parametros!$B$23:$B$38,J1823,Parametros!$C$23:$C$38,C1823,Parametros!$D$23:$D$38,D1823),2)</f>
        <v>539.72</v>
      </c>
      <c r="U1823" s="30" t="n">
        <f aca="false">R1823-S1823-T1823</f>
        <v>2967.64</v>
      </c>
    </row>
    <row r="1824" customFormat="false" ht="15" hidden="false" customHeight="false" outlineLevel="0" collapsed="false">
      <c r="A1824" s="0" t="n">
        <v>1823</v>
      </c>
      <c r="B1824" s="27" t="n">
        <v>45856</v>
      </c>
      <c r="C1824" s="0" t="n">
        <v>2025</v>
      </c>
      <c r="D1824" s="28" t="s">
        <v>115</v>
      </c>
      <c r="E1824" s="0" t="n">
        <v>7</v>
      </c>
      <c r="F1824" s="28" t="s">
        <v>116</v>
      </c>
      <c r="G1824" s="28" t="s">
        <v>149</v>
      </c>
      <c r="H1824" s="28" t="s">
        <v>96</v>
      </c>
      <c r="I1824" s="28" t="s">
        <v>97</v>
      </c>
      <c r="J1824" s="28" t="s">
        <v>66</v>
      </c>
      <c r="K1824" s="28" t="s">
        <v>67</v>
      </c>
      <c r="L1824" s="28" t="s">
        <v>130</v>
      </c>
      <c r="M1824" s="28" t="s">
        <v>72</v>
      </c>
      <c r="N1824" s="28" t="s">
        <v>132</v>
      </c>
      <c r="O1824" s="29" t="n">
        <v>15</v>
      </c>
      <c r="P1824" s="30" t="n">
        <v>451.78</v>
      </c>
      <c r="Q1824" s="30" t="n">
        <v>280.42</v>
      </c>
      <c r="R1824" s="30" t="n">
        <f aca="false">ROUND(O1824*P1824,2)</f>
        <v>6776.7</v>
      </c>
      <c r="S1824" s="30" t="n">
        <f aca="false">ROUND(O1824*Q1824,2)</f>
        <v>4206.3</v>
      </c>
      <c r="T1824" s="30" t="n">
        <f aca="false">ROUND(R1824*SUMIFS(Parametros!$E$23:$E$38,Parametros!$B$23:$B$38,J1824,Parametros!$C$23:$C$38,C1824,Parametros!$D$23:$D$38,D1824),2)</f>
        <v>88.1</v>
      </c>
      <c r="U1824" s="30" t="n">
        <f aca="false">R1824-S1824-T1824</f>
        <v>2482.3</v>
      </c>
    </row>
    <row r="1825" customFormat="false" ht="15" hidden="false" customHeight="false" outlineLevel="0" collapsed="false">
      <c r="A1825" s="0" t="n">
        <v>1824</v>
      </c>
      <c r="B1825" s="27" t="n">
        <v>45863</v>
      </c>
      <c r="C1825" s="0" t="n">
        <v>2025</v>
      </c>
      <c r="D1825" s="28" t="s">
        <v>115</v>
      </c>
      <c r="E1825" s="0" t="n">
        <v>7</v>
      </c>
      <c r="F1825" s="28" t="s">
        <v>116</v>
      </c>
      <c r="G1825" s="28" t="s">
        <v>149</v>
      </c>
      <c r="H1825" s="28" t="s">
        <v>96</v>
      </c>
      <c r="I1825" s="28" t="s">
        <v>97</v>
      </c>
      <c r="J1825" s="28" t="s">
        <v>71</v>
      </c>
      <c r="K1825" s="28" t="s">
        <v>67</v>
      </c>
      <c r="L1825" s="28" t="s">
        <v>130</v>
      </c>
      <c r="M1825" s="28" t="s">
        <v>72</v>
      </c>
      <c r="N1825" s="28" t="s">
        <v>132</v>
      </c>
      <c r="O1825" s="29" t="n">
        <v>9</v>
      </c>
      <c r="P1825" s="30" t="n">
        <v>451.78</v>
      </c>
      <c r="Q1825" s="30" t="n">
        <v>280.42</v>
      </c>
      <c r="R1825" s="30" t="n">
        <f aca="false">ROUND(O1825*P1825,2)</f>
        <v>4066.02</v>
      </c>
      <c r="S1825" s="30" t="n">
        <f aca="false">ROUND(O1825*Q1825,2)</f>
        <v>2523.78</v>
      </c>
      <c r="T1825" s="30" t="n">
        <f aca="false">ROUND(R1825*SUMIFS(Parametros!$E$23:$E$38,Parametros!$B$23:$B$38,J1825,Parametros!$C$23:$C$38,C1825,Parametros!$D$23:$D$38,D1825),2)</f>
        <v>227.7</v>
      </c>
      <c r="U1825" s="30" t="n">
        <f aca="false">R1825-S1825-T1825</f>
        <v>1314.54</v>
      </c>
    </row>
    <row r="1826" customFormat="false" ht="15" hidden="false" customHeight="false" outlineLevel="0" collapsed="false">
      <c r="A1826" s="0" t="n">
        <v>1825</v>
      </c>
      <c r="B1826" s="27" t="n">
        <v>45843</v>
      </c>
      <c r="C1826" s="0" t="n">
        <v>2025</v>
      </c>
      <c r="D1826" s="28" t="s">
        <v>115</v>
      </c>
      <c r="E1826" s="0" t="n">
        <v>7</v>
      </c>
      <c r="F1826" s="28" t="s">
        <v>116</v>
      </c>
      <c r="G1826" s="28" t="s">
        <v>149</v>
      </c>
      <c r="H1826" s="28" t="s">
        <v>96</v>
      </c>
      <c r="I1826" s="28" t="s">
        <v>97</v>
      </c>
      <c r="J1826" s="28" t="s">
        <v>66</v>
      </c>
      <c r="K1826" s="28" t="s">
        <v>67</v>
      </c>
      <c r="L1826" s="28" t="s">
        <v>130</v>
      </c>
      <c r="M1826" s="28" t="s">
        <v>74</v>
      </c>
      <c r="N1826" s="28" t="s">
        <v>133</v>
      </c>
      <c r="O1826" s="29" t="n">
        <v>14</v>
      </c>
      <c r="P1826" s="30" t="n">
        <v>1656.52</v>
      </c>
      <c r="Q1826" s="30" t="n">
        <v>1155.66</v>
      </c>
      <c r="R1826" s="30" t="n">
        <f aca="false">ROUND(O1826*P1826,2)</f>
        <v>23191.28</v>
      </c>
      <c r="S1826" s="30" t="n">
        <f aca="false">ROUND(O1826*Q1826,2)</f>
        <v>16179.24</v>
      </c>
      <c r="T1826" s="30" t="n">
        <f aca="false">ROUND(R1826*SUMIFS(Parametros!$E$23:$E$38,Parametros!$B$23:$B$38,J1826,Parametros!$C$23:$C$38,C1826,Parametros!$D$23:$D$38,D1826),2)</f>
        <v>301.49</v>
      </c>
      <c r="U1826" s="30" t="n">
        <f aca="false">R1826-S1826-T1826</f>
        <v>6710.55</v>
      </c>
    </row>
    <row r="1827" customFormat="false" ht="15" hidden="false" customHeight="false" outlineLevel="0" collapsed="false">
      <c r="A1827" s="0" t="n">
        <v>1826</v>
      </c>
      <c r="B1827" s="27" t="n">
        <v>45850</v>
      </c>
      <c r="C1827" s="0" t="n">
        <v>2025</v>
      </c>
      <c r="D1827" s="28" t="s">
        <v>115</v>
      </c>
      <c r="E1827" s="0" t="n">
        <v>7</v>
      </c>
      <c r="F1827" s="28" t="s">
        <v>116</v>
      </c>
      <c r="G1827" s="28" t="s">
        <v>149</v>
      </c>
      <c r="H1827" s="28" t="s">
        <v>96</v>
      </c>
      <c r="I1827" s="28" t="s">
        <v>97</v>
      </c>
      <c r="J1827" s="28" t="s">
        <v>71</v>
      </c>
      <c r="K1827" s="28" t="s">
        <v>67</v>
      </c>
      <c r="L1827" s="28" t="s">
        <v>130</v>
      </c>
      <c r="M1827" s="28" t="s">
        <v>74</v>
      </c>
      <c r="N1827" s="28" t="s">
        <v>133</v>
      </c>
      <c r="O1827" s="29" t="n">
        <v>8</v>
      </c>
      <c r="P1827" s="30" t="n">
        <v>1656.52</v>
      </c>
      <c r="Q1827" s="30" t="n">
        <v>1155.66</v>
      </c>
      <c r="R1827" s="30" t="n">
        <f aca="false">ROUND(O1827*P1827,2)</f>
        <v>13252.16</v>
      </c>
      <c r="S1827" s="30" t="n">
        <f aca="false">ROUND(O1827*Q1827,2)</f>
        <v>9245.28</v>
      </c>
      <c r="T1827" s="30" t="n">
        <f aca="false">ROUND(R1827*SUMIFS(Parametros!$E$23:$E$38,Parametros!$B$23:$B$38,J1827,Parametros!$C$23:$C$38,C1827,Parametros!$D$23:$D$38,D1827),2)</f>
        <v>742.12</v>
      </c>
      <c r="U1827" s="30" t="n">
        <f aca="false">R1827-S1827-T1827</f>
        <v>3264.76</v>
      </c>
    </row>
    <row r="1828" customFormat="false" ht="15" hidden="false" customHeight="false" outlineLevel="0" collapsed="false">
      <c r="A1828" s="0" t="n">
        <v>1827</v>
      </c>
      <c r="B1828" s="27" t="n">
        <v>45857</v>
      </c>
      <c r="C1828" s="0" t="n">
        <v>2025</v>
      </c>
      <c r="D1828" s="28" t="s">
        <v>115</v>
      </c>
      <c r="E1828" s="0" t="n">
        <v>7</v>
      </c>
      <c r="F1828" s="28" t="s">
        <v>116</v>
      </c>
      <c r="G1828" s="28" t="s">
        <v>149</v>
      </c>
      <c r="H1828" s="28" t="s">
        <v>96</v>
      </c>
      <c r="I1828" s="28" t="s">
        <v>97</v>
      </c>
      <c r="J1828" s="28" t="s">
        <v>66</v>
      </c>
      <c r="K1828" s="28" t="s">
        <v>76</v>
      </c>
      <c r="L1828" s="28" t="s">
        <v>134</v>
      </c>
      <c r="M1828" s="28" t="s">
        <v>78</v>
      </c>
      <c r="N1828" s="28" t="s">
        <v>135</v>
      </c>
      <c r="O1828" s="29" t="n">
        <v>49</v>
      </c>
      <c r="P1828" s="30" t="n">
        <v>28.11</v>
      </c>
      <c r="Q1828" s="30" t="n">
        <v>13.84</v>
      </c>
      <c r="R1828" s="30" t="n">
        <f aca="false">ROUND(O1828*P1828,2)</f>
        <v>1377.39</v>
      </c>
      <c r="S1828" s="30" t="n">
        <f aca="false">ROUND(O1828*Q1828,2)</f>
        <v>678.16</v>
      </c>
      <c r="T1828" s="30" t="n">
        <f aca="false">ROUND(R1828*SUMIFS(Parametros!$E$23:$E$38,Parametros!$B$23:$B$38,J1828,Parametros!$C$23:$C$38,C1828,Parametros!$D$23:$D$38,D1828),2)</f>
        <v>17.91</v>
      </c>
      <c r="U1828" s="30" t="n">
        <f aca="false">R1828-S1828-T1828</f>
        <v>681.32</v>
      </c>
    </row>
    <row r="1829" customFormat="false" ht="15" hidden="false" customHeight="false" outlineLevel="0" collapsed="false">
      <c r="A1829" s="0" t="n">
        <v>1828</v>
      </c>
      <c r="B1829" s="27" t="n">
        <v>45864</v>
      </c>
      <c r="C1829" s="0" t="n">
        <v>2025</v>
      </c>
      <c r="D1829" s="28" t="s">
        <v>115</v>
      </c>
      <c r="E1829" s="0" t="n">
        <v>7</v>
      </c>
      <c r="F1829" s="28" t="s">
        <v>116</v>
      </c>
      <c r="G1829" s="28" t="s">
        <v>149</v>
      </c>
      <c r="H1829" s="28" t="s">
        <v>96</v>
      </c>
      <c r="I1829" s="28" t="s">
        <v>97</v>
      </c>
      <c r="J1829" s="28" t="s">
        <v>71</v>
      </c>
      <c r="K1829" s="28" t="s">
        <v>76</v>
      </c>
      <c r="L1829" s="28" t="s">
        <v>134</v>
      </c>
      <c r="M1829" s="28" t="s">
        <v>78</v>
      </c>
      <c r="N1829" s="28" t="s">
        <v>135</v>
      </c>
      <c r="O1829" s="29" t="n">
        <v>42</v>
      </c>
      <c r="P1829" s="30" t="n">
        <v>28.11</v>
      </c>
      <c r="Q1829" s="30" t="n">
        <v>13.84</v>
      </c>
      <c r="R1829" s="30" t="n">
        <f aca="false">ROUND(O1829*P1829,2)</f>
        <v>1180.62</v>
      </c>
      <c r="S1829" s="30" t="n">
        <f aca="false">ROUND(O1829*Q1829,2)</f>
        <v>581.28</v>
      </c>
      <c r="T1829" s="30" t="n">
        <f aca="false">ROUND(R1829*SUMIFS(Parametros!$E$23:$E$38,Parametros!$B$23:$B$38,J1829,Parametros!$C$23:$C$38,C1829,Parametros!$D$23:$D$38,D1829),2)</f>
        <v>66.11</v>
      </c>
      <c r="U1829" s="30" t="n">
        <f aca="false">R1829-S1829-T1829</f>
        <v>533.23</v>
      </c>
    </row>
    <row r="1830" customFormat="false" ht="15" hidden="false" customHeight="false" outlineLevel="0" collapsed="false">
      <c r="A1830" s="0" t="n">
        <v>1829</v>
      </c>
      <c r="B1830" s="27" t="n">
        <v>45844</v>
      </c>
      <c r="C1830" s="0" t="n">
        <v>2025</v>
      </c>
      <c r="D1830" s="28" t="s">
        <v>115</v>
      </c>
      <c r="E1830" s="0" t="n">
        <v>7</v>
      </c>
      <c r="F1830" s="28" t="s">
        <v>116</v>
      </c>
      <c r="G1830" s="28" t="s">
        <v>149</v>
      </c>
      <c r="H1830" s="28" t="s">
        <v>96</v>
      </c>
      <c r="I1830" s="28" t="s">
        <v>97</v>
      </c>
      <c r="J1830" s="28" t="s">
        <v>66</v>
      </c>
      <c r="K1830" s="28" t="s">
        <v>76</v>
      </c>
      <c r="L1830" s="28" t="s">
        <v>134</v>
      </c>
      <c r="M1830" s="28" t="s">
        <v>80</v>
      </c>
      <c r="N1830" s="28" t="s">
        <v>136</v>
      </c>
      <c r="O1830" s="29" t="n">
        <v>64</v>
      </c>
      <c r="P1830" s="30" t="n">
        <v>95.38</v>
      </c>
      <c r="Q1830" s="30" t="n">
        <v>49.41</v>
      </c>
      <c r="R1830" s="30" t="n">
        <f aca="false">ROUND(O1830*P1830,2)</f>
        <v>6104.32</v>
      </c>
      <c r="S1830" s="30" t="n">
        <f aca="false">ROUND(O1830*Q1830,2)</f>
        <v>3162.24</v>
      </c>
      <c r="T1830" s="30" t="n">
        <f aca="false">ROUND(R1830*SUMIFS(Parametros!$E$23:$E$38,Parametros!$B$23:$B$38,J1830,Parametros!$C$23:$C$38,C1830,Parametros!$D$23:$D$38,D1830),2)</f>
        <v>79.36</v>
      </c>
      <c r="U1830" s="30" t="n">
        <f aca="false">R1830-S1830-T1830</f>
        <v>2862.72</v>
      </c>
    </row>
    <row r="1831" customFormat="false" ht="15" hidden="false" customHeight="false" outlineLevel="0" collapsed="false">
      <c r="A1831" s="0" t="n">
        <v>1830</v>
      </c>
      <c r="B1831" s="27" t="n">
        <v>45851</v>
      </c>
      <c r="C1831" s="0" t="n">
        <v>2025</v>
      </c>
      <c r="D1831" s="28" t="s">
        <v>115</v>
      </c>
      <c r="E1831" s="0" t="n">
        <v>7</v>
      </c>
      <c r="F1831" s="28" t="s">
        <v>116</v>
      </c>
      <c r="G1831" s="28" t="s">
        <v>149</v>
      </c>
      <c r="H1831" s="28" t="s">
        <v>96</v>
      </c>
      <c r="I1831" s="28" t="s">
        <v>97</v>
      </c>
      <c r="J1831" s="28" t="s">
        <v>71</v>
      </c>
      <c r="K1831" s="28" t="s">
        <v>76</v>
      </c>
      <c r="L1831" s="28" t="s">
        <v>134</v>
      </c>
      <c r="M1831" s="28" t="s">
        <v>80</v>
      </c>
      <c r="N1831" s="28" t="s">
        <v>136</v>
      </c>
      <c r="O1831" s="29" t="n">
        <v>37</v>
      </c>
      <c r="P1831" s="30" t="n">
        <v>95.38</v>
      </c>
      <c r="Q1831" s="30" t="n">
        <v>49.41</v>
      </c>
      <c r="R1831" s="30" t="n">
        <f aca="false">ROUND(O1831*P1831,2)</f>
        <v>3529.06</v>
      </c>
      <c r="S1831" s="30" t="n">
        <f aca="false">ROUND(O1831*Q1831,2)</f>
        <v>1828.17</v>
      </c>
      <c r="T1831" s="30" t="n">
        <f aca="false">ROUND(R1831*SUMIFS(Parametros!$E$23:$E$38,Parametros!$B$23:$B$38,J1831,Parametros!$C$23:$C$38,C1831,Parametros!$D$23:$D$38,D1831),2)</f>
        <v>197.63</v>
      </c>
      <c r="U1831" s="30" t="n">
        <f aca="false">R1831-S1831-T1831</f>
        <v>1503.26</v>
      </c>
    </row>
    <row r="1832" customFormat="false" ht="15" hidden="false" customHeight="false" outlineLevel="0" collapsed="false">
      <c r="A1832" s="0" t="n">
        <v>1831</v>
      </c>
      <c r="B1832" s="27" t="n">
        <v>45858</v>
      </c>
      <c r="C1832" s="0" t="n">
        <v>2025</v>
      </c>
      <c r="D1832" s="28" t="s">
        <v>115</v>
      </c>
      <c r="E1832" s="0" t="n">
        <v>7</v>
      </c>
      <c r="F1832" s="28" t="s">
        <v>116</v>
      </c>
      <c r="G1832" s="28" t="s">
        <v>149</v>
      </c>
      <c r="H1832" s="28" t="s">
        <v>96</v>
      </c>
      <c r="I1832" s="28" t="s">
        <v>97</v>
      </c>
      <c r="J1832" s="28" t="s">
        <v>66</v>
      </c>
      <c r="K1832" s="28" t="s">
        <v>76</v>
      </c>
      <c r="L1832" s="28" t="s">
        <v>134</v>
      </c>
      <c r="M1832" s="28" t="s">
        <v>82</v>
      </c>
      <c r="N1832" s="28" t="s">
        <v>137</v>
      </c>
      <c r="O1832" s="29" t="n">
        <v>50</v>
      </c>
      <c r="P1832" s="30" t="n">
        <v>65.26</v>
      </c>
      <c r="Q1832" s="30" t="n">
        <v>36.49</v>
      </c>
      <c r="R1832" s="30" t="n">
        <f aca="false">ROUND(O1832*P1832,2)</f>
        <v>3263</v>
      </c>
      <c r="S1832" s="30" t="n">
        <f aca="false">ROUND(O1832*Q1832,2)</f>
        <v>1824.5</v>
      </c>
      <c r="T1832" s="30" t="n">
        <f aca="false">ROUND(R1832*SUMIFS(Parametros!$E$23:$E$38,Parametros!$B$23:$B$38,J1832,Parametros!$C$23:$C$38,C1832,Parametros!$D$23:$D$38,D1832),2)</f>
        <v>42.42</v>
      </c>
      <c r="U1832" s="30" t="n">
        <f aca="false">R1832-S1832-T1832</f>
        <v>1396.08</v>
      </c>
    </row>
    <row r="1833" customFormat="false" ht="15" hidden="false" customHeight="false" outlineLevel="0" collapsed="false">
      <c r="A1833" s="0" t="n">
        <v>1832</v>
      </c>
      <c r="B1833" s="27" t="n">
        <v>45865</v>
      </c>
      <c r="C1833" s="0" t="n">
        <v>2025</v>
      </c>
      <c r="D1833" s="28" t="s">
        <v>115</v>
      </c>
      <c r="E1833" s="0" t="n">
        <v>7</v>
      </c>
      <c r="F1833" s="28" t="s">
        <v>116</v>
      </c>
      <c r="G1833" s="28" t="s">
        <v>149</v>
      </c>
      <c r="H1833" s="28" t="s">
        <v>96</v>
      </c>
      <c r="I1833" s="28" t="s">
        <v>97</v>
      </c>
      <c r="J1833" s="28" t="s">
        <v>71</v>
      </c>
      <c r="K1833" s="28" t="s">
        <v>76</v>
      </c>
      <c r="L1833" s="28" t="s">
        <v>134</v>
      </c>
      <c r="M1833" s="28" t="s">
        <v>82</v>
      </c>
      <c r="N1833" s="28" t="s">
        <v>137</v>
      </c>
      <c r="O1833" s="29" t="n">
        <v>48</v>
      </c>
      <c r="P1833" s="30" t="n">
        <v>65.26</v>
      </c>
      <c r="Q1833" s="30" t="n">
        <v>36.49</v>
      </c>
      <c r="R1833" s="30" t="n">
        <f aca="false">ROUND(O1833*P1833,2)</f>
        <v>3132.48</v>
      </c>
      <c r="S1833" s="30" t="n">
        <f aca="false">ROUND(O1833*Q1833,2)</f>
        <v>1751.52</v>
      </c>
      <c r="T1833" s="30" t="n">
        <f aca="false">ROUND(R1833*SUMIFS(Parametros!$E$23:$E$38,Parametros!$B$23:$B$38,J1833,Parametros!$C$23:$C$38,C1833,Parametros!$D$23:$D$38,D1833),2)</f>
        <v>175.42</v>
      </c>
      <c r="U1833" s="30" t="n">
        <f aca="false">R1833-S1833-T1833</f>
        <v>1205.54</v>
      </c>
    </row>
    <row r="1834" customFormat="false" ht="15" hidden="false" customHeight="false" outlineLevel="0" collapsed="false">
      <c r="A1834" s="0" t="n">
        <v>1833</v>
      </c>
      <c r="B1834" s="27" t="n">
        <v>45845</v>
      </c>
      <c r="C1834" s="0" t="n">
        <v>2025</v>
      </c>
      <c r="D1834" s="28" t="s">
        <v>115</v>
      </c>
      <c r="E1834" s="0" t="n">
        <v>7</v>
      </c>
      <c r="F1834" s="28" t="s">
        <v>116</v>
      </c>
      <c r="G1834" s="28" t="s">
        <v>149</v>
      </c>
      <c r="H1834" s="28" t="s">
        <v>96</v>
      </c>
      <c r="I1834" s="28" t="s">
        <v>97</v>
      </c>
      <c r="J1834" s="28" t="s">
        <v>66</v>
      </c>
      <c r="K1834" s="28" t="s">
        <v>84</v>
      </c>
      <c r="L1834" s="28" t="s">
        <v>138</v>
      </c>
      <c r="M1834" s="28" t="s">
        <v>86</v>
      </c>
      <c r="N1834" s="28" t="s">
        <v>139</v>
      </c>
      <c r="O1834" s="29" t="n">
        <v>24</v>
      </c>
      <c r="P1834" s="30" t="n">
        <v>120.47</v>
      </c>
      <c r="Q1834" s="30" t="n">
        <v>65.51</v>
      </c>
      <c r="R1834" s="30" t="n">
        <f aca="false">ROUND(O1834*P1834,2)</f>
        <v>2891.28</v>
      </c>
      <c r="S1834" s="30" t="n">
        <f aca="false">ROUND(O1834*Q1834,2)</f>
        <v>1572.24</v>
      </c>
      <c r="T1834" s="30" t="n">
        <f aca="false">ROUND(R1834*SUMIFS(Parametros!$E$23:$E$38,Parametros!$B$23:$B$38,J1834,Parametros!$C$23:$C$38,C1834,Parametros!$D$23:$D$38,D1834),2)</f>
        <v>37.59</v>
      </c>
      <c r="U1834" s="30" t="n">
        <f aca="false">R1834-S1834-T1834</f>
        <v>1281.45</v>
      </c>
    </row>
    <row r="1835" customFormat="false" ht="15" hidden="false" customHeight="false" outlineLevel="0" collapsed="false">
      <c r="A1835" s="0" t="n">
        <v>1834</v>
      </c>
      <c r="B1835" s="27" t="n">
        <v>45852</v>
      </c>
      <c r="C1835" s="0" t="n">
        <v>2025</v>
      </c>
      <c r="D1835" s="28" t="s">
        <v>115</v>
      </c>
      <c r="E1835" s="0" t="n">
        <v>7</v>
      </c>
      <c r="F1835" s="28" t="s">
        <v>116</v>
      </c>
      <c r="G1835" s="28" t="s">
        <v>149</v>
      </c>
      <c r="H1835" s="28" t="s">
        <v>96</v>
      </c>
      <c r="I1835" s="28" t="s">
        <v>97</v>
      </c>
      <c r="J1835" s="28" t="s">
        <v>71</v>
      </c>
      <c r="K1835" s="28" t="s">
        <v>84</v>
      </c>
      <c r="L1835" s="28" t="s">
        <v>138</v>
      </c>
      <c r="M1835" s="28" t="s">
        <v>86</v>
      </c>
      <c r="N1835" s="28" t="s">
        <v>139</v>
      </c>
      <c r="O1835" s="29" t="n">
        <v>18</v>
      </c>
      <c r="P1835" s="30" t="n">
        <v>120.47</v>
      </c>
      <c r="Q1835" s="30" t="n">
        <v>65.51</v>
      </c>
      <c r="R1835" s="30" t="n">
        <f aca="false">ROUND(O1835*P1835,2)</f>
        <v>2168.46</v>
      </c>
      <c r="S1835" s="30" t="n">
        <f aca="false">ROUND(O1835*Q1835,2)</f>
        <v>1179.18</v>
      </c>
      <c r="T1835" s="30" t="n">
        <f aca="false">ROUND(R1835*SUMIFS(Parametros!$E$23:$E$38,Parametros!$B$23:$B$38,J1835,Parametros!$C$23:$C$38,C1835,Parametros!$D$23:$D$38,D1835),2)</f>
        <v>121.43</v>
      </c>
      <c r="U1835" s="30" t="n">
        <f aca="false">R1835-S1835-T1835</f>
        <v>867.85</v>
      </c>
    </row>
    <row r="1836" customFormat="false" ht="15" hidden="false" customHeight="false" outlineLevel="0" collapsed="false">
      <c r="A1836" s="0" t="n">
        <v>1835</v>
      </c>
      <c r="B1836" s="27" t="n">
        <v>45859</v>
      </c>
      <c r="C1836" s="0" t="n">
        <v>2025</v>
      </c>
      <c r="D1836" s="28" t="s">
        <v>115</v>
      </c>
      <c r="E1836" s="0" t="n">
        <v>7</v>
      </c>
      <c r="F1836" s="28" t="s">
        <v>116</v>
      </c>
      <c r="G1836" s="28" t="s">
        <v>149</v>
      </c>
      <c r="H1836" s="28" t="s">
        <v>96</v>
      </c>
      <c r="I1836" s="28" t="s">
        <v>97</v>
      </c>
      <c r="J1836" s="28" t="s">
        <v>66</v>
      </c>
      <c r="K1836" s="28" t="s">
        <v>84</v>
      </c>
      <c r="L1836" s="28" t="s">
        <v>138</v>
      </c>
      <c r="M1836" s="28" t="s">
        <v>88</v>
      </c>
      <c r="N1836" s="28" t="s">
        <v>140</v>
      </c>
      <c r="O1836" s="29" t="n">
        <v>24</v>
      </c>
      <c r="P1836" s="30" t="n">
        <v>85.34</v>
      </c>
      <c r="Q1836" s="30" t="n">
        <v>49.47</v>
      </c>
      <c r="R1836" s="30" t="n">
        <f aca="false">ROUND(O1836*P1836,2)</f>
        <v>2048.16</v>
      </c>
      <c r="S1836" s="30" t="n">
        <f aca="false">ROUND(O1836*Q1836,2)</f>
        <v>1187.28</v>
      </c>
      <c r="T1836" s="30" t="n">
        <f aca="false">ROUND(R1836*SUMIFS(Parametros!$E$23:$E$38,Parametros!$B$23:$B$38,J1836,Parametros!$C$23:$C$38,C1836,Parametros!$D$23:$D$38,D1836),2)</f>
        <v>26.63</v>
      </c>
      <c r="U1836" s="30" t="n">
        <f aca="false">R1836-S1836-T1836</f>
        <v>834.25</v>
      </c>
    </row>
    <row r="1837" customFormat="false" ht="15" hidden="false" customHeight="false" outlineLevel="0" collapsed="false">
      <c r="A1837" s="0" t="n">
        <v>1836</v>
      </c>
      <c r="B1837" s="27" t="n">
        <v>45839</v>
      </c>
      <c r="C1837" s="0" t="n">
        <v>2025</v>
      </c>
      <c r="D1837" s="28" t="s">
        <v>115</v>
      </c>
      <c r="E1837" s="0" t="n">
        <v>7</v>
      </c>
      <c r="F1837" s="28" t="s">
        <v>116</v>
      </c>
      <c r="G1837" s="28" t="s">
        <v>149</v>
      </c>
      <c r="H1837" s="28" t="s">
        <v>96</v>
      </c>
      <c r="I1837" s="28" t="s">
        <v>97</v>
      </c>
      <c r="J1837" s="28" t="s">
        <v>71</v>
      </c>
      <c r="K1837" s="28" t="s">
        <v>84</v>
      </c>
      <c r="L1837" s="28" t="s">
        <v>138</v>
      </c>
      <c r="M1837" s="28" t="s">
        <v>88</v>
      </c>
      <c r="N1837" s="28" t="s">
        <v>140</v>
      </c>
      <c r="O1837" s="29" t="n">
        <v>21</v>
      </c>
      <c r="P1837" s="30" t="n">
        <v>85.34</v>
      </c>
      <c r="Q1837" s="30" t="n">
        <v>49.47</v>
      </c>
      <c r="R1837" s="30" t="n">
        <f aca="false">ROUND(O1837*P1837,2)</f>
        <v>1792.14</v>
      </c>
      <c r="S1837" s="30" t="n">
        <f aca="false">ROUND(O1837*Q1837,2)</f>
        <v>1038.87</v>
      </c>
      <c r="T1837" s="30" t="n">
        <f aca="false">ROUND(R1837*SUMIFS(Parametros!$E$23:$E$38,Parametros!$B$23:$B$38,J1837,Parametros!$C$23:$C$38,C1837,Parametros!$D$23:$D$38,D1837),2)</f>
        <v>100.36</v>
      </c>
      <c r="U1837" s="30" t="n">
        <f aca="false">R1837-S1837-T1837</f>
        <v>652.91</v>
      </c>
    </row>
    <row r="1838" customFormat="false" ht="15" hidden="false" customHeight="false" outlineLevel="0" collapsed="false">
      <c r="A1838" s="0" t="n">
        <v>1837</v>
      </c>
      <c r="B1838" s="27" t="n">
        <v>45846</v>
      </c>
      <c r="C1838" s="0" t="n">
        <v>2025</v>
      </c>
      <c r="D1838" s="28" t="s">
        <v>115</v>
      </c>
      <c r="E1838" s="0" t="n">
        <v>7</v>
      </c>
      <c r="F1838" s="28" t="s">
        <v>116</v>
      </c>
      <c r="G1838" s="28" t="s">
        <v>149</v>
      </c>
      <c r="H1838" s="28" t="s">
        <v>96</v>
      </c>
      <c r="I1838" s="28" t="s">
        <v>97</v>
      </c>
      <c r="J1838" s="28" t="s">
        <v>66</v>
      </c>
      <c r="K1838" s="28" t="s">
        <v>90</v>
      </c>
      <c r="L1838" s="28" t="s">
        <v>141</v>
      </c>
      <c r="M1838" s="28" t="s">
        <v>92</v>
      </c>
      <c r="N1838" s="28" t="s">
        <v>142</v>
      </c>
      <c r="O1838" s="29" t="n">
        <v>38</v>
      </c>
      <c r="P1838" s="30" t="n">
        <v>130.51</v>
      </c>
      <c r="Q1838" s="30" t="n">
        <v>78.33</v>
      </c>
      <c r="R1838" s="30" t="n">
        <f aca="false">ROUND(O1838*P1838,2)</f>
        <v>4959.38</v>
      </c>
      <c r="S1838" s="30" t="n">
        <f aca="false">ROUND(O1838*Q1838,2)</f>
        <v>2976.54</v>
      </c>
      <c r="T1838" s="30" t="n">
        <f aca="false">ROUND(R1838*SUMIFS(Parametros!$E$23:$E$38,Parametros!$B$23:$B$38,J1838,Parametros!$C$23:$C$38,C1838,Parametros!$D$23:$D$38,D1838),2)</f>
        <v>64.47</v>
      </c>
      <c r="U1838" s="30" t="n">
        <f aca="false">R1838-S1838-T1838</f>
        <v>1918.37</v>
      </c>
    </row>
    <row r="1839" customFormat="false" ht="15" hidden="false" customHeight="false" outlineLevel="0" collapsed="false">
      <c r="A1839" s="0" t="n">
        <v>1838</v>
      </c>
      <c r="B1839" s="27" t="n">
        <v>45853</v>
      </c>
      <c r="C1839" s="0" t="n">
        <v>2025</v>
      </c>
      <c r="D1839" s="28" t="s">
        <v>115</v>
      </c>
      <c r="E1839" s="0" t="n">
        <v>7</v>
      </c>
      <c r="F1839" s="28" t="s">
        <v>116</v>
      </c>
      <c r="G1839" s="28" t="s">
        <v>149</v>
      </c>
      <c r="H1839" s="28" t="s">
        <v>96</v>
      </c>
      <c r="I1839" s="28" t="s">
        <v>97</v>
      </c>
      <c r="J1839" s="28" t="s">
        <v>71</v>
      </c>
      <c r="K1839" s="28" t="s">
        <v>90</v>
      </c>
      <c r="L1839" s="28" t="s">
        <v>141</v>
      </c>
      <c r="M1839" s="28" t="s">
        <v>92</v>
      </c>
      <c r="N1839" s="28" t="s">
        <v>142</v>
      </c>
      <c r="O1839" s="29" t="n">
        <v>25</v>
      </c>
      <c r="P1839" s="30" t="n">
        <v>130.51</v>
      </c>
      <c r="Q1839" s="30" t="n">
        <v>78.33</v>
      </c>
      <c r="R1839" s="30" t="n">
        <f aca="false">ROUND(O1839*P1839,2)</f>
        <v>3262.75</v>
      </c>
      <c r="S1839" s="30" t="n">
        <f aca="false">ROUND(O1839*Q1839,2)</f>
        <v>1958.25</v>
      </c>
      <c r="T1839" s="30" t="n">
        <f aca="false">ROUND(R1839*SUMIFS(Parametros!$E$23:$E$38,Parametros!$B$23:$B$38,J1839,Parametros!$C$23:$C$38,C1839,Parametros!$D$23:$D$38,D1839),2)</f>
        <v>182.71</v>
      </c>
      <c r="U1839" s="30" t="n">
        <f aca="false">R1839-S1839-T1839</f>
        <v>1121.79</v>
      </c>
    </row>
    <row r="1840" customFormat="false" ht="15" hidden="false" customHeight="false" outlineLevel="0" collapsed="false">
      <c r="A1840" s="0" t="n">
        <v>1839</v>
      </c>
      <c r="B1840" s="27" t="n">
        <v>45860</v>
      </c>
      <c r="C1840" s="0" t="n">
        <v>2025</v>
      </c>
      <c r="D1840" s="28" t="s">
        <v>115</v>
      </c>
      <c r="E1840" s="0" t="n">
        <v>7</v>
      </c>
      <c r="F1840" s="28" t="s">
        <v>116</v>
      </c>
      <c r="G1840" s="28" t="s">
        <v>149</v>
      </c>
      <c r="H1840" s="28" t="s">
        <v>96</v>
      </c>
      <c r="I1840" s="28" t="s">
        <v>97</v>
      </c>
      <c r="J1840" s="28" t="s">
        <v>66</v>
      </c>
      <c r="K1840" s="28" t="s">
        <v>90</v>
      </c>
      <c r="L1840" s="28" t="s">
        <v>141</v>
      </c>
      <c r="M1840" s="28" t="s">
        <v>94</v>
      </c>
      <c r="N1840" s="28" t="s">
        <v>143</v>
      </c>
      <c r="O1840" s="29" t="n">
        <v>39</v>
      </c>
      <c r="P1840" s="30" t="n">
        <v>35.14</v>
      </c>
      <c r="Q1840" s="30" t="n">
        <v>18.39</v>
      </c>
      <c r="R1840" s="30" t="n">
        <f aca="false">ROUND(O1840*P1840,2)</f>
        <v>1370.46</v>
      </c>
      <c r="S1840" s="30" t="n">
        <f aca="false">ROUND(O1840*Q1840,2)</f>
        <v>717.21</v>
      </c>
      <c r="T1840" s="30" t="n">
        <f aca="false">ROUND(R1840*SUMIFS(Parametros!$E$23:$E$38,Parametros!$B$23:$B$38,J1840,Parametros!$C$23:$C$38,C1840,Parametros!$D$23:$D$38,D1840),2)</f>
        <v>17.82</v>
      </c>
      <c r="U1840" s="30" t="n">
        <f aca="false">R1840-S1840-T1840</f>
        <v>635.43</v>
      </c>
    </row>
    <row r="1841" customFormat="false" ht="15" hidden="false" customHeight="false" outlineLevel="0" collapsed="false">
      <c r="A1841" s="0" t="n">
        <v>1840</v>
      </c>
      <c r="B1841" s="27" t="n">
        <v>45840</v>
      </c>
      <c r="C1841" s="0" t="n">
        <v>2025</v>
      </c>
      <c r="D1841" s="28" t="s">
        <v>115</v>
      </c>
      <c r="E1841" s="0" t="n">
        <v>7</v>
      </c>
      <c r="F1841" s="28" t="s">
        <v>116</v>
      </c>
      <c r="G1841" s="28" t="s">
        <v>149</v>
      </c>
      <c r="H1841" s="28" t="s">
        <v>96</v>
      </c>
      <c r="I1841" s="28" t="s">
        <v>97</v>
      </c>
      <c r="J1841" s="28" t="s">
        <v>71</v>
      </c>
      <c r="K1841" s="28" t="s">
        <v>90</v>
      </c>
      <c r="L1841" s="28" t="s">
        <v>141</v>
      </c>
      <c r="M1841" s="28" t="s">
        <v>94</v>
      </c>
      <c r="N1841" s="28" t="s">
        <v>143</v>
      </c>
      <c r="O1841" s="29" t="n">
        <v>26</v>
      </c>
      <c r="P1841" s="30" t="n">
        <v>35.14</v>
      </c>
      <c r="Q1841" s="30" t="n">
        <v>18.39</v>
      </c>
      <c r="R1841" s="30" t="n">
        <f aca="false">ROUND(O1841*P1841,2)</f>
        <v>913.64</v>
      </c>
      <c r="S1841" s="30" t="n">
        <f aca="false">ROUND(O1841*Q1841,2)</f>
        <v>478.14</v>
      </c>
      <c r="T1841" s="30" t="n">
        <f aca="false">ROUND(R1841*SUMIFS(Parametros!$E$23:$E$38,Parametros!$B$23:$B$38,J1841,Parametros!$C$23:$C$38,C1841,Parametros!$D$23:$D$38,D1841),2)</f>
        <v>51.16</v>
      </c>
      <c r="U1841" s="30" t="n">
        <f aca="false">R1841-S1841-T1841</f>
        <v>384.34</v>
      </c>
    </row>
    <row r="1842" customFormat="false" ht="15" hidden="false" customHeight="false" outlineLevel="0" collapsed="false">
      <c r="A1842" s="0" t="n">
        <v>1841</v>
      </c>
      <c r="B1842" s="27" t="n">
        <v>45847</v>
      </c>
      <c r="C1842" s="0" t="n">
        <v>2025</v>
      </c>
      <c r="D1842" s="28" t="s">
        <v>115</v>
      </c>
      <c r="E1842" s="0" t="n">
        <v>7</v>
      </c>
      <c r="F1842" s="28" t="s">
        <v>116</v>
      </c>
      <c r="G1842" s="28" t="s">
        <v>149</v>
      </c>
      <c r="H1842" s="28" t="s">
        <v>98</v>
      </c>
      <c r="I1842" s="28" t="s">
        <v>99</v>
      </c>
      <c r="J1842" s="28" t="s">
        <v>66</v>
      </c>
      <c r="K1842" s="28" t="s">
        <v>67</v>
      </c>
      <c r="L1842" s="28" t="s">
        <v>130</v>
      </c>
      <c r="M1842" s="28" t="s">
        <v>69</v>
      </c>
      <c r="N1842" s="28" t="s">
        <v>131</v>
      </c>
      <c r="O1842" s="29" t="n">
        <v>11</v>
      </c>
      <c r="P1842" s="30" t="n">
        <v>1204.74</v>
      </c>
      <c r="Q1842" s="30" t="n">
        <v>766.32</v>
      </c>
      <c r="R1842" s="30" t="n">
        <f aca="false">ROUND(O1842*P1842,2)</f>
        <v>13252.14</v>
      </c>
      <c r="S1842" s="30" t="n">
        <f aca="false">ROUND(O1842*Q1842,2)</f>
        <v>8429.52</v>
      </c>
      <c r="T1842" s="30" t="n">
        <f aca="false">ROUND(R1842*SUMIFS(Parametros!$E$23:$E$38,Parametros!$B$23:$B$38,J1842,Parametros!$C$23:$C$38,C1842,Parametros!$D$23:$D$38,D1842),2)</f>
        <v>172.28</v>
      </c>
      <c r="U1842" s="30" t="n">
        <f aca="false">R1842-S1842-T1842</f>
        <v>4650.34</v>
      </c>
    </row>
    <row r="1843" customFormat="false" ht="15" hidden="false" customHeight="false" outlineLevel="0" collapsed="false">
      <c r="A1843" s="0" t="n">
        <v>1842</v>
      </c>
      <c r="B1843" s="27" t="n">
        <v>45854</v>
      </c>
      <c r="C1843" s="0" t="n">
        <v>2025</v>
      </c>
      <c r="D1843" s="28" t="s">
        <v>115</v>
      </c>
      <c r="E1843" s="0" t="n">
        <v>7</v>
      </c>
      <c r="F1843" s="28" t="s">
        <v>116</v>
      </c>
      <c r="G1843" s="28" t="s">
        <v>149</v>
      </c>
      <c r="H1843" s="28" t="s">
        <v>98</v>
      </c>
      <c r="I1843" s="28" t="s">
        <v>99</v>
      </c>
      <c r="J1843" s="28" t="s">
        <v>71</v>
      </c>
      <c r="K1843" s="28" t="s">
        <v>67</v>
      </c>
      <c r="L1843" s="28" t="s">
        <v>130</v>
      </c>
      <c r="M1843" s="28" t="s">
        <v>69</v>
      </c>
      <c r="N1843" s="28" t="s">
        <v>131</v>
      </c>
      <c r="O1843" s="29" t="n">
        <v>8</v>
      </c>
      <c r="P1843" s="30" t="n">
        <v>1204.74</v>
      </c>
      <c r="Q1843" s="30" t="n">
        <v>766.32</v>
      </c>
      <c r="R1843" s="30" t="n">
        <f aca="false">ROUND(O1843*P1843,2)</f>
        <v>9637.92</v>
      </c>
      <c r="S1843" s="30" t="n">
        <f aca="false">ROUND(O1843*Q1843,2)</f>
        <v>6130.56</v>
      </c>
      <c r="T1843" s="30" t="n">
        <f aca="false">ROUND(R1843*SUMIFS(Parametros!$E$23:$E$38,Parametros!$B$23:$B$38,J1843,Parametros!$C$23:$C$38,C1843,Parametros!$D$23:$D$38,D1843),2)</f>
        <v>539.72</v>
      </c>
      <c r="U1843" s="30" t="n">
        <f aca="false">R1843-S1843-T1843</f>
        <v>2967.64</v>
      </c>
    </row>
    <row r="1844" customFormat="false" ht="15" hidden="false" customHeight="false" outlineLevel="0" collapsed="false">
      <c r="A1844" s="0" t="n">
        <v>1843</v>
      </c>
      <c r="B1844" s="27" t="n">
        <v>45861</v>
      </c>
      <c r="C1844" s="0" t="n">
        <v>2025</v>
      </c>
      <c r="D1844" s="28" t="s">
        <v>115</v>
      </c>
      <c r="E1844" s="0" t="n">
        <v>7</v>
      </c>
      <c r="F1844" s="28" t="s">
        <v>116</v>
      </c>
      <c r="G1844" s="28" t="s">
        <v>149</v>
      </c>
      <c r="H1844" s="28" t="s">
        <v>98</v>
      </c>
      <c r="I1844" s="28" t="s">
        <v>99</v>
      </c>
      <c r="J1844" s="28" t="s">
        <v>66</v>
      </c>
      <c r="K1844" s="28" t="s">
        <v>67</v>
      </c>
      <c r="L1844" s="28" t="s">
        <v>130</v>
      </c>
      <c r="M1844" s="28" t="s">
        <v>72</v>
      </c>
      <c r="N1844" s="28" t="s">
        <v>132</v>
      </c>
      <c r="O1844" s="29" t="n">
        <v>8</v>
      </c>
      <c r="P1844" s="30" t="n">
        <v>451.78</v>
      </c>
      <c r="Q1844" s="30" t="n">
        <v>280.42</v>
      </c>
      <c r="R1844" s="30" t="n">
        <f aca="false">ROUND(O1844*P1844,2)</f>
        <v>3614.24</v>
      </c>
      <c r="S1844" s="30" t="n">
        <f aca="false">ROUND(O1844*Q1844,2)</f>
        <v>2243.36</v>
      </c>
      <c r="T1844" s="30" t="n">
        <f aca="false">ROUND(R1844*SUMIFS(Parametros!$E$23:$E$38,Parametros!$B$23:$B$38,J1844,Parametros!$C$23:$C$38,C1844,Parametros!$D$23:$D$38,D1844),2)</f>
        <v>46.99</v>
      </c>
      <c r="U1844" s="30" t="n">
        <f aca="false">R1844-S1844-T1844</f>
        <v>1323.89</v>
      </c>
    </row>
    <row r="1845" customFormat="false" ht="15" hidden="false" customHeight="false" outlineLevel="0" collapsed="false">
      <c r="A1845" s="0" t="n">
        <v>1844</v>
      </c>
      <c r="B1845" s="27" t="n">
        <v>45841</v>
      </c>
      <c r="C1845" s="0" t="n">
        <v>2025</v>
      </c>
      <c r="D1845" s="28" t="s">
        <v>115</v>
      </c>
      <c r="E1845" s="0" t="n">
        <v>7</v>
      </c>
      <c r="F1845" s="28" t="s">
        <v>116</v>
      </c>
      <c r="G1845" s="28" t="s">
        <v>149</v>
      </c>
      <c r="H1845" s="28" t="s">
        <v>98</v>
      </c>
      <c r="I1845" s="28" t="s">
        <v>99</v>
      </c>
      <c r="J1845" s="28" t="s">
        <v>71</v>
      </c>
      <c r="K1845" s="28" t="s">
        <v>67</v>
      </c>
      <c r="L1845" s="28" t="s">
        <v>130</v>
      </c>
      <c r="M1845" s="28" t="s">
        <v>72</v>
      </c>
      <c r="N1845" s="28" t="s">
        <v>132</v>
      </c>
      <c r="O1845" s="29" t="n">
        <v>7</v>
      </c>
      <c r="P1845" s="30" t="n">
        <v>451.78</v>
      </c>
      <c r="Q1845" s="30" t="n">
        <v>280.42</v>
      </c>
      <c r="R1845" s="30" t="n">
        <f aca="false">ROUND(O1845*P1845,2)</f>
        <v>3162.46</v>
      </c>
      <c r="S1845" s="30" t="n">
        <f aca="false">ROUND(O1845*Q1845,2)</f>
        <v>1962.94</v>
      </c>
      <c r="T1845" s="30" t="n">
        <f aca="false">ROUND(R1845*SUMIFS(Parametros!$E$23:$E$38,Parametros!$B$23:$B$38,J1845,Parametros!$C$23:$C$38,C1845,Parametros!$D$23:$D$38,D1845),2)</f>
        <v>177.1</v>
      </c>
      <c r="U1845" s="30" t="n">
        <f aca="false">R1845-S1845-T1845</f>
        <v>1022.42</v>
      </c>
    </row>
    <row r="1846" customFormat="false" ht="15" hidden="false" customHeight="false" outlineLevel="0" collapsed="false">
      <c r="A1846" s="0" t="n">
        <v>1845</v>
      </c>
      <c r="B1846" s="27" t="n">
        <v>45848</v>
      </c>
      <c r="C1846" s="0" t="n">
        <v>2025</v>
      </c>
      <c r="D1846" s="28" t="s">
        <v>115</v>
      </c>
      <c r="E1846" s="0" t="n">
        <v>7</v>
      </c>
      <c r="F1846" s="28" t="s">
        <v>116</v>
      </c>
      <c r="G1846" s="28" t="s">
        <v>149</v>
      </c>
      <c r="H1846" s="28" t="s">
        <v>98</v>
      </c>
      <c r="I1846" s="28" t="s">
        <v>99</v>
      </c>
      <c r="J1846" s="28" t="s">
        <v>66</v>
      </c>
      <c r="K1846" s="28" t="s">
        <v>67</v>
      </c>
      <c r="L1846" s="28" t="s">
        <v>130</v>
      </c>
      <c r="M1846" s="28" t="s">
        <v>74</v>
      </c>
      <c r="N1846" s="28" t="s">
        <v>133</v>
      </c>
      <c r="O1846" s="29" t="n">
        <v>11</v>
      </c>
      <c r="P1846" s="30" t="n">
        <v>1656.52</v>
      </c>
      <c r="Q1846" s="30" t="n">
        <v>1155.66</v>
      </c>
      <c r="R1846" s="30" t="n">
        <f aca="false">ROUND(O1846*P1846,2)</f>
        <v>18221.72</v>
      </c>
      <c r="S1846" s="30" t="n">
        <f aca="false">ROUND(O1846*Q1846,2)</f>
        <v>12712.26</v>
      </c>
      <c r="T1846" s="30" t="n">
        <f aca="false">ROUND(R1846*SUMIFS(Parametros!$E$23:$E$38,Parametros!$B$23:$B$38,J1846,Parametros!$C$23:$C$38,C1846,Parametros!$D$23:$D$38,D1846),2)</f>
        <v>236.88</v>
      </c>
      <c r="U1846" s="30" t="n">
        <f aca="false">R1846-S1846-T1846</f>
        <v>5272.58</v>
      </c>
    </row>
    <row r="1847" customFormat="false" ht="15" hidden="false" customHeight="false" outlineLevel="0" collapsed="false">
      <c r="A1847" s="0" t="n">
        <v>1846</v>
      </c>
      <c r="B1847" s="27" t="n">
        <v>45855</v>
      </c>
      <c r="C1847" s="0" t="n">
        <v>2025</v>
      </c>
      <c r="D1847" s="28" t="s">
        <v>115</v>
      </c>
      <c r="E1847" s="0" t="n">
        <v>7</v>
      </c>
      <c r="F1847" s="28" t="s">
        <v>116</v>
      </c>
      <c r="G1847" s="28" t="s">
        <v>149</v>
      </c>
      <c r="H1847" s="28" t="s">
        <v>98</v>
      </c>
      <c r="I1847" s="28" t="s">
        <v>99</v>
      </c>
      <c r="J1847" s="28" t="s">
        <v>71</v>
      </c>
      <c r="K1847" s="28" t="s">
        <v>67</v>
      </c>
      <c r="L1847" s="28" t="s">
        <v>130</v>
      </c>
      <c r="M1847" s="28" t="s">
        <v>74</v>
      </c>
      <c r="N1847" s="28" t="s">
        <v>133</v>
      </c>
      <c r="O1847" s="29" t="n">
        <v>5</v>
      </c>
      <c r="P1847" s="30" t="n">
        <v>1656.52</v>
      </c>
      <c r="Q1847" s="30" t="n">
        <v>1155.66</v>
      </c>
      <c r="R1847" s="30" t="n">
        <f aca="false">ROUND(O1847*P1847,2)</f>
        <v>8282.6</v>
      </c>
      <c r="S1847" s="30" t="n">
        <f aca="false">ROUND(O1847*Q1847,2)</f>
        <v>5778.3</v>
      </c>
      <c r="T1847" s="30" t="n">
        <f aca="false">ROUND(R1847*SUMIFS(Parametros!$E$23:$E$38,Parametros!$B$23:$B$38,J1847,Parametros!$C$23:$C$38,C1847,Parametros!$D$23:$D$38,D1847),2)</f>
        <v>463.83</v>
      </c>
      <c r="U1847" s="30" t="n">
        <f aca="false">R1847-S1847-T1847</f>
        <v>2040.47</v>
      </c>
    </row>
    <row r="1848" customFormat="false" ht="15" hidden="false" customHeight="false" outlineLevel="0" collapsed="false">
      <c r="A1848" s="0" t="n">
        <v>1847</v>
      </c>
      <c r="B1848" s="27" t="n">
        <v>45862</v>
      </c>
      <c r="C1848" s="0" t="n">
        <v>2025</v>
      </c>
      <c r="D1848" s="28" t="s">
        <v>115</v>
      </c>
      <c r="E1848" s="0" t="n">
        <v>7</v>
      </c>
      <c r="F1848" s="28" t="s">
        <v>116</v>
      </c>
      <c r="G1848" s="28" t="s">
        <v>149</v>
      </c>
      <c r="H1848" s="28" t="s">
        <v>98</v>
      </c>
      <c r="I1848" s="28" t="s">
        <v>99</v>
      </c>
      <c r="J1848" s="28" t="s">
        <v>66</v>
      </c>
      <c r="K1848" s="28" t="s">
        <v>76</v>
      </c>
      <c r="L1848" s="28" t="s">
        <v>134</v>
      </c>
      <c r="M1848" s="28" t="s">
        <v>78</v>
      </c>
      <c r="N1848" s="28" t="s">
        <v>135</v>
      </c>
      <c r="O1848" s="29" t="n">
        <v>36</v>
      </c>
      <c r="P1848" s="30" t="n">
        <v>28.11</v>
      </c>
      <c r="Q1848" s="30" t="n">
        <v>13.84</v>
      </c>
      <c r="R1848" s="30" t="n">
        <f aca="false">ROUND(O1848*P1848,2)</f>
        <v>1011.96</v>
      </c>
      <c r="S1848" s="30" t="n">
        <f aca="false">ROUND(O1848*Q1848,2)</f>
        <v>498.24</v>
      </c>
      <c r="T1848" s="30" t="n">
        <f aca="false">ROUND(R1848*SUMIFS(Parametros!$E$23:$E$38,Parametros!$B$23:$B$38,J1848,Parametros!$C$23:$C$38,C1848,Parametros!$D$23:$D$38,D1848),2)</f>
        <v>13.16</v>
      </c>
      <c r="U1848" s="30" t="n">
        <f aca="false">R1848-S1848-T1848</f>
        <v>500.56</v>
      </c>
    </row>
    <row r="1849" customFormat="false" ht="15" hidden="false" customHeight="false" outlineLevel="0" collapsed="false">
      <c r="A1849" s="0" t="n">
        <v>1848</v>
      </c>
      <c r="B1849" s="27" t="n">
        <v>45842</v>
      </c>
      <c r="C1849" s="0" t="n">
        <v>2025</v>
      </c>
      <c r="D1849" s="28" t="s">
        <v>115</v>
      </c>
      <c r="E1849" s="0" t="n">
        <v>7</v>
      </c>
      <c r="F1849" s="28" t="s">
        <v>116</v>
      </c>
      <c r="G1849" s="28" t="s">
        <v>149</v>
      </c>
      <c r="H1849" s="28" t="s">
        <v>98</v>
      </c>
      <c r="I1849" s="28" t="s">
        <v>99</v>
      </c>
      <c r="J1849" s="28" t="s">
        <v>71</v>
      </c>
      <c r="K1849" s="28" t="s">
        <v>76</v>
      </c>
      <c r="L1849" s="28" t="s">
        <v>134</v>
      </c>
      <c r="M1849" s="28" t="s">
        <v>78</v>
      </c>
      <c r="N1849" s="28" t="s">
        <v>135</v>
      </c>
      <c r="O1849" s="29" t="n">
        <v>30</v>
      </c>
      <c r="P1849" s="30" t="n">
        <v>28.11</v>
      </c>
      <c r="Q1849" s="30" t="n">
        <v>13.84</v>
      </c>
      <c r="R1849" s="30" t="n">
        <f aca="false">ROUND(O1849*P1849,2)</f>
        <v>843.3</v>
      </c>
      <c r="S1849" s="30" t="n">
        <f aca="false">ROUND(O1849*Q1849,2)</f>
        <v>415.2</v>
      </c>
      <c r="T1849" s="30" t="n">
        <f aca="false">ROUND(R1849*SUMIFS(Parametros!$E$23:$E$38,Parametros!$B$23:$B$38,J1849,Parametros!$C$23:$C$38,C1849,Parametros!$D$23:$D$38,D1849),2)</f>
        <v>47.22</v>
      </c>
      <c r="U1849" s="30" t="n">
        <f aca="false">R1849-S1849-T1849</f>
        <v>380.88</v>
      </c>
    </row>
    <row r="1850" customFormat="false" ht="15" hidden="false" customHeight="false" outlineLevel="0" collapsed="false">
      <c r="A1850" s="0" t="n">
        <v>1849</v>
      </c>
      <c r="B1850" s="27" t="n">
        <v>45849</v>
      </c>
      <c r="C1850" s="0" t="n">
        <v>2025</v>
      </c>
      <c r="D1850" s="28" t="s">
        <v>115</v>
      </c>
      <c r="E1850" s="0" t="n">
        <v>7</v>
      </c>
      <c r="F1850" s="28" t="s">
        <v>116</v>
      </c>
      <c r="G1850" s="28" t="s">
        <v>149</v>
      </c>
      <c r="H1850" s="28" t="s">
        <v>98</v>
      </c>
      <c r="I1850" s="28" t="s">
        <v>99</v>
      </c>
      <c r="J1850" s="28" t="s">
        <v>66</v>
      </c>
      <c r="K1850" s="28" t="s">
        <v>76</v>
      </c>
      <c r="L1850" s="28" t="s">
        <v>134</v>
      </c>
      <c r="M1850" s="28" t="s">
        <v>80</v>
      </c>
      <c r="N1850" s="28" t="s">
        <v>136</v>
      </c>
      <c r="O1850" s="29" t="n">
        <v>37</v>
      </c>
      <c r="P1850" s="30" t="n">
        <v>95.38</v>
      </c>
      <c r="Q1850" s="30" t="n">
        <v>49.41</v>
      </c>
      <c r="R1850" s="30" t="n">
        <f aca="false">ROUND(O1850*P1850,2)</f>
        <v>3529.06</v>
      </c>
      <c r="S1850" s="30" t="n">
        <f aca="false">ROUND(O1850*Q1850,2)</f>
        <v>1828.17</v>
      </c>
      <c r="T1850" s="30" t="n">
        <f aca="false">ROUND(R1850*SUMIFS(Parametros!$E$23:$E$38,Parametros!$B$23:$B$38,J1850,Parametros!$C$23:$C$38,C1850,Parametros!$D$23:$D$38,D1850),2)</f>
        <v>45.88</v>
      </c>
      <c r="U1850" s="30" t="n">
        <f aca="false">R1850-S1850-T1850</f>
        <v>1655.01</v>
      </c>
    </row>
    <row r="1851" customFormat="false" ht="15" hidden="false" customHeight="false" outlineLevel="0" collapsed="false">
      <c r="A1851" s="0" t="n">
        <v>1850</v>
      </c>
      <c r="B1851" s="27" t="n">
        <v>45856</v>
      </c>
      <c r="C1851" s="0" t="n">
        <v>2025</v>
      </c>
      <c r="D1851" s="28" t="s">
        <v>115</v>
      </c>
      <c r="E1851" s="0" t="n">
        <v>7</v>
      </c>
      <c r="F1851" s="28" t="s">
        <v>116</v>
      </c>
      <c r="G1851" s="28" t="s">
        <v>149</v>
      </c>
      <c r="H1851" s="28" t="s">
        <v>98</v>
      </c>
      <c r="I1851" s="28" t="s">
        <v>99</v>
      </c>
      <c r="J1851" s="28" t="s">
        <v>71</v>
      </c>
      <c r="K1851" s="28" t="s">
        <v>76</v>
      </c>
      <c r="L1851" s="28" t="s">
        <v>134</v>
      </c>
      <c r="M1851" s="28" t="s">
        <v>80</v>
      </c>
      <c r="N1851" s="28" t="s">
        <v>136</v>
      </c>
      <c r="O1851" s="29" t="n">
        <v>32</v>
      </c>
      <c r="P1851" s="30" t="n">
        <v>95.38</v>
      </c>
      <c r="Q1851" s="30" t="n">
        <v>49.41</v>
      </c>
      <c r="R1851" s="30" t="n">
        <f aca="false">ROUND(O1851*P1851,2)</f>
        <v>3052.16</v>
      </c>
      <c r="S1851" s="30" t="n">
        <f aca="false">ROUND(O1851*Q1851,2)</f>
        <v>1581.12</v>
      </c>
      <c r="T1851" s="30" t="n">
        <f aca="false">ROUND(R1851*SUMIFS(Parametros!$E$23:$E$38,Parametros!$B$23:$B$38,J1851,Parametros!$C$23:$C$38,C1851,Parametros!$D$23:$D$38,D1851),2)</f>
        <v>170.92</v>
      </c>
      <c r="U1851" s="30" t="n">
        <f aca="false">R1851-S1851-T1851</f>
        <v>1300.12</v>
      </c>
    </row>
    <row r="1852" customFormat="false" ht="15" hidden="false" customHeight="false" outlineLevel="0" collapsed="false">
      <c r="A1852" s="0" t="n">
        <v>1851</v>
      </c>
      <c r="B1852" s="27" t="n">
        <v>45863</v>
      </c>
      <c r="C1852" s="0" t="n">
        <v>2025</v>
      </c>
      <c r="D1852" s="28" t="s">
        <v>115</v>
      </c>
      <c r="E1852" s="0" t="n">
        <v>7</v>
      </c>
      <c r="F1852" s="28" t="s">
        <v>116</v>
      </c>
      <c r="G1852" s="28" t="s">
        <v>149</v>
      </c>
      <c r="H1852" s="28" t="s">
        <v>98</v>
      </c>
      <c r="I1852" s="28" t="s">
        <v>99</v>
      </c>
      <c r="J1852" s="28" t="s">
        <v>66</v>
      </c>
      <c r="K1852" s="28" t="s">
        <v>76</v>
      </c>
      <c r="L1852" s="28" t="s">
        <v>134</v>
      </c>
      <c r="M1852" s="28" t="s">
        <v>82</v>
      </c>
      <c r="N1852" s="28" t="s">
        <v>137</v>
      </c>
      <c r="O1852" s="29" t="n">
        <v>47</v>
      </c>
      <c r="P1852" s="30" t="n">
        <v>65.26</v>
      </c>
      <c r="Q1852" s="30" t="n">
        <v>36.49</v>
      </c>
      <c r="R1852" s="30" t="n">
        <f aca="false">ROUND(O1852*P1852,2)</f>
        <v>3067.22</v>
      </c>
      <c r="S1852" s="30" t="n">
        <f aca="false">ROUND(O1852*Q1852,2)</f>
        <v>1715.03</v>
      </c>
      <c r="T1852" s="30" t="n">
        <f aca="false">ROUND(R1852*SUMIFS(Parametros!$E$23:$E$38,Parametros!$B$23:$B$38,J1852,Parametros!$C$23:$C$38,C1852,Parametros!$D$23:$D$38,D1852),2)</f>
        <v>39.87</v>
      </c>
      <c r="U1852" s="30" t="n">
        <f aca="false">R1852-S1852-T1852</f>
        <v>1312.32</v>
      </c>
    </row>
    <row r="1853" customFormat="false" ht="15" hidden="false" customHeight="false" outlineLevel="0" collapsed="false">
      <c r="A1853" s="0" t="n">
        <v>1852</v>
      </c>
      <c r="B1853" s="27" t="n">
        <v>45843</v>
      </c>
      <c r="C1853" s="0" t="n">
        <v>2025</v>
      </c>
      <c r="D1853" s="28" t="s">
        <v>115</v>
      </c>
      <c r="E1853" s="0" t="n">
        <v>7</v>
      </c>
      <c r="F1853" s="28" t="s">
        <v>116</v>
      </c>
      <c r="G1853" s="28" t="s">
        <v>149</v>
      </c>
      <c r="H1853" s="28" t="s">
        <v>98</v>
      </c>
      <c r="I1853" s="28" t="s">
        <v>99</v>
      </c>
      <c r="J1853" s="28" t="s">
        <v>71</v>
      </c>
      <c r="K1853" s="28" t="s">
        <v>76</v>
      </c>
      <c r="L1853" s="28" t="s">
        <v>134</v>
      </c>
      <c r="M1853" s="28" t="s">
        <v>82</v>
      </c>
      <c r="N1853" s="28" t="s">
        <v>137</v>
      </c>
      <c r="O1853" s="29" t="n">
        <v>31</v>
      </c>
      <c r="P1853" s="30" t="n">
        <v>65.26</v>
      </c>
      <c r="Q1853" s="30" t="n">
        <v>36.49</v>
      </c>
      <c r="R1853" s="30" t="n">
        <f aca="false">ROUND(O1853*P1853,2)</f>
        <v>2023.06</v>
      </c>
      <c r="S1853" s="30" t="n">
        <f aca="false">ROUND(O1853*Q1853,2)</f>
        <v>1131.19</v>
      </c>
      <c r="T1853" s="30" t="n">
        <f aca="false">ROUND(R1853*SUMIFS(Parametros!$E$23:$E$38,Parametros!$B$23:$B$38,J1853,Parametros!$C$23:$C$38,C1853,Parametros!$D$23:$D$38,D1853),2)</f>
        <v>113.29</v>
      </c>
      <c r="U1853" s="30" t="n">
        <f aca="false">R1853-S1853-T1853</f>
        <v>778.58</v>
      </c>
    </row>
    <row r="1854" customFormat="false" ht="15" hidden="false" customHeight="false" outlineLevel="0" collapsed="false">
      <c r="A1854" s="0" t="n">
        <v>1853</v>
      </c>
      <c r="B1854" s="27" t="n">
        <v>45850</v>
      </c>
      <c r="C1854" s="0" t="n">
        <v>2025</v>
      </c>
      <c r="D1854" s="28" t="s">
        <v>115</v>
      </c>
      <c r="E1854" s="0" t="n">
        <v>7</v>
      </c>
      <c r="F1854" s="28" t="s">
        <v>116</v>
      </c>
      <c r="G1854" s="28" t="s">
        <v>149</v>
      </c>
      <c r="H1854" s="28" t="s">
        <v>98</v>
      </c>
      <c r="I1854" s="28" t="s">
        <v>99</v>
      </c>
      <c r="J1854" s="28" t="s">
        <v>66</v>
      </c>
      <c r="K1854" s="28" t="s">
        <v>84</v>
      </c>
      <c r="L1854" s="28" t="s">
        <v>138</v>
      </c>
      <c r="M1854" s="28" t="s">
        <v>86</v>
      </c>
      <c r="N1854" s="28" t="s">
        <v>139</v>
      </c>
      <c r="O1854" s="29" t="n">
        <v>22</v>
      </c>
      <c r="P1854" s="30" t="n">
        <v>120.47</v>
      </c>
      <c r="Q1854" s="30" t="n">
        <v>65.51</v>
      </c>
      <c r="R1854" s="30" t="n">
        <f aca="false">ROUND(O1854*P1854,2)</f>
        <v>2650.34</v>
      </c>
      <c r="S1854" s="30" t="n">
        <f aca="false">ROUND(O1854*Q1854,2)</f>
        <v>1441.22</v>
      </c>
      <c r="T1854" s="30" t="n">
        <f aca="false">ROUND(R1854*SUMIFS(Parametros!$E$23:$E$38,Parametros!$B$23:$B$38,J1854,Parametros!$C$23:$C$38,C1854,Parametros!$D$23:$D$38,D1854),2)</f>
        <v>34.45</v>
      </c>
      <c r="U1854" s="30" t="n">
        <f aca="false">R1854-S1854-T1854</f>
        <v>1174.67</v>
      </c>
    </row>
    <row r="1855" customFormat="false" ht="15" hidden="false" customHeight="false" outlineLevel="0" collapsed="false">
      <c r="A1855" s="0" t="n">
        <v>1854</v>
      </c>
      <c r="B1855" s="27" t="n">
        <v>45857</v>
      </c>
      <c r="C1855" s="0" t="n">
        <v>2025</v>
      </c>
      <c r="D1855" s="28" t="s">
        <v>115</v>
      </c>
      <c r="E1855" s="0" t="n">
        <v>7</v>
      </c>
      <c r="F1855" s="28" t="s">
        <v>116</v>
      </c>
      <c r="G1855" s="28" t="s">
        <v>149</v>
      </c>
      <c r="H1855" s="28" t="s">
        <v>98</v>
      </c>
      <c r="I1855" s="28" t="s">
        <v>99</v>
      </c>
      <c r="J1855" s="28" t="s">
        <v>71</v>
      </c>
      <c r="K1855" s="28" t="s">
        <v>84</v>
      </c>
      <c r="L1855" s="28" t="s">
        <v>138</v>
      </c>
      <c r="M1855" s="28" t="s">
        <v>86</v>
      </c>
      <c r="N1855" s="28" t="s">
        <v>139</v>
      </c>
      <c r="O1855" s="29" t="n">
        <v>12</v>
      </c>
      <c r="P1855" s="30" t="n">
        <v>120.47</v>
      </c>
      <c r="Q1855" s="30" t="n">
        <v>65.51</v>
      </c>
      <c r="R1855" s="30" t="n">
        <f aca="false">ROUND(O1855*P1855,2)</f>
        <v>1445.64</v>
      </c>
      <c r="S1855" s="30" t="n">
        <f aca="false">ROUND(O1855*Q1855,2)</f>
        <v>786.12</v>
      </c>
      <c r="T1855" s="30" t="n">
        <f aca="false">ROUND(R1855*SUMIFS(Parametros!$E$23:$E$38,Parametros!$B$23:$B$38,J1855,Parametros!$C$23:$C$38,C1855,Parametros!$D$23:$D$38,D1855),2)</f>
        <v>80.96</v>
      </c>
      <c r="U1855" s="30" t="n">
        <f aca="false">R1855-S1855-T1855</f>
        <v>578.56</v>
      </c>
    </row>
    <row r="1856" customFormat="false" ht="15" hidden="false" customHeight="false" outlineLevel="0" collapsed="false">
      <c r="A1856" s="0" t="n">
        <v>1855</v>
      </c>
      <c r="B1856" s="27" t="n">
        <v>45864</v>
      </c>
      <c r="C1856" s="0" t="n">
        <v>2025</v>
      </c>
      <c r="D1856" s="28" t="s">
        <v>115</v>
      </c>
      <c r="E1856" s="0" t="n">
        <v>7</v>
      </c>
      <c r="F1856" s="28" t="s">
        <v>116</v>
      </c>
      <c r="G1856" s="28" t="s">
        <v>149</v>
      </c>
      <c r="H1856" s="28" t="s">
        <v>98</v>
      </c>
      <c r="I1856" s="28" t="s">
        <v>99</v>
      </c>
      <c r="J1856" s="28" t="s">
        <v>66</v>
      </c>
      <c r="K1856" s="28" t="s">
        <v>84</v>
      </c>
      <c r="L1856" s="28" t="s">
        <v>138</v>
      </c>
      <c r="M1856" s="28" t="s">
        <v>88</v>
      </c>
      <c r="N1856" s="28" t="s">
        <v>140</v>
      </c>
      <c r="O1856" s="29" t="n">
        <v>22</v>
      </c>
      <c r="P1856" s="30" t="n">
        <v>85.34</v>
      </c>
      <c r="Q1856" s="30" t="n">
        <v>49.47</v>
      </c>
      <c r="R1856" s="30" t="n">
        <f aca="false">ROUND(O1856*P1856,2)</f>
        <v>1877.48</v>
      </c>
      <c r="S1856" s="30" t="n">
        <f aca="false">ROUND(O1856*Q1856,2)</f>
        <v>1088.34</v>
      </c>
      <c r="T1856" s="30" t="n">
        <f aca="false">ROUND(R1856*SUMIFS(Parametros!$E$23:$E$38,Parametros!$B$23:$B$38,J1856,Parametros!$C$23:$C$38,C1856,Parametros!$D$23:$D$38,D1856),2)</f>
        <v>24.41</v>
      </c>
      <c r="U1856" s="30" t="n">
        <f aca="false">R1856-S1856-T1856</f>
        <v>764.73</v>
      </c>
    </row>
    <row r="1857" customFormat="false" ht="15" hidden="false" customHeight="false" outlineLevel="0" collapsed="false">
      <c r="A1857" s="0" t="n">
        <v>1856</v>
      </c>
      <c r="B1857" s="27" t="n">
        <v>45844</v>
      </c>
      <c r="C1857" s="0" t="n">
        <v>2025</v>
      </c>
      <c r="D1857" s="28" t="s">
        <v>115</v>
      </c>
      <c r="E1857" s="0" t="n">
        <v>7</v>
      </c>
      <c r="F1857" s="28" t="s">
        <v>116</v>
      </c>
      <c r="G1857" s="28" t="s">
        <v>149</v>
      </c>
      <c r="H1857" s="28" t="s">
        <v>98</v>
      </c>
      <c r="I1857" s="28" t="s">
        <v>99</v>
      </c>
      <c r="J1857" s="28" t="s">
        <v>71</v>
      </c>
      <c r="K1857" s="28" t="s">
        <v>84</v>
      </c>
      <c r="L1857" s="28" t="s">
        <v>138</v>
      </c>
      <c r="M1857" s="28" t="s">
        <v>88</v>
      </c>
      <c r="N1857" s="28" t="s">
        <v>140</v>
      </c>
      <c r="O1857" s="29" t="n">
        <v>13</v>
      </c>
      <c r="P1857" s="30" t="n">
        <v>85.34</v>
      </c>
      <c r="Q1857" s="30" t="n">
        <v>49.47</v>
      </c>
      <c r="R1857" s="30" t="n">
        <f aca="false">ROUND(O1857*P1857,2)</f>
        <v>1109.42</v>
      </c>
      <c r="S1857" s="30" t="n">
        <f aca="false">ROUND(O1857*Q1857,2)</f>
        <v>643.11</v>
      </c>
      <c r="T1857" s="30" t="n">
        <f aca="false">ROUND(R1857*SUMIFS(Parametros!$E$23:$E$38,Parametros!$B$23:$B$38,J1857,Parametros!$C$23:$C$38,C1857,Parametros!$D$23:$D$38,D1857),2)</f>
        <v>62.13</v>
      </c>
      <c r="U1857" s="30" t="n">
        <f aca="false">R1857-S1857-T1857</f>
        <v>404.18</v>
      </c>
    </row>
    <row r="1858" customFormat="false" ht="15" hidden="false" customHeight="false" outlineLevel="0" collapsed="false">
      <c r="A1858" s="0" t="n">
        <v>1857</v>
      </c>
      <c r="B1858" s="27" t="n">
        <v>45851</v>
      </c>
      <c r="C1858" s="0" t="n">
        <v>2025</v>
      </c>
      <c r="D1858" s="28" t="s">
        <v>115</v>
      </c>
      <c r="E1858" s="0" t="n">
        <v>7</v>
      </c>
      <c r="F1858" s="28" t="s">
        <v>116</v>
      </c>
      <c r="G1858" s="28" t="s">
        <v>149</v>
      </c>
      <c r="H1858" s="28" t="s">
        <v>98</v>
      </c>
      <c r="I1858" s="28" t="s">
        <v>99</v>
      </c>
      <c r="J1858" s="28" t="s">
        <v>66</v>
      </c>
      <c r="K1858" s="28" t="s">
        <v>90</v>
      </c>
      <c r="L1858" s="28" t="s">
        <v>141</v>
      </c>
      <c r="M1858" s="28" t="s">
        <v>92</v>
      </c>
      <c r="N1858" s="28" t="s">
        <v>142</v>
      </c>
      <c r="O1858" s="29" t="n">
        <v>24</v>
      </c>
      <c r="P1858" s="30" t="n">
        <v>130.51</v>
      </c>
      <c r="Q1858" s="30" t="n">
        <v>78.33</v>
      </c>
      <c r="R1858" s="30" t="n">
        <f aca="false">ROUND(O1858*P1858,2)</f>
        <v>3132.24</v>
      </c>
      <c r="S1858" s="30" t="n">
        <f aca="false">ROUND(O1858*Q1858,2)</f>
        <v>1879.92</v>
      </c>
      <c r="T1858" s="30" t="n">
        <f aca="false">ROUND(R1858*SUMIFS(Parametros!$E$23:$E$38,Parametros!$B$23:$B$38,J1858,Parametros!$C$23:$C$38,C1858,Parametros!$D$23:$D$38,D1858),2)</f>
        <v>40.72</v>
      </c>
      <c r="U1858" s="30" t="n">
        <f aca="false">R1858-S1858-T1858</f>
        <v>1211.6</v>
      </c>
    </row>
    <row r="1859" customFormat="false" ht="15" hidden="false" customHeight="false" outlineLevel="0" collapsed="false">
      <c r="A1859" s="0" t="n">
        <v>1858</v>
      </c>
      <c r="B1859" s="27" t="n">
        <v>45858</v>
      </c>
      <c r="C1859" s="0" t="n">
        <v>2025</v>
      </c>
      <c r="D1859" s="28" t="s">
        <v>115</v>
      </c>
      <c r="E1859" s="0" t="n">
        <v>7</v>
      </c>
      <c r="F1859" s="28" t="s">
        <v>116</v>
      </c>
      <c r="G1859" s="28" t="s">
        <v>149</v>
      </c>
      <c r="H1859" s="28" t="s">
        <v>98</v>
      </c>
      <c r="I1859" s="28" t="s">
        <v>99</v>
      </c>
      <c r="J1859" s="28" t="s">
        <v>71</v>
      </c>
      <c r="K1859" s="28" t="s">
        <v>90</v>
      </c>
      <c r="L1859" s="28" t="s">
        <v>141</v>
      </c>
      <c r="M1859" s="28" t="s">
        <v>92</v>
      </c>
      <c r="N1859" s="28" t="s">
        <v>142</v>
      </c>
      <c r="O1859" s="29" t="n">
        <v>16</v>
      </c>
      <c r="P1859" s="30" t="n">
        <v>130.51</v>
      </c>
      <c r="Q1859" s="30" t="n">
        <v>78.33</v>
      </c>
      <c r="R1859" s="30" t="n">
        <f aca="false">ROUND(O1859*P1859,2)</f>
        <v>2088.16</v>
      </c>
      <c r="S1859" s="30" t="n">
        <f aca="false">ROUND(O1859*Q1859,2)</f>
        <v>1253.28</v>
      </c>
      <c r="T1859" s="30" t="n">
        <f aca="false">ROUND(R1859*SUMIFS(Parametros!$E$23:$E$38,Parametros!$B$23:$B$38,J1859,Parametros!$C$23:$C$38,C1859,Parametros!$D$23:$D$38,D1859),2)</f>
        <v>116.94</v>
      </c>
      <c r="U1859" s="30" t="n">
        <f aca="false">R1859-S1859-T1859</f>
        <v>717.94</v>
      </c>
    </row>
    <row r="1860" customFormat="false" ht="15" hidden="false" customHeight="false" outlineLevel="0" collapsed="false">
      <c r="A1860" s="0" t="n">
        <v>1859</v>
      </c>
      <c r="B1860" s="27" t="n">
        <v>45865</v>
      </c>
      <c r="C1860" s="0" t="n">
        <v>2025</v>
      </c>
      <c r="D1860" s="28" t="s">
        <v>115</v>
      </c>
      <c r="E1860" s="0" t="n">
        <v>7</v>
      </c>
      <c r="F1860" s="28" t="s">
        <v>116</v>
      </c>
      <c r="G1860" s="28" t="s">
        <v>149</v>
      </c>
      <c r="H1860" s="28" t="s">
        <v>98</v>
      </c>
      <c r="I1860" s="28" t="s">
        <v>99</v>
      </c>
      <c r="J1860" s="28" t="s">
        <v>66</v>
      </c>
      <c r="K1860" s="28" t="s">
        <v>90</v>
      </c>
      <c r="L1860" s="28" t="s">
        <v>141</v>
      </c>
      <c r="M1860" s="28" t="s">
        <v>94</v>
      </c>
      <c r="N1860" s="28" t="s">
        <v>143</v>
      </c>
      <c r="O1860" s="29" t="n">
        <v>29</v>
      </c>
      <c r="P1860" s="30" t="n">
        <v>35.14</v>
      </c>
      <c r="Q1860" s="30" t="n">
        <v>18.39</v>
      </c>
      <c r="R1860" s="30" t="n">
        <f aca="false">ROUND(O1860*P1860,2)</f>
        <v>1019.06</v>
      </c>
      <c r="S1860" s="30" t="n">
        <f aca="false">ROUND(O1860*Q1860,2)</f>
        <v>533.31</v>
      </c>
      <c r="T1860" s="30" t="n">
        <f aca="false">ROUND(R1860*SUMIFS(Parametros!$E$23:$E$38,Parametros!$B$23:$B$38,J1860,Parametros!$C$23:$C$38,C1860,Parametros!$D$23:$D$38,D1860),2)</f>
        <v>13.25</v>
      </c>
      <c r="U1860" s="30" t="n">
        <f aca="false">R1860-S1860-T1860</f>
        <v>472.5</v>
      </c>
    </row>
    <row r="1861" customFormat="false" ht="15" hidden="false" customHeight="false" outlineLevel="0" collapsed="false">
      <c r="A1861" s="0" t="n">
        <v>1860</v>
      </c>
      <c r="B1861" s="27" t="n">
        <v>45845</v>
      </c>
      <c r="C1861" s="0" t="n">
        <v>2025</v>
      </c>
      <c r="D1861" s="28" t="s">
        <v>115</v>
      </c>
      <c r="E1861" s="0" t="n">
        <v>7</v>
      </c>
      <c r="F1861" s="28" t="s">
        <v>116</v>
      </c>
      <c r="G1861" s="28" t="s">
        <v>149</v>
      </c>
      <c r="H1861" s="28" t="s">
        <v>98</v>
      </c>
      <c r="I1861" s="28" t="s">
        <v>99</v>
      </c>
      <c r="J1861" s="28" t="s">
        <v>71</v>
      </c>
      <c r="K1861" s="28" t="s">
        <v>90</v>
      </c>
      <c r="L1861" s="28" t="s">
        <v>141</v>
      </c>
      <c r="M1861" s="28" t="s">
        <v>94</v>
      </c>
      <c r="N1861" s="28" t="s">
        <v>143</v>
      </c>
      <c r="O1861" s="29" t="n">
        <v>15</v>
      </c>
      <c r="P1861" s="30" t="n">
        <v>35.14</v>
      </c>
      <c r="Q1861" s="30" t="n">
        <v>18.39</v>
      </c>
      <c r="R1861" s="30" t="n">
        <f aca="false">ROUND(O1861*P1861,2)</f>
        <v>527.1</v>
      </c>
      <c r="S1861" s="30" t="n">
        <f aca="false">ROUND(O1861*Q1861,2)</f>
        <v>275.85</v>
      </c>
      <c r="T1861" s="30" t="n">
        <f aca="false">ROUND(R1861*SUMIFS(Parametros!$E$23:$E$38,Parametros!$B$23:$B$38,J1861,Parametros!$C$23:$C$38,C1861,Parametros!$D$23:$D$38,D1861),2)</f>
        <v>29.52</v>
      </c>
      <c r="U1861" s="30" t="n">
        <f aca="false">R1861-S1861-T1861</f>
        <v>221.73</v>
      </c>
    </row>
    <row r="1862" customFormat="false" ht="15" hidden="false" customHeight="false" outlineLevel="0" collapsed="false">
      <c r="A1862" s="0" t="n">
        <v>1861</v>
      </c>
      <c r="B1862" s="27" t="n">
        <v>45852</v>
      </c>
      <c r="C1862" s="0" t="n">
        <v>2025</v>
      </c>
      <c r="D1862" s="28" t="s">
        <v>115</v>
      </c>
      <c r="E1862" s="0" t="n">
        <v>7</v>
      </c>
      <c r="F1862" s="28" t="s">
        <v>116</v>
      </c>
      <c r="G1862" s="28" t="s">
        <v>149</v>
      </c>
      <c r="H1862" s="28" t="s">
        <v>100</v>
      </c>
      <c r="I1862" s="28" t="s">
        <v>101</v>
      </c>
      <c r="J1862" s="28" t="s">
        <v>66</v>
      </c>
      <c r="K1862" s="28" t="s">
        <v>67</v>
      </c>
      <c r="L1862" s="28" t="s">
        <v>130</v>
      </c>
      <c r="M1862" s="28" t="s">
        <v>69</v>
      </c>
      <c r="N1862" s="28" t="s">
        <v>131</v>
      </c>
      <c r="O1862" s="29" t="n">
        <v>8</v>
      </c>
      <c r="P1862" s="30" t="n">
        <v>1204.74</v>
      </c>
      <c r="Q1862" s="30" t="n">
        <v>766.32</v>
      </c>
      <c r="R1862" s="30" t="n">
        <f aca="false">ROUND(O1862*P1862,2)</f>
        <v>9637.92</v>
      </c>
      <c r="S1862" s="30" t="n">
        <f aca="false">ROUND(O1862*Q1862,2)</f>
        <v>6130.56</v>
      </c>
      <c r="T1862" s="30" t="n">
        <f aca="false">ROUND(R1862*SUMIFS(Parametros!$E$23:$E$38,Parametros!$B$23:$B$38,J1862,Parametros!$C$23:$C$38,C1862,Parametros!$D$23:$D$38,D1862),2)</f>
        <v>125.29</v>
      </c>
      <c r="U1862" s="30" t="n">
        <f aca="false">R1862-S1862-T1862</f>
        <v>3382.07</v>
      </c>
    </row>
    <row r="1863" customFormat="false" ht="15" hidden="false" customHeight="false" outlineLevel="0" collapsed="false">
      <c r="A1863" s="0" t="n">
        <v>1862</v>
      </c>
      <c r="B1863" s="27" t="n">
        <v>45859</v>
      </c>
      <c r="C1863" s="0" t="n">
        <v>2025</v>
      </c>
      <c r="D1863" s="28" t="s">
        <v>115</v>
      </c>
      <c r="E1863" s="0" t="n">
        <v>7</v>
      </c>
      <c r="F1863" s="28" t="s">
        <v>116</v>
      </c>
      <c r="G1863" s="28" t="s">
        <v>149</v>
      </c>
      <c r="H1863" s="28" t="s">
        <v>100</v>
      </c>
      <c r="I1863" s="28" t="s">
        <v>101</v>
      </c>
      <c r="J1863" s="28" t="s">
        <v>71</v>
      </c>
      <c r="K1863" s="28" t="s">
        <v>67</v>
      </c>
      <c r="L1863" s="28" t="s">
        <v>130</v>
      </c>
      <c r="M1863" s="28" t="s">
        <v>69</v>
      </c>
      <c r="N1863" s="28" t="s">
        <v>131</v>
      </c>
      <c r="O1863" s="29" t="n">
        <v>4</v>
      </c>
      <c r="P1863" s="30" t="n">
        <v>1204.74</v>
      </c>
      <c r="Q1863" s="30" t="n">
        <v>766.32</v>
      </c>
      <c r="R1863" s="30" t="n">
        <f aca="false">ROUND(O1863*P1863,2)</f>
        <v>4818.96</v>
      </c>
      <c r="S1863" s="30" t="n">
        <f aca="false">ROUND(O1863*Q1863,2)</f>
        <v>3065.28</v>
      </c>
      <c r="T1863" s="30" t="n">
        <f aca="false">ROUND(R1863*SUMIFS(Parametros!$E$23:$E$38,Parametros!$B$23:$B$38,J1863,Parametros!$C$23:$C$38,C1863,Parametros!$D$23:$D$38,D1863),2)</f>
        <v>269.86</v>
      </c>
      <c r="U1863" s="30" t="n">
        <f aca="false">R1863-S1863-T1863</f>
        <v>1483.82</v>
      </c>
    </row>
    <row r="1864" customFormat="false" ht="15" hidden="false" customHeight="false" outlineLevel="0" collapsed="false">
      <c r="A1864" s="0" t="n">
        <v>1863</v>
      </c>
      <c r="B1864" s="27" t="n">
        <v>45839</v>
      </c>
      <c r="C1864" s="0" t="n">
        <v>2025</v>
      </c>
      <c r="D1864" s="28" t="s">
        <v>115</v>
      </c>
      <c r="E1864" s="0" t="n">
        <v>7</v>
      </c>
      <c r="F1864" s="28" t="s">
        <v>116</v>
      </c>
      <c r="G1864" s="28" t="s">
        <v>149</v>
      </c>
      <c r="H1864" s="28" t="s">
        <v>100</v>
      </c>
      <c r="I1864" s="28" t="s">
        <v>101</v>
      </c>
      <c r="J1864" s="28" t="s">
        <v>66</v>
      </c>
      <c r="K1864" s="28" t="s">
        <v>67</v>
      </c>
      <c r="L1864" s="28" t="s">
        <v>130</v>
      </c>
      <c r="M1864" s="28" t="s">
        <v>72</v>
      </c>
      <c r="N1864" s="28" t="s">
        <v>132</v>
      </c>
      <c r="O1864" s="29" t="n">
        <v>8</v>
      </c>
      <c r="P1864" s="30" t="n">
        <v>451.78</v>
      </c>
      <c r="Q1864" s="30" t="n">
        <v>280.42</v>
      </c>
      <c r="R1864" s="30" t="n">
        <f aca="false">ROUND(O1864*P1864,2)</f>
        <v>3614.24</v>
      </c>
      <c r="S1864" s="30" t="n">
        <f aca="false">ROUND(O1864*Q1864,2)</f>
        <v>2243.36</v>
      </c>
      <c r="T1864" s="30" t="n">
        <f aca="false">ROUND(R1864*SUMIFS(Parametros!$E$23:$E$38,Parametros!$B$23:$B$38,J1864,Parametros!$C$23:$C$38,C1864,Parametros!$D$23:$D$38,D1864),2)</f>
        <v>46.99</v>
      </c>
      <c r="U1864" s="30" t="n">
        <f aca="false">R1864-S1864-T1864</f>
        <v>1323.89</v>
      </c>
    </row>
    <row r="1865" customFormat="false" ht="15" hidden="false" customHeight="false" outlineLevel="0" collapsed="false">
      <c r="A1865" s="0" t="n">
        <v>1864</v>
      </c>
      <c r="B1865" s="27" t="n">
        <v>45846</v>
      </c>
      <c r="C1865" s="0" t="n">
        <v>2025</v>
      </c>
      <c r="D1865" s="28" t="s">
        <v>115</v>
      </c>
      <c r="E1865" s="0" t="n">
        <v>7</v>
      </c>
      <c r="F1865" s="28" t="s">
        <v>116</v>
      </c>
      <c r="G1865" s="28" t="s">
        <v>149</v>
      </c>
      <c r="H1865" s="28" t="s">
        <v>100</v>
      </c>
      <c r="I1865" s="28" t="s">
        <v>101</v>
      </c>
      <c r="J1865" s="28" t="s">
        <v>71</v>
      </c>
      <c r="K1865" s="28" t="s">
        <v>67</v>
      </c>
      <c r="L1865" s="28" t="s">
        <v>130</v>
      </c>
      <c r="M1865" s="28" t="s">
        <v>72</v>
      </c>
      <c r="N1865" s="28" t="s">
        <v>132</v>
      </c>
      <c r="O1865" s="29" t="n">
        <v>6</v>
      </c>
      <c r="P1865" s="30" t="n">
        <v>451.78</v>
      </c>
      <c r="Q1865" s="30" t="n">
        <v>280.42</v>
      </c>
      <c r="R1865" s="30" t="n">
        <f aca="false">ROUND(O1865*P1865,2)</f>
        <v>2710.68</v>
      </c>
      <c r="S1865" s="30" t="n">
        <f aca="false">ROUND(O1865*Q1865,2)</f>
        <v>1682.52</v>
      </c>
      <c r="T1865" s="30" t="n">
        <f aca="false">ROUND(R1865*SUMIFS(Parametros!$E$23:$E$38,Parametros!$B$23:$B$38,J1865,Parametros!$C$23:$C$38,C1865,Parametros!$D$23:$D$38,D1865),2)</f>
        <v>151.8</v>
      </c>
      <c r="U1865" s="30" t="n">
        <f aca="false">R1865-S1865-T1865</f>
        <v>876.36</v>
      </c>
    </row>
    <row r="1866" customFormat="false" ht="15" hidden="false" customHeight="false" outlineLevel="0" collapsed="false">
      <c r="A1866" s="0" t="n">
        <v>1865</v>
      </c>
      <c r="B1866" s="27" t="n">
        <v>45853</v>
      </c>
      <c r="C1866" s="0" t="n">
        <v>2025</v>
      </c>
      <c r="D1866" s="28" t="s">
        <v>115</v>
      </c>
      <c r="E1866" s="0" t="n">
        <v>7</v>
      </c>
      <c r="F1866" s="28" t="s">
        <v>116</v>
      </c>
      <c r="G1866" s="28" t="s">
        <v>149</v>
      </c>
      <c r="H1866" s="28" t="s">
        <v>100</v>
      </c>
      <c r="I1866" s="28" t="s">
        <v>101</v>
      </c>
      <c r="J1866" s="28" t="s">
        <v>66</v>
      </c>
      <c r="K1866" s="28" t="s">
        <v>67</v>
      </c>
      <c r="L1866" s="28" t="s">
        <v>130</v>
      </c>
      <c r="M1866" s="28" t="s">
        <v>74</v>
      </c>
      <c r="N1866" s="28" t="s">
        <v>133</v>
      </c>
      <c r="O1866" s="29" t="n">
        <v>7</v>
      </c>
      <c r="P1866" s="30" t="n">
        <v>1656.52</v>
      </c>
      <c r="Q1866" s="30" t="n">
        <v>1155.66</v>
      </c>
      <c r="R1866" s="30" t="n">
        <f aca="false">ROUND(O1866*P1866,2)</f>
        <v>11595.64</v>
      </c>
      <c r="S1866" s="30" t="n">
        <f aca="false">ROUND(O1866*Q1866,2)</f>
        <v>8089.62</v>
      </c>
      <c r="T1866" s="30" t="n">
        <f aca="false">ROUND(R1866*SUMIFS(Parametros!$E$23:$E$38,Parametros!$B$23:$B$38,J1866,Parametros!$C$23:$C$38,C1866,Parametros!$D$23:$D$38,D1866),2)</f>
        <v>150.74</v>
      </c>
      <c r="U1866" s="30" t="n">
        <f aca="false">R1866-S1866-T1866</f>
        <v>3355.28</v>
      </c>
    </row>
    <row r="1867" customFormat="false" ht="15" hidden="false" customHeight="false" outlineLevel="0" collapsed="false">
      <c r="A1867" s="0" t="n">
        <v>1866</v>
      </c>
      <c r="B1867" s="27" t="n">
        <v>45860</v>
      </c>
      <c r="C1867" s="0" t="n">
        <v>2025</v>
      </c>
      <c r="D1867" s="28" t="s">
        <v>115</v>
      </c>
      <c r="E1867" s="0" t="n">
        <v>7</v>
      </c>
      <c r="F1867" s="28" t="s">
        <v>116</v>
      </c>
      <c r="G1867" s="28" t="s">
        <v>149</v>
      </c>
      <c r="H1867" s="28" t="s">
        <v>100</v>
      </c>
      <c r="I1867" s="28" t="s">
        <v>101</v>
      </c>
      <c r="J1867" s="28" t="s">
        <v>71</v>
      </c>
      <c r="K1867" s="28" t="s">
        <v>67</v>
      </c>
      <c r="L1867" s="28" t="s">
        <v>130</v>
      </c>
      <c r="M1867" s="28" t="s">
        <v>74</v>
      </c>
      <c r="N1867" s="28" t="s">
        <v>133</v>
      </c>
      <c r="O1867" s="29" t="n">
        <v>5</v>
      </c>
      <c r="P1867" s="30" t="n">
        <v>1656.52</v>
      </c>
      <c r="Q1867" s="30" t="n">
        <v>1155.66</v>
      </c>
      <c r="R1867" s="30" t="n">
        <f aca="false">ROUND(O1867*P1867,2)</f>
        <v>8282.6</v>
      </c>
      <c r="S1867" s="30" t="n">
        <f aca="false">ROUND(O1867*Q1867,2)</f>
        <v>5778.3</v>
      </c>
      <c r="T1867" s="30" t="n">
        <f aca="false">ROUND(R1867*SUMIFS(Parametros!$E$23:$E$38,Parametros!$B$23:$B$38,J1867,Parametros!$C$23:$C$38,C1867,Parametros!$D$23:$D$38,D1867),2)</f>
        <v>463.83</v>
      </c>
      <c r="U1867" s="30" t="n">
        <f aca="false">R1867-S1867-T1867</f>
        <v>2040.47</v>
      </c>
    </row>
    <row r="1868" customFormat="false" ht="15" hidden="false" customHeight="false" outlineLevel="0" collapsed="false">
      <c r="A1868" s="0" t="n">
        <v>1867</v>
      </c>
      <c r="B1868" s="27" t="n">
        <v>45840</v>
      </c>
      <c r="C1868" s="0" t="n">
        <v>2025</v>
      </c>
      <c r="D1868" s="28" t="s">
        <v>115</v>
      </c>
      <c r="E1868" s="0" t="n">
        <v>7</v>
      </c>
      <c r="F1868" s="28" t="s">
        <v>116</v>
      </c>
      <c r="G1868" s="28" t="s">
        <v>149</v>
      </c>
      <c r="H1868" s="28" t="s">
        <v>100</v>
      </c>
      <c r="I1868" s="28" t="s">
        <v>101</v>
      </c>
      <c r="J1868" s="28" t="s">
        <v>66</v>
      </c>
      <c r="K1868" s="28" t="s">
        <v>76</v>
      </c>
      <c r="L1868" s="28" t="s">
        <v>134</v>
      </c>
      <c r="M1868" s="28" t="s">
        <v>78</v>
      </c>
      <c r="N1868" s="28" t="s">
        <v>135</v>
      </c>
      <c r="O1868" s="29" t="n">
        <v>29</v>
      </c>
      <c r="P1868" s="30" t="n">
        <v>28.11</v>
      </c>
      <c r="Q1868" s="30" t="n">
        <v>13.84</v>
      </c>
      <c r="R1868" s="30" t="n">
        <f aca="false">ROUND(O1868*P1868,2)</f>
        <v>815.19</v>
      </c>
      <c r="S1868" s="30" t="n">
        <f aca="false">ROUND(O1868*Q1868,2)</f>
        <v>401.36</v>
      </c>
      <c r="T1868" s="30" t="n">
        <f aca="false">ROUND(R1868*SUMIFS(Parametros!$E$23:$E$38,Parametros!$B$23:$B$38,J1868,Parametros!$C$23:$C$38,C1868,Parametros!$D$23:$D$38,D1868),2)</f>
        <v>10.6</v>
      </c>
      <c r="U1868" s="30" t="n">
        <f aca="false">R1868-S1868-T1868</f>
        <v>403.23</v>
      </c>
    </row>
    <row r="1869" customFormat="false" ht="15" hidden="false" customHeight="false" outlineLevel="0" collapsed="false">
      <c r="A1869" s="0" t="n">
        <v>1868</v>
      </c>
      <c r="B1869" s="27" t="n">
        <v>45847</v>
      </c>
      <c r="C1869" s="0" t="n">
        <v>2025</v>
      </c>
      <c r="D1869" s="28" t="s">
        <v>115</v>
      </c>
      <c r="E1869" s="0" t="n">
        <v>7</v>
      </c>
      <c r="F1869" s="28" t="s">
        <v>116</v>
      </c>
      <c r="G1869" s="28" t="s">
        <v>149</v>
      </c>
      <c r="H1869" s="28" t="s">
        <v>100</v>
      </c>
      <c r="I1869" s="28" t="s">
        <v>101</v>
      </c>
      <c r="J1869" s="28" t="s">
        <v>71</v>
      </c>
      <c r="K1869" s="28" t="s">
        <v>76</v>
      </c>
      <c r="L1869" s="28" t="s">
        <v>134</v>
      </c>
      <c r="M1869" s="28" t="s">
        <v>78</v>
      </c>
      <c r="N1869" s="28" t="s">
        <v>135</v>
      </c>
      <c r="O1869" s="29" t="n">
        <v>25</v>
      </c>
      <c r="P1869" s="30" t="n">
        <v>28.11</v>
      </c>
      <c r="Q1869" s="30" t="n">
        <v>13.84</v>
      </c>
      <c r="R1869" s="30" t="n">
        <f aca="false">ROUND(O1869*P1869,2)</f>
        <v>702.75</v>
      </c>
      <c r="S1869" s="30" t="n">
        <f aca="false">ROUND(O1869*Q1869,2)</f>
        <v>346</v>
      </c>
      <c r="T1869" s="30" t="n">
        <f aca="false">ROUND(R1869*SUMIFS(Parametros!$E$23:$E$38,Parametros!$B$23:$B$38,J1869,Parametros!$C$23:$C$38,C1869,Parametros!$D$23:$D$38,D1869),2)</f>
        <v>39.35</v>
      </c>
      <c r="U1869" s="30" t="n">
        <f aca="false">R1869-S1869-T1869</f>
        <v>317.4</v>
      </c>
    </row>
    <row r="1870" customFormat="false" ht="15" hidden="false" customHeight="false" outlineLevel="0" collapsed="false">
      <c r="A1870" s="0" t="n">
        <v>1869</v>
      </c>
      <c r="B1870" s="27" t="n">
        <v>45854</v>
      </c>
      <c r="C1870" s="0" t="n">
        <v>2025</v>
      </c>
      <c r="D1870" s="28" t="s">
        <v>115</v>
      </c>
      <c r="E1870" s="0" t="n">
        <v>7</v>
      </c>
      <c r="F1870" s="28" t="s">
        <v>116</v>
      </c>
      <c r="G1870" s="28" t="s">
        <v>149</v>
      </c>
      <c r="H1870" s="28" t="s">
        <v>100</v>
      </c>
      <c r="I1870" s="28" t="s">
        <v>101</v>
      </c>
      <c r="J1870" s="28" t="s">
        <v>66</v>
      </c>
      <c r="K1870" s="28" t="s">
        <v>76</v>
      </c>
      <c r="L1870" s="28" t="s">
        <v>134</v>
      </c>
      <c r="M1870" s="28" t="s">
        <v>80</v>
      </c>
      <c r="N1870" s="28" t="s">
        <v>136</v>
      </c>
      <c r="O1870" s="29" t="n">
        <v>32</v>
      </c>
      <c r="P1870" s="30" t="n">
        <v>95.38</v>
      </c>
      <c r="Q1870" s="30" t="n">
        <v>49.41</v>
      </c>
      <c r="R1870" s="30" t="n">
        <f aca="false">ROUND(O1870*P1870,2)</f>
        <v>3052.16</v>
      </c>
      <c r="S1870" s="30" t="n">
        <f aca="false">ROUND(O1870*Q1870,2)</f>
        <v>1581.12</v>
      </c>
      <c r="T1870" s="30" t="n">
        <f aca="false">ROUND(R1870*SUMIFS(Parametros!$E$23:$E$38,Parametros!$B$23:$B$38,J1870,Parametros!$C$23:$C$38,C1870,Parametros!$D$23:$D$38,D1870),2)</f>
        <v>39.68</v>
      </c>
      <c r="U1870" s="30" t="n">
        <f aca="false">R1870-S1870-T1870</f>
        <v>1431.36</v>
      </c>
    </row>
    <row r="1871" customFormat="false" ht="15" hidden="false" customHeight="false" outlineLevel="0" collapsed="false">
      <c r="A1871" s="0" t="n">
        <v>1870</v>
      </c>
      <c r="B1871" s="27" t="n">
        <v>45861</v>
      </c>
      <c r="C1871" s="0" t="n">
        <v>2025</v>
      </c>
      <c r="D1871" s="28" t="s">
        <v>115</v>
      </c>
      <c r="E1871" s="0" t="n">
        <v>7</v>
      </c>
      <c r="F1871" s="28" t="s">
        <v>116</v>
      </c>
      <c r="G1871" s="28" t="s">
        <v>149</v>
      </c>
      <c r="H1871" s="28" t="s">
        <v>100</v>
      </c>
      <c r="I1871" s="28" t="s">
        <v>101</v>
      </c>
      <c r="J1871" s="28" t="s">
        <v>71</v>
      </c>
      <c r="K1871" s="28" t="s">
        <v>76</v>
      </c>
      <c r="L1871" s="28" t="s">
        <v>134</v>
      </c>
      <c r="M1871" s="28" t="s">
        <v>80</v>
      </c>
      <c r="N1871" s="28" t="s">
        <v>136</v>
      </c>
      <c r="O1871" s="29" t="n">
        <v>24</v>
      </c>
      <c r="P1871" s="30" t="n">
        <v>95.38</v>
      </c>
      <c r="Q1871" s="30" t="n">
        <v>49.41</v>
      </c>
      <c r="R1871" s="30" t="n">
        <f aca="false">ROUND(O1871*P1871,2)</f>
        <v>2289.12</v>
      </c>
      <c r="S1871" s="30" t="n">
        <f aca="false">ROUND(O1871*Q1871,2)</f>
        <v>1185.84</v>
      </c>
      <c r="T1871" s="30" t="n">
        <f aca="false">ROUND(R1871*SUMIFS(Parametros!$E$23:$E$38,Parametros!$B$23:$B$38,J1871,Parametros!$C$23:$C$38,C1871,Parametros!$D$23:$D$38,D1871),2)</f>
        <v>128.19</v>
      </c>
      <c r="U1871" s="30" t="n">
        <f aca="false">R1871-S1871-T1871</f>
        <v>975.09</v>
      </c>
    </row>
    <row r="1872" customFormat="false" ht="15" hidden="false" customHeight="false" outlineLevel="0" collapsed="false">
      <c r="A1872" s="0" t="n">
        <v>1871</v>
      </c>
      <c r="B1872" s="27" t="n">
        <v>45841</v>
      </c>
      <c r="C1872" s="0" t="n">
        <v>2025</v>
      </c>
      <c r="D1872" s="28" t="s">
        <v>115</v>
      </c>
      <c r="E1872" s="0" t="n">
        <v>7</v>
      </c>
      <c r="F1872" s="28" t="s">
        <v>116</v>
      </c>
      <c r="G1872" s="28" t="s">
        <v>149</v>
      </c>
      <c r="H1872" s="28" t="s">
        <v>100</v>
      </c>
      <c r="I1872" s="28" t="s">
        <v>101</v>
      </c>
      <c r="J1872" s="28" t="s">
        <v>66</v>
      </c>
      <c r="K1872" s="28" t="s">
        <v>76</v>
      </c>
      <c r="L1872" s="28" t="s">
        <v>134</v>
      </c>
      <c r="M1872" s="28" t="s">
        <v>82</v>
      </c>
      <c r="N1872" s="28" t="s">
        <v>137</v>
      </c>
      <c r="O1872" s="29" t="n">
        <v>28</v>
      </c>
      <c r="P1872" s="30" t="n">
        <v>65.26</v>
      </c>
      <c r="Q1872" s="30" t="n">
        <v>36.49</v>
      </c>
      <c r="R1872" s="30" t="n">
        <f aca="false">ROUND(O1872*P1872,2)</f>
        <v>1827.28</v>
      </c>
      <c r="S1872" s="30" t="n">
        <f aca="false">ROUND(O1872*Q1872,2)</f>
        <v>1021.72</v>
      </c>
      <c r="T1872" s="30" t="n">
        <f aca="false">ROUND(R1872*SUMIFS(Parametros!$E$23:$E$38,Parametros!$B$23:$B$38,J1872,Parametros!$C$23:$C$38,C1872,Parametros!$D$23:$D$38,D1872),2)</f>
        <v>23.75</v>
      </c>
      <c r="U1872" s="30" t="n">
        <f aca="false">R1872-S1872-T1872</f>
        <v>781.81</v>
      </c>
    </row>
    <row r="1873" customFormat="false" ht="15" hidden="false" customHeight="false" outlineLevel="0" collapsed="false">
      <c r="A1873" s="0" t="n">
        <v>1872</v>
      </c>
      <c r="B1873" s="27" t="n">
        <v>45848</v>
      </c>
      <c r="C1873" s="0" t="n">
        <v>2025</v>
      </c>
      <c r="D1873" s="28" t="s">
        <v>115</v>
      </c>
      <c r="E1873" s="0" t="n">
        <v>7</v>
      </c>
      <c r="F1873" s="28" t="s">
        <v>116</v>
      </c>
      <c r="G1873" s="28" t="s">
        <v>149</v>
      </c>
      <c r="H1873" s="28" t="s">
        <v>100</v>
      </c>
      <c r="I1873" s="28" t="s">
        <v>101</v>
      </c>
      <c r="J1873" s="28" t="s">
        <v>71</v>
      </c>
      <c r="K1873" s="28" t="s">
        <v>76</v>
      </c>
      <c r="L1873" s="28" t="s">
        <v>134</v>
      </c>
      <c r="M1873" s="28" t="s">
        <v>82</v>
      </c>
      <c r="N1873" s="28" t="s">
        <v>137</v>
      </c>
      <c r="O1873" s="29" t="n">
        <v>25</v>
      </c>
      <c r="P1873" s="30" t="n">
        <v>65.26</v>
      </c>
      <c r="Q1873" s="30" t="n">
        <v>36.49</v>
      </c>
      <c r="R1873" s="30" t="n">
        <f aca="false">ROUND(O1873*P1873,2)</f>
        <v>1631.5</v>
      </c>
      <c r="S1873" s="30" t="n">
        <f aca="false">ROUND(O1873*Q1873,2)</f>
        <v>912.25</v>
      </c>
      <c r="T1873" s="30" t="n">
        <f aca="false">ROUND(R1873*SUMIFS(Parametros!$E$23:$E$38,Parametros!$B$23:$B$38,J1873,Parametros!$C$23:$C$38,C1873,Parametros!$D$23:$D$38,D1873),2)</f>
        <v>91.36</v>
      </c>
      <c r="U1873" s="30" t="n">
        <f aca="false">R1873-S1873-T1873</f>
        <v>627.89</v>
      </c>
    </row>
    <row r="1874" customFormat="false" ht="15" hidden="false" customHeight="false" outlineLevel="0" collapsed="false">
      <c r="A1874" s="0" t="n">
        <v>1873</v>
      </c>
      <c r="B1874" s="27" t="n">
        <v>45855</v>
      </c>
      <c r="C1874" s="0" t="n">
        <v>2025</v>
      </c>
      <c r="D1874" s="28" t="s">
        <v>115</v>
      </c>
      <c r="E1874" s="0" t="n">
        <v>7</v>
      </c>
      <c r="F1874" s="28" t="s">
        <v>116</v>
      </c>
      <c r="G1874" s="28" t="s">
        <v>149</v>
      </c>
      <c r="H1874" s="28" t="s">
        <v>100</v>
      </c>
      <c r="I1874" s="28" t="s">
        <v>101</v>
      </c>
      <c r="J1874" s="28" t="s">
        <v>66</v>
      </c>
      <c r="K1874" s="28" t="s">
        <v>84</v>
      </c>
      <c r="L1874" s="28" t="s">
        <v>138</v>
      </c>
      <c r="M1874" s="28" t="s">
        <v>86</v>
      </c>
      <c r="N1874" s="28" t="s">
        <v>139</v>
      </c>
      <c r="O1874" s="29" t="n">
        <v>13</v>
      </c>
      <c r="P1874" s="30" t="n">
        <v>120.47</v>
      </c>
      <c r="Q1874" s="30" t="n">
        <v>65.51</v>
      </c>
      <c r="R1874" s="30" t="n">
        <f aca="false">ROUND(O1874*P1874,2)</f>
        <v>1566.11</v>
      </c>
      <c r="S1874" s="30" t="n">
        <f aca="false">ROUND(O1874*Q1874,2)</f>
        <v>851.63</v>
      </c>
      <c r="T1874" s="30" t="n">
        <f aca="false">ROUND(R1874*SUMIFS(Parametros!$E$23:$E$38,Parametros!$B$23:$B$38,J1874,Parametros!$C$23:$C$38,C1874,Parametros!$D$23:$D$38,D1874),2)</f>
        <v>20.36</v>
      </c>
      <c r="U1874" s="30" t="n">
        <f aca="false">R1874-S1874-T1874</f>
        <v>694.12</v>
      </c>
    </row>
    <row r="1875" customFormat="false" ht="15" hidden="false" customHeight="false" outlineLevel="0" collapsed="false">
      <c r="A1875" s="0" t="n">
        <v>1874</v>
      </c>
      <c r="B1875" s="27" t="n">
        <v>45862</v>
      </c>
      <c r="C1875" s="0" t="n">
        <v>2025</v>
      </c>
      <c r="D1875" s="28" t="s">
        <v>115</v>
      </c>
      <c r="E1875" s="0" t="n">
        <v>7</v>
      </c>
      <c r="F1875" s="28" t="s">
        <v>116</v>
      </c>
      <c r="G1875" s="28" t="s">
        <v>149</v>
      </c>
      <c r="H1875" s="28" t="s">
        <v>100</v>
      </c>
      <c r="I1875" s="28" t="s">
        <v>101</v>
      </c>
      <c r="J1875" s="28" t="s">
        <v>71</v>
      </c>
      <c r="K1875" s="28" t="s">
        <v>84</v>
      </c>
      <c r="L1875" s="28" t="s">
        <v>138</v>
      </c>
      <c r="M1875" s="28" t="s">
        <v>86</v>
      </c>
      <c r="N1875" s="28" t="s">
        <v>139</v>
      </c>
      <c r="O1875" s="29" t="n">
        <v>11</v>
      </c>
      <c r="P1875" s="30" t="n">
        <v>120.47</v>
      </c>
      <c r="Q1875" s="30" t="n">
        <v>65.51</v>
      </c>
      <c r="R1875" s="30" t="n">
        <f aca="false">ROUND(O1875*P1875,2)</f>
        <v>1325.17</v>
      </c>
      <c r="S1875" s="30" t="n">
        <f aca="false">ROUND(O1875*Q1875,2)</f>
        <v>720.61</v>
      </c>
      <c r="T1875" s="30" t="n">
        <f aca="false">ROUND(R1875*SUMIFS(Parametros!$E$23:$E$38,Parametros!$B$23:$B$38,J1875,Parametros!$C$23:$C$38,C1875,Parametros!$D$23:$D$38,D1875),2)</f>
        <v>74.21</v>
      </c>
      <c r="U1875" s="30" t="n">
        <f aca="false">R1875-S1875-T1875</f>
        <v>530.35</v>
      </c>
    </row>
    <row r="1876" customFormat="false" ht="15" hidden="false" customHeight="false" outlineLevel="0" collapsed="false">
      <c r="A1876" s="0" t="n">
        <v>1875</v>
      </c>
      <c r="B1876" s="27" t="n">
        <v>45842</v>
      </c>
      <c r="C1876" s="0" t="n">
        <v>2025</v>
      </c>
      <c r="D1876" s="28" t="s">
        <v>115</v>
      </c>
      <c r="E1876" s="0" t="n">
        <v>7</v>
      </c>
      <c r="F1876" s="28" t="s">
        <v>116</v>
      </c>
      <c r="G1876" s="28" t="s">
        <v>149</v>
      </c>
      <c r="H1876" s="28" t="s">
        <v>100</v>
      </c>
      <c r="I1876" s="28" t="s">
        <v>101</v>
      </c>
      <c r="J1876" s="28" t="s">
        <v>66</v>
      </c>
      <c r="K1876" s="28" t="s">
        <v>84</v>
      </c>
      <c r="L1876" s="28" t="s">
        <v>138</v>
      </c>
      <c r="M1876" s="28" t="s">
        <v>88</v>
      </c>
      <c r="N1876" s="28" t="s">
        <v>140</v>
      </c>
      <c r="O1876" s="29" t="n">
        <v>14</v>
      </c>
      <c r="P1876" s="30" t="n">
        <v>85.34</v>
      </c>
      <c r="Q1876" s="30" t="n">
        <v>49.47</v>
      </c>
      <c r="R1876" s="30" t="n">
        <f aca="false">ROUND(O1876*P1876,2)</f>
        <v>1194.76</v>
      </c>
      <c r="S1876" s="30" t="n">
        <f aca="false">ROUND(O1876*Q1876,2)</f>
        <v>692.58</v>
      </c>
      <c r="T1876" s="30" t="n">
        <f aca="false">ROUND(R1876*SUMIFS(Parametros!$E$23:$E$38,Parametros!$B$23:$B$38,J1876,Parametros!$C$23:$C$38,C1876,Parametros!$D$23:$D$38,D1876),2)</f>
        <v>15.53</v>
      </c>
      <c r="U1876" s="30" t="n">
        <f aca="false">R1876-S1876-T1876</f>
        <v>486.65</v>
      </c>
    </row>
    <row r="1877" customFormat="false" ht="15" hidden="false" customHeight="false" outlineLevel="0" collapsed="false">
      <c r="A1877" s="0" t="n">
        <v>1876</v>
      </c>
      <c r="B1877" s="27" t="n">
        <v>45849</v>
      </c>
      <c r="C1877" s="0" t="n">
        <v>2025</v>
      </c>
      <c r="D1877" s="28" t="s">
        <v>115</v>
      </c>
      <c r="E1877" s="0" t="n">
        <v>7</v>
      </c>
      <c r="F1877" s="28" t="s">
        <v>116</v>
      </c>
      <c r="G1877" s="28" t="s">
        <v>149</v>
      </c>
      <c r="H1877" s="28" t="s">
        <v>100</v>
      </c>
      <c r="I1877" s="28" t="s">
        <v>101</v>
      </c>
      <c r="J1877" s="28" t="s">
        <v>71</v>
      </c>
      <c r="K1877" s="28" t="s">
        <v>84</v>
      </c>
      <c r="L1877" s="28" t="s">
        <v>138</v>
      </c>
      <c r="M1877" s="28" t="s">
        <v>88</v>
      </c>
      <c r="N1877" s="28" t="s">
        <v>140</v>
      </c>
      <c r="O1877" s="29" t="n">
        <v>11</v>
      </c>
      <c r="P1877" s="30" t="n">
        <v>85.34</v>
      </c>
      <c r="Q1877" s="30" t="n">
        <v>49.47</v>
      </c>
      <c r="R1877" s="30" t="n">
        <f aca="false">ROUND(O1877*P1877,2)</f>
        <v>938.74</v>
      </c>
      <c r="S1877" s="30" t="n">
        <f aca="false">ROUND(O1877*Q1877,2)</f>
        <v>544.17</v>
      </c>
      <c r="T1877" s="30" t="n">
        <f aca="false">ROUND(R1877*SUMIFS(Parametros!$E$23:$E$38,Parametros!$B$23:$B$38,J1877,Parametros!$C$23:$C$38,C1877,Parametros!$D$23:$D$38,D1877),2)</f>
        <v>52.57</v>
      </c>
      <c r="U1877" s="30" t="n">
        <f aca="false">R1877-S1877-T1877</f>
        <v>342</v>
      </c>
    </row>
    <row r="1878" customFormat="false" ht="15" hidden="false" customHeight="false" outlineLevel="0" collapsed="false">
      <c r="A1878" s="0" t="n">
        <v>1877</v>
      </c>
      <c r="B1878" s="27" t="n">
        <v>45856</v>
      </c>
      <c r="C1878" s="0" t="n">
        <v>2025</v>
      </c>
      <c r="D1878" s="28" t="s">
        <v>115</v>
      </c>
      <c r="E1878" s="0" t="n">
        <v>7</v>
      </c>
      <c r="F1878" s="28" t="s">
        <v>116</v>
      </c>
      <c r="G1878" s="28" t="s">
        <v>149</v>
      </c>
      <c r="H1878" s="28" t="s">
        <v>100</v>
      </c>
      <c r="I1878" s="28" t="s">
        <v>101</v>
      </c>
      <c r="J1878" s="28" t="s">
        <v>66</v>
      </c>
      <c r="K1878" s="28" t="s">
        <v>90</v>
      </c>
      <c r="L1878" s="28" t="s">
        <v>141</v>
      </c>
      <c r="M1878" s="28" t="s">
        <v>92</v>
      </c>
      <c r="N1878" s="28" t="s">
        <v>142</v>
      </c>
      <c r="O1878" s="29" t="n">
        <v>20</v>
      </c>
      <c r="P1878" s="30" t="n">
        <v>130.51</v>
      </c>
      <c r="Q1878" s="30" t="n">
        <v>78.33</v>
      </c>
      <c r="R1878" s="30" t="n">
        <f aca="false">ROUND(O1878*P1878,2)</f>
        <v>2610.2</v>
      </c>
      <c r="S1878" s="30" t="n">
        <f aca="false">ROUND(O1878*Q1878,2)</f>
        <v>1566.6</v>
      </c>
      <c r="T1878" s="30" t="n">
        <f aca="false">ROUND(R1878*SUMIFS(Parametros!$E$23:$E$38,Parametros!$B$23:$B$38,J1878,Parametros!$C$23:$C$38,C1878,Parametros!$D$23:$D$38,D1878),2)</f>
        <v>33.93</v>
      </c>
      <c r="U1878" s="30" t="n">
        <f aca="false">R1878-S1878-T1878</f>
        <v>1009.67</v>
      </c>
    </row>
    <row r="1879" customFormat="false" ht="15" hidden="false" customHeight="false" outlineLevel="0" collapsed="false">
      <c r="A1879" s="0" t="n">
        <v>1878</v>
      </c>
      <c r="B1879" s="27" t="n">
        <v>45863</v>
      </c>
      <c r="C1879" s="0" t="n">
        <v>2025</v>
      </c>
      <c r="D1879" s="28" t="s">
        <v>115</v>
      </c>
      <c r="E1879" s="0" t="n">
        <v>7</v>
      </c>
      <c r="F1879" s="28" t="s">
        <v>116</v>
      </c>
      <c r="G1879" s="28" t="s">
        <v>149</v>
      </c>
      <c r="H1879" s="28" t="s">
        <v>100</v>
      </c>
      <c r="I1879" s="28" t="s">
        <v>101</v>
      </c>
      <c r="J1879" s="28" t="s">
        <v>71</v>
      </c>
      <c r="K1879" s="28" t="s">
        <v>90</v>
      </c>
      <c r="L1879" s="28" t="s">
        <v>141</v>
      </c>
      <c r="M1879" s="28" t="s">
        <v>92</v>
      </c>
      <c r="N1879" s="28" t="s">
        <v>142</v>
      </c>
      <c r="O1879" s="29" t="n">
        <v>11</v>
      </c>
      <c r="P1879" s="30" t="n">
        <v>130.51</v>
      </c>
      <c r="Q1879" s="30" t="n">
        <v>78.33</v>
      </c>
      <c r="R1879" s="30" t="n">
        <f aca="false">ROUND(O1879*P1879,2)</f>
        <v>1435.61</v>
      </c>
      <c r="S1879" s="30" t="n">
        <f aca="false">ROUND(O1879*Q1879,2)</f>
        <v>861.63</v>
      </c>
      <c r="T1879" s="30" t="n">
        <f aca="false">ROUND(R1879*SUMIFS(Parametros!$E$23:$E$38,Parametros!$B$23:$B$38,J1879,Parametros!$C$23:$C$38,C1879,Parametros!$D$23:$D$38,D1879),2)</f>
        <v>80.39</v>
      </c>
      <c r="U1879" s="30" t="n">
        <f aca="false">R1879-S1879-T1879</f>
        <v>493.59</v>
      </c>
    </row>
    <row r="1880" customFormat="false" ht="15" hidden="false" customHeight="false" outlineLevel="0" collapsed="false">
      <c r="A1880" s="0" t="n">
        <v>1879</v>
      </c>
      <c r="B1880" s="27" t="n">
        <v>45843</v>
      </c>
      <c r="C1880" s="0" t="n">
        <v>2025</v>
      </c>
      <c r="D1880" s="28" t="s">
        <v>115</v>
      </c>
      <c r="E1880" s="0" t="n">
        <v>7</v>
      </c>
      <c r="F1880" s="28" t="s">
        <v>116</v>
      </c>
      <c r="G1880" s="28" t="s">
        <v>149</v>
      </c>
      <c r="H1880" s="28" t="s">
        <v>100</v>
      </c>
      <c r="I1880" s="28" t="s">
        <v>101</v>
      </c>
      <c r="J1880" s="28" t="s">
        <v>66</v>
      </c>
      <c r="K1880" s="28" t="s">
        <v>90</v>
      </c>
      <c r="L1880" s="28" t="s">
        <v>141</v>
      </c>
      <c r="M1880" s="28" t="s">
        <v>94</v>
      </c>
      <c r="N1880" s="28" t="s">
        <v>143</v>
      </c>
      <c r="O1880" s="29" t="n">
        <v>20</v>
      </c>
      <c r="P1880" s="30" t="n">
        <v>35.14</v>
      </c>
      <c r="Q1880" s="30" t="n">
        <v>18.39</v>
      </c>
      <c r="R1880" s="30" t="n">
        <f aca="false">ROUND(O1880*P1880,2)</f>
        <v>702.8</v>
      </c>
      <c r="S1880" s="30" t="n">
        <f aca="false">ROUND(O1880*Q1880,2)</f>
        <v>367.8</v>
      </c>
      <c r="T1880" s="30" t="n">
        <f aca="false">ROUND(R1880*SUMIFS(Parametros!$E$23:$E$38,Parametros!$B$23:$B$38,J1880,Parametros!$C$23:$C$38,C1880,Parametros!$D$23:$D$38,D1880),2)</f>
        <v>9.14</v>
      </c>
      <c r="U1880" s="30" t="n">
        <f aca="false">R1880-S1880-T1880</f>
        <v>325.86</v>
      </c>
    </row>
    <row r="1881" customFormat="false" ht="15" hidden="false" customHeight="false" outlineLevel="0" collapsed="false">
      <c r="A1881" s="0" t="n">
        <v>1880</v>
      </c>
      <c r="B1881" s="27" t="n">
        <v>45850</v>
      </c>
      <c r="C1881" s="0" t="n">
        <v>2025</v>
      </c>
      <c r="D1881" s="28" t="s">
        <v>115</v>
      </c>
      <c r="E1881" s="0" t="n">
        <v>7</v>
      </c>
      <c r="F1881" s="28" t="s">
        <v>116</v>
      </c>
      <c r="G1881" s="28" t="s">
        <v>149</v>
      </c>
      <c r="H1881" s="28" t="s">
        <v>100</v>
      </c>
      <c r="I1881" s="28" t="s">
        <v>101</v>
      </c>
      <c r="J1881" s="28" t="s">
        <v>71</v>
      </c>
      <c r="K1881" s="28" t="s">
        <v>90</v>
      </c>
      <c r="L1881" s="28" t="s">
        <v>141</v>
      </c>
      <c r="M1881" s="28" t="s">
        <v>94</v>
      </c>
      <c r="N1881" s="28" t="s">
        <v>143</v>
      </c>
      <c r="O1881" s="29" t="n">
        <v>13</v>
      </c>
      <c r="P1881" s="30" t="n">
        <v>35.14</v>
      </c>
      <c r="Q1881" s="30" t="n">
        <v>18.39</v>
      </c>
      <c r="R1881" s="30" t="n">
        <f aca="false">ROUND(O1881*P1881,2)</f>
        <v>456.82</v>
      </c>
      <c r="S1881" s="30" t="n">
        <f aca="false">ROUND(O1881*Q1881,2)</f>
        <v>239.07</v>
      </c>
      <c r="T1881" s="30" t="n">
        <f aca="false">ROUND(R1881*SUMIFS(Parametros!$E$23:$E$38,Parametros!$B$23:$B$38,J1881,Parametros!$C$23:$C$38,C1881,Parametros!$D$23:$D$38,D1881),2)</f>
        <v>25.58</v>
      </c>
      <c r="U1881" s="30" t="n">
        <f aca="false">R1881-S1881-T1881</f>
        <v>192.17</v>
      </c>
    </row>
    <row r="1882" customFormat="false" ht="15" hidden="false" customHeight="false" outlineLevel="0" collapsed="false">
      <c r="A1882" s="0" t="n">
        <v>1881</v>
      </c>
      <c r="B1882" s="27" t="n">
        <v>45857</v>
      </c>
      <c r="C1882" s="0" t="n">
        <v>2025</v>
      </c>
      <c r="D1882" s="28" t="s">
        <v>115</v>
      </c>
      <c r="E1882" s="0" t="n">
        <v>7</v>
      </c>
      <c r="F1882" s="28" t="s">
        <v>116</v>
      </c>
      <c r="G1882" s="28" t="s">
        <v>149</v>
      </c>
      <c r="H1882" s="28" t="s">
        <v>102</v>
      </c>
      <c r="I1882" s="28" t="s">
        <v>103</v>
      </c>
      <c r="J1882" s="28" t="s">
        <v>66</v>
      </c>
      <c r="K1882" s="28" t="s">
        <v>67</v>
      </c>
      <c r="L1882" s="28" t="s">
        <v>130</v>
      </c>
      <c r="M1882" s="28" t="s">
        <v>69</v>
      </c>
      <c r="N1882" s="28" t="s">
        <v>131</v>
      </c>
      <c r="O1882" s="29" t="n">
        <v>8</v>
      </c>
      <c r="P1882" s="30" t="n">
        <v>1204.74</v>
      </c>
      <c r="Q1882" s="30" t="n">
        <v>766.32</v>
      </c>
      <c r="R1882" s="30" t="n">
        <f aca="false">ROUND(O1882*P1882,2)</f>
        <v>9637.92</v>
      </c>
      <c r="S1882" s="30" t="n">
        <f aca="false">ROUND(O1882*Q1882,2)</f>
        <v>6130.56</v>
      </c>
      <c r="T1882" s="30" t="n">
        <f aca="false">ROUND(R1882*SUMIFS(Parametros!$E$23:$E$38,Parametros!$B$23:$B$38,J1882,Parametros!$C$23:$C$38,C1882,Parametros!$D$23:$D$38,D1882),2)</f>
        <v>125.29</v>
      </c>
      <c r="U1882" s="30" t="n">
        <f aca="false">R1882-S1882-T1882</f>
        <v>3382.07</v>
      </c>
    </row>
    <row r="1883" customFormat="false" ht="15" hidden="false" customHeight="false" outlineLevel="0" collapsed="false">
      <c r="A1883" s="0" t="n">
        <v>1882</v>
      </c>
      <c r="B1883" s="27" t="n">
        <v>45864</v>
      </c>
      <c r="C1883" s="0" t="n">
        <v>2025</v>
      </c>
      <c r="D1883" s="28" t="s">
        <v>115</v>
      </c>
      <c r="E1883" s="0" t="n">
        <v>7</v>
      </c>
      <c r="F1883" s="28" t="s">
        <v>116</v>
      </c>
      <c r="G1883" s="28" t="s">
        <v>149</v>
      </c>
      <c r="H1883" s="28" t="s">
        <v>102</v>
      </c>
      <c r="I1883" s="28" t="s">
        <v>103</v>
      </c>
      <c r="J1883" s="28" t="s">
        <v>71</v>
      </c>
      <c r="K1883" s="28" t="s">
        <v>67</v>
      </c>
      <c r="L1883" s="28" t="s">
        <v>130</v>
      </c>
      <c r="M1883" s="28" t="s">
        <v>69</v>
      </c>
      <c r="N1883" s="28" t="s">
        <v>131</v>
      </c>
      <c r="O1883" s="29" t="n">
        <v>5</v>
      </c>
      <c r="P1883" s="30" t="n">
        <v>1204.74</v>
      </c>
      <c r="Q1883" s="30" t="n">
        <v>766.32</v>
      </c>
      <c r="R1883" s="30" t="n">
        <f aca="false">ROUND(O1883*P1883,2)</f>
        <v>6023.7</v>
      </c>
      <c r="S1883" s="30" t="n">
        <f aca="false">ROUND(O1883*Q1883,2)</f>
        <v>3831.6</v>
      </c>
      <c r="T1883" s="30" t="n">
        <f aca="false">ROUND(R1883*SUMIFS(Parametros!$E$23:$E$38,Parametros!$B$23:$B$38,J1883,Parametros!$C$23:$C$38,C1883,Parametros!$D$23:$D$38,D1883),2)</f>
        <v>337.33</v>
      </c>
      <c r="U1883" s="30" t="n">
        <f aca="false">R1883-S1883-T1883</f>
        <v>1854.77</v>
      </c>
    </row>
    <row r="1884" customFormat="false" ht="15" hidden="false" customHeight="false" outlineLevel="0" collapsed="false">
      <c r="A1884" s="0" t="n">
        <v>1883</v>
      </c>
      <c r="B1884" s="27" t="n">
        <v>45844</v>
      </c>
      <c r="C1884" s="0" t="n">
        <v>2025</v>
      </c>
      <c r="D1884" s="28" t="s">
        <v>115</v>
      </c>
      <c r="E1884" s="0" t="n">
        <v>7</v>
      </c>
      <c r="F1884" s="28" t="s">
        <v>116</v>
      </c>
      <c r="G1884" s="28" t="s">
        <v>149</v>
      </c>
      <c r="H1884" s="28" t="s">
        <v>102</v>
      </c>
      <c r="I1884" s="28" t="s">
        <v>103</v>
      </c>
      <c r="J1884" s="28" t="s">
        <v>66</v>
      </c>
      <c r="K1884" s="28" t="s">
        <v>67</v>
      </c>
      <c r="L1884" s="28" t="s">
        <v>130</v>
      </c>
      <c r="M1884" s="28" t="s">
        <v>72</v>
      </c>
      <c r="N1884" s="28" t="s">
        <v>132</v>
      </c>
      <c r="O1884" s="29" t="n">
        <v>7</v>
      </c>
      <c r="P1884" s="30" t="n">
        <v>451.78</v>
      </c>
      <c r="Q1884" s="30" t="n">
        <v>280.42</v>
      </c>
      <c r="R1884" s="30" t="n">
        <f aca="false">ROUND(O1884*P1884,2)</f>
        <v>3162.46</v>
      </c>
      <c r="S1884" s="30" t="n">
        <f aca="false">ROUND(O1884*Q1884,2)</f>
        <v>1962.94</v>
      </c>
      <c r="T1884" s="30" t="n">
        <f aca="false">ROUND(R1884*SUMIFS(Parametros!$E$23:$E$38,Parametros!$B$23:$B$38,J1884,Parametros!$C$23:$C$38,C1884,Parametros!$D$23:$D$38,D1884),2)</f>
        <v>41.11</v>
      </c>
      <c r="U1884" s="30" t="n">
        <f aca="false">R1884-S1884-T1884</f>
        <v>1158.41</v>
      </c>
    </row>
    <row r="1885" customFormat="false" ht="15" hidden="false" customHeight="false" outlineLevel="0" collapsed="false">
      <c r="A1885" s="0" t="n">
        <v>1884</v>
      </c>
      <c r="B1885" s="27" t="n">
        <v>45851</v>
      </c>
      <c r="C1885" s="0" t="n">
        <v>2025</v>
      </c>
      <c r="D1885" s="28" t="s">
        <v>115</v>
      </c>
      <c r="E1885" s="0" t="n">
        <v>7</v>
      </c>
      <c r="F1885" s="28" t="s">
        <v>116</v>
      </c>
      <c r="G1885" s="28" t="s">
        <v>149</v>
      </c>
      <c r="H1885" s="28" t="s">
        <v>102</v>
      </c>
      <c r="I1885" s="28" t="s">
        <v>103</v>
      </c>
      <c r="J1885" s="28" t="s">
        <v>71</v>
      </c>
      <c r="K1885" s="28" t="s">
        <v>67</v>
      </c>
      <c r="L1885" s="28" t="s">
        <v>130</v>
      </c>
      <c r="M1885" s="28" t="s">
        <v>72</v>
      </c>
      <c r="N1885" s="28" t="s">
        <v>132</v>
      </c>
      <c r="O1885" s="29" t="n">
        <v>4</v>
      </c>
      <c r="P1885" s="30" t="n">
        <v>451.78</v>
      </c>
      <c r="Q1885" s="30" t="n">
        <v>280.42</v>
      </c>
      <c r="R1885" s="30" t="n">
        <f aca="false">ROUND(O1885*P1885,2)</f>
        <v>1807.12</v>
      </c>
      <c r="S1885" s="30" t="n">
        <f aca="false">ROUND(O1885*Q1885,2)</f>
        <v>1121.68</v>
      </c>
      <c r="T1885" s="30" t="n">
        <f aca="false">ROUND(R1885*SUMIFS(Parametros!$E$23:$E$38,Parametros!$B$23:$B$38,J1885,Parametros!$C$23:$C$38,C1885,Parametros!$D$23:$D$38,D1885),2)</f>
        <v>101.2</v>
      </c>
      <c r="U1885" s="30" t="n">
        <f aca="false">R1885-S1885-T1885</f>
        <v>584.24</v>
      </c>
    </row>
    <row r="1886" customFormat="false" ht="15" hidden="false" customHeight="false" outlineLevel="0" collapsed="false">
      <c r="A1886" s="0" t="n">
        <v>1885</v>
      </c>
      <c r="B1886" s="27" t="n">
        <v>45858</v>
      </c>
      <c r="C1886" s="0" t="n">
        <v>2025</v>
      </c>
      <c r="D1886" s="28" t="s">
        <v>115</v>
      </c>
      <c r="E1886" s="0" t="n">
        <v>7</v>
      </c>
      <c r="F1886" s="28" t="s">
        <v>116</v>
      </c>
      <c r="G1886" s="28" t="s">
        <v>149</v>
      </c>
      <c r="H1886" s="28" t="s">
        <v>102</v>
      </c>
      <c r="I1886" s="28" t="s">
        <v>103</v>
      </c>
      <c r="J1886" s="28" t="s">
        <v>66</v>
      </c>
      <c r="K1886" s="28" t="s">
        <v>67</v>
      </c>
      <c r="L1886" s="28" t="s">
        <v>130</v>
      </c>
      <c r="M1886" s="28" t="s">
        <v>74</v>
      </c>
      <c r="N1886" s="28" t="s">
        <v>133</v>
      </c>
      <c r="O1886" s="29" t="n">
        <v>6</v>
      </c>
      <c r="P1886" s="30" t="n">
        <v>1656.52</v>
      </c>
      <c r="Q1886" s="30" t="n">
        <v>1155.66</v>
      </c>
      <c r="R1886" s="30" t="n">
        <f aca="false">ROUND(O1886*P1886,2)</f>
        <v>9939.12</v>
      </c>
      <c r="S1886" s="30" t="n">
        <f aca="false">ROUND(O1886*Q1886,2)</f>
        <v>6933.96</v>
      </c>
      <c r="T1886" s="30" t="n">
        <f aca="false">ROUND(R1886*SUMIFS(Parametros!$E$23:$E$38,Parametros!$B$23:$B$38,J1886,Parametros!$C$23:$C$38,C1886,Parametros!$D$23:$D$38,D1886),2)</f>
        <v>129.21</v>
      </c>
      <c r="U1886" s="30" t="n">
        <f aca="false">R1886-S1886-T1886</f>
        <v>2875.95</v>
      </c>
    </row>
    <row r="1887" customFormat="false" ht="15" hidden="false" customHeight="false" outlineLevel="0" collapsed="false">
      <c r="A1887" s="0" t="n">
        <v>1886</v>
      </c>
      <c r="B1887" s="27" t="n">
        <v>45865</v>
      </c>
      <c r="C1887" s="0" t="n">
        <v>2025</v>
      </c>
      <c r="D1887" s="28" t="s">
        <v>115</v>
      </c>
      <c r="E1887" s="0" t="n">
        <v>7</v>
      </c>
      <c r="F1887" s="28" t="s">
        <v>116</v>
      </c>
      <c r="G1887" s="28" t="s">
        <v>149</v>
      </c>
      <c r="H1887" s="28" t="s">
        <v>102</v>
      </c>
      <c r="I1887" s="28" t="s">
        <v>103</v>
      </c>
      <c r="J1887" s="28" t="s">
        <v>71</v>
      </c>
      <c r="K1887" s="28" t="s">
        <v>67</v>
      </c>
      <c r="L1887" s="28" t="s">
        <v>130</v>
      </c>
      <c r="M1887" s="28" t="s">
        <v>74</v>
      </c>
      <c r="N1887" s="28" t="s">
        <v>133</v>
      </c>
      <c r="O1887" s="29" t="n">
        <v>4</v>
      </c>
      <c r="P1887" s="30" t="n">
        <v>1656.52</v>
      </c>
      <c r="Q1887" s="30" t="n">
        <v>1155.66</v>
      </c>
      <c r="R1887" s="30" t="n">
        <f aca="false">ROUND(O1887*P1887,2)</f>
        <v>6626.08</v>
      </c>
      <c r="S1887" s="30" t="n">
        <f aca="false">ROUND(O1887*Q1887,2)</f>
        <v>4622.64</v>
      </c>
      <c r="T1887" s="30" t="n">
        <f aca="false">ROUND(R1887*SUMIFS(Parametros!$E$23:$E$38,Parametros!$B$23:$B$38,J1887,Parametros!$C$23:$C$38,C1887,Parametros!$D$23:$D$38,D1887),2)</f>
        <v>371.06</v>
      </c>
      <c r="U1887" s="30" t="n">
        <f aca="false">R1887-S1887-T1887</f>
        <v>1632.38</v>
      </c>
    </row>
    <row r="1888" customFormat="false" ht="15" hidden="false" customHeight="false" outlineLevel="0" collapsed="false">
      <c r="A1888" s="0" t="n">
        <v>1887</v>
      </c>
      <c r="B1888" s="27" t="n">
        <v>45845</v>
      </c>
      <c r="C1888" s="0" t="n">
        <v>2025</v>
      </c>
      <c r="D1888" s="28" t="s">
        <v>115</v>
      </c>
      <c r="E1888" s="0" t="n">
        <v>7</v>
      </c>
      <c r="F1888" s="28" t="s">
        <v>116</v>
      </c>
      <c r="G1888" s="28" t="s">
        <v>149</v>
      </c>
      <c r="H1888" s="28" t="s">
        <v>102</v>
      </c>
      <c r="I1888" s="28" t="s">
        <v>103</v>
      </c>
      <c r="J1888" s="28" t="s">
        <v>66</v>
      </c>
      <c r="K1888" s="28" t="s">
        <v>76</v>
      </c>
      <c r="L1888" s="28" t="s">
        <v>134</v>
      </c>
      <c r="M1888" s="28" t="s">
        <v>78</v>
      </c>
      <c r="N1888" s="28" t="s">
        <v>135</v>
      </c>
      <c r="O1888" s="29" t="n">
        <v>33</v>
      </c>
      <c r="P1888" s="30" t="n">
        <v>28.11</v>
      </c>
      <c r="Q1888" s="30" t="n">
        <v>13.84</v>
      </c>
      <c r="R1888" s="30" t="n">
        <f aca="false">ROUND(O1888*P1888,2)</f>
        <v>927.63</v>
      </c>
      <c r="S1888" s="30" t="n">
        <f aca="false">ROUND(O1888*Q1888,2)</f>
        <v>456.72</v>
      </c>
      <c r="T1888" s="30" t="n">
        <f aca="false">ROUND(R1888*SUMIFS(Parametros!$E$23:$E$38,Parametros!$B$23:$B$38,J1888,Parametros!$C$23:$C$38,C1888,Parametros!$D$23:$D$38,D1888),2)</f>
        <v>12.06</v>
      </c>
      <c r="U1888" s="30" t="n">
        <f aca="false">R1888-S1888-T1888</f>
        <v>458.85</v>
      </c>
    </row>
    <row r="1889" customFormat="false" ht="15" hidden="false" customHeight="false" outlineLevel="0" collapsed="false">
      <c r="A1889" s="0" t="n">
        <v>1888</v>
      </c>
      <c r="B1889" s="27" t="n">
        <v>45852</v>
      </c>
      <c r="C1889" s="0" t="n">
        <v>2025</v>
      </c>
      <c r="D1889" s="28" t="s">
        <v>115</v>
      </c>
      <c r="E1889" s="0" t="n">
        <v>7</v>
      </c>
      <c r="F1889" s="28" t="s">
        <v>116</v>
      </c>
      <c r="G1889" s="28" t="s">
        <v>149</v>
      </c>
      <c r="H1889" s="28" t="s">
        <v>102</v>
      </c>
      <c r="I1889" s="28" t="s">
        <v>103</v>
      </c>
      <c r="J1889" s="28" t="s">
        <v>71</v>
      </c>
      <c r="K1889" s="28" t="s">
        <v>76</v>
      </c>
      <c r="L1889" s="28" t="s">
        <v>134</v>
      </c>
      <c r="M1889" s="28" t="s">
        <v>78</v>
      </c>
      <c r="N1889" s="28" t="s">
        <v>135</v>
      </c>
      <c r="O1889" s="29" t="n">
        <v>24</v>
      </c>
      <c r="P1889" s="30" t="n">
        <v>28.11</v>
      </c>
      <c r="Q1889" s="30" t="n">
        <v>13.84</v>
      </c>
      <c r="R1889" s="30" t="n">
        <f aca="false">ROUND(O1889*P1889,2)</f>
        <v>674.64</v>
      </c>
      <c r="S1889" s="30" t="n">
        <f aca="false">ROUND(O1889*Q1889,2)</f>
        <v>332.16</v>
      </c>
      <c r="T1889" s="30" t="n">
        <f aca="false">ROUND(R1889*SUMIFS(Parametros!$E$23:$E$38,Parametros!$B$23:$B$38,J1889,Parametros!$C$23:$C$38,C1889,Parametros!$D$23:$D$38,D1889),2)</f>
        <v>37.78</v>
      </c>
      <c r="U1889" s="30" t="n">
        <f aca="false">R1889-S1889-T1889</f>
        <v>304.7</v>
      </c>
    </row>
    <row r="1890" customFormat="false" ht="15" hidden="false" customHeight="false" outlineLevel="0" collapsed="false">
      <c r="A1890" s="0" t="n">
        <v>1889</v>
      </c>
      <c r="B1890" s="27" t="n">
        <v>45859</v>
      </c>
      <c r="C1890" s="0" t="n">
        <v>2025</v>
      </c>
      <c r="D1890" s="28" t="s">
        <v>115</v>
      </c>
      <c r="E1890" s="0" t="n">
        <v>7</v>
      </c>
      <c r="F1890" s="28" t="s">
        <v>116</v>
      </c>
      <c r="G1890" s="28" t="s">
        <v>149</v>
      </c>
      <c r="H1890" s="28" t="s">
        <v>102</v>
      </c>
      <c r="I1890" s="28" t="s">
        <v>103</v>
      </c>
      <c r="J1890" s="28" t="s">
        <v>66</v>
      </c>
      <c r="K1890" s="28" t="s">
        <v>76</v>
      </c>
      <c r="L1890" s="28" t="s">
        <v>134</v>
      </c>
      <c r="M1890" s="28" t="s">
        <v>80</v>
      </c>
      <c r="N1890" s="28" t="s">
        <v>136</v>
      </c>
      <c r="O1890" s="29" t="n">
        <v>36</v>
      </c>
      <c r="P1890" s="30" t="n">
        <v>95.38</v>
      </c>
      <c r="Q1890" s="30" t="n">
        <v>49.41</v>
      </c>
      <c r="R1890" s="30" t="n">
        <f aca="false">ROUND(O1890*P1890,2)</f>
        <v>3433.68</v>
      </c>
      <c r="S1890" s="30" t="n">
        <f aca="false">ROUND(O1890*Q1890,2)</f>
        <v>1778.76</v>
      </c>
      <c r="T1890" s="30" t="n">
        <f aca="false">ROUND(R1890*SUMIFS(Parametros!$E$23:$E$38,Parametros!$B$23:$B$38,J1890,Parametros!$C$23:$C$38,C1890,Parametros!$D$23:$D$38,D1890),2)</f>
        <v>44.64</v>
      </c>
      <c r="U1890" s="30" t="n">
        <f aca="false">R1890-S1890-T1890</f>
        <v>1610.28</v>
      </c>
    </row>
    <row r="1891" customFormat="false" ht="15" hidden="false" customHeight="false" outlineLevel="0" collapsed="false">
      <c r="A1891" s="0" t="n">
        <v>1890</v>
      </c>
      <c r="B1891" s="27" t="n">
        <v>45839</v>
      </c>
      <c r="C1891" s="0" t="n">
        <v>2025</v>
      </c>
      <c r="D1891" s="28" t="s">
        <v>115</v>
      </c>
      <c r="E1891" s="0" t="n">
        <v>7</v>
      </c>
      <c r="F1891" s="28" t="s">
        <v>116</v>
      </c>
      <c r="G1891" s="28" t="s">
        <v>149</v>
      </c>
      <c r="H1891" s="28" t="s">
        <v>102</v>
      </c>
      <c r="I1891" s="28" t="s">
        <v>103</v>
      </c>
      <c r="J1891" s="28" t="s">
        <v>71</v>
      </c>
      <c r="K1891" s="28" t="s">
        <v>76</v>
      </c>
      <c r="L1891" s="28" t="s">
        <v>134</v>
      </c>
      <c r="M1891" s="28" t="s">
        <v>80</v>
      </c>
      <c r="N1891" s="28" t="s">
        <v>136</v>
      </c>
      <c r="O1891" s="29" t="n">
        <v>26</v>
      </c>
      <c r="P1891" s="30" t="n">
        <v>95.38</v>
      </c>
      <c r="Q1891" s="30" t="n">
        <v>49.41</v>
      </c>
      <c r="R1891" s="30" t="n">
        <f aca="false">ROUND(O1891*P1891,2)</f>
        <v>2479.88</v>
      </c>
      <c r="S1891" s="30" t="n">
        <f aca="false">ROUND(O1891*Q1891,2)</f>
        <v>1284.66</v>
      </c>
      <c r="T1891" s="30" t="n">
        <f aca="false">ROUND(R1891*SUMIFS(Parametros!$E$23:$E$38,Parametros!$B$23:$B$38,J1891,Parametros!$C$23:$C$38,C1891,Parametros!$D$23:$D$38,D1891),2)</f>
        <v>138.87</v>
      </c>
      <c r="U1891" s="30" t="n">
        <f aca="false">R1891-S1891-T1891</f>
        <v>1056.35</v>
      </c>
    </row>
    <row r="1892" customFormat="false" ht="15" hidden="false" customHeight="false" outlineLevel="0" collapsed="false">
      <c r="A1892" s="0" t="n">
        <v>1891</v>
      </c>
      <c r="B1892" s="27" t="n">
        <v>45846</v>
      </c>
      <c r="C1892" s="0" t="n">
        <v>2025</v>
      </c>
      <c r="D1892" s="28" t="s">
        <v>115</v>
      </c>
      <c r="E1892" s="0" t="n">
        <v>7</v>
      </c>
      <c r="F1892" s="28" t="s">
        <v>116</v>
      </c>
      <c r="G1892" s="28" t="s">
        <v>149</v>
      </c>
      <c r="H1892" s="28" t="s">
        <v>102</v>
      </c>
      <c r="I1892" s="28" t="s">
        <v>103</v>
      </c>
      <c r="J1892" s="28" t="s">
        <v>66</v>
      </c>
      <c r="K1892" s="28" t="s">
        <v>76</v>
      </c>
      <c r="L1892" s="28" t="s">
        <v>134</v>
      </c>
      <c r="M1892" s="28" t="s">
        <v>82</v>
      </c>
      <c r="N1892" s="28" t="s">
        <v>137</v>
      </c>
      <c r="O1892" s="29" t="n">
        <v>37</v>
      </c>
      <c r="P1892" s="30" t="n">
        <v>65.26</v>
      </c>
      <c r="Q1892" s="30" t="n">
        <v>36.49</v>
      </c>
      <c r="R1892" s="30" t="n">
        <f aca="false">ROUND(O1892*P1892,2)</f>
        <v>2414.62</v>
      </c>
      <c r="S1892" s="30" t="n">
        <f aca="false">ROUND(O1892*Q1892,2)</f>
        <v>1350.13</v>
      </c>
      <c r="T1892" s="30" t="n">
        <f aca="false">ROUND(R1892*SUMIFS(Parametros!$E$23:$E$38,Parametros!$B$23:$B$38,J1892,Parametros!$C$23:$C$38,C1892,Parametros!$D$23:$D$38,D1892),2)</f>
        <v>31.39</v>
      </c>
      <c r="U1892" s="30" t="n">
        <f aca="false">R1892-S1892-T1892</f>
        <v>1033.1</v>
      </c>
    </row>
    <row r="1893" customFormat="false" ht="15" hidden="false" customHeight="false" outlineLevel="0" collapsed="false">
      <c r="A1893" s="0" t="n">
        <v>1892</v>
      </c>
      <c r="B1893" s="27" t="n">
        <v>45853</v>
      </c>
      <c r="C1893" s="0" t="n">
        <v>2025</v>
      </c>
      <c r="D1893" s="28" t="s">
        <v>115</v>
      </c>
      <c r="E1893" s="0" t="n">
        <v>7</v>
      </c>
      <c r="F1893" s="28" t="s">
        <v>116</v>
      </c>
      <c r="G1893" s="28" t="s">
        <v>149</v>
      </c>
      <c r="H1893" s="28" t="s">
        <v>102</v>
      </c>
      <c r="I1893" s="28" t="s">
        <v>103</v>
      </c>
      <c r="J1893" s="28" t="s">
        <v>71</v>
      </c>
      <c r="K1893" s="28" t="s">
        <v>76</v>
      </c>
      <c r="L1893" s="28" t="s">
        <v>134</v>
      </c>
      <c r="M1893" s="28" t="s">
        <v>82</v>
      </c>
      <c r="N1893" s="28" t="s">
        <v>137</v>
      </c>
      <c r="O1893" s="29" t="n">
        <v>26</v>
      </c>
      <c r="P1893" s="30" t="n">
        <v>65.26</v>
      </c>
      <c r="Q1893" s="30" t="n">
        <v>36.49</v>
      </c>
      <c r="R1893" s="30" t="n">
        <f aca="false">ROUND(O1893*P1893,2)</f>
        <v>1696.76</v>
      </c>
      <c r="S1893" s="30" t="n">
        <f aca="false">ROUND(O1893*Q1893,2)</f>
        <v>948.74</v>
      </c>
      <c r="T1893" s="30" t="n">
        <f aca="false">ROUND(R1893*SUMIFS(Parametros!$E$23:$E$38,Parametros!$B$23:$B$38,J1893,Parametros!$C$23:$C$38,C1893,Parametros!$D$23:$D$38,D1893),2)</f>
        <v>95.02</v>
      </c>
      <c r="U1893" s="30" t="n">
        <f aca="false">R1893-S1893-T1893</f>
        <v>653</v>
      </c>
    </row>
    <row r="1894" customFormat="false" ht="15" hidden="false" customHeight="false" outlineLevel="0" collapsed="false">
      <c r="A1894" s="0" t="n">
        <v>1893</v>
      </c>
      <c r="B1894" s="27" t="n">
        <v>45860</v>
      </c>
      <c r="C1894" s="0" t="n">
        <v>2025</v>
      </c>
      <c r="D1894" s="28" t="s">
        <v>115</v>
      </c>
      <c r="E1894" s="0" t="n">
        <v>7</v>
      </c>
      <c r="F1894" s="28" t="s">
        <v>116</v>
      </c>
      <c r="G1894" s="28" t="s">
        <v>149</v>
      </c>
      <c r="H1894" s="28" t="s">
        <v>102</v>
      </c>
      <c r="I1894" s="28" t="s">
        <v>103</v>
      </c>
      <c r="J1894" s="28" t="s">
        <v>66</v>
      </c>
      <c r="K1894" s="28" t="s">
        <v>84</v>
      </c>
      <c r="L1894" s="28" t="s">
        <v>138</v>
      </c>
      <c r="M1894" s="28" t="s">
        <v>86</v>
      </c>
      <c r="N1894" s="28" t="s">
        <v>139</v>
      </c>
      <c r="O1894" s="29" t="n">
        <v>12</v>
      </c>
      <c r="P1894" s="30" t="n">
        <v>120.47</v>
      </c>
      <c r="Q1894" s="30" t="n">
        <v>65.51</v>
      </c>
      <c r="R1894" s="30" t="n">
        <f aca="false">ROUND(O1894*P1894,2)</f>
        <v>1445.64</v>
      </c>
      <c r="S1894" s="30" t="n">
        <f aca="false">ROUND(O1894*Q1894,2)</f>
        <v>786.12</v>
      </c>
      <c r="T1894" s="30" t="n">
        <f aca="false">ROUND(R1894*SUMIFS(Parametros!$E$23:$E$38,Parametros!$B$23:$B$38,J1894,Parametros!$C$23:$C$38,C1894,Parametros!$D$23:$D$38,D1894),2)</f>
        <v>18.79</v>
      </c>
      <c r="U1894" s="30" t="n">
        <f aca="false">R1894-S1894-T1894</f>
        <v>640.73</v>
      </c>
    </row>
    <row r="1895" customFormat="false" ht="15" hidden="false" customHeight="false" outlineLevel="0" collapsed="false">
      <c r="A1895" s="0" t="n">
        <v>1894</v>
      </c>
      <c r="B1895" s="27" t="n">
        <v>45840</v>
      </c>
      <c r="C1895" s="0" t="n">
        <v>2025</v>
      </c>
      <c r="D1895" s="28" t="s">
        <v>115</v>
      </c>
      <c r="E1895" s="0" t="n">
        <v>7</v>
      </c>
      <c r="F1895" s="28" t="s">
        <v>116</v>
      </c>
      <c r="G1895" s="28" t="s">
        <v>149</v>
      </c>
      <c r="H1895" s="28" t="s">
        <v>102</v>
      </c>
      <c r="I1895" s="28" t="s">
        <v>103</v>
      </c>
      <c r="J1895" s="28" t="s">
        <v>71</v>
      </c>
      <c r="K1895" s="28" t="s">
        <v>84</v>
      </c>
      <c r="L1895" s="28" t="s">
        <v>138</v>
      </c>
      <c r="M1895" s="28" t="s">
        <v>86</v>
      </c>
      <c r="N1895" s="28" t="s">
        <v>139</v>
      </c>
      <c r="O1895" s="29" t="n">
        <v>9</v>
      </c>
      <c r="P1895" s="30" t="n">
        <v>120.47</v>
      </c>
      <c r="Q1895" s="30" t="n">
        <v>65.51</v>
      </c>
      <c r="R1895" s="30" t="n">
        <f aca="false">ROUND(O1895*P1895,2)</f>
        <v>1084.23</v>
      </c>
      <c r="S1895" s="30" t="n">
        <f aca="false">ROUND(O1895*Q1895,2)</f>
        <v>589.59</v>
      </c>
      <c r="T1895" s="30" t="n">
        <f aca="false">ROUND(R1895*SUMIFS(Parametros!$E$23:$E$38,Parametros!$B$23:$B$38,J1895,Parametros!$C$23:$C$38,C1895,Parametros!$D$23:$D$38,D1895),2)</f>
        <v>60.72</v>
      </c>
      <c r="U1895" s="30" t="n">
        <f aca="false">R1895-S1895-T1895</f>
        <v>433.92</v>
      </c>
    </row>
    <row r="1896" customFormat="false" ht="15" hidden="false" customHeight="false" outlineLevel="0" collapsed="false">
      <c r="A1896" s="0" t="n">
        <v>1895</v>
      </c>
      <c r="B1896" s="27" t="n">
        <v>45847</v>
      </c>
      <c r="C1896" s="0" t="n">
        <v>2025</v>
      </c>
      <c r="D1896" s="28" t="s">
        <v>115</v>
      </c>
      <c r="E1896" s="0" t="n">
        <v>7</v>
      </c>
      <c r="F1896" s="28" t="s">
        <v>116</v>
      </c>
      <c r="G1896" s="28" t="s">
        <v>149</v>
      </c>
      <c r="H1896" s="28" t="s">
        <v>102</v>
      </c>
      <c r="I1896" s="28" t="s">
        <v>103</v>
      </c>
      <c r="J1896" s="28" t="s">
        <v>66</v>
      </c>
      <c r="K1896" s="28" t="s">
        <v>84</v>
      </c>
      <c r="L1896" s="28" t="s">
        <v>138</v>
      </c>
      <c r="M1896" s="28" t="s">
        <v>88</v>
      </c>
      <c r="N1896" s="28" t="s">
        <v>140</v>
      </c>
      <c r="O1896" s="29" t="n">
        <v>15</v>
      </c>
      <c r="P1896" s="30" t="n">
        <v>85.34</v>
      </c>
      <c r="Q1896" s="30" t="n">
        <v>49.47</v>
      </c>
      <c r="R1896" s="30" t="n">
        <f aca="false">ROUND(O1896*P1896,2)</f>
        <v>1280.1</v>
      </c>
      <c r="S1896" s="30" t="n">
        <f aca="false">ROUND(O1896*Q1896,2)</f>
        <v>742.05</v>
      </c>
      <c r="T1896" s="30" t="n">
        <f aca="false">ROUND(R1896*SUMIFS(Parametros!$E$23:$E$38,Parametros!$B$23:$B$38,J1896,Parametros!$C$23:$C$38,C1896,Parametros!$D$23:$D$38,D1896),2)</f>
        <v>16.64</v>
      </c>
      <c r="U1896" s="30" t="n">
        <f aca="false">R1896-S1896-T1896</f>
        <v>521.41</v>
      </c>
    </row>
    <row r="1897" customFormat="false" ht="15" hidden="false" customHeight="false" outlineLevel="0" collapsed="false">
      <c r="A1897" s="0" t="n">
        <v>1896</v>
      </c>
      <c r="B1897" s="27" t="n">
        <v>45854</v>
      </c>
      <c r="C1897" s="0" t="n">
        <v>2025</v>
      </c>
      <c r="D1897" s="28" t="s">
        <v>115</v>
      </c>
      <c r="E1897" s="0" t="n">
        <v>7</v>
      </c>
      <c r="F1897" s="28" t="s">
        <v>116</v>
      </c>
      <c r="G1897" s="28" t="s">
        <v>149</v>
      </c>
      <c r="H1897" s="28" t="s">
        <v>102</v>
      </c>
      <c r="I1897" s="28" t="s">
        <v>103</v>
      </c>
      <c r="J1897" s="28" t="s">
        <v>71</v>
      </c>
      <c r="K1897" s="28" t="s">
        <v>84</v>
      </c>
      <c r="L1897" s="28" t="s">
        <v>138</v>
      </c>
      <c r="M1897" s="28" t="s">
        <v>88</v>
      </c>
      <c r="N1897" s="28" t="s">
        <v>140</v>
      </c>
      <c r="O1897" s="29" t="n">
        <v>9</v>
      </c>
      <c r="P1897" s="30" t="n">
        <v>85.34</v>
      </c>
      <c r="Q1897" s="30" t="n">
        <v>49.47</v>
      </c>
      <c r="R1897" s="30" t="n">
        <f aca="false">ROUND(O1897*P1897,2)</f>
        <v>768.06</v>
      </c>
      <c r="S1897" s="30" t="n">
        <f aca="false">ROUND(O1897*Q1897,2)</f>
        <v>445.23</v>
      </c>
      <c r="T1897" s="30" t="n">
        <f aca="false">ROUND(R1897*SUMIFS(Parametros!$E$23:$E$38,Parametros!$B$23:$B$38,J1897,Parametros!$C$23:$C$38,C1897,Parametros!$D$23:$D$38,D1897),2)</f>
        <v>43.01</v>
      </c>
      <c r="U1897" s="30" t="n">
        <f aca="false">R1897-S1897-T1897</f>
        <v>279.82</v>
      </c>
    </row>
    <row r="1898" customFormat="false" ht="15" hidden="false" customHeight="false" outlineLevel="0" collapsed="false">
      <c r="A1898" s="0" t="n">
        <v>1897</v>
      </c>
      <c r="B1898" s="27" t="n">
        <v>45861</v>
      </c>
      <c r="C1898" s="0" t="n">
        <v>2025</v>
      </c>
      <c r="D1898" s="28" t="s">
        <v>115</v>
      </c>
      <c r="E1898" s="0" t="n">
        <v>7</v>
      </c>
      <c r="F1898" s="28" t="s">
        <v>116</v>
      </c>
      <c r="G1898" s="28" t="s">
        <v>149</v>
      </c>
      <c r="H1898" s="28" t="s">
        <v>102</v>
      </c>
      <c r="I1898" s="28" t="s">
        <v>103</v>
      </c>
      <c r="J1898" s="28" t="s">
        <v>66</v>
      </c>
      <c r="K1898" s="28" t="s">
        <v>90</v>
      </c>
      <c r="L1898" s="28" t="s">
        <v>141</v>
      </c>
      <c r="M1898" s="28" t="s">
        <v>92</v>
      </c>
      <c r="N1898" s="28" t="s">
        <v>142</v>
      </c>
      <c r="O1898" s="29" t="n">
        <v>16</v>
      </c>
      <c r="P1898" s="30" t="n">
        <v>130.51</v>
      </c>
      <c r="Q1898" s="30" t="n">
        <v>78.33</v>
      </c>
      <c r="R1898" s="30" t="n">
        <f aca="false">ROUND(O1898*P1898,2)</f>
        <v>2088.16</v>
      </c>
      <c r="S1898" s="30" t="n">
        <f aca="false">ROUND(O1898*Q1898,2)</f>
        <v>1253.28</v>
      </c>
      <c r="T1898" s="30" t="n">
        <f aca="false">ROUND(R1898*SUMIFS(Parametros!$E$23:$E$38,Parametros!$B$23:$B$38,J1898,Parametros!$C$23:$C$38,C1898,Parametros!$D$23:$D$38,D1898),2)</f>
        <v>27.15</v>
      </c>
      <c r="U1898" s="30" t="n">
        <f aca="false">R1898-S1898-T1898</f>
        <v>807.73</v>
      </c>
    </row>
    <row r="1899" customFormat="false" ht="15" hidden="false" customHeight="false" outlineLevel="0" collapsed="false">
      <c r="A1899" s="0" t="n">
        <v>1898</v>
      </c>
      <c r="B1899" s="27" t="n">
        <v>45841</v>
      </c>
      <c r="C1899" s="0" t="n">
        <v>2025</v>
      </c>
      <c r="D1899" s="28" t="s">
        <v>115</v>
      </c>
      <c r="E1899" s="0" t="n">
        <v>7</v>
      </c>
      <c r="F1899" s="28" t="s">
        <v>116</v>
      </c>
      <c r="G1899" s="28" t="s">
        <v>149</v>
      </c>
      <c r="H1899" s="28" t="s">
        <v>102</v>
      </c>
      <c r="I1899" s="28" t="s">
        <v>103</v>
      </c>
      <c r="J1899" s="28" t="s">
        <v>71</v>
      </c>
      <c r="K1899" s="28" t="s">
        <v>90</v>
      </c>
      <c r="L1899" s="28" t="s">
        <v>141</v>
      </c>
      <c r="M1899" s="28" t="s">
        <v>92</v>
      </c>
      <c r="N1899" s="28" t="s">
        <v>142</v>
      </c>
      <c r="O1899" s="29" t="n">
        <v>12</v>
      </c>
      <c r="P1899" s="30" t="n">
        <v>130.51</v>
      </c>
      <c r="Q1899" s="30" t="n">
        <v>78.33</v>
      </c>
      <c r="R1899" s="30" t="n">
        <f aca="false">ROUND(O1899*P1899,2)</f>
        <v>1566.12</v>
      </c>
      <c r="S1899" s="30" t="n">
        <f aca="false">ROUND(O1899*Q1899,2)</f>
        <v>939.96</v>
      </c>
      <c r="T1899" s="30" t="n">
        <f aca="false">ROUND(R1899*SUMIFS(Parametros!$E$23:$E$38,Parametros!$B$23:$B$38,J1899,Parametros!$C$23:$C$38,C1899,Parametros!$D$23:$D$38,D1899),2)</f>
        <v>87.7</v>
      </c>
      <c r="U1899" s="30" t="n">
        <f aca="false">R1899-S1899-T1899</f>
        <v>538.46</v>
      </c>
    </row>
    <row r="1900" customFormat="false" ht="15" hidden="false" customHeight="false" outlineLevel="0" collapsed="false">
      <c r="A1900" s="0" t="n">
        <v>1899</v>
      </c>
      <c r="B1900" s="27" t="n">
        <v>45848</v>
      </c>
      <c r="C1900" s="0" t="n">
        <v>2025</v>
      </c>
      <c r="D1900" s="28" t="s">
        <v>115</v>
      </c>
      <c r="E1900" s="0" t="n">
        <v>7</v>
      </c>
      <c r="F1900" s="28" t="s">
        <v>116</v>
      </c>
      <c r="G1900" s="28" t="s">
        <v>149</v>
      </c>
      <c r="H1900" s="28" t="s">
        <v>102</v>
      </c>
      <c r="I1900" s="28" t="s">
        <v>103</v>
      </c>
      <c r="J1900" s="28" t="s">
        <v>66</v>
      </c>
      <c r="K1900" s="28" t="s">
        <v>90</v>
      </c>
      <c r="L1900" s="28" t="s">
        <v>141</v>
      </c>
      <c r="M1900" s="28" t="s">
        <v>94</v>
      </c>
      <c r="N1900" s="28" t="s">
        <v>143</v>
      </c>
      <c r="O1900" s="29" t="n">
        <v>20</v>
      </c>
      <c r="P1900" s="30" t="n">
        <v>35.14</v>
      </c>
      <c r="Q1900" s="30" t="n">
        <v>18.39</v>
      </c>
      <c r="R1900" s="30" t="n">
        <f aca="false">ROUND(O1900*P1900,2)</f>
        <v>702.8</v>
      </c>
      <c r="S1900" s="30" t="n">
        <f aca="false">ROUND(O1900*Q1900,2)</f>
        <v>367.8</v>
      </c>
      <c r="T1900" s="30" t="n">
        <f aca="false">ROUND(R1900*SUMIFS(Parametros!$E$23:$E$38,Parametros!$B$23:$B$38,J1900,Parametros!$C$23:$C$38,C1900,Parametros!$D$23:$D$38,D1900),2)</f>
        <v>9.14</v>
      </c>
      <c r="U1900" s="30" t="n">
        <f aca="false">R1900-S1900-T1900</f>
        <v>325.86</v>
      </c>
    </row>
    <row r="1901" customFormat="false" ht="15" hidden="false" customHeight="false" outlineLevel="0" collapsed="false">
      <c r="A1901" s="0" t="n">
        <v>1900</v>
      </c>
      <c r="B1901" s="27" t="n">
        <v>45855</v>
      </c>
      <c r="C1901" s="0" t="n">
        <v>2025</v>
      </c>
      <c r="D1901" s="28" t="s">
        <v>115</v>
      </c>
      <c r="E1901" s="0" t="n">
        <v>7</v>
      </c>
      <c r="F1901" s="28" t="s">
        <v>116</v>
      </c>
      <c r="G1901" s="28" t="s">
        <v>149</v>
      </c>
      <c r="H1901" s="28" t="s">
        <v>102</v>
      </c>
      <c r="I1901" s="28" t="s">
        <v>103</v>
      </c>
      <c r="J1901" s="28" t="s">
        <v>71</v>
      </c>
      <c r="K1901" s="28" t="s">
        <v>90</v>
      </c>
      <c r="L1901" s="28" t="s">
        <v>141</v>
      </c>
      <c r="M1901" s="28" t="s">
        <v>94</v>
      </c>
      <c r="N1901" s="28" t="s">
        <v>143</v>
      </c>
      <c r="O1901" s="29" t="n">
        <v>12</v>
      </c>
      <c r="P1901" s="30" t="n">
        <v>35.14</v>
      </c>
      <c r="Q1901" s="30" t="n">
        <v>18.39</v>
      </c>
      <c r="R1901" s="30" t="n">
        <f aca="false">ROUND(O1901*P1901,2)</f>
        <v>421.68</v>
      </c>
      <c r="S1901" s="30" t="n">
        <f aca="false">ROUND(O1901*Q1901,2)</f>
        <v>220.68</v>
      </c>
      <c r="T1901" s="30" t="n">
        <f aca="false">ROUND(R1901*SUMIFS(Parametros!$E$23:$E$38,Parametros!$B$23:$B$38,J1901,Parametros!$C$23:$C$38,C1901,Parametros!$D$23:$D$38,D1901),2)</f>
        <v>23.61</v>
      </c>
      <c r="U1901" s="30" t="n">
        <f aca="false">R1901-S1901-T1901</f>
        <v>177.39</v>
      </c>
    </row>
    <row r="1902" customFormat="false" ht="15" hidden="false" customHeight="false" outlineLevel="0" collapsed="false">
      <c r="A1902" s="0" t="n">
        <v>1901</v>
      </c>
      <c r="B1902" s="27" t="n">
        <v>45893</v>
      </c>
      <c r="C1902" s="0" t="n">
        <v>2025</v>
      </c>
      <c r="D1902" s="28" t="s">
        <v>115</v>
      </c>
      <c r="E1902" s="0" t="n">
        <v>8</v>
      </c>
      <c r="F1902" s="28" t="s">
        <v>118</v>
      </c>
      <c r="G1902" s="28" t="s">
        <v>150</v>
      </c>
      <c r="H1902" s="28" t="s">
        <v>64</v>
      </c>
      <c r="I1902" s="28" t="s">
        <v>65</v>
      </c>
      <c r="J1902" s="28" t="s">
        <v>66</v>
      </c>
      <c r="K1902" s="28" t="s">
        <v>67</v>
      </c>
      <c r="L1902" s="28" t="s">
        <v>130</v>
      </c>
      <c r="M1902" s="28" t="s">
        <v>69</v>
      </c>
      <c r="N1902" s="28" t="s">
        <v>131</v>
      </c>
      <c r="O1902" s="29" t="n">
        <v>20</v>
      </c>
      <c r="P1902" s="30" t="n">
        <v>1204.74</v>
      </c>
      <c r="Q1902" s="30" t="n">
        <v>766.32</v>
      </c>
      <c r="R1902" s="30" t="n">
        <f aca="false">ROUND(O1902*P1902,2)</f>
        <v>24094.8</v>
      </c>
      <c r="S1902" s="30" t="n">
        <f aca="false">ROUND(O1902*Q1902,2)</f>
        <v>15326.4</v>
      </c>
      <c r="T1902" s="30" t="n">
        <f aca="false">ROUND(R1902*SUMIFS(Parametros!$E$23:$E$38,Parametros!$B$23:$B$38,J1902,Parametros!$C$23:$C$38,C1902,Parametros!$D$23:$D$38,D1902),2)</f>
        <v>313.23</v>
      </c>
      <c r="U1902" s="30" t="n">
        <f aca="false">R1902-S1902-T1902</f>
        <v>8455.17</v>
      </c>
    </row>
    <row r="1903" customFormat="false" ht="15" hidden="false" customHeight="false" outlineLevel="0" collapsed="false">
      <c r="A1903" s="0" t="n">
        <v>1902</v>
      </c>
      <c r="B1903" s="27" t="n">
        <v>45873</v>
      </c>
      <c r="C1903" s="0" t="n">
        <v>2025</v>
      </c>
      <c r="D1903" s="28" t="s">
        <v>115</v>
      </c>
      <c r="E1903" s="0" t="n">
        <v>8</v>
      </c>
      <c r="F1903" s="28" t="s">
        <v>118</v>
      </c>
      <c r="G1903" s="28" t="s">
        <v>150</v>
      </c>
      <c r="H1903" s="28" t="s">
        <v>64</v>
      </c>
      <c r="I1903" s="28" t="s">
        <v>65</v>
      </c>
      <c r="J1903" s="28" t="s">
        <v>71</v>
      </c>
      <c r="K1903" s="28" t="s">
        <v>67</v>
      </c>
      <c r="L1903" s="28" t="s">
        <v>130</v>
      </c>
      <c r="M1903" s="28" t="s">
        <v>69</v>
      </c>
      <c r="N1903" s="28" t="s">
        <v>131</v>
      </c>
      <c r="O1903" s="29" t="n">
        <v>15</v>
      </c>
      <c r="P1903" s="30" t="n">
        <v>1204.74</v>
      </c>
      <c r="Q1903" s="30" t="n">
        <v>766.32</v>
      </c>
      <c r="R1903" s="30" t="n">
        <f aca="false">ROUND(O1903*P1903,2)</f>
        <v>18071.1</v>
      </c>
      <c r="S1903" s="30" t="n">
        <f aca="false">ROUND(O1903*Q1903,2)</f>
        <v>11494.8</v>
      </c>
      <c r="T1903" s="30" t="n">
        <f aca="false">ROUND(R1903*SUMIFS(Parametros!$E$23:$E$38,Parametros!$B$23:$B$38,J1903,Parametros!$C$23:$C$38,C1903,Parametros!$D$23:$D$38,D1903),2)</f>
        <v>1011.98</v>
      </c>
      <c r="U1903" s="30" t="n">
        <f aca="false">R1903-S1903-T1903</f>
        <v>5564.32</v>
      </c>
    </row>
    <row r="1904" customFormat="false" ht="15" hidden="false" customHeight="false" outlineLevel="0" collapsed="false">
      <c r="A1904" s="0" t="n">
        <v>1903</v>
      </c>
      <c r="B1904" s="27" t="n">
        <v>45880</v>
      </c>
      <c r="C1904" s="0" t="n">
        <v>2025</v>
      </c>
      <c r="D1904" s="28" t="s">
        <v>115</v>
      </c>
      <c r="E1904" s="0" t="n">
        <v>8</v>
      </c>
      <c r="F1904" s="28" t="s">
        <v>118</v>
      </c>
      <c r="G1904" s="28" t="s">
        <v>150</v>
      </c>
      <c r="H1904" s="28" t="s">
        <v>64</v>
      </c>
      <c r="I1904" s="28" t="s">
        <v>65</v>
      </c>
      <c r="J1904" s="28" t="s">
        <v>66</v>
      </c>
      <c r="K1904" s="28" t="s">
        <v>67</v>
      </c>
      <c r="L1904" s="28" t="s">
        <v>130</v>
      </c>
      <c r="M1904" s="28" t="s">
        <v>72</v>
      </c>
      <c r="N1904" s="28" t="s">
        <v>132</v>
      </c>
      <c r="O1904" s="29" t="n">
        <v>18</v>
      </c>
      <c r="P1904" s="30" t="n">
        <v>451.78</v>
      </c>
      <c r="Q1904" s="30" t="n">
        <v>280.42</v>
      </c>
      <c r="R1904" s="30" t="n">
        <f aca="false">ROUND(O1904*P1904,2)</f>
        <v>8132.04</v>
      </c>
      <c r="S1904" s="30" t="n">
        <f aca="false">ROUND(O1904*Q1904,2)</f>
        <v>5047.56</v>
      </c>
      <c r="T1904" s="30" t="n">
        <f aca="false">ROUND(R1904*SUMIFS(Parametros!$E$23:$E$38,Parametros!$B$23:$B$38,J1904,Parametros!$C$23:$C$38,C1904,Parametros!$D$23:$D$38,D1904),2)</f>
        <v>105.72</v>
      </c>
      <c r="U1904" s="30" t="n">
        <f aca="false">R1904-S1904-T1904</f>
        <v>2978.76</v>
      </c>
    </row>
    <row r="1905" customFormat="false" ht="15" hidden="false" customHeight="false" outlineLevel="0" collapsed="false">
      <c r="A1905" s="0" t="n">
        <v>1904</v>
      </c>
      <c r="B1905" s="27" t="n">
        <v>45887</v>
      </c>
      <c r="C1905" s="0" t="n">
        <v>2025</v>
      </c>
      <c r="D1905" s="28" t="s">
        <v>115</v>
      </c>
      <c r="E1905" s="0" t="n">
        <v>8</v>
      </c>
      <c r="F1905" s="28" t="s">
        <v>118</v>
      </c>
      <c r="G1905" s="28" t="s">
        <v>150</v>
      </c>
      <c r="H1905" s="28" t="s">
        <v>64</v>
      </c>
      <c r="I1905" s="28" t="s">
        <v>65</v>
      </c>
      <c r="J1905" s="28" t="s">
        <v>71</v>
      </c>
      <c r="K1905" s="28" t="s">
        <v>67</v>
      </c>
      <c r="L1905" s="28" t="s">
        <v>130</v>
      </c>
      <c r="M1905" s="28" t="s">
        <v>72</v>
      </c>
      <c r="N1905" s="28" t="s">
        <v>132</v>
      </c>
      <c r="O1905" s="29" t="n">
        <v>12</v>
      </c>
      <c r="P1905" s="30" t="n">
        <v>451.78</v>
      </c>
      <c r="Q1905" s="30" t="n">
        <v>280.42</v>
      </c>
      <c r="R1905" s="30" t="n">
        <f aca="false">ROUND(O1905*P1905,2)</f>
        <v>5421.36</v>
      </c>
      <c r="S1905" s="30" t="n">
        <f aca="false">ROUND(O1905*Q1905,2)</f>
        <v>3365.04</v>
      </c>
      <c r="T1905" s="30" t="n">
        <f aca="false">ROUND(R1905*SUMIFS(Parametros!$E$23:$E$38,Parametros!$B$23:$B$38,J1905,Parametros!$C$23:$C$38,C1905,Parametros!$D$23:$D$38,D1905),2)</f>
        <v>303.6</v>
      </c>
      <c r="U1905" s="30" t="n">
        <f aca="false">R1905-S1905-T1905</f>
        <v>1752.72</v>
      </c>
    </row>
    <row r="1906" customFormat="false" ht="15" hidden="false" customHeight="false" outlineLevel="0" collapsed="false">
      <c r="A1906" s="0" t="n">
        <v>1905</v>
      </c>
      <c r="B1906" s="27" t="n">
        <v>45894</v>
      </c>
      <c r="C1906" s="0" t="n">
        <v>2025</v>
      </c>
      <c r="D1906" s="28" t="s">
        <v>115</v>
      </c>
      <c r="E1906" s="0" t="n">
        <v>8</v>
      </c>
      <c r="F1906" s="28" t="s">
        <v>118</v>
      </c>
      <c r="G1906" s="28" t="s">
        <v>150</v>
      </c>
      <c r="H1906" s="28" t="s">
        <v>64</v>
      </c>
      <c r="I1906" s="28" t="s">
        <v>65</v>
      </c>
      <c r="J1906" s="28" t="s">
        <v>66</v>
      </c>
      <c r="K1906" s="28" t="s">
        <v>67</v>
      </c>
      <c r="L1906" s="28" t="s">
        <v>130</v>
      </c>
      <c r="M1906" s="28" t="s">
        <v>74</v>
      </c>
      <c r="N1906" s="28" t="s">
        <v>133</v>
      </c>
      <c r="O1906" s="29" t="n">
        <v>16</v>
      </c>
      <c r="P1906" s="30" t="n">
        <v>1656.52</v>
      </c>
      <c r="Q1906" s="30" t="n">
        <v>1155.66</v>
      </c>
      <c r="R1906" s="30" t="n">
        <f aca="false">ROUND(O1906*P1906,2)</f>
        <v>26504.32</v>
      </c>
      <c r="S1906" s="30" t="n">
        <f aca="false">ROUND(O1906*Q1906,2)</f>
        <v>18490.56</v>
      </c>
      <c r="T1906" s="30" t="n">
        <f aca="false">ROUND(R1906*SUMIFS(Parametros!$E$23:$E$38,Parametros!$B$23:$B$38,J1906,Parametros!$C$23:$C$38,C1906,Parametros!$D$23:$D$38,D1906),2)</f>
        <v>344.56</v>
      </c>
      <c r="U1906" s="30" t="n">
        <f aca="false">R1906-S1906-T1906</f>
        <v>7669.2</v>
      </c>
    </row>
    <row r="1907" customFormat="false" ht="15" hidden="false" customHeight="false" outlineLevel="0" collapsed="false">
      <c r="A1907" s="0" t="n">
        <v>1906</v>
      </c>
      <c r="B1907" s="27" t="n">
        <v>45874</v>
      </c>
      <c r="C1907" s="0" t="n">
        <v>2025</v>
      </c>
      <c r="D1907" s="28" t="s">
        <v>115</v>
      </c>
      <c r="E1907" s="0" t="n">
        <v>8</v>
      </c>
      <c r="F1907" s="28" t="s">
        <v>118</v>
      </c>
      <c r="G1907" s="28" t="s">
        <v>150</v>
      </c>
      <c r="H1907" s="28" t="s">
        <v>64</v>
      </c>
      <c r="I1907" s="28" t="s">
        <v>65</v>
      </c>
      <c r="J1907" s="28" t="s">
        <v>71</v>
      </c>
      <c r="K1907" s="28" t="s">
        <v>67</v>
      </c>
      <c r="L1907" s="28" t="s">
        <v>130</v>
      </c>
      <c r="M1907" s="28" t="s">
        <v>74</v>
      </c>
      <c r="N1907" s="28" t="s">
        <v>133</v>
      </c>
      <c r="O1907" s="29" t="n">
        <v>15</v>
      </c>
      <c r="P1907" s="30" t="n">
        <v>1656.52</v>
      </c>
      <c r="Q1907" s="30" t="n">
        <v>1155.66</v>
      </c>
      <c r="R1907" s="30" t="n">
        <f aca="false">ROUND(O1907*P1907,2)</f>
        <v>24847.8</v>
      </c>
      <c r="S1907" s="30" t="n">
        <f aca="false">ROUND(O1907*Q1907,2)</f>
        <v>17334.9</v>
      </c>
      <c r="T1907" s="30" t="n">
        <f aca="false">ROUND(R1907*SUMIFS(Parametros!$E$23:$E$38,Parametros!$B$23:$B$38,J1907,Parametros!$C$23:$C$38,C1907,Parametros!$D$23:$D$38,D1907),2)</f>
        <v>1391.48</v>
      </c>
      <c r="U1907" s="30" t="n">
        <f aca="false">R1907-S1907-T1907</f>
        <v>6121.42</v>
      </c>
    </row>
    <row r="1908" customFormat="false" ht="15" hidden="false" customHeight="false" outlineLevel="0" collapsed="false">
      <c r="A1908" s="0" t="n">
        <v>1907</v>
      </c>
      <c r="B1908" s="27" t="n">
        <v>45881</v>
      </c>
      <c r="C1908" s="0" t="n">
        <v>2025</v>
      </c>
      <c r="D1908" s="28" t="s">
        <v>115</v>
      </c>
      <c r="E1908" s="0" t="n">
        <v>8</v>
      </c>
      <c r="F1908" s="28" t="s">
        <v>118</v>
      </c>
      <c r="G1908" s="28" t="s">
        <v>150</v>
      </c>
      <c r="H1908" s="28" t="s">
        <v>64</v>
      </c>
      <c r="I1908" s="28" t="s">
        <v>65</v>
      </c>
      <c r="J1908" s="28" t="s">
        <v>66</v>
      </c>
      <c r="K1908" s="28" t="s">
        <v>76</v>
      </c>
      <c r="L1908" s="28" t="s">
        <v>134</v>
      </c>
      <c r="M1908" s="28" t="s">
        <v>78</v>
      </c>
      <c r="N1908" s="28" t="s">
        <v>135</v>
      </c>
      <c r="O1908" s="29" t="n">
        <v>99</v>
      </c>
      <c r="P1908" s="30" t="n">
        <v>28.11</v>
      </c>
      <c r="Q1908" s="30" t="n">
        <v>13.84</v>
      </c>
      <c r="R1908" s="30" t="n">
        <f aca="false">ROUND(O1908*P1908,2)</f>
        <v>2782.89</v>
      </c>
      <c r="S1908" s="30" t="n">
        <f aca="false">ROUND(O1908*Q1908,2)</f>
        <v>1370.16</v>
      </c>
      <c r="T1908" s="30" t="n">
        <f aca="false">ROUND(R1908*SUMIFS(Parametros!$E$23:$E$38,Parametros!$B$23:$B$38,J1908,Parametros!$C$23:$C$38,C1908,Parametros!$D$23:$D$38,D1908),2)</f>
        <v>36.18</v>
      </c>
      <c r="U1908" s="30" t="n">
        <f aca="false">R1908-S1908-T1908</f>
        <v>1376.55</v>
      </c>
    </row>
    <row r="1909" customFormat="false" ht="15" hidden="false" customHeight="false" outlineLevel="0" collapsed="false">
      <c r="A1909" s="0" t="n">
        <v>1908</v>
      </c>
      <c r="B1909" s="27" t="n">
        <v>45888</v>
      </c>
      <c r="C1909" s="0" t="n">
        <v>2025</v>
      </c>
      <c r="D1909" s="28" t="s">
        <v>115</v>
      </c>
      <c r="E1909" s="0" t="n">
        <v>8</v>
      </c>
      <c r="F1909" s="28" t="s">
        <v>118</v>
      </c>
      <c r="G1909" s="28" t="s">
        <v>150</v>
      </c>
      <c r="H1909" s="28" t="s">
        <v>64</v>
      </c>
      <c r="I1909" s="28" t="s">
        <v>65</v>
      </c>
      <c r="J1909" s="28" t="s">
        <v>71</v>
      </c>
      <c r="K1909" s="28" t="s">
        <v>76</v>
      </c>
      <c r="L1909" s="28" t="s">
        <v>134</v>
      </c>
      <c r="M1909" s="28" t="s">
        <v>78</v>
      </c>
      <c r="N1909" s="28" t="s">
        <v>135</v>
      </c>
      <c r="O1909" s="29" t="n">
        <v>59</v>
      </c>
      <c r="P1909" s="30" t="n">
        <v>28.11</v>
      </c>
      <c r="Q1909" s="30" t="n">
        <v>13.84</v>
      </c>
      <c r="R1909" s="30" t="n">
        <f aca="false">ROUND(O1909*P1909,2)</f>
        <v>1658.49</v>
      </c>
      <c r="S1909" s="30" t="n">
        <f aca="false">ROUND(O1909*Q1909,2)</f>
        <v>816.56</v>
      </c>
      <c r="T1909" s="30" t="n">
        <f aca="false">ROUND(R1909*SUMIFS(Parametros!$E$23:$E$38,Parametros!$B$23:$B$38,J1909,Parametros!$C$23:$C$38,C1909,Parametros!$D$23:$D$38,D1909),2)</f>
        <v>92.88</v>
      </c>
      <c r="U1909" s="30" t="n">
        <f aca="false">R1909-S1909-T1909</f>
        <v>749.05</v>
      </c>
    </row>
    <row r="1910" customFormat="false" ht="15" hidden="false" customHeight="false" outlineLevel="0" collapsed="false">
      <c r="A1910" s="0" t="n">
        <v>1909</v>
      </c>
      <c r="B1910" s="27" t="n">
        <v>45895</v>
      </c>
      <c r="C1910" s="0" t="n">
        <v>2025</v>
      </c>
      <c r="D1910" s="28" t="s">
        <v>115</v>
      </c>
      <c r="E1910" s="0" t="n">
        <v>8</v>
      </c>
      <c r="F1910" s="28" t="s">
        <v>118</v>
      </c>
      <c r="G1910" s="28" t="s">
        <v>150</v>
      </c>
      <c r="H1910" s="28" t="s">
        <v>64</v>
      </c>
      <c r="I1910" s="28" t="s">
        <v>65</v>
      </c>
      <c r="J1910" s="28" t="s">
        <v>66</v>
      </c>
      <c r="K1910" s="28" t="s">
        <v>76</v>
      </c>
      <c r="L1910" s="28" t="s">
        <v>134</v>
      </c>
      <c r="M1910" s="28" t="s">
        <v>80</v>
      </c>
      <c r="N1910" s="28" t="s">
        <v>136</v>
      </c>
      <c r="O1910" s="29" t="n">
        <v>91</v>
      </c>
      <c r="P1910" s="30" t="n">
        <v>95.38</v>
      </c>
      <c r="Q1910" s="30" t="n">
        <v>49.41</v>
      </c>
      <c r="R1910" s="30" t="n">
        <f aca="false">ROUND(O1910*P1910,2)</f>
        <v>8679.58</v>
      </c>
      <c r="S1910" s="30" t="n">
        <f aca="false">ROUND(O1910*Q1910,2)</f>
        <v>4496.31</v>
      </c>
      <c r="T1910" s="30" t="n">
        <f aca="false">ROUND(R1910*SUMIFS(Parametros!$E$23:$E$38,Parametros!$B$23:$B$38,J1910,Parametros!$C$23:$C$38,C1910,Parametros!$D$23:$D$38,D1910),2)</f>
        <v>112.83</v>
      </c>
      <c r="U1910" s="30" t="n">
        <f aca="false">R1910-S1910-T1910</f>
        <v>4070.44</v>
      </c>
    </row>
    <row r="1911" customFormat="false" ht="15" hidden="false" customHeight="false" outlineLevel="0" collapsed="false">
      <c r="A1911" s="0" t="n">
        <v>1910</v>
      </c>
      <c r="B1911" s="27" t="n">
        <v>45875</v>
      </c>
      <c r="C1911" s="0" t="n">
        <v>2025</v>
      </c>
      <c r="D1911" s="28" t="s">
        <v>115</v>
      </c>
      <c r="E1911" s="0" t="n">
        <v>8</v>
      </c>
      <c r="F1911" s="28" t="s">
        <v>118</v>
      </c>
      <c r="G1911" s="28" t="s">
        <v>150</v>
      </c>
      <c r="H1911" s="28" t="s">
        <v>64</v>
      </c>
      <c r="I1911" s="28" t="s">
        <v>65</v>
      </c>
      <c r="J1911" s="28" t="s">
        <v>71</v>
      </c>
      <c r="K1911" s="28" t="s">
        <v>76</v>
      </c>
      <c r="L1911" s="28" t="s">
        <v>134</v>
      </c>
      <c r="M1911" s="28" t="s">
        <v>80</v>
      </c>
      <c r="N1911" s="28" t="s">
        <v>136</v>
      </c>
      <c r="O1911" s="29" t="n">
        <v>70</v>
      </c>
      <c r="P1911" s="30" t="n">
        <v>95.38</v>
      </c>
      <c r="Q1911" s="30" t="n">
        <v>49.41</v>
      </c>
      <c r="R1911" s="30" t="n">
        <f aca="false">ROUND(O1911*P1911,2)</f>
        <v>6676.6</v>
      </c>
      <c r="S1911" s="30" t="n">
        <f aca="false">ROUND(O1911*Q1911,2)</f>
        <v>3458.7</v>
      </c>
      <c r="T1911" s="30" t="n">
        <f aca="false">ROUND(R1911*SUMIFS(Parametros!$E$23:$E$38,Parametros!$B$23:$B$38,J1911,Parametros!$C$23:$C$38,C1911,Parametros!$D$23:$D$38,D1911),2)</f>
        <v>373.89</v>
      </c>
      <c r="U1911" s="30" t="n">
        <f aca="false">R1911-S1911-T1911</f>
        <v>2844.01</v>
      </c>
    </row>
    <row r="1912" customFormat="false" ht="15" hidden="false" customHeight="false" outlineLevel="0" collapsed="false">
      <c r="A1912" s="0" t="n">
        <v>1911</v>
      </c>
      <c r="B1912" s="27" t="n">
        <v>45882</v>
      </c>
      <c r="C1912" s="0" t="n">
        <v>2025</v>
      </c>
      <c r="D1912" s="28" t="s">
        <v>115</v>
      </c>
      <c r="E1912" s="0" t="n">
        <v>8</v>
      </c>
      <c r="F1912" s="28" t="s">
        <v>118</v>
      </c>
      <c r="G1912" s="28" t="s">
        <v>150</v>
      </c>
      <c r="H1912" s="28" t="s">
        <v>64</v>
      </c>
      <c r="I1912" s="28" t="s">
        <v>65</v>
      </c>
      <c r="J1912" s="28" t="s">
        <v>66</v>
      </c>
      <c r="K1912" s="28" t="s">
        <v>76</v>
      </c>
      <c r="L1912" s="28" t="s">
        <v>134</v>
      </c>
      <c r="M1912" s="28" t="s">
        <v>82</v>
      </c>
      <c r="N1912" s="28" t="s">
        <v>137</v>
      </c>
      <c r="O1912" s="29" t="n">
        <v>87</v>
      </c>
      <c r="P1912" s="30" t="n">
        <v>65.26</v>
      </c>
      <c r="Q1912" s="30" t="n">
        <v>36.49</v>
      </c>
      <c r="R1912" s="30" t="n">
        <f aca="false">ROUND(O1912*P1912,2)</f>
        <v>5677.62</v>
      </c>
      <c r="S1912" s="30" t="n">
        <f aca="false">ROUND(O1912*Q1912,2)</f>
        <v>3174.63</v>
      </c>
      <c r="T1912" s="30" t="n">
        <f aca="false">ROUND(R1912*SUMIFS(Parametros!$E$23:$E$38,Parametros!$B$23:$B$38,J1912,Parametros!$C$23:$C$38,C1912,Parametros!$D$23:$D$38,D1912),2)</f>
        <v>73.81</v>
      </c>
      <c r="U1912" s="30" t="n">
        <f aca="false">R1912-S1912-T1912</f>
        <v>2429.18</v>
      </c>
    </row>
    <row r="1913" customFormat="false" ht="15" hidden="false" customHeight="false" outlineLevel="0" collapsed="false">
      <c r="A1913" s="0" t="n">
        <v>1912</v>
      </c>
      <c r="B1913" s="27" t="n">
        <v>45889</v>
      </c>
      <c r="C1913" s="0" t="n">
        <v>2025</v>
      </c>
      <c r="D1913" s="28" t="s">
        <v>115</v>
      </c>
      <c r="E1913" s="0" t="n">
        <v>8</v>
      </c>
      <c r="F1913" s="28" t="s">
        <v>118</v>
      </c>
      <c r="G1913" s="28" t="s">
        <v>150</v>
      </c>
      <c r="H1913" s="28" t="s">
        <v>64</v>
      </c>
      <c r="I1913" s="28" t="s">
        <v>65</v>
      </c>
      <c r="J1913" s="28" t="s">
        <v>71</v>
      </c>
      <c r="K1913" s="28" t="s">
        <v>76</v>
      </c>
      <c r="L1913" s="28" t="s">
        <v>134</v>
      </c>
      <c r="M1913" s="28" t="s">
        <v>82</v>
      </c>
      <c r="N1913" s="28" t="s">
        <v>137</v>
      </c>
      <c r="O1913" s="29" t="n">
        <v>74</v>
      </c>
      <c r="P1913" s="30" t="n">
        <v>65.26</v>
      </c>
      <c r="Q1913" s="30" t="n">
        <v>36.49</v>
      </c>
      <c r="R1913" s="30" t="n">
        <f aca="false">ROUND(O1913*P1913,2)</f>
        <v>4829.24</v>
      </c>
      <c r="S1913" s="30" t="n">
        <f aca="false">ROUND(O1913*Q1913,2)</f>
        <v>2700.26</v>
      </c>
      <c r="T1913" s="30" t="n">
        <f aca="false">ROUND(R1913*SUMIFS(Parametros!$E$23:$E$38,Parametros!$B$23:$B$38,J1913,Parametros!$C$23:$C$38,C1913,Parametros!$D$23:$D$38,D1913),2)</f>
        <v>270.44</v>
      </c>
      <c r="U1913" s="30" t="n">
        <f aca="false">R1913-S1913-T1913</f>
        <v>1858.54</v>
      </c>
    </row>
    <row r="1914" customFormat="false" ht="15" hidden="false" customHeight="false" outlineLevel="0" collapsed="false">
      <c r="A1914" s="0" t="n">
        <v>1913</v>
      </c>
      <c r="B1914" s="27" t="n">
        <v>45896</v>
      </c>
      <c r="C1914" s="0" t="n">
        <v>2025</v>
      </c>
      <c r="D1914" s="28" t="s">
        <v>115</v>
      </c>
      <c r="E1914" s="0" t="n">
        <v>8</v>
      </c>
      <c r="F1914" s="28" t="s">
        <v>118</v>
      </c>
      <c r="G1914" s="28" t="s">
        <v>150</v>
      </c>
      <c r="H1914" s="28" t="s">
        <v>64</v>
      </c>
      <c r="I1914" s="28" t="s">
        <v>65</v>
      </c>
      <c r="J1914" s="28" t="s">
        <v>66</v>
      </c>
      <c r="K1914" s="28" t="s">
        <v>84</v>
      </c>
      <c r="L1914" s="28" t="s">
        <v>138</v>
      </c>
      <c r="M1914" s="28" t="s">
        <v>86</v>
      </c>
      <c r="N1914" s="28" t="s">
        <v>139</v>
      </c>
      <c r="O1914" s="29" t="n">
        <v>44</v>
      </c>
      <c r="P1914" s="30" t="n">
        <v>120.47</v>
      </c>
      <c r="Q1914" s="30" t="n">
        <v>65.51</v>
      </c>
      <c r="R1914" s="30" t="n">
        <f aca="false">ROUND(O1914*P1914,2)</f>
        <v>5300.68</v>
      </c>
      <c r="S1914" s="30" t="n">
        <f aca="false">ROUND(O1914*Q1914,2)</f>
        <v>2882.44</v>
      </c>
      <c r="T1914" s="30" t="n">
        <f aca="false">ROUND(R1914*SUMIFS(Parametros!$E$23:$E$38,Parametros!$B$23:$B$38,J1914,Parametros!$C$23:$C$38,C1914,Parametros!$D$23:$D$38,D1914),2)</f>
        <v>68.91</v>
      </c>
      <c r="U1914" s="30" t="n">
        <f aca="false">R1914-S1914-T1914</f>
        <v>2349.33</v>
      </c>
    </row>
    <row r="1915" customFormat="false" ht="15" hidden="false" customHeight="false" outlineLevel="0" collapsed="false">
      <c r="A1915" s="0" t="n">
        <v>1914</v>
      </c>
      <c r="B1915" s="27" t="n">
        <v>45876</v>
      </c>
      <c r="C1915" s="0" t="n">
        <v>2025</v>
      </c>
      <c r="D1915" s="28" t="s">
        <v>115</v>
      </c>
      <c r="E1915" s="0" t="n">
        <v>8</v>
      </c>
      <c r="F1915" s="28" t="s">
        <v>118</v>
      </c>
      <c r="G1915" s="28" t="s">
        <v>150</v>
      </c>
      <c r="H1915" s="28" t="s">
        <v>64</v>
      </c>
      <c r="I1915" s="28" t="s">
        <v>65</v>
      </c>
      <c r="J1915" s="28" t="s">
        <v>71</v>
      </c>
      <c r="K1915" s="28" t="s">
        <v>84</v>
      </c>
      <c r="L1915" s="28" t="s">
        <v>138</v>
      </c>
      <c r="M1915" s="28" t="s">
        <v>86</v>
      </c>
      <c r="N1915" s="28" t="s">
        <v>139</v>
      </c>
      <c r="O1915" s="29" t="n">
        <v>32</v>
      </c>
      <c r="P1915" s="30" t="n">
        <v>120.47</v>
      </c>
      <c r="Q1915" s="30" t="n">
        <v>65.51</v>
      </c>
      <c r="R1915" s="30" t="n">
        <f aca="false">ROUND(O1915*P1915,2)</f>
        <v>3855.04</v>
      </c>
      <c r="S1915" s="30" t="n">
        <f aca="false">ROUND(O1915*Q1915,2)</f>
        <v>2096.32</v>
      </c>
      <c r="T1915" s="30" t="n">
        <f aca="false">ROUND(R1915*SUMIFS(Parametros!$E$23:$E$38,Parametros!$B$23:$B$38,J1915,Parametros!$C$23:$C$38,C1915,Parametros!$D$23:$D$38,D1915),2)</f>
        <v>215.88</v>
      </c>
      <c r="U1915" s="30" t="n">
        <f aca="false">R1915-S1915-T1915</f>
        <v>1542.84</v>
      </c>
    </row>
    <row r="1916" customFormat="false" ht="15" hidden="false" customHeight="false" outlineLevel="0" collapsed="false">
      <c r="A1916" s="0" t="n">
        <v>1915</v>
      </c>
      <c r="B1916" s="27" t="n">
        <v>45883</v>
      </c>
      <c r="C1916" s="0" t="n">
        <v>2025</v>
      </c>
      <c r="D1916" s="28" t="s">
        <v>115</v>
      </c>
      <c r="E1916" s="0" t="n">
        <v>8</v>
      </c>
      <c r="F1916" s="28" t="s">
        <v>118</v>
      </c>
      <c r="G1916" s="28" t="s">
        <v>150</v>
      </c>
      <c r="H1916" s="28" t="s">
        <v>64</v>
      </c>
      <c r="I1916" s="28" t="s">
        <v>65</v>
      </c>
      <c r="J1916" s="28" t="s">
        <v>66</v>
      </c>
      <c r="K1916" s="28" t="s">
        <v>84</v>
      </c>
      <c r="L1916" s="28" t="s">
        <v>138</v>
      </c>
      <c r="M1916" s="28" t="s">
        <v>88</v>
      </c>
      <c r="N1916" s="28" t="s">
        <v>140</v>
      </c>
      <c r="O1916" s="29" t="n">
        <v>36</v>
      </c>
      <c r="P1916" s="30" t="n">
        <v>85.34</v>
      </c>
      <c r="Q1916" s="30" t="n">
        <v>49.47</v>
      </c>
      <c r="R1916" s="30" t="n">
        <f aca="false">ROUND(O1916*P1916,2)</f>
        <v>3072.24</v>
      </c>
      <c r="S1916" s="30" t="n">
        <f aca="false">ROUND(O1916*Q1916,2)</f>
        <v>1780.92</v>
      </c>
      <c r="T1916" s="30" t="n">
        <f aca="false">ROUND(R1916*SUMIFS(Parametros!$E$23:$E$38,Parametros!$B$23:$B$38,J1916,Parametros!$C$23:$C$38,C1916,Parametros!$D$23:$D$38,D1916),2)</f>
        <v>39.94</v>
      </c>
      <c r="U1916" s="30" t="n">
        <f aca="false">R1916-S1916-T1916</f>
        <v>1251.38</v>
      </c>
    </row>
    <row r="1917" customFormat="false" ht="15" hidden="false" customHeight="false" outlineLevel="0" collapsed="false">
      <c r="A1917" s="0" t="n">
        <v>1916</v>
      </c>
      <c r="B1917" s="27" t="n">
        <v>45890</v>
      </c>
      <c r="C1917" s="0" t="n">
        <v>2025</v>
      </c>
      <c r="D1917" s="28" t="s">
        <v>115</v>
      </c>
      <c r="E1917" s="0" t="n">
        <v>8</v>
      </c>
      <c r="F1917" s="28" t="s">
        <v>118</v>
      </c>
      <c r="G1917" s="28" t="s">
        <v>150</v>
      </c>
      <c r="H1917" s="28" t="s">
        <v>64</v>
      </c>
      <c r="I1917" s="28" t="s">
        <v>65</v>
      </c>
      <c r="J1917" s="28" t="s">
        <v>71</v>
      </c>
      <c r="K1917" s="28" t="s">
        <v>84</v>
      </c>
      <c r="L1917" s="28" t="s">
        <v>138</v>
      </c>
      <c r="M1917" s="28" t="s">
        <v>88</v>
      </c>
      <c r="N1917" s="28" t="s">
        <v>140</v>
      </c>
      <c r="O1917" s="29" t="n">
        <v>24</v>
      </c>
      <c r="P1917" s="30" t="n">
        <v>85.34</v>
      </c>
      <c r="Q1917" s="30" t="n">
        <v>49.47</v>
      </c>
      <c r="R1917" s="30" t="n">
        <f aca="false">ROUND(O1917*P1917,2)</f>
        <v>2048.16</v>
      </c>
      <c r="S1917" s="30" t="n">
        <f aca="false">ROUND(O1917*Q1917,2)</f>
        <v>1187.28</v>
      </c>
      <c r="T1917" s="30" t="n">
        <f aca="false">ROUND(R1917*SUMIFS(Parametros!$E$23:$E$38,Parametros!$B$23:$B$38,J1917,Parametros!$C$23:$C$38,C1917,Parametros!$D$23:$D$38,D1917),2)</f>
        <v>114.7</v>
      </c>
      <c r="U1917" s="30" t="n">
        <f aca="false">R1917-S1917-T1917</f>
        <v>746.18</v>
      </c>
    </row>
    <row r="1918" customFormat="false" ht="15" hidden="false" customHeight="false" outlineLevel="0" collapsed="false">
      <c r="A1918" s="0" t="n">
        <v>1917</v>
      </c>
      <c r="B1918" s="27" t="n">
        <v>45870</v>
      </c>
      <c r="C1918" s="0" t="n">
        <v>2025</v>
      </c>
      <c r="D1918" s="28" t="s">
        <v>115</v>
      </c>
      <c r="E1918" s="0" t="n">
        <v>8</v>
      </c>
      <c r="F1918" s="28" t="s">
        <v>118</v>
      </c>
      <c r="G1918" s="28" t="s">
        <v>150</v>
      </c>
      <c r="H1918" s="28" t="s">
        <v>64</v>
      </c>
      <c r="I1918" s="28" t="s">
        <v>65</v>
      </c>
      <c r="J1918" s="28" t="s">
        <v>66</v>
      </c>
      <c r="K1918" s="28" t="s">
        <v>90</v>
      </c>
      <c r="L1918" s="28" t="s">
        <v>141</v>
      </c>
      <c r="M1918" s="28" t="s">
        <v>92</v>
      </c>
      <c r="N1918" s="28" t="s">
        <v>142</v>
      </c>
      <c r="O1918" s="29" t="n">
        <v>63</v>
      </c>
      <c r="P1918" s="30" t="n">
        <v>130.51</v>
      </c>
      <c r="Q1918" s="30" t="n">
        <v>78.33</v>
      </c>
      <c r="R1918" s="30" t="n">
        <f aca="false">ROUND(O1918*P1918,2)</f>
        <v>8222.13</v>
      </c>
      <c r="S1918" s="30" t="n">
        <f aca="false">ROUND(O1918*Q1918,2)</f>
        <v>4934.79</v>
      </c>
      <c r="T1918" s="30" t="n">
        <f aca="false">ROUND(R1918*SUMIFS(Parametros!$E$23:$E$38,Parametros!$B$23:$B$38,J1918,Parametros!$C$23:$C$38,C1918,Parametros!$D$23:$D$38,D1918),2)</f>
        <v>106.89</v>
      </c>
      <c r="U1918" s="30" t="n">
        <f aca="false">R1918-S1918-T1918</f>
        <v>3180.45</v>
      </c>
    </row>
    <row r="1919" customFormat="false" ht="15" hidden="false" customHeight="false" outlineLevel="0" collapsed="false">
      <c r="A1919" s="0" t="n">
        <v>1918</v>
      </c>
      <c r="B1919" s="27" t="n">
        <v>45877</v>
      </c>
      <c r="C1919" s="0" t="n">
        <v>2025</v>
      </c>
      <c r="D1919" s="28" t="s">
        <v>115</v>
      </c>
      <c r="E1919" s="0" t="n">
        <v>8</v>
      </c>
      <c r="F1919" s="28" t="s">
        <v>118</v>
      </c>
      <c r="G1919" s="28" t="s">
        <v>150</v>
      </c>
      <c r="H1919" s="28" t="s">
        <v>64</v>
      </c>
      <c r="I1919" s="28" t="s">
        <v>65</v>
      </c>
      <c r="J1919" s="28" t="s">
        <v>71</v>
      </c>
      <c r="K1919" s="28" t="s">
        <v>90</v>
      </c>
      <c r="L1919" s="28" t="s">
        <v>141</v>
      </c>
      <c r="M1919" s="28" t="s">
        <v>92</v>
      </c>
      <c r="N1919" s="28" t="s">
        <v>142</v>
      </c>
      <c r="O1919" s="29" t="n">
        <v>34</v>
      </c>
      <c r="P1919" s="30" t="n">
        <v>130.51</v>
      </c>
      <c r="Q1919" s="30" t="n">
        <v>78.33</v>
      </c>
      <c r="R1919" s="30" t="n">
        <f aca="false">ROUND(O1919*P1919,2)</f>
        <v>4437.34</v>
      </c>
      <c r="S1919" s="30" t="n">
        <f aca="false">ROUND(O1919*Q1919,2)</f>
        <v>2663.22</v>
      </c>
      <c r="T1919" s="30" t="n">
        <f aca="false">ROUND(R1919*SUMIFS(Parametros!$E$23:$E$38,Parametros!$B$23:$B$38,J1919,Parametros!$C$23:$C$38,C1919,Parametros!$D$23:$D$38,D1919),2)</f>
        <v>248.49</v>
      </c>
      <c r="U1919" s="30" t="n">
        <f aca="false">R1919-S1919-T1919</f>
        <v>1525.63</v>
      </c>
    </row>
    <row r="1920" customFormat="false" ht="15" hidden="false" customHeight="false" outlineLevel="0" collapsed="false">
      <c r="A1920" s="0" t="n">
        <v>1919</v>
      </c>
      <c r="B1920" s="27" t="n">
        <v>45884</v>
      </c>
      <c r="C1920" s="0" t="n">
        <v>2025</v>
      </c>
      <c r="D1920" s="28" t="s">
        <v>115</v>
      </c>
      <c r="E1920" s="0" t="n">
        <v>8</v>
      </c>
      <c r="F1920" s="28" t="s">
        <v>118</v>
      </c>
      <c r="G1920" s="28" t="s">
        <v>150</v>
      </c>
      <c r="H1920" s="28" t="s">
        <v>64</v>
      </c>
      <c r="I1920" s="28" t="s">
        <v>65</v>
      </c>
      <c r="J1920" s="28" t="s">
        <v>66</v>
      </c>
      <c r="K1920" s="28" t="s">
        <v>90</v>
      </c>
      <c r="L1920" s="28" t="s">
        <v>141</v>
      </c>
      <c r="M1920" s="28" t="s">
        <v>94</v>
      </c>
      <c r="N1920" s="28" t="s">
        <v>143</v>
      </c>
      <c r="O1920" s="29" t="n">
        <v>50</v>
      </c>
      <c r="P1920" s="30" t="n">
        <v>35.14</v>
      </c>
      <c r="Q1920" s="30" t="n">
        <v>18.39</v>
      </c>
      <c r="R1920" s="30" t="n">
        <f aca="false">ROUND(O1920*P1920,2)</f>
        <v>1757</v>
      </c>
      <c r="S1920" s="30" t="n">
        <f aca="false">ROUND(O1920*Q1920,2)</f>
        <v>919.5</v>
      </c>
      <c r="T1920" s="30" t="n">
        <f aca="false">ROUND(R1920*SUMIFS(Parametros!$E$23:$E$38,Parametros!$B$23:$B$38,J1920,Parametros!$C$23:$C$38,C1920,Parametros!$D$23:$D$38,D1920),2)</f>
        <v>22.84</v>
      </c>
      <c r="U1920" s="30" t="n">
        <f aca="false">R1920-S1920-T1920</f>
        <v>814.66</v>
      </c>
    </row>
    <row r="1921" customFormat="false" ht="15" hidden="false" customHeight="false" outlineLevel="0" collapsed="false">
      <c r="A1921" s="0" t="n">
        <v>1920</v>
      </c>
      <c r="B1921" s="27" t="n">
        <v>45891</v>
      </c>
      <c r="C1921" s="0" t="n">
        <v>2025</v>
      </c>
      <c r="D1921" s="28" t="s">
        <v>115</v>
      </c>
      <c r="E1921" s="0" t="n">
        <v>8</v>
      </c>
      <c r="F1921" s="28" t="s">
        <v>118</v>
      </c>
      <c r="G1921" s="28" t="s">
        <v>150</v>
      </c>
      <c r="H1921" s="28" t="s">
        <v>64</v>
      </c>
      <c r="I1921" s="28" t="s">
        <v>65</v>
      </c>
      <c r="J1921" s="28" t="s">
        <v>71</v>
      </c>
      <c r="K1921" s="28" t="s">
        <v>90</v>
      </c>
      <c r="L1921" s="28" t="s">
        <v>141</v>
      </c>
      <c r="M1921" s="28" t="s">
        <v>94</v>
      </c>
      <c r="N1921" s="28" t="s">
        <v>143</v>
      </c>
      <c r="O1921" s="29" t="n">
        <v>31</v>
      </c>
      <c r="P1921" s="30" t="n">
        <v>35.14</v>
      </c>
      <c r="Q1921" s="30" t="n">
        <v>18.39</v>
      </c>
      <c r="R1921" s="30" t="n">
        <f aca="false">ROUND(O1921*P1921,2)</f>
        <v>1089.34</v>
      </c>
      <c r="S1921" s="30" t="n">
        <f aca="false">ROUND(O1921*Q1921,2)</f>
        <v>570.09</v>
      </c>
      <c r="T1921" s="30" t="n">
        <f aca="false">ROUND(R1921*SUMIFS(Parametros!$E$23:$E$38,Parametros!$B$23:$B$38,J1921,Parametros!$C$23:$C$38,C1921,Parametros!$D$23:$D$38,D1921),2)</f>
        <v>61</v>
      </c>
      <c r="U1921" s="30" t="n">
        <f aca="false">R1921-S1921-T1921</f>
        <v>458.25</v>
      </c>
    </row>
    <row r="1922" customFormat="false" ht="15" hidden="false" customHeight="false" outlineLevel="0" collapsed="false">
      <c r="A1922" s="0" t="n">
        <v>1921</v>
      </c>
      <c r="B1922" s="27" t="n">
        <v>45871</v>
      </c>
      <c r="C1922" s="0" t="n">
        <v>2025</v>
      </c>
      <c r="D1922" s="28" t="s">
        <v>115</v>
      </c>
      <c r="E1922" s="0" t="n">
        <v>8</v>
      </c>
      <c r="F1922" s="28" t="s">
        <v>118</v>
      </c>
      <c r="G1922" s="28" t="s">
        <v>150</v>
      </c>
      <c r="H1922" s="28" t="s">
        <v>96</v>
      </c>
      <c r="I1922" s="28" t="s">
        <v>97</v>
      </c>
      <c r="J1922" s="28" t="s">
        <v>66</v>
      </c>
      <c r="K1922" s="28" t="s">
        <v>67</v>
      </c>
      <c r="L1922" s="28" t="s">
        <v>130</v>
      </c>
      <c r="M1922" s="28" t="s">
        <v>69</v>
      </c>
      <c r="N1922" s="28" t="s">
        <v>131</v>
      </c>
      <c r="O1922" s="29" t="n">
        <v>12</v>
      </c>
      <c r="P1922" s="30" t="n">
        <v>1204.74</v>
      </c>
      <c r="Q1922" s="30" t="n">
        <v>766.32</v>
      </c>
      <c r="R1922" s="30" t="n">
        <f aca="false">ROUND(O1922*P1922,2)</f>
        <v>14456.88</v>
      </c>
      <c r="S1922" s="30" t="n">
        <f aca="false">ROUND(O1922*Q1922,2)</f>
        <v>9195.84</v>
      </c>
      <c r="T1922" s="30" t="n">
        <f aca="false">ROUND(R1922*SUMIFS(Parametros!$E$23:$E$38,Parametros!$B$23:$B$38,J1922,Parametros!$C$23:$C$38,C1922,Parametros!$D$23:$D$38,D1922),2)</f>
        <v>187.94</v>
      </c>
      <c r="U1922" s="30" t="n">
        <f aca="false">R1922-S1922-T1922</f>
        <v>5073.1</v>
      </c>
    </row>
    <row r="1923" customFormat="false" ht="15" hidden="false" customHeight="false" outlineLevel="0" collapsed="false">
      <c r="A1923" s="0" t="n">
        <v>1922</v>
      </c>
      <c r="B1923" s="27" t="n">
        <v>45878</v>
      </c>
      <c r="C1923" s="0" t="n">
        <v>2025</v>
      </c>
      <c r="D1923" s="28" t="s">
        <v>115</v>
      </c>
      <c r="E1923" s="0" t="n">
        <v>8</v>
      </c>
      <c r="F1923" s="28" t="s">
        <v>118</v>
      </c>
      <c r="G1923" s="28" t="s">
        <v>150</v>
      </c>
      <c r="H1923" s="28" t="s">
        <v>96</v>
      </c>
      <c r="I1923" s="28" t="s">
        <v>97</v>
      </c>
      <c r="J1923" s="28" t="s">
        <v>71</v>
      </c>
      <c r="K1923" s="28" t="s">
        <v>67</v>
      </c>
      <c r="L1923" s="28" t="s">
        <v>130</v>
      </c>
      <c r="M1923" s="28" t="s">
        <v>69</v>
      </c>
      <c r="N1923" s="28" t="s">
        <v>131</v>
      </c>
      <c r="O1923" s="29" t="n">
        <v>8</v>
      </c>
      <c r="P1923" s="30" t="n">
        <v>1204.74</v>
      </c>
      <c r="Q1923" s="30" t="n">
        <v>766.32</v>
      </c>
      <c r="R1923" s="30" t="n">
        <f aca="false">ROUND(O1923*P1923,2)</f>
        <v>9637.92</v>
      </c>
      <c r="S1923" s="30" t="n">
        <f aca="false">ROUND(O1923*Q1923,2)</f>
        <v>6130.56</v>
      </c>
      <c r="T1923" s="30" t="n">
        <f aca="false">ROUND(R1923*SUMIFS(Parametros!$E$23:$E$38,Parametros!$B$23:$B$38,J1923,Parametros!$C$23:$C$38,C1923,Parametros!$D$23:$D$38,D1923),2)</f>
        <v>539.72</v>
      </c>
      <c r="U1923" s="30" t="n">
        <f aca="false">R1923-S1923-T1923</f>
        <v>2967.64</v>
      </c>
    </row>
    <row r="1924" customFormat="false" ht="15" hidden="false" customHeight="false" outlineLevel="0" collapsed="false">
      <c r="A1924" s="0" t="n">
        <v>1923</v>
      </c>
      <c r="B1924" s="27" t="n">
        <v>45885</v>
      </c>
      <c r="C1924" s="0" t="n">
        <v>2025</v>
      </c>
      <c r="D1924" s="28" t="s">
        <v>115</v>
      </c>
      <c r="E1924" s="0" t="n">
        <v>8</v>
      </c>
      <c r="F1924" s="28" t="s">
        <v>118</v>
      </c>
      <c r="G1924" s="28" t="s">
        <v>150</v>
      </c>
      <c r="H1924" s="28" t="s">
        <v>96</v>
      </c>
      <c r="I1924" s="28" t="s">
        <v>97</v>
      </c>
      <c r="J1924" s="28" t="s">
        <v>66</v>
      </c>
      <c r="K1924" s="28" t="s">
        <v>67</v>
      </c>
      <c r="L1924" s="28" t="s">
        <v>130</v>
      </c>
      <c r="M1924" s="28" t="s">
        <v>72</v>
      </c>
      <c r="N1924" s="28" t="s">
        <v>132</v>
      </c>
      <c r="O1924" s="29" t="n">
        <v>10</v>
      </c>
      <c r="P1924" s="30" t="n">
        <v>451.78</v>
      </c>
      <c r="Q1924" s="30" t="n">
        <v>280.42</v>
      </c>
      <c r="R1924" s="30" t="n">
        <f aca="false">ROUND(O1924*P1924,2)</f>
        <v>4517.8</v>
      </c>
      <c r="S1924" s="30" t="n">
        <f aca="false">ROUND(O1924*Q1924,2)</f>
        <v>2804.2</v>
      </c>
      <c r="T1924" s="30" t="n">
        <f aca="false">ROUND(R1924*SUMIFS(Parametros!$E$23:$E$38,Parametros!$B$23:$B$38,J1924,Parametros!$C$23:$C$38,C1924,Parametros!$D$23:$D$38,D1924),2)</f>
        <v>58.73</v>
      </c>
      <c r="U1924" s="30" t="n">
        <f aca="false">R1924-S1924-T1924</f>
        <v>1654.87</v>
      </c>
    </row>
    <row r="1925" customFormat="false" ht="15" hidden="false" customHeight="false" outlineLevel="0" collapsed="false">
      <c r="A1925" s="0" t="n">
        <v>1924</v>
      </c>
      <c r="B1925" s="27" t="n">
        <v>45892</v>
      </c>
      <c r="C1925" s="0" t="n">
        <v>2025</v>
      </c>
      <c r="D1925" s="28" t="s">
        <v>115</v>
      </c>
      <c r="E1925" s="0" t="n">
        <v>8</v>
      </c>
      <c r="F1925" s="28" t="s">
        <v>118</v>
      </c>
      <c r="G1925" s="28" t="s">
        <v>150</v>
      </c>
      <c r="H1925" s="28" t="s">
        <v>96</v>
      </c>
      <c r="I1925" s="28" t="s">
        <v>97</v>
      </c>
      <c r="J1925" s="28" t="s">
        <v>71</v>
      </c>
      <c r="K1925" s="28" t="s">
        <v>67</v>
      </c>
      <c r="L1925" s="28" t="s">
        <v>130</v>
      </c>
      <c r="M1925" s="28" t="s">
        <v>72</v>
      </c>
      <c r="N1925" s="28" t="s">
        <v>132</v>
      </c>
      <c r="O1925" s="29" t="n">
        <v>8</v>
      </c>
      <c r="P1925" s="30" t="n">
        <v>451.78</v>
      </c>
      <c r="Q1925" s="30" t="n">
        <v>280.42</v>
      </c>
      <c r="R1925" s="30" t="n">
        <f aca="false">ROUND(O1925*P1925,2)</f>
        <v>3614.24</v>
      </c>
      <c r="S1925" s="30" t="n">
        <f aca="false">ROUND(O1925*Q1925,2)</f>
        <v>2243.36</v>
      </c>
      <c r="T1925" s="30" t="n">
        <f aca="false">ROUND(R1925*SUMIFS(Parametros!$E$23:$E$38,Parametros!$B$23:$B$38,J1925,Parametros!$C$23:$C$38,C1925,Parametros!$D$23:$D$38,D1925),2)</f>
        <v>202.4</v>
      </c>
      <c r="U1925" s="30" t="n">
        <f aca="false">R1925-S1925-T1925</f>
        <v>1168.48</v>
      </c>
    </row>
    <row r="1926" customFormat="false" ht="15" hidden="false" customHeight="false" outlineLevel="0" collapsed="false">
      <c r="A1926" s="0" t="n">
        <v>1925</v>
      </c>
      <c r="B1926" s="27" t="n">
        <v>45872</v>
      </c>
      <c r="C1926" s="0" t="n">
        <v>2025</v>
      </c>
      <c r="D1926" s="28" t="s">
        <v>115</v>
      </c>
      <c r="E1926" s="0" t="n">
        <v>8</v>
      </c>
      <c r="F1926" s="28" t="s">
        <v>118</v>
      </c>
      <c r="G1926" s="28" t="s">
        <v>150</v>
      </c>
      <c r="H1926" s="28" t="s">
        <v>96</v>
      </c>
      <c r="I1926" s="28" t="s">
        <v>97</v>
      </c>
      <c r="J1926" s="28" t="s">
        <v>66</v>
      </c>
      <c r="K1926" s="28" t="s">
        <v>67</v>
      </c>
      <c r="L1926" s="28" t="s">
        <v>130</v>
      </c>
      <c r="M1926" s="28" t="s">
        <v>74</v>
      </c>
      <c r="N1926" s="28" t="s">
        <v>133</v>
      </c>
      <c r="O1926" s="29" t="n">
        <v>11</v>
      </c>
      <c r="P1926" s="30" t="n">
        <v>1656.52</v>
      </c>
      <c r="Q1926" s="30" t="n">
        <v>1155.66</v>
      </c>
      <c r="R1926" s="30" t="n">
        <f aca="false">ROUND(O1926*P1926,2)</f>
        <v>18221.72</v>
      </c>
      <c r="S1926" s="30" t="n">
        <f aca="false">ROUND(O1926*Q1926,2)</f>
        <v>12712.26</v>
      </c>
      <c r="T1926" s="30" t="n">
        <f aca="false">ROUND(R1926*SUMIFS(Parametros!$E$23:$E$38,Parametros!$B$23:$B$38,J1926,Parametros!$C$23:$C$38,C1926,Parametros!$D$23:$D$38,D1926),2)</f>
        <v>236.88</v>
      </c>
      <c r="U1926" s="30" t="n">
        <f aca="false">R1926-S1926-T1926</f>
        <v>5272.58</v>
      </c>
    </row>
    <row r="1927" customFormat="false" ht="15" hidden="false" customHeight="false" outlineLevel="0" collapsed="false">
      <c r="A1927" s="0" t="n">
        <v>1926</v>
      </c>
      <c r="B1927" s="27" t="n">
        <v>45879</v>
      </c>
      <c r="C1927" s="0" t="n">
        <v>2025</v>
      </c>
      <c r="D1927" s="28" t="s">
        <v>115</v>
      </c>
      <c r="E1927" s="0" t="n">
        <v>8</v>
      </c>
      <c r="F1927" s="28" t="s">
        <v>118</v>
      </c>
      <c r="G1927" s="28" t="s">
        <v>150</v>
      </c>
      <c r="H1927" s="28" t="s">
        <v>96</v>
      </c>
      <c r="I1927" s="28" t="s">
        <v>97</v>
      </c>
      <c r="J1927" s="28" t="s">
        <v>71</v>
      </c>
      <c r="K1927" s="28" t="s">
        <v>67</v>
      </c>
      <c r="L1927" s="28" t="s">
        <v>130</v>
      </c>
      <c r="M1927" s="28" t="s">
        <v>74</v>
      </c>
      <c r="N1927" s="28" t="s">
        <v>133</v>
      </c>
      <c r="O1927" s="29" t="n">
        <v>8</v>
      </c>
      <c r="P1927" s="30" t="n">
        <v>1656.52</v>
      </c>
      <c r="Q1927" s="30" t="n">
        <v>1155.66</v>
      </c>
      <c r="R1927" s="30" t="n">
        <f aca="false">ROUND(O1927*P1927,2)</f>
        <v>13252.16</v>
      </c>
      <c r="S1927" s="30" t="n">
        <f aca="false">ROUND(O1927*Q1927,2)</f>
        <v>9245.28</v>
      </c>
      <c r="T1927" s="30" t="n">
        <f aca="false">ROUND(R1927*SUMIFS(Parametros!$E$23:$E$38,Parametros!$B$23:$B$38,J1927,Parametros!$C$23:$C$38,C1927,Parametros!$D$23:$D$38,D1927),2)</f>
        <v>742.12</v>
      </c>
      <c r="U1927" s="30" t="n">
        <f aca="false">R1927-S1927-T1927</f>
        <v>3264.76</v>
      </c>
    </row>
    <row r="1928" customFormat="false" ht="15" hidden="false" customHeight="false" outlineLevel="0" collapsed="false">
      <c r="A1928" s="0" t="n">
        <v>1927</v>
      </c>
      <c r="B1928" s="27" t="n">
        <v>45886</v>
      </c>
      <c r="C1928" s="0" t="n">
        <v>2025</v>
      </c>
      <c r="D1928" s="28" t="s">
        <v>115</v>
      </c>
      <c r="E1928" s="0" t="n">
        <v>8</v>
      </c>
      <c r="F1928" s="28" t="s">
        <v>118</v>
      </c>
      <c r="G1928" s="28" t="s">
        <v>150</v>
      </c>
      <c r="H1928" s="28" t="s">
        <v>96</v>
      </c>
      <c r="I1928" s="28" t="s">
        <v>97</v>
      </c>
      <c r="J1928" s="28" t="s">
        <v>66</v>
      </c>
      <c r="K1928" s="28" t="s">
        <v>76</v>
      </c>
      <c r="L1928" s="28" t="s">
        <v>134</v>
      </c>
      <c r="M1928" s="28" t="s">
        <v>78</v>
      </c>
      <c r="N1928" s="28" t="s">
        <v>135</v>
      </c>
      <c r="O1928" s="29" t="n">
        <v>62</v>
      </c>
      <c r="P1928" s="30" t="n">
        <v>28.11</v>
      </c>
      <c r="Q1928" s="30" t="n">
        <v>13.84</v>
      </c>
      <c r="R1928" s="30" t="n">
        <f aca="false">ROUND(O1928*P1928,2)</f>
        <v>1742.82</v>
      </c>
      <c r="S1928" s="30" t="n">
        <f aca="false">ROUND(O1928*Q1928,2)</f>
        <v>858.08</v>
      </c>
      <c r="T1928" s="30" t="n">
        <f aca="false">ROUND(R1928*SUMIFS(Parametros!$E$23:$E$38,Parametros!$B$23:$B$38,J1928,Parametros!$C$23:$C$38,C1928,Parametros!$D$23:$D$38,D1928),2)</f>
        <v>22.66</v>
      </c>
      <c r="U1928" s="30" t="n">
        <f aca="false">R1928-S1928-T1928</f>
        <v>862.08</v>
      </c>
    </row>
    <row r="1929" customFormat="false" ht="15" hidden="false" customHeight="false" outlineLevel="0" collapsed="false">
      <c r="A1929" s="0" t="n">
        <v>1928</v>
      </c>
      <c r="B1929" s="27" t="n">
        <v>45893</v>
      </c>
      <c r="C1929" s="0" t="n">
        <v>2025</v>
      </c>
      <c r="D1929" s="28" t="s">
        <v>115</v>
      </c>
      <c r="E1929" s="0" t="n">
        <v>8</v>
      </c>
      <c r="F1929" s="28" t="s">
        <v>118</v>
      </c>
      <c r="G1929" s="28" t="s">
        <v>150</v>
      </c>
      <c r="H1929" s="28" t="s">
        <v>96</v>
      </c>
      <c r="I1929" s="28" t="s">
        <v>97</v>
      </c>
      <c r="J1929" s="28" t="s">
        <v>71</v>
      </c>
      <c r="K1929" s="28" t="s">
        <v>76</v>
      </c>
      <c r="L1929" s="28" t="s">
        <v>134</v>
      </c>
      <c r="M1929" s="28" t="s">
        <v>78</v>
      </c>
      <c r="N1929" s="28" t="s">
        <v>135</v>
      </c>
      <c r="O1929" s="29" t="n">
        <v>36</v>
      </c>
      <c r="P1929" s="30" t="n">
        <v>28.11</v>
      </c>
      <c r="Q1929" s="30" t="n">
        <v>13.84</v>
      </c>
      <c r="R1929" s="30" t="n">
        <f aca="false">ROUND(O1929*P1929,2)</f>
        <v>1011.96</v>
      </c>
      <c r="S1929" s="30" t="n">
        <f aca="false">ROUND(O1929*Q1929,2)</f>
        <v>498.24</v>
      </c>
      <c r="T1929" s="30" t="n">
        <f aca="false">ROUND(R1929*SUMIFS(Parametros!$E$23:$E$38,Parametros!$B$23:$B$38,J1929,Parametros!$C$23:$C$38,C1929,Parametros!$D$23:$D$38,D1929),2)</f>
        <v>56.67</v>
      </c>
      <c r="U1929" s="30" t="n">
        <f aca="false">R1929-S1929-T1929</f>
        <v>457.05</v>
      </c>
    </row>
    <row r="1930" customFormat="false" ht="15" hidden="false" customHeight="false" outlineLevel="0" collapsed="false">
      <c r="A1930" s="0" t="n">
        <v>1929</v>
      </c>
      <c r="B1930" s="27" t="n">
        <v>45873</v>
      </c>
      <c r="C1930" s="0" t="n">
        <v>2025</v>
      </c>
      <c r="D1930" s="28" t="s">
        <v>115</v>
      </c>
      <c r="E1930" s="0" t="n">
        <v>8</v>
      </c>
      <c r="F1930" s="28" t="s">
        <v>118</v>
      </c>
      <c r="G1930" s="28" t="s">
        <v>150</v>
      </c>
      <c r="H1930" s="28" t="s">
        <v>96</v>
      </c>
      <c r="I1930" s="28" t="s">
        <v>97</v>
      </c>
      <c r="J1930" s="28" t="s">
        <v>66</v>
      </c>
      <c r="K1930" s="28" t="s">
        <v>76</v>
      </c>
      <c r="L1930" s="28" t="s">
        <v>134</v>
      </c>
      <c r="M1930" s="28" t="s">
        <v>80</v>
      </c>
      <c r="N1930" s="28" t="s">
        <v>136</v>
      </c>
      <c r="O1930" s="29" t="n">
        <v>50</v>
      </c>
      <c r="P1930" s="30" t="n">
        <v>95.38</v>
      </c>
      <c r="Q1930" s="30" t="n">
        <v>49.41</v>
      </c>
      <c r="R1930" s="30" t="n">
        <f aca="false">ROUND(O1930*P1930,2)</f>
        <v>4769</v>
      </c>
      <c r="S1930" s="30" t="n">
        <f aca="false">ROUND(O1930*Q1930,2)</f>
        <v>2470.5</v>
      </c>
      <c r="T1930" s="30" t="n">
        <f aca="false">ROUND(R1930*SUMIFS(Parametros!$E$23:$E$38,Parametros!$B$23:$B$38,J1930,Parametros!$C$23:$C$38,C1930,Parametros!$D$23:$D$38,D1930),2)</f>
        <v>62</v>
      </c>
      <c r="U1930" s="30" t="n">
        <f aca="false">R1930-S1930-T1930</f>
        <v>2236.5</v>
      </c>
    </row>
    <row r="1931" customFormat="false" ht="15" hidden="false" customHeight="false" outlineLevel="0" collapsed="false">
      <c r="A1931" s="0" t="n">
        <v>1930</v>
      </c>
      <c r="B1931" s="27" t="n">
        <v>45880</v>
      </c>
      <c r="C1931" s="0" t="n">
        <v>2025</v>
      </c>
      <c r="D1931" s="28" t="s">
        <v>115</v>
      </c>
      <c r="E1931" s="0" t="n">
        <v>8</v>
      </c>
      <c r="F1931" s="28" t="s">
        <v>118</v>
      </c>
      <c r="G1931" s="28" t="s">
        <v>150</v>
      </c>
      <c r="H1931" s="28" t="s">
        <v>96</v>
      </c>
      <c r="I1931" s="28" t="s">
        <v>97</v>
      </c>
      <c r="J1931" s="28" t="s">
        <v>71</v>
      </c>
      <c r="K1931" s="28" t="s">
        <v>76</v>
      </c>
      <c r="L1931" s="28" t="s">
        <v>134</v>
      </c>
      <c r="M1931" s="28" t="s">
        <v>80</v>
      </c>
      <c r="N1931" s="28" t="s">
        <v>136</v>
      </c>
      <c r="O1931" s="29" t="n">
        <v>35</v>
      </c>
      <c r="P1931" s="30" t="n">
        <v>95.38</v>
      </c>
      <c r="Q1931" s="30" t="n">
        <v>49.41</v>
      </c>
      <c r="R1931" s="30" t="n">
        <f aca="false">ROUND(O1931*P1931,2)</f>
        <v>3338.3</v>
      </c>
      <c r="S1931" s="30" t="n">
        <f aca="false">ROUND(O1931*Q1931,2)</f>
        <v>1729.35</v>
      </c>
      <c r="T1931" s="30" t="n">
        <f aca="false">ROUND(R1931*SUMIFS(Parametros!$E$23:$E$38,Parametros!$B$23:$B$38,J1931,Parametros!$C$23:$C$38,C1931,Parametros!$D$23:$D$38,D1931),2)</f>
        <v>186.94</v>
      </c>
      <c r="U1931" s="30" t="n">
        <f aca="false">R1931-S1931-T1931</f>
        <v>1422.01</v>
      </c>
    </row>
    <row r="1932" customFormat="false" ht="15" hidden="false" customHeight="false" outlineLevel="0" collapsed="false">
      <c r="A1932" s="0" t="n">
        <v>1931</v>
      </c>
      <c r="B1932" s="27" t="n">
        <v>45887</v>
      </c>
      <c r="C1932" s="0" t="n">
        <v>2025</v>
      </c>
      <c r="D1932" s="28" t="s">
        <v>115</v>
      </c>
      <c r="E1932" s="0" t="n">
        <v>8</v>
      </c>
      <c r="F1932" s="28" t="s">
        <v>118</v>
      </c>
      <c r="G1932" s="28" t="s">
        <v>150</v>
      </c>
      <c r="H1932" s="28" t="s">
        <v>96</v>
      </c>
      <c r="I1932" s="28" t="s">
        <v>97</v>
      </c>
      <c r="J1932" s="28" t="s">
        <v>66</v>
      </c>
      <c r="K1932" s="28" t="s">
        <v>76</v>
      </c>
      <c r="L1932" s="28" t="s">
        <v>134</v>
      </c>
      <c r="M1932" s="28" t="s">
        <v>82</v>
      </c>
      <c r="N1932" s="28" t="s">
        <v>137</v>
      </c>
      <c r="O1932" s="29" t="n">
        <v>49</v>
      </c>
      <c r="P1932" s="30" t="n">
        <v>65.26</v>
      </c>
      <c r="Q1932" s="30" t="n">
        <v>36.49</v>
      </c>
      <c r="R1932" s="30" t="n">
        <f aca="false">ROUND(O1932*P1932,2)</f>
        <v>3197.74</v>
      </c>
      <c r="S1932" s="30" t="n">
        <f aca="false">ROUND(O1932*Q1932,2)</f>
        <v>1788.01</v>
      </c>
      <c r="T1932" s="30" t="n">
        <f aca="false">ROUND(R1932*SUMIFS(Parametros!$E$23:$E$38,Parametros!$B$23:$B$38,J1932,Parametros!$C$23:$C$38,C1932,Parametros!$D$23:$D$38,D1932),2)</f>
        <v>41.57</v>
      </c>
      <c r="U1932" s="30" t="n">
        <f aca="false">R1932-S1932-T1932</f>
        <v>1368.16</v>
      </c>
    </row>
    <row r="1933" customFormat="false" ht="15" hidden="false" customHeight="false" outlineLevel="0" collapsed="false">
      <c r="A1933" s="0" t="n">
        <v>1932</v>
      </c>
      <c r="B1933" s="27" t="n">
        <v>45894</v>
      </c>
      <c r="C1933" s="0" t="n">
        <v>2025</v>
      </c>
      <c r="D1933" s="28" t="s">
        <v>115</v>
      </c>
      <c r="E1933" s="0" t="n">
        <v>8</v>
      </c>
      <c r="F1933" s="28" t="s">
        <v>118</v>
      </c>
      <c r="G1933" s="28" t="s">
        <v>150</v>
      </c>
      <c r="H1933" s="28" t="s">
        <v>96</v>
      </c>
      <c r="I1933" s="28" t="s">
        <v>97</v>
      </c>
      <c r="J1933" s="28" t="s">
        <v>71</v>
      </c>
      <c r="K1933" s="28" t="s">
        <v>76</v>
      </c>
      <c r="L1933" s="28" t="s">
        <v>134</v>
      </c>
      <c r="M1933" s="28" t="s">
        <v>82</v>
      </c>
      <c r="N1933" s="28" t="s">
        <v>137</v>
      </c>
      <c r="O1933" s="29" t="n">
        <v>42</v>
      </c>
      <c r="P1933" s="30" t="n">
        <v>65.26</v>
      </c>
      <c r="Q1933" s="30" t="n">
        <v>36.49</v>
      </c>
      <c r="R1933" s="30" t="n">
        <f aca="false">ROUND(O1933*P1933,2)</f>
        <v>2740.92</v>
      </c>
      <c r="S1933" s="30" t="n">
        <f aca="false">ROUND(O1933*Q1933,2)</f>
        <v>1532.58</v>
      </c>
      <c r="T1933" s="30" t="n">
        <f aca="false">ROUND(R1933*SUMIFS(Parametros!$E$23:$E$38,Parametros!$B$23:$B$38,J1933,Parametros!$C$23:$C$38,C1933,Parametros!$D$23:$D$38,D1933),2)</f>
        <v>153.49</v>
      </c>
      <c r="U1933" s="30" t="n">
        <f aca="false">R1933-S1933-T1933</f>
        <v>1054.85</v>
      </c>
    </row>
    <row r="1934" customFormat="false" ht="15" hidden="false" customHeight="false" outlineLevel="0" collapsed="false">
      <c r="A1934" s="0" t="n">
        <v>1933</v>
      </c>
      <c r="B1934" s="27" t="n">
        <v>45874</v>
      </c>
      <c r="C1934" s="0" t="n">
        <v>2025</v>
      </c>
      <c r="D1934" s="28" t="s">
        <v>115</v>
      </c>
      <c r="E1934" s="0" t="n">
        <v>8</v>
      </c>
      <c r="F1934" s="28" t="s">
        <v>118</v>
      </c>
      <c r="G1934" s="28" t="s">
        <v>150</v>
      </c>
      <c r="H1934" s="28" t="s">
        <v>96</v>
      </c>
      <c r="I1934" s="28" t="s">
        <v>97</v>
      </c>
      <c r="J1934" s="28" t="s">
        <v>66</v>
      </c>
      <c r="K1934" s="28" t="s">
        <v>84</v>
      </c>
      <c r="L1934" s="28" t="s">
        <v>138</v>
      </c>
      <c r="M1934" s="28" t="s">
        <v>86</v>
      </c>
      <c r="N1934" s="28" t="s">
        <v>139</v>
      </c>
      <c r="O1934" s="29" t="n">
        <v>28</v>
      </c>
      <c r="P1934" s="30" t="n">
        <v>120.47</v>
      </c>
      <c r="Q1934" s="30" t="n">
        <v>65.51</v>
      </c>
      <c r="R1934" s="30" t="n">
        <f aca="false">ROUND(O1934*P1934,2)</f>
        <v>3373.16</v>
      </c>
      <c r="S1934" s="30" t="n">
        <f aca="false">ROUND(O1934*Q1934,2)</f>
        <v>1834.28</v>
      </c>
      <c r="T1934" s="30" t="n">
        <f aca="false">ROUND(R1934*SUMIFS(Parametros!$E$23:$E$38,Parametros!$B$23:$B$38,J1934,Parametros!$C$23:$C$38,C1934,Parametros!$D$23:$D$38,D1934),2)</f>
        <v>43.85</v>
      </c>
      <c r="U1934" s="30" t="n">
        <f aca="false">R1934-S1934-T1934</f>
        <v>1495.03</v>
      </c>
    </row>
    <row r="1935" customFormat="false" ht="15" hidden="false" customHeight="false" outlineLevel="0" collapsed="false">
      <c r="A1935" s="0" t="n">
        <v>1934</v>
      </c>
      <c r="B1935" s="27" t="n">
        <v>45881</v>
      </c>
      <c r="C1935" s="0" t="n">
        <v>2025</v>
      </c>
      <c r="D1935" s="28" t="s">
        <v>115</v>
      </c>
      <c r="E1935" s="0" t="n">
        <v>8</v>
      </c>
      <c r="F1935" s="28" t="s">
        <v>118</v>
      </c>
      <c r="G1935" s="28" t="s">
        <v>150</v>
      </c>
      <c r="H1935" s="28" t="s">
        <v>96</v>
      </c>
      <c r="I1935" s="28" t="s">
        <v>97</v>
      </c>
      <c r="J1935" s="28" t="s">
        <v>71</v>
      </c>
      <c r="K1935" s="28" t="s">
        <v>84</v>
      </c>
      <c r="L1935" s="28" t="s">
        <v>138</v>
      </c>
      <c r="M1935" s="28" t="s">
        <v>86</v>
      </c>
      <c r="N1935" s="28" t="s">
        <v>139</v>
      </c>
      <c r="O1935" s="29" t="n">
        <v>17</v>
      </c>
      <c r="P1935" s="30" t="n">
        <v>120.47</v>
      </c>
      <c r="Q1935" s="30" t="n">
        <v>65.51</v>
      </c>
      <c r="R1935" s="30" t="n">
        <f aca="false">ROUND(O1935*P1935,2)</f>
        <v>2047.99</v>
      </c>
      <c r="S1935" s="30" t="n">
        <f aca="false">ROUND(O1935*Q1935,2)</f>
        <v>1113.67</v>
      </c>
      <c r="T1935" s="30" t="n">
        <f aca="false">ROUND(R1935*SUMIFS(Parametros!$E$23:$E$38,Parametros!$B$23:$B$38,J1935,Parametros!$C$23:$C$38,C1935,Parametros!$D$23:$D$38,D1935),2)</f>
        <v>114.69</v>
      </c>
      <c r="U1935" s="30" t="n">
        <f aca="false">R1935-S1935-T1935</f>
        <v>819.63</v>
      </c>
    </row>
    <row r="1936" customFormat="false" ht="15" hidden="false" customHeight="false" outlineLevel="0" collapsed="false">
      <c r="A1936" s="0" t="n">
        <v>1935</v>
      </c>
      <c r="B1936" s="27" t="n">
        <v>45888</v>
      </c>
      <c r="C1936" s="0" t="n">
        <v>2025</v>
      </c>
      <c r="D1936" s="28" t="s">
        <v>115</v>
      </c>
      <c r="E1936" s="0" t="n">
        <v>8</v>
      </c>
      <c r="F1936" s="28" t="s">
        <v>118</v>
      </c>
      <c r="G1936" s="28" t="s">
        <v>150</v>
      </c>
      <c r="H1936" s="28" t="s">
        <v>96</v>
      </c>
      <c r="I1936" s="28" t="s">
        <v>97</v>
      </c>
      <c r="J1936" s="28" t="s">
        <v>66</v>
      </c>
      <c r="K1936" s="28" t="s">
        <v>84</v>
      </c>
      <c r="L1936" s="28" t="s">
        <v>138</v>
      </c>
      <c r="M1936" s="28" t="s">
        <v>88</v>
      </c>
      <c r="N1936" s="28" t="s">
        <v>140</v>
      </c>
      <c r="O1936" s="29" t="n">
        <v>24</v>
      </c>
      <c r="P1936" s="30" t="n">
        <v>85.34</v>
      </c>
      <c r="Q1936" s="30" t="n">
        <v>49.47</v>
      </c>
      <c r="R1936" s="30" t="n">
        <f aca="false">ROUND(O1936*P1936,2)</f>
        <v>2048.16</v>
      </c>
      <c r="S1936" s="30" t="n">
        <f aca="false">ROUND(O1936*Q1936,2)</f>
        <v>1187.28</v>
      </c>
      <c r="T1936" s="30" t="n">
        <f aca="false">ROUND(R1936*SUMIFS(Parametros!$E$23:$E$38,Parametros!$B$23:$B$38,J1936,Parametros!$C$23:$C$38,C1936,Parametros!$D$23:$D$38,D1936),2)</f>
        <v>26.63</v>
      </c>
      <c r="U1936" s="30" t="n">
        <f aca="false">R1936-S1936-T1936</f>
        <v>834.25</v>
      </c>
    </row>
    <row r="1937" customFormat="false" ht="15" hidden="false" customHeight="false" outlineLevel="0" collapsed="false">
      <c r="A1937" s="0" t="n">
        <v>1936</v>
      </c>
      <c r="B1937" s="27" t="n">
        <v>45895</v>
      </c>
      <c r="C1937" s="0" t="n">
        <v>2025</v>
      </c>
      <c r="D1937" s="28" t="s">
        <v>115</v>
      </c>
      <c r="E1937" s="0" t="n">
        <v>8</v>
      </c>
      <c r="F1937" s="28" t="s">
        <v>118</v>
      </c>
      <c r="G1937" s="28" t="s">
        <v>150</v>
      </c>
      <c r="H1937" s="28" t="s">
        <v>96</v>
      </c>
      <c r="I1937" s="28" t="s">
        <v>97</v>
      </c>
      <c r="J1937" s="28" t="s">
        <v>71</v>
      </c>
      <c r="K1937" s="28" t="s">
        <v>84</v>
      </c>
      <c r="L1937" s="28" t="s">
        <v>138</v>
      </c>
      <c r="M1937" s="28" t="s">
        <v>88</v>
      </c>
      <c r="N1937" s="28" t="s">
        <v>140</v>
      </c>
      <c r="O1937" s="29" t="n">
        <v>15</v>
      </c>
      <c r="P1937" s="30" t="n">
        <v>85.34</v>
      </c>
      <c r="Q1937" s="30" t="n">
        <v>49.47</v>
      </c>
      <c r="R1937" s="30" t="n">
        <f aca="false">ROUND(O1937*P1937,2)</f>
        <v>1280.1</v>
      </c>
      <c r="S1937" s="30" t="n">
        <f aca="false">ROUND(O1937*Q1937,2)</f>
        <v>742.05</v>
      </c>
      <c r="T1937" s="30" t="n">
        <f aca="false">ROUND(R1937*SUMIFS(Parametros!$E$23:$E$38,Parametros!$B$23:$B$38,J1937,Parametros!$C$23:$C$38,C1937,Parametros!$D$23:$D$38,D1937),2)</f>
        <v>71.69</v>
      </c>
      <c r="U1937" s="30" t="n">
        <f aca="false">R1937-S1937-T1937</f>
        <v>466.36</v>
      </c>
    </row>
    <row r="1938" customFormat="false" ht="15" hidden="false" customHeight="false" outlineLevel="0" collapsed="false">
      <c r="A1938" s="0" t="n">
        <v>1937</v>
      </c>
      <c r="B1938" s="27" t="n">
        <v>45875</v>
      </c>
      <c r="C1938" s="0" t="n">
        <v>2025</v>
      </c>
      <c r="D1938" s="28" t="s">
        <v>115</v>
      </c>
      <c r="E1938" s="0" t="n">
        <v>8</v>
      </c>
      <c r="F1938" s="28" t="s">
        <v>118</v>
      </c>
      <c r="G1938" s="28" t="s">
        <v>150</v>
      </c>
      <c r="H1938" s="28" t="s">
        <v>96</v>
      </c>
      <c r="I1938" s="28" t="s">
        <v>97</v>
      </c>
      <c r="J1938" s="28" t="s">
        <v>66</v>
      </c>
      <c r="K1938" s="28" t="s">
        <v>90</v>
      </c>
      <c r="L1938" s="28" t="s">
        <v>141</v>
      </c>
      <c r="M1938" s="28" t="s">
        <v>92</v>
      </c>
      <c r="N1938" s="28" t="s">
        <v>142</v>
      </c>
      <c r="O1938" s="29" t="n">
        <v>34</v>
      </c>
      <c r="P1938" s="30" t="n">
        <v>130.51</v>
      </c>
      <c r="Q1938" s="30" t="n">
        <v>78.33</v>
      </c>
      <c r="R1938" s="30" t="n">
        <f aca="false">ROUND(O1938*P1938,2)</f>
        <v>4437.34</v>
      </c>
      <c r="S1938" s="30" t="n">
        <f aca="false">ROUND(O1938*Q1938,2)</f>
        <v>2663.22</v>
      </c>
      <c r="T1938" s="30" t="n">
        <f aca="false">ROUND(R1938*SUMIFS(Parametros!$E$23:$E$38,Parametros!$B$23:$B$38,J1938,Parametros!$C$23:$C$38,C1938,Parametros!$D$23:$D$38,D1938),2)</f>
        <v>57.69</v>
      </c>
      <c r="U1938" s="30" t="n">
        <f aca="false">R1938-S1938-T1938</f>
        <v>1716.43</v>
      </c>
    </row>
    <row r="1939" customFormat="false" ht="15" hidden="false" customHeight="false" outlineLevel="0" collapsed="false">
      <c r="A1939" s="0" t="n">
        <v>1938</v>
      </c>
      <c r="B1939" s="27" t="n">
        <v>45882</v>
      </c>
      <c r="C1939" s="0" t="n">
        <v>2025</v>
      </c>
      <c r="D1939" s="28" t="s">
        <v>115</v>
      </c>
      <c r="E1939" s="0" t="n">
        <v>8</v>
      </c>
      <c r="F1939" s="28" t="s">
        <v>118</v>
      </c>
      <c r="G1939" s="28" t="s">
        <v>150</v>
      </c>
      <c r="H1939" s="28" t="s">
        <v>96</v>
      </c>
      <c r="I1939" s="28" t="s">
        <v>97</v>
      </c>
      <c r="J1939" s="28" t="s">
        <v>71</v>
      </c>
      <c r="K1939" s="28" t="s">
        <v>90</v>
      </c>
      <c r="L1939" s="28" t="s">
        <v>141</v>
      </c>
      <c r="M1939" s="28" t="s">
        <v>92</v>
      </c>
      <c r="N1939" s="28" t="s">
        <v>142</v>
      </c>
      <c r="O1939" s="29" t="n">
        <v>18</v>
      </c>
      <c r="P1939" s="30" t="n">
        <v>130.51</v>
      </c>
      <c r="Q1939" s="30" t="n">
        <v>78.33</v>
      </c>
      <c r="R1939" s="30" t="n">
        <f aca="false">ROUND(O1939*P1939,2)</f>
        <v>2349.18</v>
      </c>
      <c r="S1939" s="30" t="n">
        <f aca="false">ROUND(O1939*Q1939,2)</f>
        <v>1409.94</v>
      </c>
      <c r="T1939" s="30" t="n">
        <f aca="false">ROUND(R1939*SUMIFS(Parametros!$E$23:$E$38,Parametros!$B$23:$B$38,J1939,Parametros!$C$23:$C$38,C1939,Parametros!$D$23:$D$38,D1939),2)</f>
        <v>131.55</v>
      </c>
      <c r="U1939" s="30" t="n">
        <f aca="false">R1939-S1939-T1939</f>
        <v>807.69</v>
      </c>
    </row>
    <row r="1940" customFormat="false" ht="15" hidden="false" customHeight="false" outlineLevel="0" collapsed="false">
      <c r="A1940" s="0" t="n">
        <v>1939</v>
      </c>
      <c r="B1940" s="27" t="n">
        <v>45889</v>
      </c>
      <c r="C1940" s="0" t="n">
        <v>2025</v>
      </c>
      <c r="D1940" s="28" t="s">
        <v>115</v>
      </c>
      <c r="E1940" s="0" t="n">
        <v>8</v>
      </c>
      <c r="F1940" s="28" t="s">
        <v>118</v>
      </c>
      <c r="G1940" s="28" t="s">
        <v>150</v>
      </c>
      <c r="H1940" s="28" t="s">
        <v>96</v>
      </c>
      <c r="I1940" s="28" t="s">
        <v>97</v>
      </c>
      <c r="J1940" s="28" t="s">
        <v>66</v>
      </c>
      <c r="K1940" s="28" t="s">
        <v>90</v>
      </c>
      <c r="L1940" s="28" t="s">
        <v>141</v>
      </c>
      <c r="M1940" s="28" t="s">
        <v>94</v>
      </c>
      <c r="N1940" s="28" t="s">
        <v>143</v>
      </c>
      <c r="O1940" s="29" t="n">
        <v>36</v>
      </c>
      <c r="P1940" s="30" t="n">
        <v>35.14</v>
      </c>
      <c r="Q1940" s="30" t="n">
        <v>18.39</v>
      </c>
      <c r="R1940" s="30" t="n">
        <f aca="false">ROUND(O1940*P1940,2)</f>
        <v>1265.04</v>
      </c>
      <c r="S1940" s="30" t="n">
        <f aca="false">ROUND(O1940*Q1940,2)</f>
        <v>662.04</v>
      </c>
      <c r="T1940" s="30" t="n">
        <f aca="false">ROUND(R1940*SUMIFS(Parametros!$E$23:$E$38,Parametros!$B$23:$B$38,J1940,Parametros!$C$23:$C$38,C1940,Parametros!$D$23:$D$38,D1940),2)</f>
        <v>16.45</v>
      </c>
      <c r="U1940" s="30" t="n">
        <f aca="false">R1940-S1940-T1940</f>
        <v>586.55</v>
      </c>
    </row>
    <row r="1941" customFormat="false" ht="15" hidden="false" customHeight="false" outlineLevel="0" collapsed="false">
      <c r="A1941" s="0" t="n">
        <v>1940</v>
      </c>
      <c r="B1941" s="27" t="n">
        <v>45896</v>
      </c>
      <c r="C1941" s="0" t="n">
        <v>2025</v>
      </c>
      <c r="D1941" s="28" t="s">
        <v>115</v>
      </c>
      <c r="E1941" s="0" t="n">
        <v>8</v>
      </c>
      <c r="F1941" s="28" t="s">
        <v>118</v>
      </c>
      <c r="G1941" s="28" t="s">
        <v>150</v>
      </c>
      <c r="H1941" s="28" t="s">
        <v>96</v>
      </c>
      <c r="I1941" s="28" t="s">
        <v>97</v>
      </c>
      <c r="J1941" s="28" t="s">
        <v>71</v>
      </c>
      <c r="K1941" s="28" t="s">
        <v>90</v>
      </c>
      <c r="L1941" s="28" t="s">
        <v>141</v>
      </c>
      <c r="M1941" s="28" t="s">
        <v>94</v>
      </c>
      <c r="N1941" s="28" t="s">
        <v>143</v>
      </c>
      <c r="O1941" s="29" t="n">
        <v>25</v>
      </c>
      <c r="P1941" s="30" t="n">
        <v>35.14</v>
      </c>
      <c r="Q1941" s="30" t="n">
        <v>18.39</v>
      </c>
      <c r="R1941" s="30" t="n">
        <f aca="false">ROUND(O1941*P1941,2)</f>
        <v>878.5</v>
      </c>
      <c r="S1941" s="30" t="n">
        <f aca="false">ROUND(O1941*Q1941,2)</f>
        <v>459.75</v>
      </c>
      <c r="T1941" s="30" t="n">
        <f aca="false">ROUND(R1941*SUMIFS(Parametros!$E$23:$E$38,Parametros!$B$23:$B$38,J1941,Parametros!$C$23:$C$38,C1941,Parametros!$D$23:$D$38,D1941),2)</f>
        <v>49.2</v>
      </c>
      <c r="U1941" s="30" t="n">
        <f aca="false">R1941-S1941-T1941</f>
        <v>369.55</v>
      </c>
    </row>
    <row r="1942" customFormat="false" ht="15" hidden="false" customHeight="false" outlineLevel="0" collapsed="false">
      <c r="A1942" s="0" t="n">
        <v>1941</v>
      </c>
      <c r="B1942" s="27" t="n">
        <v>45876</v>
      </c>
      <c r="C1942" s="0" t="n">
        <v>2025</v>
      </c>
      <c r="D1942" s="28" t="s">
        <v>115</v>
      </c>
      <c r="E1942" s="0" t="n">
        <v>8</v>
      </c>
      <c r="F1942" s="28" t="s">
        <v>118</v>
      </c>
      <c r="G1942" s="28" t="s">
        <v>150</v>
      </c>
      <c r="H1942" s="28" t="s">
        <v>98</v>
      </c>
      <c r="I1942" s="28" t="s">
        <v>99</v>
      </c>
      <c r="J1942" s="28" t="s">
        <v>66</v>
      </c>
      <c r="K1942" s="28" t="s">
        <v>67</v>
      </c>
      <c r="L1942" s="28" t="s">
        <v>130</v>
      </c>
      <c r="M1942" s="28" t="s">
        <v>69</v>
      </c>
      <c r="N1942" s="28" t="s">
        <v>131</v>
      </c>
      <c r="O1942" s="29" t="n">
        <v>9</v>
      </c>
      <c r="P1942" s="30" t="n">
        <v>1204.74</v>
      </c>
      <c r="Q1942" s="30" t="n">
        <v>766.32</v>
      </c>
      <c r="R1942" s="30" t="n">
        <f aca="false">ROUND(O1942*P1942,2)</f>
        <v>10842.66</v>
      </c>
      <c r="S1942" s="30" t="n">
        <f aca="false">ROUND(O1942*Q1942,2)</f>
        <v>6896.88</v>
      </c>
      <c r="T1942" s="30" t="n">
        <f aca="false">ROUND(R1942*SUMIFS(Parametros!$E$23:$E$38,Parametros!$B$23:$B$38,J1942,Parametros!$C$23:$C$38,C1942,Parametros!$D$23:$D$38,D1942),2)</f>
        <v>140.95</v>
      </c>
      <c r="U1942" s="30" t="n">
        <f aca="false">R1942-S1942-T1942</f>
        <v>3804.83</v>
      </c>
    </row>
    <row r="1943" customFormat="false" ht="15" hidden="false" customHeight="false" outlineLevel="0" collapsed="false">
      <c r="A1943" s="0" t="n">
        <v>1942</v>
      </c>
      <c r="B1943" s="27" t="n">
        <v>45883</v>
      </c>
      <c r="C1943" s="0" t="n">
        <v>2025</v>
      </c>
      <c r="D1943" s="28" t="s">
        <v>115</v>
      </c>
      <c r="E1943" s="0" t="n">
        <v>8</v>
      </c>
      <c r="F1943" s="28" t="s">
        <v>118</v>
      </c>
      <c r="G1943" s="28" t="s">
        <v>150</v>
      </c>
      <c r="H1943" s="28" t="s">
        <v>98</v>
      </c>
      <c r="I1943" s="28" t="s">
        <v>99</v>
      </c>
      <c r="J1943" s="28" t="s">
        <v>71</v>
      </c>
      <c r="K1943" s="28" t="s">
        <v>67</v>
      </c>
      <c r="L1943" s="28" t="s">
        <v>130</v>
      </c>
      <c r="M1943" s="28" t="s">
        <v>69</v>
      </c>
      <c r="N1943" s="28" t="s">
        <v>131</v>
      </c>
      <c r="O1943" s="29" t="n">
        <v>6</v>
      </c>
      <c r="P1943" s="30" t="n">
        <v>1204.74</v>
      </c>
      <c r="Q1943" s="30" t="n">
        <v>766.32</v>
      </c>
      <c r="R1943" s="30" t="n">
        <f aca="false">ROUND(O1943*P1943,2)</f>
        <v>7228.44</v>
      </c>
      <c r="S1943" s="30" t="n">
        <f aca="false">ROUND(O1943*Q1943,2)</f>
        <v>4597.92</v>
      </c>
      <c r="T1943" s="30" t="n">
        <f aca="false">ROUND(R1943*SUMIFS(Parametros!$E$23:$E$38,Parametros!$B$23:$B$38,J1943,Parametros!$C$23:$C$38,C1943,Parametros!$D$23:$D$38,D1943),2)</f>
        <v>404.79</v>
      </c>
      <c r="U1943" s="30" t="n">
        <f aca="false">R1943-S1943-T1943</f>
        <v>2225.73</v>
      </c>
    </row>
    <row r="1944" customFormat="false" ht="15" hidden="false" customHeight="false" outlineLevel="0" collapsed="false">
      <c r="A1944" s="0" t="n">
        <v>1943</v>
      </c>
      <c r="B1944" s="27" t="n">
        <v>45890</v>
      </c>
      <c r="C1944" s="0" t="n">
        <v>2025</v>
      </c>
      <c r="D1944" s="28" t="s">
        <v>115</v>
      </c>
      <c r="E1944" s="0" t="n">
        <v>8</v>
      </c>
      <c r="F1944" s="28" t="s">
        <v>118</v>
      </c>
      <c r="G1944" s="28" t="s">
        <v>150</v>
      </c>
      <c r="H1944" s="28" t="s">
        <v>98</v>
      </c>
      <c r="I1944" s="28" t="s">
        <v>99</v>
      </c>
      <c r="J1944" s="28" t="s">
        <v>66</v>
      </c>
      <c r="K1944" s="28" t="s">
        <v>67</v>
      </c>
      <c r="L1944" s="28" t="s">
        <v>130</v>
      </c>
      <c r="M1944" s="28" t="s">
        <v>72</v>
      </c>
      <c r="N1944" s="28" t="s">
        <v>132</v>
      </c>
      <c r="O1944" s="29" t="n">
        <v>9</v>
      </c>
      <c r="P1944" s="30" t="n">
        <v>451.78</v>
      </c>
      <c r="Q1944" s="30" t="n">
        <v>280.42</v>
      </c>
      <c r="R1944" s="30" t="n">
        <f aca="false">ROUND(O1944*P1944,2)</f>
        <v>4066.02</v>
      </c>
      <c r="S1944" s="30" t="n">
        <f aca="false">ROUND(O1944*Q1944,2)</f>
        <v>2523.78</v>
      </c>
      <c r="T1944" s="30" t="n">
        <f aca="false">ROUND(R1944*SUMIFS(Parametros!$E$23:$E$38,Parametros!$B$23:$B$38,J1944,Parametros!$C$23:$C$38,C1944,Parametros!$D$23:$D$38,D1944),2)</f>
        <v>52.86</v>
      </c>
      <c r="U1944" s="30" t="n">
        <f aca="false">R1944-S1944-T1944</f>
        <v>1489.38</v>
      </c>
    </row>
    <row r="1945" customFormat="false" ht="15" hidden="false" customHeight="false" outlineLevel="0" collapsed="false">
      <c r="A1945" s="0" t="n">
        <v>1944</v>
      </c>
      <c r="B1945" s="27" t="n">
        <v>45870</v>
      </c>
      <c r="C1945" s="0" t="n">
        <v>2025</v>
      </c>
      <c r="D1945" s="28" t="s">
        <v>115</v>
      </c>
      <c r="E1945" s="0" t="n">
        <v>8</v>
      </c>
      <c r="F1945" s="28" t="s">
        <v>118</v>
      </c>
      <c r="G1945" s="28" t="s">
        <v>150</v>
      </c>
      <c r="H1945" s="28" t="s">
        <v>98</v>
      </c>
      <c r="I1945" s="28" t="s">
        <v>99</v>
      </c>
      <c r="J1945" s="28" t="s">
        <v>71</v>
      </c>
      <c r="K1945" s="28" t="s">
        <v>67</v>
      </c>
      <c r="L1945" s="28" t="s">
        <v>130</v>
      </c>
      <c r="M1945" s="28" t="s">
        <v>72</v>
      </c>
      <c r="N1945" s="28" t="s">
        <v>132</v>
      </c>
      <c r="O1945" s="29" t="n">
        <v>6</v>
      </c>
      <c r="P1945" s="30" t="n">
        <v>451.78</v>
      </c>
      <c r="Q1945" s="30" t="n">
        <v>280.42</v>
      </c>
      <c r="R1945" s="30" t="n">
        <f aca="false">ROUND(O1945*P1945,2)</f>
        <v>2710.68</v>
      </c>
      <c r="S1945" s="30" t="n">
        <f aca="false">ROUND(O1945*Q1945,2)</f>
        <v>1682.52</v>
      </c>
      <c r="T1945" s="30" t="n">
        <f aca="false">ROUND(R1945*SUMIFS(Parametros!$E$23:$E$38,Parametros!$B$23:$B$38,J1945,Parametros!$C$23:$C$38,C1945,Parametros!$D$23:$D$38,D1945),2)</f>
        <v>151.8</v>
      </c>
      <c r="U1945" s="30" t="n">
        <f aca="false">R1945-S1945-T1945</f>
        <v>876.36</v>
      </c>
    </row>
    <row r="1946" customFormat="false" ht="15" hidden="false" customHeight="false" outlineLevel="0" collapsed="false">
      <c r="A1946" s="0" t="n">
        <v>1945</v>
      </c>
      <c r="B1946" s="27" t="n">
        <v>45877</v>
      </c>
      <c r="C1946" s="0" t="n">
        <v>2025</v>
      </c>
      <c r="D1946" s="28" t="s">
        <v>115</v>
      </c>
      <c r="E1946" s="0" t="n">
        <v>8</v>
      </c>
      <c r="F1946" s="28" t="s">
        <v>118</v>
      </c>
      <c r="G1946" s="28" t="s">
        <v>150</v>
      </c>
      <c r="H1946" s="28" t="s">
        <v>98</v>
      </c>
      <c r="I1946" s="28" t="s">
        <v>99</v>
      </c>
      <c r="J1946" s="28" t="s">
        <v>66</v>
      </c>
      <c r="K1946" s="28" t="s">
        <v>67</v>
      </c>
      <c r="L1946" s="28" t="s">
        <v>130</v>
      </c>
      <c r="M1946" s="28" t="s">
        <v>74</v>
      </c>
      <c r="N1946" s="28" t="s">
        <v>133</v>
      </c>
      <c r="O1946" s="29" t="n">
        <v>10</v>
      </c>
      <c r="P1946" s="30" t="n">
        <v>1656.52</v>
      </c>
      <c r="Q1946" s="30" t="n">
        <v>1155.66</v>
      </c>
      <c r="R1946" s="30" t="n">
        <f aca="false">ROUND(O1946*P1946,2)</f>
        <v>16565.2</v>
      </c>
      <c r="S1946" s="30" t="n">
        <f aca="false">ROUND(O1946*Q1946,2)</f>
        <v>11556.6</v>
      </c>
      <c r="T1946" s="30" t="n">
        <f aca="false">ROUND(R1946*SUMIFS(Parametros!$E$23:$E$38,Parametros!$B$23:$B$38,J1946,Parametros!$C$23:$C$38,C1946,Parametros!$D$23:$D$38,D1946),2)</f>
        <v>215.35</v>
      </c>
      <c r="U1946" s="30" t="n">
        <f aca="false">R1946-S1946-T1946</f>
        <v>4793.25</v>
      </c>
    </row>
    <row r="1947" customFormat="false" ht="15" hidden="false" customHeight="false" outlineLevel="0" collapsed="false">
      <c r="A1947" s="0" t="n">
        <v>1946</v>
      </c>
      <c r="B1947" s="27" t="n">
        <v>45884</v>
      </c>
      <c r="C1947" s="0" t="n">
        <v>2025</v>
      </c>
      <c r="D1947" s="28" t="s">
        <v>115</v>
      </c>
      <c r="E1947" s="0" t="n">
        <v>8</v>
      </c>
      <c r="F1947" s="28" t="s">
        <v>118</v>
      </c>
      <c r="G1947" s="28" t="s">
        <v>150</v>
      </c>
      <c r="H1947" s="28" t="s">
        <v>98</v>
      </c>
      <c r="I1947" s="28" t="s">
        <v>99</v>
      </c>
      <c r="J1947" s="28" t="s">
        <v>71</v>
      </c>
      <c r="K1947" s="28" t="s">
        <v>67</v>
      </c>
      <c r="L1947" s="28" t="s">
        <v>130</v>
      </c>
      <c r="M1947" s="28" t="s">
        <v>74</v>
      </c>
      <c r="N1947" s="28" t="s">
        <v>133</v>
      </c>
      <c r="O1947" s="29" t="n">
        <v>5</v>
      </c>
      <c r="P1947" s="30" t="n">
        <v>1656.52</v>
      </c>
      <c r="Q1947" s="30" t="n">
        <v>1155.66</v>
      </c>
      <c r="R1947" s="30" t="n">
        <f aca="false">ROUND(O1947*P1947,2)</f>
        <v>8282.6</v>
      </c>
      <c r="S1947" s="30" t="n">
        <f aca="false">ROUND(O1947*Q1947,2)</f>
        <v>5778.3</v>
      </c>
      <c r="T1947" s="30" t="n">
        <f aca="false">ROUND(R1947*SUMIFS(Parametros!$E$23:$E$38,Parametros!$B$23:$B$38,J1947,Parametros!$C$23:$C$38,C1947,Parametros!$D$23:$D$38,D1947),2)</f>
        <v>463.83</v>
      </c>
      <c r="U1947" s="30" t="n">
        <f aca="false">R1947-S1947-T1947</f>
        <v>2040.47</v>
      </c>
    </row>
    <row r="1948" customFormat="false" ht="15" hidden="false" customHeight="false" outlineLevel="0" collapsed="false">
      <c r="A1948" s="0" t="n">
        <v>1947</v>
      </c>
      <c r="B1948" s="27" t="n">
        <v>45891</v>
      </c>
      <c r="C1948" s="0" t="n">
        <v>2025</v>
      </c>
      <c r="D1948" s="28" t="s">
        <v>115</v>
      </c>
      <c r="E1948" s="0" t="n">
        <v>8</v>
      </c>
      <c r="F1948" s="28" t="s">
        <v>118</v>
      </c>
      <c r="G1948" s="28" t="s">
        <v>150</v>
      </c>
      <c r="H1948" s="28" t="s">
        <v>98</v>
      </c>
      <c r="I1948" s="28" t="s">
        <v>99</v>
      </c>
      <c r="J1948" s="28" t="s">
        <v>66</v>
      </c>
      <c r="K1948" s="28" t="s">
        <v>76</v>
      </c>
      <c r="L1948" s="28" t="s">
        <v>134</v>
      </c>
      <c r="M1948" s="28" t="s">
        <v>78</v>
      </c>
      <c r="N1948" s="28" t="s">
        <v>135</v>
      </c>
      <c r="O1948" s="29" t="n">
        <v>36</v>
      </c>
      <c r="P1948" s="30" t="n">
        <v>28.11</v>
      </c>
      <c r="Q1948" s="30" t="n">
        <v>13.84</v>
      </c>
      <c r="R1948" s="30" t="n">
        <f aca="false">ROUND(O1948*P1948,2)</f>
        <v>1011.96</v>
      </c>
      <c r="S1948" s="30" t="n">
        <f aca="false">ROUND(O1948*Q1948,2)</f>
        <v>498.24</v>
      </c>
      <c r="T1948" s="30" t="n">
        <f aca="false">ROUND(R1948*SUMIFS(Parametros!$E$23:$E$38,Parametros!$B$23:$B$38,J1948,Parametros!$C$23:$C$38,C1948,Parametros!$D$23:$D$38,D1948),2)</f>
        <v>13.16</v>
      </c>
      <c r="U1948" s="30" t="n">
        <f aca="false">R1948-S1948-T1948</f>
        <v>500.56</v>
      </c>
    </row>
    <row r="1949" customFormat="false" ht="15" hidden="false" customHeight="false" outlineLevel="0" collapsed="false">
      <c r="A1949" s="0" t="n">
        <v>1948</v>
      </c>
      <c r="B1949" s="27" t="n">
        <v>45871</v>
      </c>
      <c r="C1949" s="0" t="n">
        <v>2025</v>
      </c>
      <c r="D1949" s="28" t="s">
        <v>115</v>
      </c>
      <c r="E1949" s="0" t="n">
        <v>8</v>
      </c>
      <c r="F1949" s="28" t="s">
        <v>118</v>
      </c>
      <c r="G1949" s="28" t="s">
        <v>150</v>
      </c>
      <c r="H1949" s="28" t="s">
        <v>98</v>
      </c>
      <c r="I1949" s="28" t="s">
        <v>99</v>
      </c>
      <c r="J1949" s="28" t="s">
        <v>71</v>
      </c>
      <c r="K1949" s="28" t="s">
        <v>76</v>
      </c>
      <c r="L1949" s="28" t="s">
        <v>134</v>
      </c>
      <c r="M1949" s="28" t="s">
        <v>78</v>
      </c>
      <c r="N1949" s="28" t="s">
        <v>135</v>
      </c>
      <c r="O1949" s="29" t="n">
        <v>25</v>
      </c>
      <c r="P1949" s="30" t="n">
        <v>28.11</v>
      </c>
      <c r="Q1949" s="30" t="n">
        <v>13.84</v>
      </c>
      <c r="R1949" s="30" t="n">
        <f aca="false">ROUND(O1949*P1949,2)</f>
        <v>702.75</v>
      </c>
      <c r="S1949" s="30" t="n">
        <f aca="false">ROUND(O1949*Q1949,2)</f>
        <v>346</v>
      </c>
      <c r="T1949" s="30" t="n">
        <f aca="false">ROUND(R1949*SUMIFS(Parametros!$E$23:$E$38,Parametros!$B$23:$B$38,J1949,Parametros!$C$23:$C$38,C1949,Parametros!$D$23:$D$38,D1949),2)</f>
        <v>39.35</v>
      </c>
      <c r="U1949" s="30" t="n">
        <f aca="false">R1949-S1949-T1949</f>
        <v>317.4</v>
      </c>
    </row>
    <row r="1950" customFormat="false" ht="15" hidden="false" customHeight="false" outlineLevel="0" collapsed="false">
      <c r="A1950" s="0" t="n">
        <v>1949</v>
      </c>
      <c r="B1950" s="27" t="n">
        <v>45878</v>
      </c>
      <c r="C1950" s="0" t="n">
        <v>2025</v>
      </c>
      <c r="D1950" s="28" t="s">
        <v>115</v>
      </c>
      <c r="E1950" s="0" t="n">
        <v>8</v>
      </c>
      <c r="F1950" s="28" t="s">
        <v>118</v>
      </c>
      <c r="G1950" s="28" t="s">
        <v>150</v>
      </c>
      <c r="H1950" s="28" t="s">
        <v>98</v>
      </c>
      <c r="I1950" s="28" t="s">
        <v>99</v>
      </c>
      <c r="J1950" s="28" t="s">
        <v>66</v>
      </c>
      <c r="K1950" s="28" t="s">
        <v>76</v>
      </c>
      <c r="L1950" s="28" t="s">
        <v>134</v>
      </c>
      <c r="M1950" s="28" t="s">
        <v>80</v>
      </c>
      <c r="N1950" s="28" t="s">
        <v>136</v>
      </c>
      <c r="O1950" s="29" t="n">
        <v>38</v>
      </c>
      <c r="P1950" s="30" t="n">
        <v>95.38</v>
      </c>
      <c r="Q1950" s="30" t="n">
        <v>49.41</v>
      </c>
      <c r="R1950" s="30" t="n">
        <f aca="false">ROUND(O1950*P1950,2)</f>
        <v>3624.44</v>
      </c>
      <c r="S1950" s="30" t="n">
        <f aca="false">ROUND(O1950*Q1950,2)</f>
        <v>1877.58</v>
      </c>
      <c r="T1950" s="30" t="n">
        <f aca="false">ROUND(R1950*SUMIFS(Parametros!$E$23:$E$38,Parametros!$B$23:$B$38,J1950,Parametros!$C$23:$C$38,C1950,Parametros!$D$23:$D$38,D1950),2)</f>
        <v>47.12</v>
      </c>
      <c r="U1950" s="30" t="n">
        <f aca="false">R1950-S1950-T1950</f>
        <v>1699.74</v>
      </c>
    </row>
    <row r="1951" customFormat="false" ht="15" hidden="false" customHeight="false" outlineLevel="0" collapsed="false">
      <c r="A1951" s="0" t="n">
        <v>1950</v>
      </c>
      <c r="B1951" s="27" t="n">
        <v>45885</v>
      </c>
      <c r="C1951" s="0" t="n">
        <v>2025</v>
      </c>
      <c r="D1951" s="28" t="s">
        <v>115</v>
      </c>
      <c r="E1951" s="0" t="n">
        <v>8</v>
      </c>
      <c r="F1951" s="28" t="s">
        <v>118</v>
      </c>
      <c r="G1951" s="28" t="s">
        <v>150</v>
      </c>
      <c r="H1951" s="28" t="s">
        <v>98</v>
      </c>
      <c r="I1951" s="28" t="s">
        <v>99</v>
      </c>
      <c r="J1951" s="28" t="s">
        <v>71</v>
      </c>
      <c r="K1951" s="28" t="s">
        <v>76</v>
      </c>
      <c r="L1951" s="28" t="s">
        <v>134</v>
      </c>
      <c r="M1951" s="28" t="s">
        <v>80</v>
      </c>
      <c r="N1951" s="28" t="s">
        <v>136</v>
      </c>
      <c r="O1951" s="29" t="n">
        <v>23</v>
      </c>
      <c r="P1951" s="30" t="n">
        <v>95.38</v>
      </c>
      <c r="Q1951" s="30" t="n">
        <v>49.41</v>
      </c>
      <c r="R1951" s="30" t="n">
        <f aca="false">ROUND(O1951*P1951,2)</f>
        <v>2193.74</v>
      </c>
      <c r="S1951" s="30" t="n">
        <f aca="false">ROUND(O1951*Q1951,2)</f>
        <v>1136.43</v>
      </c>
      <c r="T1951" s="30" t="n">
        <f aca="false">ROUND(R1951*SUMIFS(Parametros!$E$23:$E$38,Parametros!$B$23:$B$38,J1951,Parametros!$C$23:$C$38,C1951,Parametros!$D$23:$D$38,D1951),2)</f>
        <v>122.85</v>
      </c>
      <c r="U1951" s="30" t="n">
        <f aca="false">R1951-S1951-T1951</f>
        <v>934.46</v>
      </c>
    </row>
    <row r="1952" customFormat="false" ht="15" hidden="false" customHeight="false" outlineLevel="0" collapsed="false">
      <c r="A1952" s="0" t="n">
        <v>1951</v>
      </c>
      <c r="B1952" s="27" t="n">
        <v>45892</v>
      </c>
      <c r="C1952" s="0" t="n">
        <v>2025</v>
      </c>
      <c r="D1952" s="28" t="s">
        <v>115</v>
      </c>
      <c r="E1952" s="0" t="n">
        <v>8</v>
      </c>
      <c r="F1952" s="28" t="s">
        <v>118</v>
      </c>
      <c r="G1952" s="28" t="s">
        <v>150</v>
      </c>
      <c r="H1952" s="28" t="s">
        <v>98</v>
      </c>
      <c r="I1952" s="28" t="s">
        <v>99</v>
      </c>
      <c r="J1952" s="28" t="s">
        <v>66</v>
      </c>
      <c r="K1952" s="28" t="s">
        <v>76</v>
      </c>
      <c r="L1952" s="28" t="s">
        <v>134</v>
      </c>
      <c r="M1952" s="28" t="s">
        <v>82</v>
      </c>
      <c r="N1952" s="28" t="s">
        <v>137</v>
      </c>
      <c r="O1952" s="29" t="n">
        <v>34</v>
      </c>
      <c r="P1952" s="30" t="n">
        <v>65.26</v>
      </c>
      <c r="Q1952" s="30" t="n">
        <v>36.49</v>
      </c>
      <c r="R1952" s="30" t="n">
        <f aca="false">ROUND(O1952*P1952,2)</f>
        <v>2218.84</v>
      </c>
      <c r="S1952" s="30" t="n">
        <f aca="false">ROUND(O1952*Q1952,2)</f>
        <v>1240.66</v>
      </c>
      <c r="T1952" s="30" t="n">
        <f aca="false">ROUND(R1952*SUMIFS(Parametros!$E$23:$E$38,Parametros!$B$23:$B$38,J1952,Parametros!$C$23:$C$38,C1952,Parametros!$D$23:$D$38,D1952),2)</f>
        <v>28.84</v>
      </c>
      <c r="U1952" s="30" t="n">
        <f aca="false">R1952-S1952-T1952</f>
        <v>949.34</v>
      </c>
    </row>
    <row r="1953" customFormat="false" ht="15" hidden="false" customHeight="false" outlineLevel="0" collapsed="false">
      <c r="A1953" s="0" t="n">
        <v>1952</v>
      </c>
      <c r="B1953" s="27" t="n">
        <v>45872</v>
      </c>
      <c r="C1953" s="0" t="n">
        <v>2025</v>
      </c>
      <c r="D1953" s="28" t="s">
        <v>115</v>
      </c>
      <c r="E1953" s="0" t="n">
        <v>8</v>
      </c>
      <c r="F1953" s="28" t="s">
        <v>118</v>
      </c>
      <c r="G1953" s="28" t="s">
        <v>150</v>
      </c>
      <c r="H1953" s="28" t="s">
        <v>98</v>
      </c>
      <c r="I1953" s="28" t="s">
        <v>99</v>
      </c>
      <c r="J1953" s="28" t="s">
        <v>71</v>
      </c>
      <c r="K1953" s="28" t="s">
        <v>76</v>
      </c>
      <c r="L1953" s="28" t="s">
        <v>134</v>
      </c>
      <c r="M1953" s="28" t="s">
        <v>82</v>
      </c>
      <c r="N1953" s="28" t="s">
        <v>137</v>
      </c>
      <c r="O1953" s="29" t="n">
        <v>30</v>
      </c>
      <c r="P1953" s="30" t="n">
        <v>65.26</v>
      </c>
      <c r="Q1953" s="30" t="n">
        <v>36.49</v>
      </c>
      <c r="R1953" s="30" t="n">
        <f aca="false">ROUND(O1953*P1953,2)</f>
        <v>1957.8</v>
      </c>
      <c r="S1953" s="30" t="n">
        <f aca="false">ROUND(O1953*Q1953,2)</f>
        <v>1094.7</v>
      </c>
      <c r="T1953" s="30" t="n">
        <f aca="false">ROUND(R1953*SUMIFS(Parametros!$E$23:$E$38,Parametros!$B$23:$B$38,J1953,Parametros!$C$23:$C$38,C1953,Parametros!$D$23:$D$38,D1953),2)</f>
        <v>109.64</v>
      </c>
      <c r="U1953" s="30" t="n">
        <f aca="false">R1953-S1953-T1953</f>
        <v>753.46</v>
      </c>
    </row>
    <row r="1954" customFormat="false" ht="15" hidden="false" customHeight="false" outlineLevel="0" collapsed="false">
      <c r="A1954" s="0" t="n">
        <v>1953</v>
      </c>
      <c r="B1954" s="27" t="n">
        <v>45879</v>
      </c>
      <c r="C1954" s="0" t="n">
        <v>2025</v>
      </c>
      <c r="D1954" s="28" t="s">
        <v>115</v>
      </c>
      <c r="E1954" s="0" t="n">
        <v>8</v>
      </c>
      <c r="F1954" s="28" t="s">
        <v>118</v>
      </c>
      <c r="G1954" s="28" t="s">
        <v>150</v>
      </c>
      <c r="H1954" s="28" t="s">
        <v>98</v>
      </c>
      <c r="I1954" s="28" t="s">
        <v>99</v>
      </c>
      <c r="J1954" s="28" t="s">
        <v>66</v>
      </c>
      <c r="K1954" s="28" t="s">
        <v>84</v>
      </c>
      <c r="L1954" s="28" t="s">
        <v>138</v>
      </c>
      <c r="M1954" s="28" t="s">
        <v>86</v>
      </c>
      <c r="N1954" s="28" t="s">
        <v>139</v>
      </c>
      <c r="O1954" s="29" t="n">
        <v>19</v>
      </c>
      <c r="P1954" s="30" t="n">
        <v>120.47</v>
      </c>
      <c r="Q1954" s="30" t="n">
        <v>65.51</v>
      </c>
      <c r="R1954" s="30" t="n">
        <f aca="false">ROUND(O1954*P1954,2)</f>
        <v>2288.93</v>
      </c>
      <c r="S1954" s="30" t="n">
        <f aca="false">ROUND(O1954*Q1954,2)</f>
        <v>1244.69</v>
      </c>
      <c r="T1954" s="30" t="n">
        <f aca="false">ROUND(R1954*SUMIFS(Parametros!$E$23:$E$38,Parametros!$B$23:$B$38,J1954,Parametros!$C$23:$C$38,C1954,Parametros!$D$23:$D$38,D1954),2)</f>
        <v>29.76</v>
      </c>
      <c r="U1954" s="30" t="n">
        <f aca="false">R1954-S1954-T1954</f>
        <v>1014.48</v>
      </c>
    </row>
    <row r="1955" customFormat="false" ht="15" hidden="false" customHeight="false" outlineLevel="0" collapsed="false">
      <c r="A1955" s="0" t="n">
        <v>1954</v>
      </c>
      <c r="B1955" s="27" t="n">
        <v>45886</v>
      </c>
      <c r="C1955" s="0" t="n">
        <v>2025</v>
      </c>
      <c r="D1955" s="28" t="s">
        <v>115</v>
      </c>
      <c r="E1955" s="0" t="n">
        <v>8</v>
      </c>
      <c r="F1955" s="28" t="s">
        <v>118</v>
      </c>
      <c r="G1955" s="28" t="s">
        <v>150</v>
      </c>
      <c r="H1955" s="28" t="s">
        <v>98</v>
      </c>
      <c r="I1955" s="28" t="s">
        <v>99</v>
      </c>
      <c r="J1955" s="28" t="s">
        <v>71</v>
      </c>
      <c r="K1955" s="28" t="s">
        <v>84</v>
      </c>
      <c r="L1955" s="28" t="s">
        <v>138</v>
      </c>
      <c r="M1955" s="28" t="s">
        <v>86</v>
      </c>
      <c r="N1955" s="28" t="s">
        <v>139</v>
      </c>
      <c r="O1955" s="29" t="n">
        <v>11</v>
      </c>
      <c r="P1955" s="30" t="n">
        <v>120.47</v>
      </c>
      <c r="Q1955" s="30" t="n">
        <v>65.51</v>
      </c>
      <c r="R1955" s="30" t="n">
        <f aca="false">ROUND(O1955*P1955,2)</f>
        <v>1325.17</v>
      </c>
      <c r="S1955" s="30" t="n">
        <f aca="false">ROUND(O1955*Q1955,2)</f>
        <v>720.61</v>
      </c>
      <c r="T1955" s="30" t="n">
        <f aca="false">ROUND(R1955*SUMIFS(Parametros!$E$23:$E$38,Parametros!$B$23:$B$38,J1955,Parametros!$C$23:$C$38,C1955,Parametros!$D$23:$D$38,D1955),2)</f>
        <v>74.21</v>
      </c>
      <c r="U1955" s="30" t="n">
        <f aca="false">R1955-S1955-T1955</f>
        <v>530.35</v>
      </c>
    </row>
    <row r="1956" customFormat="false" ht="15" hidden="false" customHeight="false" outlineLevel="0" collapsed="false">
      <c r="A1956" s="0" t="n">
        <v>1955</v>
      </c>
      <c r="B1956" s="27" t="n">
        <v>45893</v>
      </c>
      <c r="C1956" s="0" t="n">
        <v>2025</v>
      </c>
      <c r="D1956" s="28" t="s">
        <v>115</v>
      </c>
      <c r="E1956" s="0" t="n">
        <v>8</v>
      </c>
      <c r="F1956" s="28" t="s">
        <v>118</v>
      </c>
      <c r="G1956" s="28" t="s">
        <v>150</v>
      </c>
      <c r="H1956" s="28" t="s">
        <v>98</v>
      </c>
      <c r="I1956" s="28" t="s">
        <v>99</v>
      </c>
      <c r="J1956" s="28" t="s">
        <v>66</v>
      </c>
      <c r="K1956" s="28" t="s">
        <v>84</v>
      </c>
      <c r="L1956" s="28" t="s">
        <v>138</v>
      </c>
      <c r="M1956" s="28" t="s">
        <v>88</v>
      </c>
      <c r="N1956" s="28" t="s">
        <v>140</v>
      </c>
      <c r="O1956" s="29" t="n">
        <v>16</v>
      </c>
      <c r="P1956" s="30" t="n">
        <v>85.34</v>
      </c>
      <c r="Q1956" s="30" t="n">
        <v>49.47</v>
      </c>
      <c r="R1956" s="30" t="n">
        <f aca="false">ROUND(O1956*P1956,2)</f>
        <v>1365.44</v>
      </c>
      <c r="S1956" s="30" t="n">
        <f aca="false">ROUND(O1956*Q1956,2)</f>
        <v>791.52</v>
      </c>
      <c r="T1956" s="30" t="n">
        <f aca="false">ROUND(R1956*SUMIFS(Parametros!$E$23:$E$38,Parametros!$B$23:$B$38,J1956,Parametros!$C$23:$C$38,C1956,Parametros!$D$23:$D$38,D1956),2)</f>
        <v>17.75</v>
      </c>
      <c r="U1956" s="30" t="n">
        <f aca="false">R1956-S1956-T1956</f>
        <v>556.17</v>
      </c>
    </row>
    <row r="1957" customFormat="false" ht="15" hidden="false" customHeight="false" outlineLevel="0" collapsed="false">
      <c r="A1957" s="0" t="n">
        <v>1956</v>
      </c>
      <c r="B1957" s="27" t="n">
        <v>45873</v>
      </c>
      <c r="C1957" s="0" t="n">
        <v>2025</v>
      </c>
      <c r="D1957" s="28" t="s">
        <v>115</v>
      </c>
      <c r="E1957" s="0" t="n">
        <v>8</v>
      </c>
      <c r="F1957" s="28" t="s">
        <v>118</v>
      </c>
      <c r="G1957" s="28" t="s">
        <v>150</v>
      </c>
      <c r="H1957" s="28" t="s">
        <v>98</v>
      </c>
      <c r="I1957" s="28" t="s">
        <v>99</v>
      </c>
      <c r="J1957" s="28" t="s">
        <v>71</v>
      </c>
      <c r="K1957" s="28" t="s">
        <v>84</v>
      </c>
      <c r="L1957" s="28" t="s">
        <v>138</v>
      </c>
      <c r="M1957" s="28" t="s">
        <v>88</v>
      </c>
      <c r="N1957" s="28" t="s">
        <v>140</v>
      </c>
      <c r="O1957" s="29" t="n">
        <v>11</v>
      </c>
      <c r="P1957" s="30" t="n">
        <v>85.34</v>
      </c>
      <c r="Q1957" s="30" t="n">
        <v>49.47</v>
      </c>
      <c r="R1957" s="30" t="n">
        <f aca="false">ROUND(O1957*P1957,2)</f>
        <v>938.74</v>
      </c>
      <c r="S1957" s="30" t="n">
        <f aca="false">ROUND(O1957*Q1957,2)</f>
        <v>544.17</v>
      </c>
      <c r="T1957" s="30" t="n">
        <f aca="false">ROUND(R1957*SUMIFS(Parametros!$E$23:$E$38,Parametros!$B$23:$B$38,J1957,Parametros!$C$23:$C$38,C1957,Parametros!$D$23:$D$38,D1957),2)</f>
        <v>52.57</v>
      </c>
      <c r="U1957" s="30" t="n">
        <f aca="false">R1957-S1957-T1957</f>
        <v>342</v>
      </c>
    </row>
    <row r="1958" customFormat="false" ht="15" hidden="false" customHeight="false" outlineLevel="0" collapsed="false">
      <c r="A1958" s="0" t="n">
        <v>1957</v>
      </c>
      <c r="B1958" s="27" t="n">
        <v>45880</v>
      </c>
      <c r="C1958" s="0" t="n">
        <v>2025</v>
      </c>
      <c r="D1958" s="28" t="s">
        <v>115</v>
      </c>
      <c r="E1958" s="0" t="n">
        <v>8</v>
      </c>
      <c r="F1958" s="28" t="s">
        <v>118</v>
      </c>
      <c r="G1958" s="28" t="s">
        <v>150</v>
      </c>
      <c r="H1958" s="28" t="s">
        <v>98</v>
      </c>
      <c r="I1958" s="28" t="s">
        <v>99</v>
      </c>
      <c r="J1958" s="28" t="s">
        <v>66</v>
      </c>
      <c r="K1958" s="28" t="s">
        <v>90</v>
      </c>
      <c r="L1958" s="28" t="s">
        <v>141</v>
      </c>
      <c r="M1958" s="28" t="s">
        <v>92</v>
      </c>
      <c r="N1958" s="28" t="s">
        <v>142</v>
      </c>
      <c r="O1958" s="29" t="n">
        <v>20</v>
      </c>
      <c r="P1958" s="30" t="n">
        <v>130.51</v>
      </c>
      <c r="Q1958" s="30" t="n">
        <v>78.33</v>
      </c>
      <c r="R1958" s="30" t="n">
        <f aca="false">ROUND(O1958*P1958,2)</f>
        <v>2610.2</v>
      </c>
      <c r="S1958" s="30" t="n">
        <f aca="false">ROUND(O1958*Q1958,2)</f>
        <v>1566.6</v>
      </c>
      <c r="T1958" s="30" t="n">
        <f aca="false">ROUND(R1958*SUMIFS(Parametros!$E$23:$E$38,Parametros!$B$23:$B$38,J1958,Parametros!$C$23:$C$38,C1958,Parametros!$D$23:$D$38,D1958),2)</f>
        <v>33.93</v>
      </c>
      <c r="U1958" s="30" t="n">
        <f aca="false">R1958-S1958-T1958</f>
        <v>1009.67</v>
      </c>
    </row>
    <row r="1959" customFormat="false" ht="15" hidden="false" customHeight="false" outlineLevel="0" collapsed="false">
      <c r="A1959" s="0" t="n">
        <v>1958</v>
      </c>
      <c r="B1959" s="27" t="n">
        <v>45887</v>
      </c>
      <c r="C1959" s="0" t="n">
        <v>2025</v>
      </c>
      <c r="D1959" s="28" t="s">
        <v>115</v>
      </c>
      <c r="E1959" s="0" t="n">
        <v>8</v>
      </c>
      <c r="F1959" s="28" t="s">
        <v>118</v>
      </c>
      <c r="G1959" s="28" t="s">
        <v>150</v>
      </c>
      <c r="H1959" s="28" t="s">
        <v>98</v>
      </c>
      <c r="I1959" s="28" t="s">
        <v>99</v>
      </c>
      <c r="J1959" s="28" t="s">
        <v>71</v>
      </c>
      <c r="K1959" s="28" t="s">
        <v>90</v>
      </c>
      <c r="L1959" s="28" t="s">
        <v>141</v>
      </c>
      <c r="M1959" s="28" t="s">
        <v>92</v>
      </c>
      <c r="N1959" s="28" t="s">
        <v>142</v>
      </c>
      <c r="O1959" s="29" t="n">
        <v>14</v>
      </c>
      <c r="P1959" s="30" t="n">
        <v>130.51</v>
      </c>
      <c r="Q1959" s="30" t="n">
        <v>78.33</v>
      </c>
      <c r="R1959" s="30" t="n">
        <f aca="false">ROUND(O1959*P1959,2)</f>
        <v>1827.14</v>
      </c>
      <c r="S1959" s="30" t="n">
        <f aca="false">ROUND(O1959*Q1959,2)</f>
        <v>1096.62</v>
      </c>
      <c r="T1959" s="30" t="n">
        <f aca="false">ROUND(R1959*SUMIFS(Parametros!$E$23:$E$38,Parametros!$B$23:$B$38,J1959,Parametros!$C$23:$C$38,C1959,Parametros!$D$23:$D$38,D1959),2)</f>
        <v>102.32</v>
      </c>
      <c r="U1959" s="30" t="n">
        <f aca="false">R1959-S1959-T1959</f>
        <v>628.2</v>
      </c>
    </row>
    <row r="1960" customFormat="false" ht="15" hidden="false" customHeight="false" outlineLevel="0" collapsed="false">
      <c r="A1960" s="0" t="n">
        <v>1959</v>
      </c>
      <c r="B1960" s="27" t="n">
        <v>45894</v>
      </c>
      <c r="C1960" s="0" t="n">
        <v>2025</v>
      </c>
      <c r="D1960" s="28" t="s">
        <v>115</v>
      </c>
      <c r="E1960" s="0" t="n">
        <v>8</v>
      </c>
      <c r="F1960" s="28" t="s">
        <v>118</v>
      </c>
      <c r="G1960" s="28" t="s">
        <v>150</v>
      </c>
      <c r="H1960" s="28" t="s">
        <v>98</v>
      </c>
      <c r="I1960" s="28" t="s">
        <v>99</v>
      </c>
      <c r="J1960" s="28" t="s">
        <v>66</v>
      </c>
      <c r="K1960" s="28" t="s">
        <v>90</v>
      </c>
      <c r="L1960" s="28" t="s">
        <v>141</v>
      </c>
      <c r="M1960" s="28" t="s">
        <v>94</v>
      </c>
      <c r="N1960" s="28" t="s">
        <v>143</v>
      </c>
      <c r="O1960" s="29" t="n">
        <v>26</v>
      </c>
      <c r="P1960" s="30" t="n">
        <v>35.14</v>
      </c>
      <c r="Q1960" s="30" t="n">
        <v>18.39</v>
      </c>
      <c r="R1960" s="30" t="n">
        <f aca="false">ROUND(O1960*P1960,2)</f>
        <v>913.64</v>
      </c>
      <c r="S1960" s="30" t="n">
        <f aca="false">ROUND(O1960*Q1960,2)</f>
        <v>478.14</v>
      </c>
      <c r="T1960" s="30" t="n">
        <f aca="false">ROUND(R1960*SUMIFS(Parametros!$E$23:$E$38,Parametros!$B$23:$B$38,J1960,Parametros!$C$23:$C$38,C1960,Parametros!$D$23:$D$38,D1960),2)</f>
        <v>11.88</v>
      </c>
      <c r="U1960" s="30" t="n">
        <f aca="false">R1960-S1960-T1960</f>
        <v>423.62</v>
      </c>
    </row>
    <row r="1961" customFormat="false" ht="15" hidden="false" customHeight="false" outlineLevel="0" collapsed="false">
      <c r="A1961" s="0" t="n">
        <v>1960</v>
      </c>
      <c r="B1961" s="27" t="n">
        <v>45874</v>
      </c>
      <c r="C1961" s="0" t="n">
        <v>2025</v>
      </c>
      <c r="D1961" s="28" t="s">
        <v>115</v>
      </c>
      <c r="E1961" s="0" t="n">
        <v>8</v>
      </c>
      <c r="F1961" s="28" t="s">
        <v>118</v>
      </c>
      <c r="G1961" s="28" t="s">
        <v>150</v>
      </c>
      <c r="H1961" s="28" t="s">
        <v>98</v>
      </c>
      <c r="I1961" s="28" t="s">
        <v>99</v>
      </c>
      <c r="J1961" s="28" t="s">
        <v>71</v>
      </c>
      <c r="K1961" s="28" t="s">
        <v>90</v>
      </c>
      <c r="L1961" s="28" t="s">
        <v>141</v>
      </c>
      <c r="M1961" s="28" t="s">
        <v>94</v>
      </c>
      <c r="N1961" s="28" t="s">
        <v>143</v>
      </c>
      <c r="O1961" s="29" t="n">
        <v>18</v>
      </c>
      <c r="P1961" s="30" t="n">
        <v>35.14</v>
      </c>
      <c r="Q1961" s="30" t="n">
        <v>18.39</v>
      </c>
      <c r="R1961" s="30" t="n">
        <f aca="false">ROUND(O1961*P1961,2)</f>
        <v>632.52</v>
      </c>
      <c r="S1961" s="30" t="n">
        <f aca="false">ROUND(O1961*Q1961,2)</f>
        <v>331.02</v>
      </c>
      <c r="T1961" s="30" t="n">
        <f aca="false">ROUND(R1961*SUMIFS(Parametros!$E$23:$E$38,Parametros!$B$23:$B$38,J1961,Parametros!$C$23:$C$38,C1961,Parametros!$D$23:$D$38,D1961),2)</f>
        <v>35.42</v>
      </c>
      <c r="U1961" s="30" t="n">
        <f aca="false">R1961-S1961-T1961</f>
        <v>266.08</v>
      </c>
    </row>
    <row r="1962" customFormat="false" ht="15" hidden="false" customHeight="false" outlineLevel="0" collapsed="false">
      <c r="A1962" s="0" t="n">
        <v>1961</v>
      </c>
      <c r="B1962" s="27" t="n">
        <v>45881</v>
      </c>
      <c r="C1962" s="0" t="n">
        <v>2025</v>
      </c>
      <c r="D1962" s="28" t="s">
        <v>115</v>
      </c>
      <c r="E1962" s="0" t="n">
        <v>8</v>
      </c>
      <c r="F1962" s="28" t="s">
        <v>118</v>
      </c>
      <c r="G1962" s="28" t="s">
        <v>150</v>
      </c>
      <c r="H1962" s="28" t="s">
        <v>100</v>
      </c>
      <c r="I1962" s="28" t="s">
        <v>101</v>
      </c>
      <c r="J1962" s="28" t="s">
        <v>66</v>
      </c>
      <c r="K1962" s="28" t="s">
        <v>67</v>
      </c>
      <c r="L1962" s="28" t="s">
        <v>130</v>
      </c>
      <c r="M1962" s="28" t="s">
        <v>69</v>
      </c>
      <c r="N1962" s="28" t="s">
        <v>131</v>
      </c>
      <c r="O1962" s="29" t="n">
        <v>6</v>
      </c>
      <c r="P1962" s="30" t="n">
        <v>1204.74</v>
      </c>
      <c r="Q1962" s="30" t="n">
        <v>766.32</v>
      </c>
      <c r="R1962" s="30" t="n">
        <f aca="false">ROUND(O1962*P1962,2)</f>
        <v>7228.44</v>
      </c>
      <c r="S1962" s="30" t="n">
        <f aca="false">ROUND(O1962*Q1962,2)</f>
        <v>4597.92</v>
      </c>
      <c r="T1962" s="30" t="n">
        <f aca="false">ROUND(R1962*SUMIFS(Parametros!$E$23:$E$38,Parametros!$B$23:$B$38,J1962,Parametros!$C$23:$C$38,C1962,Parametros!$D$23:$D$38,D1962),2)</f>
        <v>93.97</v>
      </c>
      <c r="U1962" s="30" t="n">
        <f aca="false">R1962-S1962-T1962</f>
        <v>2536.55</v>
      </c>
    </row>
    <row r="1963" customFormat="false" ht="15" hidden="false" customHeight="false" outlineLevel="0" collapsed="false">
      <c r="A1963" s="0" t="n">
        <v>1962</v>
      </c>
      <c r="B1963" s="27" t="n">
        <v>45888</v>
      </c>
      <c r="C1963" s="0" t="n">
        <v>2025</v>
      </c>
      <c r="D1963" s="28" t="s">
        <v>115</v>
      </c>
      <c r="E1963" s="0" t="n">
        <v>8</v>
      </c>
      <c r="F1963" s="28" t="s">
        <v>118</v>
      </c>
      <c r="G1963" s="28" t="s">
        <v>150</v>
      </c>
      <c r="H1963" s="28" t="s">
        <v>100</v>
      </c>
      <c r="I1963" s="28" t="s">
        <v>101</v>
      </c>
      <c r="J1963" s="28" t="s">
        <v>71</v>
      </c>
      <c r="K1963" s="28" t="s">
        <v>67</v>
      </c>
      <c r="L1963" s="28" t="s">
        <v>130</v>
      </c>
      <c r="M1963" s="28" t="s">
        <v>69</v>
      </c>
      <c r="N1963" s="28" t="s">
        <v>131</v>
      </c>
      <c r="O1963" s="29" t="n">
        <v>5</v>
      </c>
      <c r="P1963" s="30" t="n">
        <v>1204.74</v>
      </c>
      <c r="Q1963" s="30" t="n">
        <v>766.32</v>
      </c>
      <c r="R1963" s="30" t="n">
        <f aca="false">ROUND(O1963*P1963,2)</f>
        <v>6023.7</v>
      </c>
      <c r="S1963" s="30" t="n">
        <f aca="false">ROUND(O1963*Q1963,2)</f>
        <v>3831.6</v>
      </c>
      <c r="T1963" s="30" t="n">
        <f aca="false">ROUND(R1963*SUMIFS(Parametros!$E$23:$E$38,Parametros!$B$23:$B$38,J1963,Parametros!$C$23:$C$38,C1963,Parametros!$D$23:$D$38,D1963),2)</f>
        <v>337.33</v>
      </c>
      <c r="U1963" s="30" t="n">
        <f aca="false">R1963-S1963-T1963</f>
        <v>1854.77</v>
      </c>
    </row>
    <row r="1964" customFormat="false" ht="15" hidden="false" customHeight="false" outlineLevel="0" collapsed="false">
      <c r="A1964" s="0" t="n">
        <v>1963</v>
      </c>
      <c r="B1964" s="27" t="n">
        <v>45895</v>
      </c>
      <c r="C1964" s="0" t="n">
        <v>2025</v>
      </c>
      <c r="D1964" s="28" t="s">
        <v>115</v>
      </c>
      <c r="E1964" s="0" t="n">
        <v>8</v>
      </c>
      <c r="F1964" s="28" t="s">
        <v>118</v>
      </c>
      <c r="G1964" s="28" t="s">
        <v>150</v>
      </c>
      <c r="H1964" s="28" t="s">
        <v>100</v>
      </c>
      <c r="I1964" s="28" t="s">
        <v>101</v>
      </c>
      <c r="J1964" s="28" t="s">
        <v>66</v>
      </c>
      <c r="K1964" s="28" t="s">
        <v>67</v>
      </c>
      <c r="L1964" s="28" t="s">
        <v>130</v>
      </c>
      <c r="M1964" s="28" t="s">
        <v>72</v>
      </c>
      <c r="N1964" s="28" t="s">
        <v>132</v>
      </c>
      <c r="O1964" s="29" t="n">
        <v>5</v>
      </c>
      <c r="P1964" s="30" t="n">
        <v>451.78</v>
      </c>
      <c r="Q1964" s="30" t="n">
        <v>280.42</v>
      </c>
      <c r="R1964" s="30" t="n">
        <f aca="false">ROUND(O1964*P1964,2)</f>
        <v>2258.9</v>
      </c>
      <c r="S1964" s="30" t="n">
        <f aca="false">ROUND(O1964*Q1964,2)</f>
        <v>1402.1</v>
      </c>
      <c r="T1964" s="30" t="n">
        <f aca="false">ROUND(R1964*SUMIFS(Parametros!$E$23:$E$38,Parametros!$B$23:$B$38,J1964,Parametros!$C$23:$C$38,C1964,Parametros!$D$23:$D$38,D1964),2)</f>
        <v>29.37</v>
      </c>
      <c r="U1964" s="30" t="n">
        <f aca="false">R1964-S1964-T1964</f>
        <v>827.43</v>
      </c>
    </row>
    <row r="1965" customFormat="false" ht="15" hidden="false" customHeight="false" outlineLevel="0" collapsed="false">
      <c r="A1965" s="0" t="n">
        <v>1964</v>
      </c>
      <c r="B1965" s="27" t="n">
        <v>45875</v>
      </c>
      <c r="C1965" s="0" t="n">
        <v>2025</v>
      </c>
      <c r="D1965" s="28" t="s">
        <v>115</v>
      </c>
      <c r="E1965" s="0" t="n">
        <v>8</v>
      </c>
      <c r="F1965" s="28" t="s">
        <v>118</v>
      </c>
      <c r="G1965" s="28" t="s">
        <v>150</v>
      </c>
      <c r="H1965" s="28" t="s">
        <v>100</v>
      </c>
      <c r="I1965" s="28" t="s">
        <v>101</v>
      </c>
      <c r="J1965" s="28" t="s">
        <v>71</v>
      </c>
      <c r="K1965" s="28" t="s">
        <v>67</v>
      </c>
      <c r="L1965" s="28" t="s">
        <v>130</v>
      </c>
      <c r="M1965" s="28" t="s">
        <v>72</v>
      </c>
      <c r="N1965" s="28" t="s">
        <v>132</v>
      </c>
      <c r="O1965" s="29" t="n">
        <v>5</v>
      </c>
      <c r="P1965" s="30" t="n">
        <v>451.78</v>
      </c>
      <c r="Q1965" s="30" t="n">
        <v>280.42</v>
      </c>
      <c r="R1965" s="30" t="n">
        <f aca="false">ROUND(O1965*P1965,2)</f>
        <v>2258.9</v>
      </c>
      <c r="S1965" s="30" t="n">
        <f aca="false">ROUND(O1965*Q1965,2)</f>
        <v>1402.1</v>
      </c>
      <c r="T1965" s="30" t="n">
        <f aca="false">ROUND(R1965*SUMIFS(Parametros!$E$23:$E$38,Parametros!$B$23:$B$38,J1965,Parametros!$C$23:$C$38,C1965,Parametros!$D$23:$D$38,D1965),2)</f>
        <v>126.5</v>
      </c>
      <c r="U1965" s="30" t="n">
        <f aca="false">R1965-S1965-T1965</f>
        <v>730.3</v>
      </c>
    </row>
    <row r="1966" customFormat="false" ht="15" hidden="false" customHeight="false" outlineLevel="0" collapsed="false">
      <c r="A1966" s="0" t="n">
        <v>1965</v>
      </c>
      <c r="B1966" s="27" t="n">
        <v>45882</v>
      </c>
      <c r="C1966" s="0" t="n">
        <v>2025</v>
      </c>
      <c r="D1966" s="28" t="s">
        <v>115</v>
      </c>
      <c r="E1966" s="0" t="n">
        <v>8</v>
      </c>
      <c r="F1966" s="28" t="s">
        <v>118</v>
      </c>
      <c r="G1966" s="28" t="s">
        <v>150</v>
      </c>
      <c r="H1966" s="28" t="s">
        <v>100</v>
      </c>
      <c r="I1966" s="28" t="s">
        <v>101</v>
      </c>
      <c r="J1966" s="28" t="s">
        <v>66</v>
      </c>
      <c r="K1966" s="28" t="s">
        <v>67</v>
      </c>
      <c r="L1966" s="28" t="s">
        <v>130</v>
      </c>
      <c r="M1966" s="28" t="s">
        <v>74</v>
      </c>
      <c r="N1966" s="28" t="s">
        <v>133</v>
      </c>
      <c r="O1966" s="29" t="n">
        <v>7</v>
      </c>
      <c r="P1966" s="30" t="n">
        <v>1656.52</v>
      </c>
      <c r="Q1966" s="30" t="n">
        <v>1155.66</v>
      </c>
      <c r="R1966" s="30" t="n">
        <f aca="false">ROUND(O1966*P1966,2)</f>
        <v>11595.64</v>
      </c>
      <c r="S1966" s="30" t="n">
        <f aca="false">ROUND(O1966*Q1966,2)</f>
        <v>8089.62</v>
      </c>
      <c r="T1966" s="30" t="n">
        <f aca="false">ROUND(R1966*SUMIFS(Parametros!$E$23:$E$38,Parametros!$B$23:$B$38,J1966,Parametros!$C$23:$C$38,C1966,Parametros!$D$23:$D$38,D1966),2)</f>
        <v>150.74</v>
      </c>
      <c r="U1966" s="30" t="n">
        <f aca="false">R1966-S1966-T1966</f>
        <v>3355.28</v>
      </c>
    </row>
    <row r="1967" customFormat="false" ht="15" hidden="false" customHeight="false" outlineLevel="0" collapsed="false">
      <c r="A1967" s="0" t="n">
        <v>1966</v>
      </c>
      <c r="B1967" s="27" t="n">
        <v>45889</v>
      </c>
      <c r="C1967" s="0" t="n">
        <v>2025</v>
      </c>
      <c r="D1967" s="28" t="s">
        <v>115</v>
      </c>
      <c r="E1967" s="0" t="n">
        <v>8</v>
      </c>
      <c r="F1967" s="28" t="s">
        <v>118</v>
      </c>
      <c r="G1967" s="28" t="s">
        <v>150</v>
      </c>
      <c r="H1967" s="28" t="s">
        <v>100</v>
      </c>
      <c r="I1967" s="28" t="s">
        <v>101</v>
      </c>
      <c r="J1967" s="28" t="s">
        <v>71</v>
      </c>
      <c r="K1967" s="28" t="s">
        <v>67</v>
      </c>
      <c r="L1967" s="28" t="s">
        <v>130</v>
      </c>
      <c r="M1967" s="28" t="s">
        <v>74</v>
      </c>
      <c r="N1967" s="28" t="s">
        <v>133</v>
      </c>
      <c r="O1967" s="29" t="n">
        <v>4</v>
      </c>
      <c r="P1967" s="30" t="n">
        <v>1656.52</v>
      </c>
      <c r="Q1967" s="30" t="n">
        <v>1155.66</v>
      </c>
      <c r="R1967" s="30" t="n">
        <f aca="false">ROUND(O1967*P1967,2)</f>
        <v>6626.08</v>
      </c>
      <c r="S1967" s="30" t="n">
        <f aca="false">ROUND(O1967*Q1967,2)</f>
        <v>4622.64</v>
      </c>
      <c r="T1967" s="30" t="n">
        <f aca="false">ROUND(R1967*SUMIFS(Parametros!$E$23:$E$38,Parametros!$B$23:$B$38,J1967,Parametros!$C$23:$C$38,C1967,Parametros!$D$23:$D$38,D1967),2)</f>
        <v>371.06</v>
      </c>
      <c r="U1967" s="30" t="n">
        <f aca="false">R1967-S1967-T1967</f>
        <v>1632.38</v>
      </c>
    </row>
    <row r="1968" customFormat="false" ht="15" hidden="false" customHeight="false" outlineLevel="0" collapsed="false">
      <c r="A1968" s="0" t="n">
        <v>1967</v>
      </c>
      <c r="B1968" s="27" t="n">
        <v>45896</v>
      </c>
      <c r="C1968" s="0" t="n">
        <v>2025</v>
      </c>
      <c r="D1968" s="28" t="s">
        <v>115</v>
      </c>
      <c r="E1968" s="0" t="n">
        <v>8</v>
      </c>
      <c r="F1968" s="28" t="s">
        <v>118</v>
      </c>
      <c r="G1968" s="28" t="s">
        <v>150</v>
      </c>
      <c r="H1968" s="28" t="s">
        <v>100</v>
      </c>
      <c r="I1968" s="28" t="s">
        <v>101</v>
      </c>
      <c r="J1968" s="28" t="s">
        <v>66</v>
      </c>
      <c r="K1968" s="28" t="s">
        <v>76</v>
      </c>
      <c r="L1968" s="28" t="s">
        <v>134</v>
      </c>
      <c r="M1968" s="28" t="s">
        <v>78</v>
      </c>
      <c r="N1968" s="28" t="s">
        <v>135</v>
      </c>
      <c r="O1968" s="29" t="n">
        <v>27</v>
      </c>
      <c r="P1968" s="30" t="n">
        <v>28.11</v>
      </c>
      <c r="Q1968" s="30" t="n">
        <v>13.84</v>
      </c>
      <c r="R1968" s="30" t="n">
        <f aca="false">ROUND(O1968*P1968,2)</f>
        <v>758.97</v>
      </c>
      <c r="S1968" s="30" t="n">
        <f aca="false">ROUND(O1968*Q1968,2)</f>
        <v>373.68</v>
      </c>
      <c r="T1968" s="30" t="n">
        <f aca="false">ROUND(R1968*SUMIFS(Parametros!$E$23:$E$38,Parametros!$B$23:$B$38,J1968,Parametros!$C$23:$C$38,C1968,Parametros!$D$23:$D$38,D1968),2)</f>
        <v>9.87</v>
      </c>
      <c r="U1968" s="30" t="n">
        <f aca="false">R1968-S1968-T1968</f>
        <v>375.42</v>
      </c>
    </row>
    <row r="1969" customFormat="false" ht="15" hidden="false" customHeight="false" outlineLevel="0" collapsed="false">
      <c r="A1969" s="0" t="n">
        <v>1968</v>
      </c>
      <c r="B1969" s="27" t="n">
        <v>45876</v>
      </c>
      <c r="C1969" s="0" t="n">
        <v>2025</v>
      </c>
      <c r="D1969" s="28" t="s">
        <v>115</v>
      </c>
      <c r="E1969" s="0" t="n">
        <v>8</v>
      </c>
      <c r="F1969" s="28" t="s">
        <v>118</v>
      </c>
      <c r="G1969" s="28" t="s">
        <v>150</v>
      </c>
      <c r="H1969" s="28" t="s">
        <v>100</v>
      </c>
      <c r="I1969" s="28" t="s">
        <v>101</v>
      </c>
      <c r="J1969" s="28" t="s">
        <v>71</v>
      </c>
      <c r="K1969" s="28" t="s">
        <v>76</v>
      </c>
      <c r="L1969" s="28" t="s">
        <v>134</v>
      </c>
      <c r="M1969" s="28" t="s">
        <v>78</v>
      </c>
      <c r="N1969" s="28" t="s">
        <v>135</v>
      </c>
      <c r="O1969" s="29" t="n">
        <v>18</v>
      </c>
      <c r="P1969" s="30" t="n">
        <v>28.11</v>
      </c>
      <c r="Q1969" s="30" t="n">
        <v>13.84</v>
      </c>
      <c r="R1969" s="30" t="n">
        <f aca="false">ROUND(O1969*P1969,2)</f>
        <v>505.98</v>
      </c>
      <c r="S1969" s="30" t="n">
        <f aca="false">ROUND(O1969*Q1969,2)</f>
        <v>249.12</v>
      </c>
      <c r="T1969" s="30" t="n">
        <f aca="false">ROUND(R1969*SUMIFS(Parametros!$E$23:$E$38,Parametros!$B$23:$B$38,J1969,Parametros!$C$23:$C$38,C1969,Parametros!$D$23:$D$38,D1969),2)</f>
        <v>28.33</v>
      </c>
      <c r="U1969" s="30" t="n">
        <f aca="false">R1969-S1969-T1969</f>
        <v>228.53</v>
      </c>
    </row>
    <row r="1970" customFormat="false" ht="15" hidden="false" customHeight="false" outlineLevel="0" collapsed="false">
      <c r="A1970" s="0" t="n">
        <v>1969</v>
      </c>
      <c r="B1970" s="27" t="n">
        <v>45883</v>
      </c>
      <c r="C1970" s="0" t="n">
        <v>2025</v>
      </c>
      <c r="D1970" s="28" t="s">
        <v>115</v>
      </c>
      <c r="E1970" s="0" t="n">
        <v>8</v>
      </c>
      <c r="F1970" s="28" t="s">
        <v>118</v>
      </c>
      <c r="G1970" s="28" t="s">
        <v>150</v>
      </c>
      <c r="H1970" s="28" t="s">
        <v>100</v>
      </c>
      <c r="I1970" s="28" t="s">
        <v>101</v>
      </c>
      <c r="J1970" s="28" t="s">
        <v>66</v>
      </c>
      <c r="K1970" s="28" t="s">
        <v>76</v>
      </c>
      <c r="L1970" s="28" t="s">
        <v>134</v>
      </c>
      <c r="M1970" s="28" t="s">
        <v>80</v>
      </c>
      <c r="N1970" s="28" t="s">
        <v>136</v>
      </c>
      <c r="O1970" s="29" t="n">
        <v>31</v>
      </c>
      <c r="P1970" s="30" t="n">
        <v>95.38</v>
      </c>
      <c r="Q1970" s="30" t="n">
        <v>49.41</v>
      </c>
      <c r="R1970" s="30" t="n">
        <f aca="false">ROUND(O1970*P1970,2)</f>
        <v>2956.78</v>
      </c>
      <c r="S1970" s="30" t="n">
        <f aca="false">ROUND(O1970*Q1970,2)</f>
        <v>1531.71</v>
      </c>
      <c r="T1970" s="30" t="n">
        <f aca="false">ROUND(R1970*SUMIFS(Parametros!$E$23:$E$38,Parametros!$B$23:$B$38,J1970,Parametros!$C$23:$C$38,C1970,Parametros!$D$23:$D$38,D1970),2)</f>
        <v>38.44</v>
      </c>
      <c r="U1970" s="30" t="n">
        <f aca="false">R1970-S1970-T1970</f>
        <v>1386.63</v>
      </c>
    </row>
    <row r="1971" customFormat="false" ht="15" hidden="false" customHeight="false" outlineLevel="0" collapsed="false">
      <c r="A1971" s="0" t="n">
        <v>1970</v>
      </c>
      <c r="B1971" s="27" t="n">
        <v>45890</v>
      </c>
      <c r="C1971" s="0" t="n">
        <v>2025</v>
      </c>
      <c r="D1971" s="28" t="s">
        <v>115</v>
      </c>
      <c r="E1971" s="0" t="n">
        <v>8</v>
      </c>
      <c r="F1971" s="28" t="s">
        <v>118</v>
      </c>
      <c r="G1971" s="28" t="s">
        <v>150</v>
      </c>
      <c r="H1971" s="28" t="s">
        <v>100</v>
      </c>
      <c r="I1971" s="28" t="s">
        <v>101</v>
      </c>
      <c r="J1971" s="28" t="s">
        <v>71</v>
      </c>
      <c r="K1971" s="28" t="s">
        <v>76</v>
      </c>
      <c r="L1971" s="28" t="s">
        <v>134</v>
      </c>
      <c r="M1971" s="28" t="s">
        <v>80</v>
      </c>
      <c r="N1971" s="28" t="s">
        <v>136</v>
      </c>
      <c r="O1971" s="29" t="n">
        <v>20</v>
      </c>
      <c r="P1971" s="30" t="n">
        <v>95.38</v>
      </c>
      <c r="Q1971" s="30" t="n">
        <v>49.41</v>
      </c>
      <c r="R1971" s="30" t="n">
        <f aca="false">ROUND(O1971*P1971,2)</f>
        <v>1907.6</v>
      </c>
      <c r="S1971" s="30" t="n">
        <f aca="false">ROUND(O1971*Q1971,2)</f>
        <v>988.2</v>
      </c>
      <c r="T1971" s="30" t="n">
        <f aca="false">ROUND(R1971*SUMIFS(Parametros!$E$23:$E$38,Parametros!$B$23:$B$38,J1971,Parametros!$C$23:$C$38,C1971,Parametros!$D$23:$D$38,D1971),2)</f>
        <v>106.83</v>
      </c>
      <c r="U1971" s="30" t="n">
        <f aca="false">R1971-S1971-T1971</f>
        <v>812.57</v>
      </c>
    </row>
    <row r="1972" customFormat="false" ht="15" hidden="false" customHeight="false" outlineLevel="0" collapsed="false">
      <c r="A1972" s="0" t="n">
        <v>1971</v>
      </c>
      <c r="B1972" s="27" t="n">
        <v>45870</v>
      </c>
      <c r="C1972" s="0" t="n">
        <v>2025</v>
      </c>
      <c r="D1972" s="28" t="s">
        <v>115</v>
      </c>
      <c r="E1972" s="0" t="n">
        <v>8</v>
      </c>
      <c r="F1972" s="28" t="s">
        <v>118</v>
      </c>
      <c r="G1972" s="28" t="s">
        <v>150</v>
      </c>
      <c r="H1972" s="28" t="s">
        <v>100</v>
      </c>
      <c r="I1972" s="28" t="s">
        <v>101</v>
      </c>
      <c r="J1972" s="28" t="s">
        <v>66</v>
      </c>
      <c r="K1972" s="28" t="s">
        <v>76</v>
      </c>
      <c r="L1972" s="28" t="s">
        <v>134</v>
      </c>
      <c r="M1972" s="28" t="s">
        <v>82</v>
      </c>
      <c r="N1972" s="28" t="s">
        <v>137</v>
      </c>
      <c r="O1972" s="29" t="n">
        <v>34</v>
      </c>
      <c r="P1972" s="30" t="n">
        <v>65.26</v>
      </c>
      <c r="Q1972" s="30" t="n">
        <v>36.49</v>
      </c>
      <c r="R1972" s="30" t="n">
        <f aca="false">ROUND(O1972*P1972,2)</f>
        <v>2218.84</v>
      </c>
      <c r="S1972" s="30" t="n">
        <f aca="false">ROUND(O1972*Q1972,2)</f>
        <v>1240.66</v>
      </c>
      <c r="T1972" s="30" t="n">
        <f aca="false">ROUND(R1972*SUMIFS(Parametros!$E$23:$E$38,Parametros!$B$23:$B$38,J1972,Parametros!$C$23:$C$38,C1972,Parametros!$D$23:$D$38,D1972),2)</f>
        <v>28.84</v>
      </c>
      <c r="U1972" s="30" t="n">
        <f aca="false">R1972-S1972-T1972</f>
        <v>949.34</v>
      </c>
    </row>
    <row r="1973" customFormat="false" ht="15" hidden="false" customHeight="false" outlineLevel="0" collapsed="false">
      <c r="A1973" s="0" t="n">
        <v>1972</v>
      </c>
      <c r="B1973" s="27" t="n">
        <v>45877</v>
      </c>
      <c r="C1973" s="0" t="n">
        <v>2025</v>
      </c>
      <c r="D1973" s="28" t="s">
        <v>115</v>
      </c>
      <c r="E1973" s="0" t="n">
        <v>8</v>
      </c>
      <c r="F1973" s="28" t="s">
        <v>118</v>
      </c>
      <c r="G1973" s="28" t="s">
        <v>150</v>
      </c>
      <c r="H1973" s="28" t="s">
        <v>100</v>
      </c>
      <c r="I1973" s="28" t="s">
        <v>101</v>
      </c>
      <c r="J1973" s="28" t="s">
        <v>71</v>
      </c>
      <c r="K1973" s="28" t="s">
        <v>76</v>
      </c>
      <c r="L1973" s="28" t="s">
        <v>134</v>
      </c>
      <c r="M1973" s="28" t="s">
        <v>82</v>
      </c>
      <c r="N1973" s="28" t="s">
        <v>137</v>
      </c>
      <c r="O1973" s="29" t="n">
        <v>22</v>
      </c>
      <c r="P1973" s="30" t="n">
        <v>65.26</v>
      </c>
      <c r="Q1973" s="30" t="n">
        <v>36.49</v>
      </c>
      <c r="R1973" s="30" t="n">
        <f aca="false">ROUND(O1973*P1973,2)</f>
        <v>1435.72</v>
      </c>
      <c r="S1973" s="30" t="n">
        <f aca="false">ROUND(O1973*Q1973,2)</f>
        <v>802.78</v>
      </c>
      <c r="T1973" s="30" t="n">
        <f aca="false">ROUND(R1973*SUMIFS(Parametros!$E$23:$E$38,Parametros!$B$23:$B$38,J1973,Parametros!$C$23:$C$38,C1973,Parametros!$D$23:$D$38,D1973),2)</f>
        <v>80.4</v>
      </c>
      <c r="U1973" s="30" t="n">
        <f aca="false">R1973-S1973-T1973</f>
        <v>552.54</v>
      </c>
    </row>
    <row r="1974" customFormat="false" ht="15" hidden="false" customHeight="false" outlineLevel="0" collapsed="false">
      <c r="A1974" s="0" t="n">
        <v>1973</v>
      </c>
      <c r="B1974" s="27" t="n">
        <v>45884</v>
      </c>
      <c r="C1974" s="0" t="n">
        <v>2025</v>
      </c>
      <c r="D1974" s="28" t="s">
        <v>115</v>
      </c>
      <c r="E1974" s="0" t="n">
        <v>8</v>
      </c>
      <c r="F1974" s="28" t="s">
        <v>118</v>
      </c>
      <c r="G1974" s="28" t="s">
        <v>150</v>
      </c>
      <c r="H1974" s="28" t="s">
        <v>100</v>
      </c>
      <c r="I1974" s="28" t="s">
        <v>101</v>
      </c>
      <c r="J1974" s="28" t="s">
        <v>66</v>
      </c>
      <c r="K1974" s="28" t="s">
        <v>84</v>
      </c>
      <c r="L1974" s="28" t="s">
        <v>138</v>
      </c>
      <c r="M1974" s="28" t="s">
        <v>86</v>
      </c>
      <c r="N1974" s="28" t="s">
        <v>139</v>
      </c>
      <c r="O1974" s="29" t="n">
        <v>13</v>
      </c>
      <c r="P1974" s="30" t="n">
        <v>120.47</v>
      </c>
      <c r="Q1974" s="30" t="n">
        <v>65.51</v>
      </c>
      <c r="R1974" s="30" t="n">
        <f aca="false">ROUND(O1974*P1974,2)</f>
        <v>1566.11</v>
      </c>
      <c r="S1974" s="30" t="n">
        <f aca="false">ROUND(O1974*Q1974,2)</f>
        <v>851.63</v>
      </c>
      <c r="T1974" s="30" t="n">
        <f aca="false">ROUND(R1974*SUMIFS(Parametros!$E$23:$E$38,Parametros!$B$23:$B$38,J1974,Parametros!$C$23:$C$38,C1974,Parametros!$D$23:$D$38,D1974),2)</f>
        <v>20.36</v>
      </c>
      <c r="U1974" s="30" t="n">
        <f aca="false">R1974-S1974-T1974</f>
        <v>694.12</v>
      </c>
    </row>
    <row r="1975" customFormat="false" ht="15" hidden="false" customHeight="false" outlineLevel="0" collapsed="false">
      <c r="A1975" s="0" t="n">
        <v>1974</v>
      </c>
      <c r="B1975" s="27" t="n">
        <v>45891</v>
      </c>
      <c r="C1975" s="0" t="n">
        <v>2025</v>
      </c>
      <c r="D1975" s="28" t="s">
        <v>115</v>
      </c>
      <c r="E1975" s="0" t="n">
        <v>8</v>
      </c>
      <c r="F1975" s="28" t="s">
        <v>118</v>
      </c>
      <c r="G1975" s="28" t="s">
        <v>150</v>
      </c>
      <c r="H1975" s="28" t="s">
        <v>100</v>
      </c>
      <c r="I1975" s="28" t="s">
        <v>101</v>
      </c>
      <c r="J1975" s="28" t="s">
        <v>71</v>
      </c>
      <c r="K1975" s="28" t="s">
        <v>84</v>
      </c>
      <c r="L1975" s="28" t="s">
        <v>138</v>
      </c>
      <c r="M1975" s="28" t="s">
        <v>86</v>
      </c>
      <c r="N1975" s="28" t="s">
        <v>139</v>
      </c>
      <c r="O1975" s="29" t="n">
        <v>8</v>
      </c>
      <c r="P1975" s="30" t="n">
        <v>120.47</v>
      </c>
      <c r="Q1975" s="30" t="n">
        <v>65.51</v>
      </c>
      <c r="R1975" s="30" t="n">
        <f aca="false">ROUND(O1975*P1975,2)</f>
        <v>963.76</v>
      </c>
      <c r="S1975" s="30" t="n">
        <f aca="false">ROUND(O1975*Q1975,2)</f>
        <v>524.08</v>
      </c>
      <c r="T1975" s="30" t="n">
        <f aca="false">ROUND(R1975*SUMIFS(Parametros!$E$23:$E$38,Parametros!$B$23:$B$38,J1975,Parametros!$C$23:$C$38,C1975,Parametros!$D$23:$D$38,D1975),2)</f>
        <v>53.97</v>
      </c>
      <c r="U1975" s="30" t="n">
        <f aca="false">R1975-S1975-T1975</f>
        <v>385.71</v>
      </c>
    </row>
    <row r="1976" customFormat="false" ht="15" hidden="false" customHeight="false" outlineLevel="0" collapsed="false">
      <c r="A1976" s="0" t="n">
        <v>1975</v>
      </c>
      <c r="B1976" s="27" t="n">
        <v>45871</v>
      </c>
      <c r="C1976" s="0" t="n">
        <v>2025</v>
      </c>
      <c r="D1976" s="28" t="s">
        <v>115</v>
      </c>
      <c r="E1976" s="0" t="n">
        <v>8</v>
      </c>
      <c r="F1976" s="28" t="s">
        <v>118</v>
      </c>
      <c r="G1976" s="28" t="s">
        <v>150</v>
      </c>
      <c r="H1976" s="28" t="s">
        <v>100</v>
      </c>
      <c r="I1976" s="28" t="s">
        <v>101</v>
      </c>
      <c r="J1976" s="28" t="s">
        <v>66</v>
      </c>
      <c r="K1976" s="28" t="s">
        <v>84</v>
      </c>
      <c r="L1976" s="28" t="s">
        <v>138</v>
      </c>
      <c r="M1976" s="28" t="s">
        <v>88</v>
      </c>
      <c r="N1976" s="28" t="s">
        <v>140</v>
      </c>
      <c r="O1976" s="29" t="n">
        <v>11</v>
      </c>
      <c r="P1976" s="30" t="n">
        <v>85.34</v>
      </c>
      <c r="Q1976" s="30" t="n">
        <v>49.47</v>
      </c>
      <c r="R1976" s="30" t="n">
        <f aca="false">ROUND(O1976*P1976,2)</f>
        <v>938.74</v>
      </c>
      <c r="S1976" s="30" t="n">
        <f aca="false">ROUND(O1976*Q1976,2)</f>
        <v>544.17</v>
      </c>
      <c r="T1976" s="30" t="n">
        <f aca="false">ROUND(R1976*SUMIFS(Parametros!$E$23:$E$38,Parametros!$B$23:$B$38,J1976,Parametros!$C$23:$C$38,C1976,Parametros!$D$23:$D$38,D1976),2)</f>
        <v>12.2</v>
      </c>
      <c r="U1976" s="30" t="n">
        <f aca="false">R1976-S1976-T1976</f>
        <v>382.37</v>
      </c>
    </row>
    <row r="1977" customFormat="false" ht="15" hidden="false" customHeight="false" outlineLevel="0" collapsed="false">
      <c r="A1977" s="0" t="n">
        <v>1976</v>
      </c>
      <c r="B1977" s="27" t="n">
        <v>45878</v>
      </c>
      <c r="C1977" s="0" t="n">
        <v>2025</v>
      </c>
      <c r="D1977" s="28" t="s">
        <v>115</v>
      </c>
      <c r="E1977" s="0" t="n">
        <v>8</v>
      </c>
      <c r="F1977" s="28" t="s">
        <v>118</v>
      </c>
      <c r="G1977" s="28" t="s">
        <v>150</v>
      </c>
      <c r="H1977" s="28" t="s">
        <v>100</v>
      </c>
      <c r="I1977" s="28" t="s">
        <v>101</v>
      </c>
      <c r="J1977" s="28" t="s">
        <v>71</v>
      </c>
      <c r="K1977" s="28" t="s">
        <v>84</v>
      </c>
      <c r="L1977" s="28" t="s">
        <v>138</v>
      </c>
      <c r="M1977" s="28" t="s">
        <v>88</v>
      </c>
      <c r="N1977" s="28" t="s">
        <v>140</v>
      </c>
      <c r="O1977" s="29" t="n">
        <v>11</v>
      </c>
      <c r="P1977" s="30" t="n">
        <v>85.34</v>
      </c>
      <c r="Q1977" s="30" t="n">
        <v>49.47</v>
      </c>
      <c r="R1977" s="30" t="n">
        <f aca="false">ROUND(O1977*P1977,2)</f>
        <v>938.74</v>
      </c>
      <c r="S1977" s="30" t="n">
        <f aca="false">ROUND(O1977*Q1977,2)</f>
        <v>544.17</v>
      </c>
      <c r="T1977" s="30" t="n">
        <f aca="false">ROUND(R1977*SUMIFS(Parametros!$E$23:$E$38,Parametros!$B$23:$B$38,J1977,Parametros!$C$23:$C$38,C1977,Parametros!$D$23:$D$38,D1977),2)</f>
        <v>52.57</v>
      </c>
      <c r="U1977" s="30" t="n">
        <f aca="false">R1977-S1977-T1977</f>
        <v>342</v>
      </c>
    </row>
    <row r="1978" customFormat="false" ht="15" hidden="false" customHeight="false" outlineLevel="0" collapsed="false">
      <c r="A1978" s="0" t="n">
        <v>1977</v>
      </c>
      <c r="B1978" s="27" t="n">
        <v>45885</v>
      </c>
      <c r="C1978" s="0" t="n">
        <v>2025</v>
      </c>
      <c r="D1978" s="28" t="s">
        <v>115</v>
      </c>
      <c r="E1978" s="0" t="n">
        <v>8</v>
      </c>
      <c r="F1978" s="28" t="s">
        <v>118</v>
      </c>
      <c r="G1978" s="28" t="s">
        <v>150</v>
      </c>
      <c r="H1978" s="28" t="s">
        <v>100</v>
      </c>
      <c r="I1978" s="28" t="s">
        <v>101</v>
      </c>
      <c r="J1978" s="28" t="s">
        <v>66</v>
      </c>
      <c r="K1978" s="28" t="s">
        <v>90</v>
      </c>
      <c r="L1978" s="28" t="s">
        <v>141</v>
      </c>
      <c r="M1978" s="28" t="s">
        <v>92</v>
      </c>
      <c r="N1978" s="28" t="s">
        <v>142</v>
      </c>
      <c r="O1978" s="29" t="n">
        <v>14</v>
      </c>
      <c r="P1978" s="30" t="n">
        <v>130.51</v>
      </c>
      <c r="Q1978" s="30" t="n">
        <v>78.33</v>
      </c>
      <c r="R1978" s="30" t="n">
        <f aca="false">ROUND(O1978*P1978,2)</f>
        <v>1827.14</v>
      </c>
      <c r="S1978" s="30" t="n">
        <f aca="false">ROUND(O1978*Q1978,2)</f>
        <v>1096.62</v>
      </c>
      <c r="T1978" s="30" t="n">
        <f aca="false">ROUND(R1978*SUMIFS(Parametros!$E$23:$E$38,Parametros!$B$23:$B$38,J1978,Parametros!$C$23:$C$38,C1978,Parametros!$D$23:$D$38,D1978),2)</f>
        <v>23.75</v>
      </c>
      <c r="U1978" s="30" t="n">
        <f aca="false">R1978-S1978-T1978</f>
        <v>706.77</v>
      </c>
    </row>
    <row r="1979" customFormat="false" ht="15" hidden="false" customHeight="false" outlineLevel="0" collapsed="false">
      <c r="A1979" s="0" t="n">
        <v>1978</v>
      </c>
      <c r="B1979" s="27" t="n">
        <v>45892</v>
      </c>
      <c r="C1979" s="0" t="n">
        <v>2025</v>
      </c>
      <c r="D1979" s="28" t="s">
        <v>115</v>
      </c>
      <c r="E1979" s="0" t="n">
        <v>8</v>
      </c>
      <c r="F1979" s="28" t="s">
        <v>118</v>
      </c>
      <c r="G1979" s="28" t="s">
        <v>150</v>
      </c>
      <c r="H1979" s="28" t="s">
        <v>100</v>
      </c>
      <c r="I1979" s="28" t="s">
        <v>101</v>
      </c>
      <c r="J1979" s="28" t="s">
        <v>71</v>
      </c>
      <c r="K1979" s="28" t="s">
        <v>90</v>
      </c>
      <c r="L1979" s="28" t="s">
        <v>141</v>
      </c>
      <c r="M1979" s="28" t="s">
        <v>92</v>
      </c>
      <c r="N1979" s="28" t="s">
        <v>142</v>
      </c>
      <c r="O1979" s="29" t="n">
        <v>13</v>
      </c>
      <c r="P1979" s="30" t="n">
        <v>130.51</v>
      </c>
      <c r="Q1979" s="30" t="n">
        <v>78.33</v>
      </c>
      <c r="R1979" s="30" t="n">
        <f aca="false">ROUND(O1979*P1979,2)</f>
        <v>1696.63</v>
      </c>
      <c r="S1979" s="30" t="n">
        <f aca="false">ROUND(O1979*Q1979,2)</f>
        <v>1018.29</v>
      </c>
      <c r="T1979" s="30" t="n">
        <f aca="false">ROUND(R1979*SUMIFS(Parametros!$E$23:$E$38,Parametros!$B$23:$B$38,J1979,Parametros!$C$23:$C$38,C1979,Parametros!$D$23:$D$38,D1979),2)</f>
        <v>95.01</v>
      </c>
      <c r="U1979" s="30" t="n">
        <f aca="false">R1979-S1979-T1979</f>
        <v>583.33</v>
      </c>
    </row>
    <row r="1980" customFormat="false" ht="15" hidden="false" customHeight="false" outlineLevel="0" collapsed="false">
      <c r="A1980" s="0" t="n">
        <v>1979</v>
      </c>
      <c r="B1980" s="27" t="n">
        <v>45872</v>
      </c>
      <c r="C1980" s="0" t="n">
        <v>2025</v>
      </c>
      <c r="D1980" s="28" t="s">
        <v>115</v>
      </c>
      <c r="E1980" s="0" t="n">
        <v>8</v>
      </c>
      <c r="F1980" s="28" t="s">
        <v>118</v>
      </c>
      <c r="G1980" s="28" t="s">
        <v>150</v>
      </c>
      <c r="H1980" s="28" t="s">
        <v>100</v>
      </c>
      <c r="I1980" s="28" t="s">
        <v>101</v>
      </c>
      <c r="J1980" s="28" t="s">
        <v>66</v>
      </c>
      <c r="K1980" s="28" t="s">
        <v>90</v>
      </c>
      <c r="L1980" s="28" t="s">
        <v>141</v>
      </c>
      <c r="M1980" s="28" t="s">
        <v>94</v>
      </c>
      <c r="N1980" s="28" t="s">
        <v>143</v>
      </c>
      <c r="O1980" s="29" t="n">
        <v>18</v>
      </c>
      <c r="P1980" s="30" t="n">
        <v>35.14</v>
      </c>
      <c r="Q1980" s="30" t="n">
        <v>18.39</v>
      </c>
      <c r="R1980" s="30" t="n">
        <f aca="false">ROUND(O1980*P1980,2)</f>
        <v>632.52</v>
      </c>
      <c r="S1980" s="30" t="n">
        <f aca="false">ROUND(O1980*Q1980,2)</f>
        <v>331.02</v>
      </c>
      <c r="T1980" s="30" t="n">
        <f aca="false">ROUND(R1980*SUMIFS(Parametros!$E$23:$E$38,Parametros!$B$23:$B$38,J1980,Parametros!$C$23:$C$38,C1980,Parametros!$D$23:$D$38,D1980),2)</f>
        <v>8.22</v>
      </c>
      <c r="U1980" s="30" t="n">
        <f aca="false">R1980-S1980-T1980</f>
        <v>293.28</v>
      </c>
    </row>
    <row r="1981" customFormat="false" ht="15" hidden="false" customHeight="false" outlineLevel="0" collapsed="false">
      <c r="A1981" s="0" t="n">
        <v>1980</v>
      </c>
      <c r="B1981" s="27" t="n">
        <v>45879</v>
      </c>
      <c r="C1981" s="0" t="n">
        <v>2025</v>
      </c>
      <c r="D1981" s="28" t="s">
        <v>115</v>
      </c>
      <c r="E1981" s="0" t="n">
        <v>8</v>
      </c>
      <c r="F1981" s="28" t="s">
        <v>118</v>
      </c>
      <c r="G1981" s="28" t="s">
        <v>150</v>
      </c>
      <c r="H1981" s="28" t="s">
        <v>100</v>
      </c>
      <c r="I1981" s="28" t="s">
        <v>101</v>
      </c>
      <c r="J1981" s="28" t="s">
        <v>71</v>
      </c>
      <c r="K1981" s="28" t="s">
        <v>90</v>
      </c>
      <c r="L1981" s="28" t="s">
        <v>141</v>
      </c>
      <c r="M1981" s="28" t="s">
        <v>94</v>
      </c>
      <c r="N1981" s="28" t="s">
        <v>143</v>
      </c>
      <c r="O1981" s="29" t="n">
        <v>13</v>
      </c>
      <c r="P1981" s="30" t="n">
        <v>35.14</v>
      </c>
      <c r="Q1981" s="30" t="n">
        <v>18.39</v>
      </c>
      <c r="R1981" s="30" t="n">
        <f aca="false">ROUND(O1981*P1981,2)</f>
        <v>456.82</v>
      </c>
      <c r="S1981" s="30" t="n">
        <f aca="false">ROUND(O1981*Q1981,2)</f>
        <v>239.07</v>
      </c>
      <c r="T1981" s="30" t="n">
        <f aca="false">ROUND(R1981*SUMIFS(Parametros!$E$23:$E$38,Parametros!$B$23:$B$38,J1981,Parametros!$C$23:$C$38,C1981,Parametros!$D$23:$D$38,D1981),2)</f>
        <v>25.58</v>
      </c>
      <c r="U1981" s="30" t="n">
        <f aca="false">R1981-S1981-T1981</f>
        <v>192.17</v>
      </c>
    </row>
    <row r="1982" customFormat="false" ht="15" hidden="false" customHeight="false" outlineLevel="0" collapsed="false">
      <c r="A1982" s="0" t="n">
        <v>1981</v>
      </c>
      <c r="B1982" s="27" t="n">
        <v>45886</v>
      </c>
      <c r="C1982" s="0" t="n">
        <v>2025</v>
      </c>
      <c r="D1982" s="28" t="s">
        <v>115</v>
      </c>
      <c r="E1982" s="0" t="n">
        <v>8</v>
      </c>
      <c r="F1982" s="28" t="s">
        <v>118</v>
      </c>
      <c r="G1982" s="28" t="s">
        <v>150</v>
      </c>
      <c r="H1982" s="28" t="s">
        <v>102</v>
      </c>
      <c r="I1982" s="28" t="s">
        <v>103</v>
      </c>
      <c r="J1982" s="28" t="s">
        <v>66</v>
      </c>
      <c r="K1982" s="28" t="s">
        <v>67</v>
      </c>
      <c r="L1982" s="28" t="s">
        <v>130</v>
      </c>
      <c r="M1982" s="28" t="s">
        <v>69</v>
      </c>
      <c r="N1982" s="28" t="s">
        <v>131</v>
      </c>
      <c r="O1982" s="29" t="n">
        <v>7</v>
      </c>
      <c r="P1982" s="30" t="n">
        <v>1204.74</v>
      </c>
      <c r="Q1982" s="30" t="n">
        <v>766.32</v>
      </c>
      <c r="R1982" s="30" t="n">
        <f aca="false">ROUND(O1982*P1982,2)</f>
        <v>8433.18</v>
      </c>
      <c r="S1982" s="30" t="n">
        <f aca="false">ROUND(O1982*Q1982,2)</f>
        <v>5364.24</v>
      </c>
      <c r="T1982" s="30" t="n">
        <f aca="false">ROUND(R1982*SUMIFS(Parametros!$E$23:$E$38,Parametros!$B$23:$B$38,J1982,Parametros!$C$23:$C$38,C1982,Parametros!$D$23:$D$38,D1982),2)</f>
        <v>109.63</v>
      </c>
      <c r="U1982" s="30" t="n">
        <f aca="false">R1982-S1982-T1982</f>
        <v>2959.31</v>
      </c>
    </row>
    <row r="1983" customFormat="false" ht="15" hidden="false" customHeight="false" outlineLevel="0" collapsed="false">
      <c r="A1983" s="0" t="n">
        <v>1982</v>
      </c>
      <c r="B1983" s="27" t="n">
        <v>45893</v>
      </c>
      <c r="C1983" s="0" t="n">
        <v>2025</v>
      </c>
      <c r="D1983" s="28" t="s">
        <v>115</v>
      </c>
      <c r="E1983" s="0" t="n">
        <v>8</v>
      </c>
      <c r="F1983" s="28" t="s">
        <v>118</v>
      </c>
      <c r="G1983" s="28" t="s">
        <v>150</v>
      </c>
      <c r="H1983" s="28" t="s">
        <v>102</v>
      </c>
      <c r="I1983" s="28" t="s">
        <v>103</v>
      </c>
      <c r="J1983" s="28" t="s">
        <v>71</v>
      </c>
      <c r="K1983" s="28" t="s">
        <v>67</v>
      </c>
      <c r="L1983" s="28" t="s">
        <v>130</v>
      </c>
      <c r="M1983" s="28" t="s">
        <v>69</v>
      </c>
      <c r="N1983" s="28" t="s">
        <v>131</v>
      </c>
      <c r="O1983" s="29" t="n">
        <v>4</v>
      </c>
      <c r="P1983" s="30" t="n">
        <v>1204.74</v>
      </c>
      <c r="Q1983" s="30" t="n">
        <v>766.32</v>
      </c>
      <c r="R1983" s="30" t="n">
        <f aca="false">ROUND(O1983*P1983,2)</f>
        <v>4818.96</v>
      </c>
      <c r="S1983" s="30" t="n">
        <f aca="false">ROUND(O1983*Q1983,2)</f>
        <v>3065.28</v>
      </c>
      <c r="T1983" s="30" t="n">
        <f aca="false">ROUND(R1983*SUMIFS(Parametros!$E$23:$E$38,Parametros!$B$23:$B$38,J1983,Parametros!$C$23:$C$38,C1983,Parametros!$D$23:$D$38,D1983),2)</f>
        <v>269.86</v>
      </c>
      <c r="U1983" s="30" t="n">
        <f aca="false">R1983-S1983-T1983</f>
        <v>1483.82</v>
      </c>
    </row>
    <row r="1984" customFormat="false" ht="15" hidden="false" customHeight="false" outlineLevel="0" collapsed="false">
      <c r="A1984" s="0" t="n">
        <v>1983</v>
      </c>
      <c r="B1984" s="27" t="n">
        <v>45873</v>
      </c>
      <c r="C1984" s="0" t="n">
        <v>2025</v>
      </c>
      <c r="D1984" s="28" t="s">
        <v>115</v>
      </c>
      <c r="E1984" s="0" t="n">
        <v>8</v>
      </c>
      <c r="F1984" s="28" t="s">
        <v>118</v>
      </c>
      <c r="G1984" s="28" t="s">
        <v>150</v>
      </c>
      <c r="H1984" s="28" t="s">
        <v>102</v>
      </c>
      <c r="I1984" s="28" t="s">
        <v>103</v>
      </c>
      <c r="J1984" s="28" t="s">
        <v>66</v>
      </c>
      <c r="K1984" s="28" t="s">
        <v>67</v>
      </c>
      <c r="L1984" s="28" t="s">
        <v>130</v>
      </c>
      <c r="M1984" s="28" t="s">
        <v>72</v>
      </c>
      <c r="N1984" s="28" t="s">
        <v>132</v>
      </c>
      <c r="O1984" s="29" t="n">
        <v>7</v>
      </c>
      <c r="P1984" s="30" t="n">
        <v>451.78</v>
      </c>
      <c r="Q1984" s="30" t="n">
        <v>280.42</v>
      </c>
      <c r="R1984" s="30" t="n">
        <f aca="false">ROUND(O1984*P1984,2)</f>
        <v>3162.46</v>
      </c>
      <c r="S1984" s="30" t="n">
        <f aca="false">ROUND(O1984*Q1984,2)</f>
        <v>1962.94</v>
      </c>
      <c r="T1984" s="30" t="n">
        <f aca="false">ROUND(R1984*SUMIFS(Parametros!$E$23:$E$38,Parametros!$B$23:$B$38,J1984,Parametros!$C$23:$C$38,C1984,Parametros!$D$23:$D$38,D1984),2)</f>
        <v>41.11</v>
      </c>
      <c r="U1984" s="30" t="n">
        <f aca="false">R1984-S1984-T1984</f>
        <v>1158.41</v>
      </c>
    </row>
    <row r="1985" customFormat="false" ht="15" hidden="false" customHeight="false" outlineLevel="0" collapsed="false">
      <c r="A1985" s="0" t="n">
        <v>1984</v>
      </c>
      <c r="B1985" s="27" t="n">
        <v>45880</v>
      </c>
      <c r="C1985" s="0" t="n">
        <v>2025</v>
      </c>
      <c r="D1985" s="28" t="s">
        <v>115</v>
      </c>
      <c r="E1985" s="0" t="n">
        <v>8</v>
      </c>
      <c r="F1985" s="28" t="s">
        <v>118</v>
      </c>
      <c r="G1985" s="28" t="s">
        <v>150</v>
      </c>
      <c r="H1985" s="28" t="s">
        <v>102</v>
      </c>
      <c r="I1985" s="28" t="s">
        <v>103</v>
      </c>
      <c r="J1985" s="28" t="s">
        <v>71</v>
      </c>
      <c r="K1985" s="28" t="s">
        <v>67</v>
      </c>
      <c r="L1985" s="28" t="s">
        <v>130</v>
      </c>
      <c r="M1985" s="28" t="s">
        <v>72</v>
      </c>
      <c r="N1985" s="28" t="s">
        <v>132</v>
      </c>
      <c r="O1985" s="29" t="n">
        <v>4</v>
      </c>
      <c r="P1985" s="30" t="n">
        <v>451.78</v>
      </c>
      <c r="Q1985" s="30" t="n">
        <v>280.42</v>
      </c>
      <c r="R1985" s="30" t="n">
        <f aca="false">ROUND(O1985*P1985,2)</f>
        <v>1807.12</v>
      </c>
      <c r="S1985" s="30" t="n">
        <f aca="false">ROUND(O1985*Q1985,2)</f>
        <v>1121.68</v>
      </c>
      <c r="T1985" s="30" t="n">
        <f aca="false">ROUND(R1985*SUMIFS(Parametros!$E$23:$E$38,Parametros!$B$23:$B$38,J1985,Parametros!$C$23:$C$38,C1985,Parametros!$D$23:$D$38,D1985),2)</f>
        <v>101.2</v>
      </c>
      <c r="U1985" s="30" t="n">
        <f aca="false">R1985-S1985-T1985</f>
        <v>584.24</v>
      </c>
    </row>
    <row r="1986" customFormat="false" ht="15" hidden="false" customHeight="false" outlineLevel="0" collapsed="false">
      <c r="A1986" s="0" t="n">
        <v>1985</v>
      </c>
      <c r="B1986" s="27" t="n">
        <v>45887</v>
      </c>
      <c r="C1986" s="0" t="n">
        <v>2025</v>
      </c>
      <c r="D1986" s="28" t="s">
        <v>115</v>
      </c>
      <c r="E1986" s="0" t="n">
        <v>8</v>
      </c>
      <c r="F1986" s="28" t="s">
        <v>118</v>
      </c>
      <c r="G1986" s="28" t="s">
        <v>150</v>
      </c>
      <c r="H1986" s="28" t="s">
        <v>102</v>
      </c>
      <c r="I1986" s="28" t="s">
        <v>103</v>
      </c>
      <c r="J1986" s="28" t="s">
        <v>66</v>
      </c>
      <c r="K1986" s="28" t="s">
        <v>67</v>
      </c>
      <c r="L1986" s="28" t="s">
        <v>130</v>
      </c>
      <c r="M1986" s="28" t="s">
        <v>74</v>
      </c>
      <c r="N1986" s="28" t="s">
        <v>133</v>
      </c>
      <c r="O1986" s="29" t="n">
        <v>5</v>
      </c>
      <c r="P1986" s="30" t="n">
        <v>1656.52</v>
      </c>
      <c r="Q1986" s="30" t="n">
        <v>1155.66</v>
      </c>
      <c r="R1986" s="30" t="n">
        <f aca="false">ROUND(O1986*P1986,2)</f>
        <v>8282.6</v>
      </c>
      <c r="S1986" s="30" t="n">
        <f aca="false">ROUND(O1986*Q1986,2)</f>
        <v>5778.3</v>
      </c>
      <c r="T1986" s="30" t="n">
        <f aca="false">ROUND(R1986*SUMIFS(Parametros!$E$23:$E$38,Parametros!$B$23:$B$38,J1986,Parametros!$C$23:$C$38,C1986,Parametros!$D$23:$D$38,D1986),2)</f>
        <v>107.67</v>
      </c>
      <c r="U1986" s="30" t="n">
        <f aca="false">R1986-S1986-T1986</f>
        <v>2396.63</v>
      </c>
    </row>
    <row r="1987" customFormat="false" ht="15" hidden="false" customHeight="false" outlineLevel="0" collapsed="false">
      <c r="A1987" s="0" t="n">
        <v>1986</v>
      </c>
      <c r="B1987" s="27" t="n">
        <v>45894</v>
      </c>
      <c r="C1987" s="0" t="n">
        <v>2025</v>
      </c>
      <c r="D1987" s="28" t="s">
        <v>115</v>
      </c>
      <c r="E1987" s="0" t="n">
        <v>8</v>
      </c>
      <c r="F1987" s="28" t="s">
        <v>118</v>
      </c>
      <c r="G1987" s="28" t="s">
        <v>150</v>
      </c>
      <c r="H1987" s="28" t="s">
        <v>102</v>
      </c>
      <c r="I1987" s="28" t="s">
        <v>103</v>
      </c>
      <c r="J1987" s="28" t="s">
        <v>71</v>
      </c>
      <c r="K1987" s="28" t="s">
        <v>67</v>
      </c>
      <c r="L1987" s="28" t="s">
        <v>130</v>
      </c>
      <c r="M1987" s="28" t="s">
        <v>74</v>
      </c>
      <c r="N1987" s="28" t="s">
        <v>133</v>
      </c>
      <c r="O1987" s="29" t="n">
        <v>4</v>
      </c>
      <c r="P1987" s="30" t="n">
        <v>1656.52</v>
      </c>
      <c r="Q1987" s="30" t="n">
        <v>1155.66</v>
      </c>
      <c r="R1987" s="30" t="n">
        <f aca="false">ROUND(O1987*P1987,2)</f>
        <v>6626.08</v>
      </c>
      <c r="S1987" s="30" t="n">
        <f aca="false">ROUND(O1987*Q1987,2)</f>
        <v>4622.64</v>
      </c>
      <c r="T1987" s="30" t="n">
        <f aca="false">ROUND(R1987*SUMIFS(Parametros!$E$23:$E$38,Parametros!$B$23:$B$38,J1987,Parametros!$C$23:$C$38,C1987,Parametros!$D$23:$D$38,D1987),2)</f>
        <v>371.06</v>
      </c>
      <c r="U1987" s="30" t="n">
        <f aca="false">R1987-S1987-T1987</f>
        <v>1632.38</v>
      </c>
    </row>
    <row r="1988" customFormat="false" ht="15" hidden="false" customHeight="false" outlineLevel="0" collapsed="false">
      <c r="A1988" s="0" t="n">
        <v>1987</v>
      </c>
      <c r="B1988" s="27" t="n">
        <v>45874</v>
      </c>
      <c r="C1988" s="0" t="n">
        <v>2025</v>
      </c>
      <c r="D1988" s="28" t="s">
        <v>115</v>
      </c>
      <c r="E1988" s="0" t="n">
        <v>8</v>
      </c>
      <c r="F1988" s="28" t="s">
        <v>118</v>
      </c>
      <c r="G1988" s="28" t="s">
        <v>150</v>
      </c>
      <c r="H1988" s="28" t="s">
        <v>102</v>
      </c>
      <c r="I1988" s="28" t="s">
        <v>103</v>
      </c>
      <c r="J1988" s="28" t="s">
        <v>66</v>
      </c>
      <c r="K1988" s="28" t="s">
        <v>76</v>
      </c>
      <c r="L1988" s="28" t="s">
        <v>134</v>
      </c>
      <c r="M1988" s="28" t="s">
        <v>78</v>
      </c>
      <c r="N1988" s="28" t="s">
        <v>135</v>
      </c>
      <c r="O1988" s="29" t="n">
        <v>33</v>
      </c>
      <c r="P1988" s="30" t="n">
        <v>28.11</v>
      </c>
      <c r="Q1988" s="30" t="n">
        <v>13.84</v>
      </c>
      <c r="R1988" s="30" t="n">
        <f aca="false">ROUND(O1988*P1988,2)</f>
        <v>927.63</v>
      </c>
      <c r="S1988" s="30" t="n">
        <f aca="false">ROUND(O1988*Q1988,2)</f>
        <v>456.72</v>
      </c>
      <c r="T1988" s="30" t="n">
        <f aca="false">ROUND(R1988*SUMIFS(Parametros!$E$23:$E$38,Parametros!$B$23:$B$38,J1988,Parametros!$C$23:$C$38,C1988,Parametros!$D$23:$D$38,D1988),2)</f>
        <v>12.06</v>
      </c>
      <c r="U1988" s="30" t="n">
        <f aca="false">R1988-S1988-T1988</f>
        <v>458.85</v>
      </c>
    </row>
    <row r="1989" customFormat="false" ht="15" hidden="false" customHeight="false" outlineLevel="0" collapsed="false">
      <c r="A1989" s="0" t="n">
        <v>1988</v>
      </c>
      <c r="B1989" s="27" t="n">
        <v>45881</v>
      </c>
      <c r="C1989" s="0" t="n">
        <v>2025</v>
      </c>
      <c r="D1989" s="28" t="s">
        <v>115</v>
      </c>
      <c r="E1989" s="0" t="n">
        <v>8</v>
      </c>
      <c r="F1989" s="28" t="s">
        <v>118</v>
      </c>
      <c r="G1989" s="28" t="s">
        <v>150</v>
      </c>
      <c r="H1989" s="28" t="s">
        <v>102</v>
      </c>
      <c r="I1989" s="28" t="s">
        <v>103</v>
      </c>
      <c r="J1989" s="28" t="s">
        <v>71</v>
      </c>
      <c r="K1989" s="28" t="s">
        <v>76</v>
      </c>
      <c r="L1989" s="28" t="s">
        <v>134</v>
      </c>
      <c r="M1989" s="28" t="s">
        <v>78</v>
      </c>
      <c r="N1989" s="28" t="s">
        <v>135</v>
      </c>
      <c r="O1989" s="29" t="n">
        <v>22</v>
      </c>
      <c r="P1989" s="30" t="n">
        <v>28.11</v>
      </c>
      <c r="Q1989" s="30" t="n">
        <v>13.84</v>
      </c>
      <c r="R1989" s="30" t="n">
        <f aca="false">ROUND(O1989*P1989,2)</f>
        <v>618.42</v>
      </c>
      <c r="S1989" s="30" t="n">
        <f aca="false">ROUND(O1989*Q1989,2)</f>
        <v>304.48</v>
      </c>
      <c r="T1989" s="30" t="n">
        <f aca="false">ROUND(R1989*SUMIFS(Parametros!$E$23:$E$38,Parametros!$B$23:$B$38,J1989,Parametros!$C$23:$C$38,C1989,Parametros!$D$23:$D$38,D1989),2)</f>
        <v>34.63</v>
      </c>
      <c r="U1989" s="30" t="n">
        <f aca="false">R1989-S1989-T1989</f>
        <v>279.31</v>
      </c>
    </row>
    <row r="1990" customFormat="false" ht="15" hidden="false" customHeight="false" outlineLevel="0" collapsed="false">
      <c r="A1990" s="0" t="n">
        <v>1989</v>
      </c>
      <c r="B1990" s="27" t="n">
        <v>45888</v>
      </c>
      <c r="C1990" s="0" t="n">
        <v>2025</v>
      </c>
      <c r="D1990" s="28" t="s">
        <v>115</v>
      </c>
      <c r="E1990" s="0" t="n">
        <v>8</v>
      </c>
      <c r="F1990" s="28" t="s">
        <v>118</v>
      </c>
      <c r="G1990" s="28" t="s">
        <v>150</v>
      </c>
      <c r="H1990" s="28" t="s">
        <v>102</v>
      </c>
      <c r="I1990" s="28" t="s">
        <v>103</v>
      </c>
      <c r="J1990" s="28" t="s">
        <v>66</v>
      </c>
      <c r="K1990" s="28" t="s">
        <v>76</v>
      </c>
      <c r="L1990" s="28" t="s">
        <v>134</v>
      </c>
      <c r="M1990" s="28" t="s">
        <v>80</v>
      </c>
      <c r="N1990" s="28" t="s">
        <v>136</v>
      </c>
      <c r="O1990" s="29" t="n">
        <v>28</v>
      </c>
      <c r="P1990" s="30" t="n">
        <v>95.38</v>
      </c>
      <c r="Q1990" s="30" t="n">
        <v>49.41</v>
      </c>
      <c r="R1990" s="30" t="n">
        <f aca="false">ROUND(O1990*P1990,2)</f>
        <v>2670.64</v>
      </c>
      <c r="S1990" s="30" t="n">
        <f aca="false">ROUND(O1990*Q1990,2)</f>
        <v>1383.48</v>
      </c>
      <c r="T1990" s="30" t="n">
        <f aca="false">ROUND(R1990*SUMIFS(Parametros!$E$23:$E$38,Parametros!$B$23:$B$38,J1990,Parametros!$C$23:$C$38,C1990,Parametros!$D$23:$D$38,D1990),2)</f>
        <v>34.72</v>
      </c>
      <c r="U1990" s="30" t="n">
        <f aca="false">R1990-S1990-T1990</f>
        <v>1252.44</v>
      </c>
    </row>
    <row r="1991" customFormat="false" ht="15" hidden="false" customHeight="false" outlineLevel="0" collapsed="false">
      <c r="A1991" s="0" t="n">
        <v>1990</v>
      </c>
      <c r="B1991" s="27" t="n">
        <v>45895</v>
      </c>
      <c r="C1991" s="0" t="n">
        <v>2025</v>
      </c>
      <c r="D1991" s="28" t="s">
        <v>115</v>
      </c>
      <c r="E1991" s="0" t="n">
        <v>8</v>
      </c>
      <c r="F1991" s="28" t="s">
        <v>118</v>
      </c>
      <c r="G1991" s="28" t="s">
        <v>150</v>
      </c>
      <c r="H1991" s="28" t="s">
        <v>102</v>
      </c>
      <c r="I1991" s="28" t="s">
        <v>103</v>
      </c>
      <c r="J1991" s="28" t="s">
        <v>71</v>
      </c>
      <c r="K1991" s="28" t="s">
        <v>76</v>
      </c>
      <c r="L1991" s="28" t="s">
        <v>134</v>
      </c>
      <c r="M1991" s="28" t="s">
        <v>80</v>
      </c>
      <c r="N1991" s="28" t="s">
        <v>136</v>
      </c>
      <c r="O1991" s="29" t="n">
        <v>17</v>
      </c>
      <c r="P1991" s="30" t="n">
        <v>95.38</v>
      </c>
      <c r="Q1991" s="30" t="n">
        <v>49.41</v>
      </c>
      <c r="R1991" s="30" t="n">
        <f aca="false">ROUND(O1991*P1991,2)</f>
        <v>1621.46</v>
      </c>
      <c r="S1991" s="30" t="n">
        <f aca="false">ROUND(O1991*Q1991,2)</f>
        <v>839.97</v>
      </c>
      <c r="T1991" s="30" t="n">
        <f aca="false">ROUND(R1991*SUMIFS(Parametros!$E$23:$E$38,Parametros!$B$23:$B$38,J1991,Parametros!$C$23:$C$38,C1991,Parametros!$D$23:$D$38,D1991),2)</f>
        <v>90.8</v>
      </c>
      <c r="U1991" s="30" t="n">
        <f aca="false">R1991-S1991-T1991</f>
        <v>690.69</v>
      </c>
    </row>
    <row r="1992" customFormat="false" ht="15" hidden="false" customHeight="false" outlineLevel="0" collapsed="false">
      <c r="A1992" s="0" t="n">
        <v>1991</v>
      </c>
      <c r="B1992" s="27" t="n">
        <v>45875</v>
      </c>
      <c r="C1992" s="0" t="n">
        <v>2025</v>
      </c>
      <c r="D1992" s="28" t="s">
        <v>115</v>
      </c>
      <c r="E1992" s="0" t="n">
        <v>8</v>
      </c>
      <c r="F1992" s="28" t="s">
        <v>118</v>
      </c>
      <c r="G1992" s="28" t="s">
        <v>150</v>
      </c>
      <c r="H1992" s="28" t="s">
        <v>102</v>
      </c>
      <c r="I1992" s="28" t="s">
        <v>103</v>
      </c>
      <c r="J1992" s="28" t="s">
        <v>66</v>
      </c>
      <c r="K1992" s="28" t="s">
        <v>76</v>
      </c>
      <c r="L1992" s="28" t="s">
        <v>134</v>
      </c>
      <c r="M1992" s="28" t="s">
        <v>82</v>
      </c>
      <c r="N1992" s="28" t="s">
        <v>137</v>
      </c>
      <c r="O1992" s="29" t="n">
        <v>33</v>
      </c>
      <c r="P1992" s="30" t="n">
        <v>65.26</v>
      </c>
      <c r="Q1992" s="30" t="n">
        <v>36.49</v>
      </c>
      <c r="R1992" s="30" t="n">
        <f aca="false">ROUND(O1992*P1992,2)</f>
        <v>2153.58</v>
      </c>
      <c r="S1992" s="30" t="n">
        <f aca="false">ROUND(O1992*Q1992,2)</f>
        <v>1204.17</v>
      </c>
      <c r="T1992" s="30" t="n">
        <f aca="false">ROUND(R1992*SUMIFS(Parametros!$E$23:$E$38,Parametros!$B$23:$B$38,J1992,Parametros!$C$23:$C$38,C1992,Parametros!$D$23:$D$38,D1992),2)</f>
        <v>28</v>
      </c>
      <c r="U1992" s="30" t="n">
        <f aca="false">R1992-S1992-T1992</f>
        <v>921.41</v>
      </c>
    </row>
    <row r="1993" customFormat="false" ht="15" hidden="false" customHeight="false" outlineLevel="0" collapsed="false">
      <c r="A1993" s="0" t="n">
        <v>1992</v>
      </c>
      <c r="B1993" s="27" t="n">
        <v>45882</v>
      </c>
      <c r="C1993" s="0" t="n">
        <v>2025</v>
      </c>
      <c r="D1993" s="28" t="s">
        <v>115</v>
      </c>
      <c r="E1993" s="0" t="n">
        <v>8</v>
      </c>
      <c r="F1993" s="28" t="s">
        <v>118</v>
      </c>
      <c r="G1993" s="28" t="s">
        <v>150</v>
      </c>
      <c r="H1993" s="28" t="s">
        <v>102</v>
      </c>
      <c r="I1993" s="28" t="s">
        <v>103</v>
      </c>
      <c r="J1993" s="28" t="s">
        <v>71</v>
      </c>
      <c r="K1993" s="28" t="s">
        <v>76</v>
      </c>
      <c r="L1993" s="28" t="s">
        <v>134</v>
      </c>
      <c r="M1993" s="28" t="s">
        <v>82</v>
      </c>
      <c r="N1993" s="28" t="s">
        <v>137</v>
      </c>
      <c r="O1993" s="29" t="n">
        <v>22</v>
      </c>
      <c r="P1993" s="30" t="n">
        <v>65.26</v>
      </c>
      <c r="Q1993" s="30" t="n">
        <v>36.49</v>
      </c>
      <c r="R1993" s="30" t="n">
        <f aca="false">ROUND(O1993*P1993,2)</f>
        <v>1435.72</v>
      </c>
      <c r="S1993" s="30" t="n">
        <f aca="false">ROUND(O1993*Q1993,2)</f>
        <v>802.78</v>
      </c>
      <c r="T1993" s="30" t="n">
        <f aca="false">ROUND(R1993*SUMIFS(Parametros!$E$23:$E$38,Parametros!$B$23:$B$38,J1993,Parametros!$C$23:$C$38,C1993,Parametros!$D$23:$D$38,D1993),2)</f>
        <v>80.4</v>
      </c>
      <c r="U1993" s="30" t="n">
        <f aca="false">R1993-S1993-T1993</f>
        <v>552.54</v>
      </c>
    </row>
    <row r="1994" customFormat="false" ht="15" hidden="false" customHeight="false" outlineLevel="0" collapsed="false">
      <c r="A1994" s="0" t="n">
        <v>1993</v>
      </c>
      <c r="B1994" s="27" t="n">
        <v>45889</v>
      </c>
      <c r="C1994" s="0" t="n">
        <v>2025</v>
      </c>
      <c r="D1994" s="28" t="s">
        <v>115</v>
      </c>
      <c r="E1994" s="0" t="n">
        <v>8</v>
      </c>
      <c r="F1994" s="28" t="s">
        <v>118</v>
      </c>
      <c r="G1994" s="28" t="s">
        <v>150</v>
      </c>
      <c r="H1994" s="28" t="s">
        <v>102</v>
      </c>
      <c r="I1994" s="28" t="s">
        <v>103</v>
      </c>
      <c r="J1994" s="28" t="s">
        <v>66</v>
      </c>
      <c r="K1994" s="28" t="s">
        <v>84</v>
      </c>
      <c r="L1994" s="28" t="s">
        <v>138</v>
      </c>
      <c r="M1994" s="28" t="s">
        <v>86</v>
      </c>
      <c r="N1994" s="28" t="s">
        <v>139</v>
      </c>
      <c r="O1994" s="29" t="n">
        <v>12</v>
      </c>
      <c r="P1994" s="30" t="n">
        <v>120.47</v>
      </c>
      <c r="Q1994" s="30" t="n">
        <v>65.51</v>
      </c>
      <c r="R1994" s="30" t="n">
        <f aca="false">ROUND(O1994*P1994,2)</f>
        <v>1445.64</v>
      </c>
      <c r="S1994" s="30" t="n">
        <f aca="false">ROUND(O1994*Q1994,2)</f>
        <v>786.12</v>
      </c>
      <c r="T1994" s="30" t="n">
        <f aca="false">ROUND(R1994*SUMIFS(Parametros!$E$23:$E$38,Parametros!$B$23:$B$38,J1994,Parametros!$C$23:$C$38,C1994,Parametros!$D$23:$D$38,D1994),2)</f>
        <v>18.79</v>
      </c>
      <c r="U1994" s="30" t="n">
        <f aca="false">R1994-S1994-T1994</f>
        <v>640.73</v>
      </c>
    </row>
    <row r="1995" customFormat="false" ht="15" hidden="false" customHeight="false" outlineLevel="0" collapsed="false">
      <c r="A1995" s="0" t="n">
        <v>1994</v>
      </c>
      <c r="B1995" s="27" t="n">
        <v>45896</v>
      </c>
      <c r="C1995" s="0" t="n">
        <v>2025</v>
      </c>
      <c r="D1995" s="28" t="s">
        <v>115</v>
      </c>
      <c r="E1995" s="0" t="n">
        <v>8</v>
      </c>
      <c r="F1995" s="28" t="s">
        <v>118</v>
      </c>
      <c r="G1995" s="28" t="s">
        <v>150</v>
      </c>
      <c r="H1995" s="28" t="s">
        <v>102</v>
      </c>
      <c r="I1995" s="28" t="s">
        <v>103</v>
      </c>
      <c r="J1995" s="28" t="s">
        <v>71</v>
      </c>
      <c r="K1995" s="28" t="s">
        <v>84</v>
      </c>
      <c r="L1995" s="28" t="s">
        <v>138</v>
      </c>
      <c r="M1995" s="28" t="s">
        <v>86</v>
      </c>
      <c r="N1995" s="28" t="s">
        <v>139</v>
      </c>
      <c r="O1995" s="29" t="n">
        <v>9</v>
      </c>
      <c r="P1995" s="30" t="n">
        <v>120.47</v>
      </c>
      <c r="Q1995" s="30" t="n">
        <v>65.51</v>
      </c>
      <c r="R1995" s="30" t="n">
        <f aca="false">ROUND(O1995*P1995,2)</f>
        <v>1084.23</v>
      </c>
      <c r="S1995" s="30" t="n">
        <f aca="false">ROUND(O1995*Q1995,2)</f>
        <v>589.59</v>
      </c>
      <c r="T1995" s="30" t="n">
        <f aca="false">ROUND(R1995*SUMIFS(Parametros!$E$23:$E$38,Parametros!$B$23:$B$38,J1995,Parametros!$C$23:$C$38,C1995,Parametros!$D$23:$D$38,D1995),2)</f>
        <v>60.72</v>
      </c>
      <c r="U1995" s="30" t="n">
        <f aca="false">R1995-S1995-T1995</f>
        <v>433.92</v>
      </c>
    </row>
    <row r="1996" customFormat="false" ht="15" hidden="false" customHeight="false" outlineLevel="0" collapsed="false">
      <c r="A1996" s="0" t="n">
        <v>1995</v>
      </c>
      <c r="B1996" s="27" t="n">
        <v>45876</v>
      </c>
      <c r="C1996" s="0" t="n">
        <v>2025</v>
      </c>
      <c r="D1996" s="28" t="s">
        <v>115</v>
      </c>
      <c r="E1996" s="0" t="n">
        <v>8</v>
      </c>
      <c r="F1996" s="28" t="s">
        <v>118</v>
      </c>
      <c r="G1996" s="28" t="s">
        <v>150</v>
      </c>
      <c r="H1996" s="28" t="s">
        <v>102</v>
      </c>
      <c r="I1996" s="28" t="s">
        <v>103</v>
      </c>
      <c r="J1996" s="28" t="s">
        <v>66</v>
      </c>
      <c r="K1996" s="28" t="s">
        <v>84</v>
      </c>
      <c r="L1996" s="28" t="s">
        <v>138</v>
      </c>
      <c r="M1996" s="28" t="s">
        <v>88</v>
      </c>
      <c r="N1996" s="28" t="s">
        <v>140</v>
      </c>
      <c r="O1996" s="29" t="n">
        <v>13</v>
      </c>
      <c r="P1996" s="30" t="n">
        <v>85.34</v>
      </c>
      <c r="Q1996" s="30" t="n">
        <v>49.47</v>
      </c>
      <c r="R1996" s="30" t="n">
        <f aca="false">ROUND(O1996*P1996,2)</f>
        <v>1109.42</v>
      </c>
      <c r="S1996" s="30" t="n">
        <f aca="false">ROUND(O1996*Q1996,2)</f>
        <v>643.11</v>
      </c>
      <c r="T1996" s="30" t="n">
        <f aca="false">ROUND(R1996*SUMIFS(Parametros!$E$23:$E$38,Parametros!$B$23:$B$38,J1996,Parametros!$C$23:$C$38,C1996,Parametros!$D$23:$D$38,D1996),2)</f>
        <v>14.42</v>
      </c>
      <c r="U1996" s="30" t="n">
        <f aca="false">R1996-S1996-T1996</f>
        <v>451.89</v>
      </c>
    </row>
    <row r="1997" customFormat="false" ht="15" hidden="false" customHeight="false" outlineLevel="0" collapsed="false">
      <c r="A1997" s="0" t="n">
        <v>1996</v>
      </c>
      <c r="B1997" s="27" t="n">
        <v>45883</v>
      </c>
      <c r="C1997" s="0" t="n">
        <v>2025</v>
      </c>
      <c r="D1997" s="28" t="s">
        <v>115</v>
      </c>
      <c r="E1997" s="0" t="n">
        <v>8</v>
      </c>
      <c r="F1997" s="28" t="s">
        <v>118</v>
      </c>
      <c r="G1997" s="28" t="s">
        <v>150</v>
      </c>
      <c r="H1997" s="28" t="s">
        <v>102</v>
      </c>
      <c r="I1997" s="28" t="s">
        <v>103</v>
      </c>
      <c r="J1997" s="28" t="s">
        <v>71</v>
      </c>
      <c r="K1997" s="28" t="s">
        <v>84</v>
      </c>
      <c r="L1997" s="28" t="s">
        <v>138</v>
      </c>
      <c r="M1997" s="28" t="s">
        <v>88</v>
      </c>
      <c r="N1997" s="28" t="s">
        <v>140</v>
      </c>
      <c r="O1997" s="29" t="n">
        <v>10</v>
      </c>
      <c r="P1997" s="30" t="n">
        <v>85.34</v>
      </c>
      <c r="Q1997" s="30" t="n">
        <v>49.47</v>
      </c>
      <c r="R1997" s="30" t="n">
        <f aca="false">ROUND(O1997*P1997,2)</f>
        <v>853.4</v>
      </c>
      <c r="S1997" s="30" t="n">
        <f aca="false">ROUND(O1997*Q1997,2)</f>
        <v>494.7</v>
      </c>
      <c r="T1997" s="30" t="n">
        <f aca="false">ROUND(R1997*SUMIFS(Parametros!$E$23:$E$38,Parametros!$B$23:$B$38,J1997,Parametros!$C$23:$C$38,C1997,Parametros!$D$23:$D$38,D1997),2)</f>
        <v>47.79</v>
      </c>
      <c r="U1997" s="30" t="n">
        <f aca="false">R1997-S1997-T1997</f>
        <v>310.91</v>
      </c>
    </row>
    <row r="1998" customFormat="false" ht="15" hidden="false" customHeight="false" outlineLevel="0" collapsed="false">
      <c r="A1998" s="0" t="n">
        <v>1997</v>
      </c>
      <c r="B1998" s="27" t="n">
        <v>45890</v>
      </c>
      <c r="C1998" s="0" t="n">
        <v>2025</v>
      </c>
      <c r="D1998" s="28" t="s">
        <v>115</v>
      </c>
      <c r="E1998" s="0" t="n">
        <v>8</v>
      </c>
      <c r="F1998" s="28" t="s">
        <v>118</v>
      </c>
      <c r="G1998" s="28" t="s">
        <v>150</v>
      </c>
      <c r="H1998" s="28" t="s">
        <v>102</v>
      </c>
      <c r="I1998" s="28" t="s">
        <v>103</v>
      </c>
      <c r="J1998" s="28" t="s">
        <v>66</v>
      </c>
      <c r="K1998" s="28" t="s">
        <v>90</v>
      </c>
      <c r="L1998" s="28" t="s">
        <v>141</v>
      </c>
      <c r="M1998" s="28" t="s">
        <v>92</v>
      </c>
      <c r="N1998" s="28" t="s">
        <v>142</v>
      </c>
      <c r="O1998" s="29" t="n">
        <v>17</v>
      </c>
      <c r="P1998" s="30" t="n">
        <v>130.51</v>
      </c>
      <c r="Q1998" s="30" t="n">
        <v>78.33</v>
      </c>
      <c r="R1998" s="30" t="n">
        <f aca="false">ROUND(O1998*P1998,2)</f>
        <v>2218.67</v>
      </c>
      <c r="S1998" s="30" t="n">
        <f aca="false">ROUND(O1998*Q1998,2)</f>
        <v>1331.61</v>
      </c>
      <c r="T1998" s="30" t="n">
        <f aca="false">ROUND(R1998*SUMIFS(Parametros!$E$23:$E$38,Parametros!$B$23:$B$38,J1998,Parametros!$C$23:$C$38,C1998,Parametros!$D$23:$D$38,D1998),2)</f>
        <v>28.84</v>
      </c>
      <c r="U1998" s="30" t="n">
        <f aca="false">R1998-S1998-T1998</f>
        <v>858.22</v>
      </c>
    </row>
    <row r="1999" customFormat="false" ht="15" hidden="false" customHeight="false" outlineLevel="0" collapsed="false">
      <c r="A1999" s="0" t="n">
        <v>1998</v>
      </c>
      <c r="B1999" s="27" t="n">
        <v>45870</v>
      </c>
      <c r="C1999" s="0" t="n">
        <v>2025</v>
      </c>
      <c r="D1999" s="28" t="s">
        <v>115</v>
      </c>
      <c r="E1999" s="0" t="n">
        <v>8</v>
      </c>
      <c r="F1999" s="28" t="s">
        <v>118</v>
      </c>
      <c r="G1999" s="28" t="s">
        <v>150</v>
      </c>
      <c r="H1999" s="28" t="s">
        <v>102</v>
      </c>
      <c r="I1999" s="28" t="s">
        <v>103</v>
      </c>
      <c r="J1999" s="28" t="s">
        <v>71</v>
      </c>
      <c r="K1999" s="28" t="s">
        <v>90</v>
      </c>
      <c r="L1999" s="28" t="s">
        <v>141</v>
      </c>
      <c r="M1999" s="28" t="s">
        <v>92</v>
      </c>
      <c r="N1999" s="28" t="s">
        <v>142</v>
      </c>
      <c r="O1999" s="29" t="n">
        <v>10</v>
      </c>
      <c r="P1999" s="30" t="n">
        <v>130.51</v>
      </c>
      <c r="Q1999" s="30" t="n">
        <v>78.33</v>
      </c>
      <c r="R1999" s="30" t="n">
        <f aca="false">ROUND(O1999*P1999,2)</f>
        <v>1305.1</v>
      </c>
      <c r="S1999" s="30" t="n">
        <f aca="false">ROUND(O1999*Q1999,2)</f>
        <v>783.3</v>
      </c>
      <c r="T1999" s="30" t="n">
        <f aca="false">ROUND(R1999*SUMIFS(Parametros!$E$23:$E$38,Parametros!$B$23:$B$38,J1999,Parametros!$C$23:$C$38,C1999,Parametros!$D$23:$D$38,D1999),2)</f>
        <v>73.09</v>
      </c>
      <c r="U1999" s="30" t="n">
        <f aca="false">R1999-S1999-T1999</f>
        <v>448.71</v>
      </c>
    </row>
    <row r="2000" customFormat="false" ht="15" hidden="false" customHeight="false" outlineLevel="0" collapsed="false">
      <c r="A2000" s="0" t="n">
        <v>1999</v>
      </c>
      <c r="B2000" s="27" t="n">
        <v>45877</v>
      </c>
      <c r="C2000" s="0" t="n">
        <v>2025</v>
      </c>
      <c r="D2000" s="28" t="s">
        <v>115</v>
      </c>
      <c r="E2000" s="0" t="n">
        <v>8</v>
      </c>
      <c r="F2000" s="28" t="s">
        <v>118</v>
      </c>
      <c r="G2000" s="28" t="s">
        <v>150</v>
      </c>
      <c r="H2000" s="28" t="s">
        <v>102</v>
      </c>
      <c r="I2000" s="28" t="s">
        <v>103</v>
      </c>
      <c r="J2000" s="28" t="s">
        <v>66</v>
      </c>
      <c r="K2000" s="28" t="s">
        <v>90</v>
      </c>
      <c r="L2000" s="28" t="s">
        <v>141</v>
      </c>
      <c r="M2000" s="28" t="s">
        <v>94</v>
      </c>
      <c r="N2000" s="28" t="s">
        <v>143</v>
      </c>
      <c r="O2000" s="29" t="n">
        <v>15</v>
      </c>
      <c r="P2000" s="30" t="n">
        <v>35.14</v>
      </c>
      <c r="Q2000" s="30" t="n">
        <v>18.39</v>
      </c>
      <c r="R2000" s="30" t="n">
        <f aca="false">ROUND(O2000*P2000,2)</f>
        <v>527.1</v>
      </c>
      <c r="S2000" s="30" t="n">
        <f aca="false">ROUND(O2000*Q2000,2)</f>
        <v>275.85</v>
      </c>
      <c r="T2000" s="30" t="n">
        <f aca="false">ROUND(R2000*SUMIFS(Parametros!$E$23:$E$38,Parametros!$B$23:$B$38,J2000,Parametros!$C$23:$C$38,C2000,Parametros!$D$23:$D$38,D2000),2)</f>
        <v>6.85</v>
      </c>
      <c r="U2000" s="30" t="n">
        <f aca="false">R2000-S2000-T2000</f>
        <v>244.4</v>
      </c>
    </row>
    <row r="2001" customFormat="false" ht="15" hidden="false" customHeight="false" outlineLevel="0" collapsed="false">
      <c r="A2001" s="0" t="n">
        <v>2000</v>
      </c>
      <c r="B2001" s="27" t="n">
        <v>45884</v>
      </c>
      <c r="C2001" s="0" t="n">
        <v>2025</v>
      </c>
      <c r="D2001" s="28" t="s">
        <v>115</v>
      </c>
      <c r="E2001" s="0" t="n">
        <v>8</v>
      </c>
      <c r="F2001" s="28" t="s">
        <v>118</v>
      </c>
      <c r="G2001" s="28" t="s">
        <v>150</v>
      </c>
      <c r="H2001" s="28" t="s">
        <v>102</v>
      </c>
      <c r="I2001" s="28" t="s">
        <v>103</v>
      </c>
      <c r="J2001" s="28" t="s">
        <v>71</v>
      </c>
      <c r="K2001" s="28" t="s">
        <v>90</v>
      </c>
      <c r="L2001" s="28" t="s">
        <v>141</v>
      </c>
      <c r="M2001" s="28" t="s">
        <v>94</v>
      </c>
      <c r="N2001" s="28" t="s">
        <v>143</v>
      </c>
      <c r="O2001" s="29" t="n">
        <v>13</v>
      </c>
      <c r="P2001" s="30" t="n">
        <v>35.14</v>
      </c>
      <c r="Q2001" s="30" t="n">
        <v>18.39</v>
      </c>
      <c r="R2001" s="30" t="n">
        <f aca="false">ROUND(O2001*P2001,2)</f>
        <v>456.82</v>
      </c>
      <c r="S2001" s="30" t="n">
        <f aca="false">ROUND(O2001*Q2001,2)</f>
        <v>239.07</v>
      </c>
      <c r="T2001" s="30" t="n">
        <f aca="false">ROUND(R2001*SUMIFS(Parametros!$E$23:$E$38,Parametros!$B$23:$B$38,J2001,Parametros!$C$23:$C$38,C2001,Parametros!$D$23:$D$38,D2001),2)</f>
        <v>25.58</v>
      </c>
      <c r="U2001" s="30" t="n">
        <f aca="false">R2001-S2001-T2001</f>
        <v>192.17</v>
      </c>
    </row>
    <row r="2002" customFormat="false" ht="15" hidden="false" customHeight="false" outlineLevel="0" collapsed="false">
      <c r="A2002" s="0" t="n">
        <v>2001</v>
      </c>
      <c r="B2002" s="27" t="n">
        <v>45922</v>
      </c>
      <c r="C2002" s="0" t="n">
        <v>2025</v>
      </c>
      <c r="D2002" s="28" t="s">
        <v>115</v>
      </c>
      <c r="E2002" s="0" t="n">
        <v>9</v>
      </c>
      <c r="F2002" s="28" t="s">
        <v>120</v>
      </c>
      <c r="G2002" s="28" t="s">
        <v>151</v>
      </c>
      <c r="H2002" s="28" t="s">
        <v>64</v>
      </c>
      <c r="I2002" s="28" t="s">
        <v>65</v>
      </c>
      <c r="J2002" s="28" t="s">
        <v>66</v>
      </c>
      <c r="K2002" s="28" t="s">
        <v>67</v>
      </c>
      <c r="L2002" s="28" t="s">
        <v>130</v>
      </c>
      <c r="M2002" s="28" t="s">
        <v>69</v>
      </c>
      <c r="N2002" s="28" t="s">
        <v>131</v>
      </c>
      <c r="O2002" s="29" t="n">
        <v>18</v>
      </c>
      <c r="P2002" s="30" t="n">
        <v>1204.74</v>
      </c>
      <c r="Q2002" s="30" t="n">
        <v>766.32</v>
      </c>
      <c r="R2002" s="30" t="n">
        <f aca="false">ROUND(O2002*P2002,2)</f>
        <v>21685.32</v>
      </c>
      <c r="S2002" s="30" t="n">
        <f aca="false">ROUND(O2002*Q2002,2)</f>
        <v>13793.76</v>
      </c>
      <c r="T2002" s="30" t="n">
        <f aca="false">ROUND(R2002*SUMIFS(Parametros!$E$23:$E$38,Parametros!$B$23:$B$38,J2002,Parametros!$C$23:$C$38,C2002,Parametros!$D$23:$D$38,D2002),2)</f>
        <v>281.91</v>
      </c>
      <c r="U2002" s="30" t="n">
        <f aca="false">R2002-S2002-T2002</f>
        <v>7609.65</v>
      </c>
    </row>
    <row r="2003" customFormat="false" ht="15" hidden="false" customHeight="false" outlineLevel="0" collapsed="false">
      <c r="A2003" s="0" t="n">
        <v>2002</v>
      </c>
      <c r="B2003" s="27" t="n">
        <v>45902</v>
      </c>
      <c r="C2003" s="0" t="n">
        <v>2025</v>
      </c>
      <c r="D2003" s="28" t="s">
        <v>115</v>
      </c>
      <c r="E2003" s="0" t="n">
        <v>9</v>
      </c>
      <c r="F2003" s="28" t="s">
        <v>120</v>
      </c>
      <c r="G2003" s="28" t="s">
        <v>151</v>
      </c>
      <c r="H2003" s="28" t="s">
        <v>64</v>
      </c>
      <c r="I2003" s="28" t="s">
        <v>65</v>
      </c>
      <c r="J2003" s="28" t="s">
        <v>71</v>
      </c>
      <c r="K2003" s="28" t="s">
        <v>67</v>
      </c>
      <c r="L2003" s="28" t="s">
        <v>130</v>
      </c>
      <c r="M2003" s="28" t="s">
        <v>69</v>
      </c>
      <c r="N2003" s="28" t="s">
        <v>131</v>
      </c>
      <c r="O2003" s="29" t="n">
        <v>13</v>
      </c>
      <c r="P2003" s="30" t="n">
        <v>1204.74</v>
      </c>
      <c r="Q2003" s="30" t="n">
        <v>766.32</v>
      </c>
      <c r="R2003" s="30" t="n">
        <f aca="false">ROUND(O2003*P2003,2)</f>
        <v>15661.62</v>
      </c>
      <c r="S2003" s="30" t="n">
        <f aca="false">ROUND(O2003*Q2003,2)</f>
        <v>9962.16</v>
      </c>
      <c r="T2003" s="30" t="n">
        <f aca="false">ROUND(R2003*SUMIFS(Parametros!$E$23:$E$38,Parametros!$B$23:$B$38,J2003,Parametros!$C$23:$C$38,C2003,Parametros!$D$23:$D$38,D2003),2)</f>
        <v>877.05</v>
      </c>
      <c r="U2003" s="30" t="n">
        <f aca="false">R2003-S2003-T2003</f>
        <v>4822.41</v>
      </c>
    </row>
    <row r="2004" customFormat="false" ht="15" hidden="false" customHeight="false" outlineLevel="0" collapsed="false">
      <c r="A2004" s="0" t="n">
        <v>2003</v>
      </c>
      <c r="B2004" s="27" t="n">
        <v>45909</v>
      </c>
      <c r="C2004" s="0" t="n">
        <v>2025</v>
      </c>
      <c r="D2004" s="28" t="s">
        <v>115</v>
      </c>
      <c r="E2004" s="0" t="n">
        <v>9</v>
      </c>
      <c r="F2004" s="28" t="s">
        <v>120</v>
      </c>
      <c r="G2004" s="28" t="s">
        <v>151</v>
      </c>
      <c r="H2004" s="28" t="s">
        <v>64</v>
      </c>
      <c r="I2004" s="28" t="s">
        <v>65</v>
      </c>
      <c r="J2004" s="28" t="s">
        <v>66</v>
      </c>
      <c r="K2004" s="28" t="s">
        <v>67</v>
      </c>
      <c r="L2004" s="28" t="s">
        <v>130</v>
      </c>
      <c r="M2004" s="28" t="s">
        <v>72</v>
      </c>
      <c r="N2004" s="28" t="s">
        <v>132</v>
      </c>
      <c r="O2004" s="29" t="n">
        <v>17</v>
      </c>
      <c r="P2004" s="30" t="n">
        <v>451.78</v>
      </c>
      <c r="Q2004" s="30" t="n">
        <v>280.42</v>
      </c>
      <c r="R2004" s="30" t="n">
        <f aca="false">ROUND(O2004*P2004,2)</f>
        <v>7680.26</v>
      </c>
      <c r="S2004" s="30" t="n">
        <f aca="false">ROUND(O2004*Q2004,2)</f>
        <v>4767.14</v>
      </c>
      <c r="T2004" s="30" t="n">
        <f aca="false">ROUND(R2004*SUMIFS(Parametros!$E$23:$E$38,Parametros!$B$23:$B$38,J2004,Parametros!$C$23:$C$38,C2004,Parametros!$D$23:$D$38,D2004),2)</f>
        <v>99.84</v>
      </c>
      <c r="U2004" s="30" t="n">
        <f aca="false">R2004-S2004-T2004</f>
        <v>2813.28</v>
      </c>
    </row>
    <row r="2005" customFormat="false" ht="15" hidden="false" customHeight="false" outlineLevel="0" collapsed="false">
      <c r="A2005" s="0" t="n">
        <v>2004</v>
      </c>
      <c r="B2005" s="27" t="n">
        <v>45916</v>
      </c>
      <c r="C2005" s="0" t="n">
        <v>2025</v>
      </c>
      <c r="D2005" s="28" t="s">
        <v>115</v>
      </c>
      <c r="E2005" s="0" t="n">
        <v>9</v>
      </c>
      <c r="F2005" s="28" t="s">
        <v>120</v>
      </c>
      <c r="G2005" s="28" t="s">
        <v>151</v>
      </c>
      <c r="H2005" s="28" t="s">
        <v>64</v>
      </c>
      <c r="I2005" s="28" t="s">
        <v>65</v>
      </c>
      <c r="J2005" s="28" t="s">
        <v>71</v>
      </c>
      <c r="K2005" s="28" t="s">
        <v>67</v>
      </c>
      <c r="L2005" s="28" t="s">
        <v>130</v>
      </c>
      <c r="M2005" s="28" t="s">
        <v>72</v>
      </c>
      <c r="N2005" s="28" t="s">
        <v>132</v>
      </c>
      <c r="O2005" s="29" t="n">
        <v>16</v>
      </c>
      <c r="P2005" s="30" t="n">
        <v>451.78</v>
      </c>
      <c r="Q2005" s="30" t="n">
        <v>280.42</v>
      </c>
      <c r="R2005" s="30" t="n">
        <f aca="false">ROUND(O2005*P2005,2)</f>
        <v>7228.48</v>
      </c>
      <c r="S2005" s="30" t="n">
        <f aca="false">ROUND(O2005*Q2005,2)</f>
        <v>4486.72</v>
      </c>
      <c r="T2005" s="30" t="n">
        <f aca="false">ROUND(R2005*SUMIFS(Parametros!$E$23:$E$38,Parametros!$B$23:$B$38,J2005,Parametros!$C$23:$C$38,C2005,Parametros!$D$23:$D$38,D2005),2)</f>
        <v>404.79</v>
      </c>
      <c r="U2005" s="30" t="n">
        <f aca="false">R2005-S2005-T2005</f>
        <v>2336.97</v>
      </c>
    </row>
    <row r="2006" customFormat="false" ht="15" hidden="false" customHeight="false" outlineLevel="0" collapsed="false">
      <c r="A2006" s="0" t="n">
        <v>2005</v>
      </c>
      <c r="B2006" s="27" t="n">
        <v>45923</v>
      </c>
      <c r="C2006" s="0" t="n">
        <v>2025</v>
      </c>
      <c r="D2006" s="28" t="s">
        <v>115</v>
      </c>
      <c r="E2006" s="0" t="n">
        <v>9</v>
      </c>
      <c r="F2006" s="28" t="s">
        <v>120</v>
      </c>
      <c r="G2006" s="28" t="s">
        <v>151</v>
      </c>
      <c r="H2006" s="28" t="s">
        <v>64</v>
      </c>
      <c r="I2006" s="28" t="s">
        <v>65</v>
      </c>
      <c r="J2006" s="28" t="s">
        <v>66</v>
      </c>
      <c r="K2006" s="28" t="s">
        <v>67</v>
      </c>
      <c r="L2006" s="28" t="s">
        <v>130</v>
      </c>
      <c r="M2006" s="28" t="s">
        <v>74</v>
      </c>
      <c r="N2006" s="28" t="s">
        <v>133</v>
      </c>
      <c r="O2006" s="29" t="n">
        <v>17</v>
      </c>
      <c r="P2006" s="30" t="n">
        <v>1656.52</v>
      </c>
      <c r="Q2006" s="30" t="n">
        <v>1155.66</v>
      </c>
      <c r="R2006" s="30" t="n">
        <f aca="false">ROUND(O2006*P2006,2)</f>
        <v>28160.84</v>
      </c>
      <c r="S2006" s="30" t="n">
        <f aca="false">ROUND(O2006*Q2006,2)</f>
        <v>19646.22</v>
      </c>
      <c r="T2006" s="30" t="n">
        <f aca="false">ROUND(R2006*SUMIFS(Parametros!$E$23:$E$38,Parametros!$B$23:$B$38,J2006,Parametros!$C$23:$C$38,C2006,Parametros!$D$23:$D$38,D2006),2)</f>
        <v>366.09</v>
      </c>
      <c r="U2006" s="30" t="n">
        <f aca="false">R2006-S2006-T2006</f>
        <v>8148.53</v>
      </c>
    </row>
    <row r="2007" customFormat="false" ht="15" hidden="false" customHeight="false" outlineLevel="0" collapsed="false">
      <c r="A2007" s="0" t="n">
        <v>2006</v>
      </c>
      <c r="B2007" s="27" t="n">
        <v>45903</v>
      </c>
      <c r="C2007" s="0" t="n">
        <v>2025</v>
      </c>
      <c r="D2007" s="28" t="s">
        <v>115</v>
      </c>
      <c r="E2007" s="0" t="n">
        <v>9</v>
      </c>
      <c r="F2007" s="28" t="s">
        <v>120</v>
      </c>
      <c r="G2007" s="28" t="s">
        <v>151</v>
      </c>
      <c r="H2007" s="28" t="s">
        <v>64</v>
      </c>
      <c r="I2007" s="28" t="s">
        <v>65</v>
      </c>
      <c r="J2007" s="28" t="s">
        <v>71</v>
      </c>
      <c r="K2007" s="28" t="s">
        <v>67</v>
      </c>
      <c r="L2007" s="28" t="s">
        <v>130</v>
      </c>
      <c r="M2007" s="28" t="s">
        <v>74</v>
      </c>
      <c r="N2007" s="28" t="s">
        <v>133</v>
      </c>
      <c r="O2007" s="29" t="n">
        <v>15</v>
      </c>
      <c r="P2007" s="30" t="n">
        <v>1656.52</v>
      </c>
      <c r="Q2007" s="30" t="n">
        <v>1155.66</v>
      </c>
      <c r="R2007" s="30" t="n">
        <f aca="false">ROUND(O2007*P2007,2)</f>
        <v>24847.8</v>
      </c>
      <c r="S2007" s="30" t="n">
        <f aca="false">ROUND(O2007*Q2007,2)</f>
        <v>17334.9</v>
      </c>
      <c r="T2007" s="30" t="n">
        <f aca="false">ROUND(R2007*SUMIFS(Parametros!$E$23:$E$38,Parametros!$B$23:$B$38,J2007,Parametros!$C$23:$C$38,C2007,Parametros!$D$23:$D$38,D2007),2)</f>
        <v>1391.48</v>
      </c>
      <c r="U2007" s="30" t="n">
        <f aca="false">R2007-S2007-T2007</f>
        <v>6121.42</v>
      </c>
    </row>
    <row r="2008" customFormat="false" ht="15" hidden="false" customHeight="false" outlineLevel="0" collapsed="false">
      <c r="A2008" s="0" t="n">
        <v>2007</v>
      </c>
      <c r="B2008" s="27" t="n">
        <v>45910</v>
      </c>
      <c r="C2008" s="0" t="n">
        <v>2025</v>
      </c>
      <c r="D2008" s="28" t="s">
        <v>115</v>
      </c>
      <c r="E2008" s="0" t="n">
        <v>9</v>
      </c>
      <c r="F2008" s="28" t="s">
        <v>120</v>
      </c>
      <c r="G2008" s="28" t="s">
        <v>151</v>
      </c>
      <c r="H2008" s="28" t="s">
        <v>64</v>
      </c>
      <c r="I2008" s="28" t="s">
        <v>65</v>
      </c>
      <c r="J2008" s="28" t="s">
        <v>66</v>
      </c>
      <c r="K2008" s="28" t="s">
        <v>76</v>
      </c>
      <c r="L2008" s="28" t="s">
        <v>134</v>
      </c>
      <c r="M2008" s="28" t="s">
        <v>78</v>
      </c>
      <c r="N2008" s="28" t="s">
        <v>135</v>
      </c>
      <c r="O2008" s="29" t="n">
        <v>84</v>
      </c>
      <c r="P2008" s="30" t="n">
        <v>28.11</v>
      </c>
      <c r="Q2008" s="30" t="n">
        <v>13.84</v>
      </c>
      <c r="R2008" s="30" t="n">
        <f aca="false">ROUND(O2008*P2008,2)</f>
        <v>2361.24</v>
      </c>
      <c r="S2008" s="30" t="n">
        <f aca="false">ROUND(O2008*Q2008,2)</f>
        <v>1162.56</v>
      </c>
      <c r="T2008" s="30" t="n">
        <f aca="false">ROUND(R2008*SUMIFS(Parametros!$E$23:$E$38,Parametros!$B$23:$B$38,J2008,Parametros!$C$23:$C$38,C2008,Parametros!$D$23:$D$38,D2008),2)</f>
        <v>30.7</v>
      </c>
      <c r="U2008" s="30" t="n">
        <f aca="false">R2008-S2008-T2008</f>
        <v>1167.98</v>
      </c>
    </row>
    <row r="2009" customFormat="false" ht="15" hidden="false" customHeight="false" outlineLevel="0" collapsed="false">
      <c r="A2009" s="0" t="n">
        <v>2008</v>
      </c>
      <c r="B2009" s="27" t="n">
        <v>45917</v>
      </c>
      <c r="C2009" s="0" t="n">
        <v>2025</v>
      </c>
      <c r="D2009" s="28" t="s">
        <v>115</v>
      </c>
      <c r="E2009" s="0" t="n">
        <v>9</v>
      </c>
      <c r="F2009" s="28" t="s">
        <v>120</v>
      </c>
      <c r="G2009" s="28" t="s">
        <v>151</v>
      </c>
      <c r="H2009" s="28" t="s">
        <v>64</v>
      </c>
      <c r="I2009" s="28" t="s">
        <v>65</v>
      </c>
      <c r="J2009" s="28" t="s">
        <v>71</v>
      </c>
      <c r="K2009" s="28" t="s">
        <v>76</v>
      </c>
      <c r="L2009" s="28" t="s">
        <v>134</v>
      </c>
      <c r="M2009" s="28" t="s">
        <v>78</v>
      </c>
      <c r="N2009" s="28" t="s">
        <v>135</v>
      </c>
      <c r="O2009" s="29" t="n">
        <v>56</v>
      </c>
      <c r="P2009" s="30" t="n">
        <v>28.11</v>
      </c>
      <c r="Q2009" s="30" t="n">
        <v>13.84</v>
      </c>
      <c r="R2009" s="30" t="n">
        <f aca="false">ROUND(O2009*P2009,2)</f>
        <v>1574.16</v>
      </c>
      <c r="S2009" s="30" t="n">
        <f aca="false">ROUND(O2009*Q2009,2)</f>
        <v>775.04</v>
      </c>
      <c r="T2009" s="30" t="n">
        <f aca="false">ROUND(R2009*SUMIFS(Parametros!$E$23:$E$38,Parametros!$B$23:$B$38,J2009,Parametros!$C$23:$C$38,C2009,Parametros!$D$23:$D$38,D2009),2)</f>
        <v>88.15</v>
      </c>
      <c r="U2009" s="30" t="n">
        <f aca="false">R2009-S2009-T2009</f>
        <v>710.97</v>
      </c>
    </row>
    <row r="2010" customFormat="false" ht="15" hidden="false" customHeight="false" outlineLevel="0" collapsed="false">
      <c r="A2010" s="0" t="n">
        <v>2009</v>
      </c>
      <c r="B2010" s="27" t="n">
        <v>45924</v>
      </c>
      <c r="C2010" s="0" t="n">
        <v>2025</v>
      </c>
      <c r="D2010" s="28" t="s">
        <v>115</v>
      </c>
      <c r="E2010" s="0" t="n">
        <v>9</v>
      </c>
      <c r="F2010" s="28" t="s">
        <v>120</v>
      </c>
      <c r="G2010" s="28" t="s">
        <v>151</v>
      </c>
      <c r="H2010" s="28" t="s">
        <v>64</v>
      </c>
      <c r="I2010" s="28" t="s">
        <v>65</v>
      </c>
      <c r="J2010" s="28" t="s">
        <v>66</v>
      </c>
      <c r="K2010" s="28" t="s">
        <v>76</v>
      </c>
      <c r="L2010" s="28" t="s">
        <v>134</v>
      </c>
      <c r="M2010" s="28" t="s">
        <v>80</v>
      </c>
      <c r="N2010" s="28" t="s">
        <v>136</v>
      </c>
      <c r="O2010" s="29" t="n">
        <v>95</v>
      </c>
      <c r="P2010" s="30" t="n">
        <v>95.38</v>
      </c>
      <c r="Q2010" s="30" t="n">
        <v>49.41</v>
      </c>
      <c r="R2010" s="30" t="n">
        <f aca="false">ROUND(O2010*P2010,2)</f>
        <v>9061.1</v>
      </c>
      <c r="S2010" s="30" t="n">
        <f aca="false">ROUND(O2010*Q2010,2)</f>
        <v>4693.95</v>
      </c>
      <c r="T2010" s="30" t="n">
        <f aca="false">ROUND(R2010*SUMIFS(Parametros!$E$23:$E$38,Parametros!$B$23:$B$38,J2010,Parametros!$C$23:$C$38,C2010,Parametros!$D$23:$D$38,D2010),2)</f>
        <v>117.79</v>
      </c>
      <c r="U2010" s="30" t="n">
        <f aca="false">R2010-S2010-T2010</f>
        <v>4249.36</v>
      </c>
    </row>
    <row r="2011" customFormat="false" ht="15" hidden="false" customHeight="false" outlineLevel="0" collapsed="false">
      <c r="A2011" s="0" t="n">
        <v>2010</v>
      </c>
      <c r="B2011" s="27" t="n">
        <v>45904</v>
      </c>
      <c r="C2011" s="0" t="n">
        <v>2025</v>
      </c>
      <c r="D2011" s="28" t="s">
        <v>115</v>
      </c>
      <c r="E2011" s="0" t="n">
        <v>9</v>
      </c>
      <c r="F2011" s="28" t="s">
        <v>120</v>
      </c>
      <c r="G2011" s="28" t="s">
        <v>151</v>
      </c>
      <c r="H2011" s="28" t="s">
        <v>64</v>
      </c>
      <c r="I2011" s="28" t="s">
        <v>65</v>
      </c>
      <c r="J2011" s="28" t="s">
        <v>71</v>
      </c>
      <c r="K2011" s="28" t="s">
        <v>76</v>
      </c>
      <c r="L2011" s="28" t="s">
        <v>134</v>
      </c>
      <c r="M2011" s="28" t="s">
        <v>80</v>
      </c>
      <c r="N2011" s="28" t="s">
        <v>136</v>
      </c>
      <c r="O2011" s="29" t="n">
        <v>57</v>
      </c>
      <c r="P2011" s="30" t="n">
        <v>95.38</v>
      </c>
      <c r="Q2011" s="30" t="n">
        <v>49.41</v>
      </c>
      <c r="R2011" s="30" t="n">
        <f aca="false">ROUND(O2011*P2011,2)</f>
        <v>5436.66</v>
      </c>
      <c r="S2011" s="30" t="n">
        <f aca="false">ROUND(O2011*Q2011,2)</f>
        <v>2816.37</v>
      </c>
      <c r="T2011" s="30" t="n">
        <f aca="false">ROUND(R2011*SUMIFS(Parametros!$E$23:$E$38,Parametros!$B$23:$B$38,J2011,Parametros!$C$23:$C$38,C2011,Parametros!$D$23:$D$38,D2011),2)</f>
        <v>304.45</v>
      </c>
      <c r="U2011" s="30" t="n">
        <f aca="false">R2011-S2011-T2011</f>
        <v>2315.84</v>
      </c>
    </row>
    <row r="2012" customFormat="false" ht="15" hidden="false" customHeight="false" outlineLevel="0" collapsed="false">
      <c r="A2012" s="0" t="n">
        <v>2011</v>
      </c>
      <c r="B2012" s="27" t="n">
        <v>45911</v>
      </c>
      <c r="C2012" s="0" t="n">
        <v>2025</v>
      </c>
      <c r="D2012" s="28" t="s">
        <v>115</v>
      </c>
      <c r="E2012" s="0" t="n">
        <v>9</v>
      </c>
      <c r="F2012" s="28" t="s">
        <v>120</v>
      </c>
      <c r="G2012" s="28" t="s">
        <v>151</v>
      </c>
      <c r="H2012" s="28" t="s">
        <v>64</v>
      </c>
      <c r="I2012" s="28" t="s">
        <v>65</v>
      </c>
      <c r="J2012" s="28" t="s">
        <v>66</v>
      </c>
      <c r="K2012" s="28" t="s">
        <v>76</v>
      </c>
      <c r="L2012" s="28" t="s">
        <v>134</v>
      </c>
      <c r="M2012" s="28" t="s">
        <v>82</v>
      </c>
      <c r="N2012" s="28" t="s">
        <v>137</v>
      </c>
      <c r="O2012" s="29" t="n">
        <v>91</v>
      </c>
      <c r="P2012" s="30" t="n">
        <v>65.26</v>
      </c>
      <c r="Q2012" s="30" t="n">
        <v>36.49</v>
      </c>
      <c r="R2012" s="30" t="n">
        <f aca="false">ROUND(O2012*P2012,2)</f>
        <v>5938.66</v>
      </c>
      <c r="S2012" s="30" t="n">
        <f aca="false">ROUND(O2012*Q2012,2)</f>
        <v>3320.59</v>
      </c>
      <c r="T2012" s="30" t="n">
        <f aca="false">ROUND(R2012*SUMIFS(Parametros!$E$23:$E$38,Parametros!$B$23:$B$38,J2012,Parametros!$C$23:$C$38,C2012,Parametros!$D$23:$D$38,D2012),2)</f>
        <v>77.2</v>
      </c>
      <c r="U2012" s="30" t="n">
        <f aca="false">R2012-S2012-T2012</f>
        <v>2540.87</v>
      </c>
    </row>
    <row r="2013" customFormat="false" ht="15" hidden="false" customHeight="false" outlineLevel="0" collapsed="false">
      <c r="A2013" s="0" t="n">
        <v>2012</v>
      </c>
      <c r="B2013" s="27" t="n">
        <v>45918</v>
      </c>
      <c r="C2013" s="0" t="n">
        <v>2025</v>
      </c>
      <c r="D2013" s="28" t="s">
        <v>115</v>
      </c>
      <c r="E2013" s="0" t="n">
        <v>9</v>
      </c>
      <c r="F2013" s="28" t="s">
        <v>120</v>
      </c>
      <c r="G2013" s="28" t="s">
        <v>151</v>
      </c>
      <c r="H2013" s="28" t="s">
        <v>64</v>
      </c>
      <c r="I2013" s="28" t="s">
        <v>65</v>
      </c>
      <c r="J2013" s="28" t="s">
        <v>71</v>
      </c>
      <c r="K2013" s="28" t="s">
        <v>76</v>
      </c>
      <c r="L2013" s="28" t="s">
        <v>134</v>
      </c>
      <c r="M2013" s="28" t="s">
        <v>82</v>
      </c>
      <c r="N2013" s="28" t="s">
        <v>137</v>
      </c>
      <c r="O2013" s="29" t="n">
        <v>64</v>
      </c>
      <c r="P2013" s="30" t="n">
        <v>65.26</v>
      </c>
      <c r="Q2013" s="30" t="n">
        <v>36.49</v>
      </c>
      <c r="R2013" s="30" t="n">
        <f aca="false">ROUND(O2013*P2013,2)</f>
        <v>4176.64</v>
      </c>
      <c r="S2013" s="30" t="n">
        <f aca="false">ROUND(O2013*Q2013,2)</f>
        <v>2335.36</v>
      </c>
      <c r="T2013" s="30" t="n">
        <f aca="false">ROUND(R2013*SUMIFS(Parametros!$E$23:$E$38,Parametros!$B$23:$B$38,J2013,Parametros!$C$23:$C$38,C2013,Parametros!$D$23:$D$38,D2013),2)</f>
        <v>233.89</v>
      </c>
      <c r="U2013" s="30" t="n">
        <f aca="false">R2013-S2013-T2013</f>
        <v>1607.39</v>
      </c>
    </row>
    <row r="2014" customFormat="false" ht="15" hidden="false" customHeight="false" outlineLevel="0" collapsed="false">
      <c r="A2014" s="0" t="n">
        <v>2013</v>
      </c>
      <c r="B2014" s="27" t="n">
        <v>45925</v>
      </c>
      <c r="C2014" s="0" t="n">
        <v>2025</v>
      </c>
      <c r="D2014" s="28" t="s">
        <v>115</v>
      </c>
      <c r="E2014" s="0" t="n">
        <v>9</v>
      </c>
      <c r="F2014" s="28" t="s">
        <v>120</v>
      </c>
      <c r="G2014" s="28" t="s">
        <v>151</v>
      </c>
      <c r="H2014" s="28" t="s">
        <v>64</v>
      </c>
      <c r="I2014" s="28" t="s">
        <v>65</v>
      </c>
      <c r="J2014" s="28" t="s">
        <v>66</v>
      </c>
      <c r="K2014" s="28" t="s">
        <v>84</v>
      </c>
      <c r="L2014" s="28" t="s">
        <v>138</v>
      </c>
      <c r="M2014" s="28" t="s">
        <v>86</v>
      </c>
      <c r="N2014" s="28" t="s">
        <v>139</v>
      </c>
      <c r="O2014" s="29" t="n">
        <v>46</v>
      </c>
      <c r="P2014" s="30" t="n">
        <v>120.47</v>
      </c>
      <c r="Q2014" s="30" t="n">
        <v>65.51</v>
      </c>
      <c r="R2014" s="30" t="n">
        <f aca="false">ROUND(O2014*P2014,2)</f>
        <v>5541.62</v>
      </c>
      <c r="S2014" s="30" t="n">
        <f aca="false">ROUND(O2014*Q2014,2)</f>
        <v>3013.46</v>
      </c>
      <c r="T2014" s="30" t="n">
        <f aca="false">ROUND(R2014*SUMIFS(Parametros!$E$23:$E$38,Parametros!$B$23:$B$38,J2014,Parametros!$C$23:$C$38,C2014,Parametros!$D$23:$D$38,D2014),2)</f>
        <v>72.04</v>
      </c>
      <c r="U2014" s="30" t="n">
        <f aca="false">R2014-S2014-T2014</f>
        <v>2456.12</v>
      </c>
    </row>
    <row r="2015" customFormat="false" ht="15" hidden="false" customHeight="false" outlineLevel="0" collapsed="false">
      <c r="A2015" s="0" t="n">
        <v>2014</v>
      </c>
      <c r="B2015" s="27" t="n">
        <v>45905</v>
      </c>
      <c r="C2015" s="0" t="n">
        <v>2025</v>
      </c>
      <c r="D2015" s="28" t="s">
        <v>115</v>
      </c>
      <c r="E2015" s="0" t="n">
        <v>9</v>
      </c>
      <c r="F2015" s="28" t="s">
        <v>120</v>
      </c>
      <c r="G2015" s="28" t="s">
        <v>151</v>
      </c>
      <c r="H2015" s="28" t="s">
        <v>64</v>
      </c>
      <c r="I2015" s="28" t="s">
        <v>65</v>
      </c>
      <c r="J2015" s="28" t="s">
        <v>71</v>
      </c>
      <c r="K2015" s="28" t="s">
        <v>84</v>
      </c>
      <c r="L2015" s="28" t="s">
        <v>138</v>
      </c>
      <c r="M2015" s="28" t="s">
        <v>86</v>
      </c>
      <c r="N2015" s="28" t="s">
        <v>139</v>
      </c>
      <c r="O2015" s="29" t="n">
        <v>31</v>
      </c>
      <c r="P2015" s="30" t="n">
        <v>120.47</v>
      </c>
      <c r="Q2015" s="30" t="n">
        <v>65.51</v>
      </c>
      <c r="R2015" s="30" t="n">
        <f aca="false">ROUND(O2015*P2015,2)</f>
        <v>3734.57</v>
      </c>
      <c r="S2015" s="30" t="n">
        <f aca="false">ROUND(O2015*Q2015,2)</f>
        <v>2030.81</v>
      </c>
      <c r="T2015" s="30" t="n">
        <f aca="false">ROUND(R2015*SUMIFS(Parametros!$E$23:$E$38,Parametros!$B$23:$B$38,J2015,Parametros!$C$23:$C$38,C2015,Parametros!$D$23:$D$38,D2015),2)</f>
        <v>209.14</v>
      </c>
      <c r="U2015" s="30" t="n">
        <f aca="false">R2015-S2015-T2015</f>
        <v>1494.62</v>
      </c>
    </row>
    <row r="2016" customFormat="false" ht="15" hidden="false" customHeight="false" outlineLevel="0" collapsed="false">
      <c r="A2016" s="0" t="n">
        <v>2015</v>
      </c>
      <c r="B2016" s="27" t="n">
        <v>45912</v>
      </c>
      <c r="C2016" s="0" t="n">
        <v>2025</v>
      </c>
      <c r="D2016" s="28" t="s">
        <v>115</v>
      </c>
      <c r="E2016" s="0" t="n">
        <v>9</v>
      </c>
      <c r="F2016" s="28" t="s">
        <v>120</v>
      </c>
      <c r="G2016" s="28" t="s">
        <v>151</v>
      </c>
      <c r="H2016" s="28" t="s">
        <v>64</v>
      </c>
      <c r="I2016" s="28" t="s">
        <v>65</v>
      </c>
      <c r="J2016" s="28" t="s">
        <v>66</v>
      </c>
      <c r="K2016" s="28" t="s">
        <v>84</v>
      </c>
      <c r="L2016" s="28" t="s">
        <v>138</v>
      </c>
      <c r="M2016" s="28" t="s">
        <v>88</v>
      </c>
      <c r="N2016" s="28" t="s">
        <v>140</v>
      </c>
      <c r="O2016" s="29" t="n">
        <v>36</v>
      </c>
      <c r="P2016" s="30" t="n">
        <v>85.34</v>
      </c>
      <c r="Q2016" s="30" t="n">
        <v>49.47</v>
      </c>
      <c r="R2016" s="30" t="n">
        <f aca="false">ROUND(O2016*P2016,2)</f>
        <v>3072.24</v>
      </c>
      <c r="S2016" s="30" t="n">
        <f aca="false">ROUND(O2016*Q2016,2)</f>
        <v>1780.92</v>
      </c>
      <c r="T2016" s="30" t="n">
        <f aca="false">ROUND(R2016*SUMIFS(Parametros!$E$23:$E$38,Parametros!$B$23:$B$38,J2016,Parametros!$C$23:$C$38,C2016,Parametros!$D$23:$D$38,D2016),2)</f>
        <v>39.94</v>
      </c>
      <c r="U2016" s="30" t="n">
        <f aca="false">R2016-S2016-T2016</f>
        <v>1251.38</v>
      </c>
    </row>
    <row r="2017" customFormat="false" ht="15" hidden="false" customHeight="false" outlineLevel="0" collapsed="false">
      <c r="A2017" s="0" t="n">
        <v>2016</v>
      </c>
      <c r="B2017" s="27" t="n">
        <v>45919</v>
      </c>
      <c r="C2017" s="0" t="n">
        <v>2025</v>
      </c>
      <c r="D2017" s="28" t="s">
        <v>115</v>
      </c>
      <c r="E2017" s="0" t="n">
        <v>9</v>
      </c>
      <c r="F2017" s="28" t="s">
        <v>120</v>
      </c>
      <c r="G2017" s="28" t="s">
        <v>151</v>
      </c>
      <c r="H2017" s="28" t="s">
        <v>64</v>
      </c>
      <c r="I2017" s="28" t="s">
        <v>65</v>
      </c>
      <c r="J2017" s="28" t="s">
        <v>71</v>
      </c>
      <c r="K2017" s="28" t="s">
        <v>84</v>
      </c>
      <c r="L2017" s="28" t="s">
        <v>138</v>
      </c>
      <c r="M2017" s="28" t="s">
        <v>88</v>
      </c>
      <c r="N2017" s="28" t="s">
        <v>140</v>
      </c>
      <c r="O2017" s="29" t="n">
        <v>35</v>
      </c>
      <c r="P2017" s="30" t="n">
        <v>85.34</v>
      </c>
      <c r="Q2017" s="30" t="n">
        <v>49.47</v>
      </c>
      <c r="R2017" s="30" t="n">
        <f aca="false">ROUND(O2017*P2017,2)</f>
        <v>2986.9</v>
      </c>
      <c r="S2017" s="30" t="n">
        <f aca="false">ROUND(O2017*Q2017,2)</f>
        <v>1731.45</v>
      </c>
      <c r="T2017" s="30" t="n">
        <f aca="false">ROUND(R2017*SUMIFS(Parametros!$E$23:$E$38,Parametros!$B$23:$B$38,J2017,Parametros!$C$23:$C$38,C2017,Parametros!$D$23:$D$38,D2017),2)</f>
        <v>167.27</v>
      </c>
      <c r="U2017" s="30" t="n">
        <f aca="false">R2017-S2017-T2017</f>
        <v>1088.18</v>
      </c>
    </row>
    <row r="2018" customFormat="false" ht="15" hidden="false" customHeight="false" outlineLevel="0" collapsed="false">
      <c r="A2018" s="0" t="n">
        <v>2017</v>
      </c>
      <c r="B2018" s="27" t="n">
        <v>45926</v>
      </c>
      <c r="C2018" s="0" t="n">
        <v>2025</v>
      </c>
      <c r="D2018" s="28" t="s">
        <v>115</v>
      </c>
      <c r="E2018" s="0" t="n">
        <v>9</v>
      </c>
      <c r="F2018" s="28" t="s">
        <v>120</v>
      </c>
      <c r="G2018" s="28" t="s">
        <v>151</v>
      </c>
      <c r="H2018" s="28" t="s">
        <v>64</v>
      </c>
      <c r="I2018" s="28" t="s">
        <v>65</v>
      </c>
      <c r="J2018" s="28" t="s">
        <v>66</v>
      </c>
      <c r="K2018" s="28" t="s">
        <v>90</v>
      </c>
      <c r="L2018" s="28" t="s">
        <v>141</v>
      </c>
      <c r="M2018" s="28" t="s">
        <v>92</v>
      </c>
      <c r="N2018" s="28" t="s">
        <v>142</v>
      </c>
      <c r="O2018" s="29" t="n">
        <v>56</v>
      </c>
      <c r="P2018" s="30" t="n">
        <v>130.51</v>
      </c>
      <c r="Q2018" s="30" t="n">
        <v>78.33</v>
      </c>
      <c r="R2018" s="30" t="n">
        <f aca="false">ROUND(O2018*P2018,2)</f>
        <v>7308.56</v>
      </c>
      <c r="S2018" s="30" t="n">
        <f aca="false">ROUND(O2018*Q2018,2)</f>
        <v>4386.48</v>
      </c>
      <c r="T2018" s="30" t="n">
        <f aca="false">ROUND(R2018*SUMIFS(Parametros!$E$23:$E$38,Parametros!$B$23:$B$38,J2018,Parametros!$C$23:$C$38,C2018,Parametros!$D$23:$D$38,D2018),2)</f>
        <v>95.01</v>
      </c>
      <c r="U2018" s="30" t="n">
        <f aca="false">R2018-S2018-T2018</f>
        <v>2827.07</v>
      </c>
    </row>
    <row r="2019" customFormat="false" ht="15" hidden="false" customHeight="false" outlineLevel="0" collapsed="false">
      <c r="A2019" s="0" t="n">
        <v>2018</v>
      </c>
      <c r="B2019" s="27" t="n">
        <v>45906</v>
      </c>
      <c r="C2019" s="0" t="n">
        <v>2025</v>
      </c>
      <c r="D2019" s="28" t="s">
        <v>115</v>
      </c>
      <c r="E2019" s="0" t="n">
        <v>9</v>
      </c>
      <c r="F2019" s="28" t="s">
        <v>120</v>
      </c>
      <c r="G2019" s="28" t="s">
        <v>151</v>
      </c>
      <c r="H2019" s="28" t="s">
        <v>64</v>
      </c>
      <c r="I2019" s="28" t="s">
        <v>65</v>
      </c>
      <c r="J2019" s="28" t="s">
        <v>71</v>
      </c>
      <c r="K2019" s="28" t="s">
        <v>90</v>
      </c>
      <c r="L2019" s="28" t="s">
        <v>141</v>
      </c>
      <c r="M2019" s="28" t="s">
        <v>92</v>
      </c>
      <c r="N2019" s="28" t="s">
        <v>142</v>
      </c>
      <c r="O2019" s="29" t="n">
        <v>34</v>
      </c>
      <c r="P2019" s="30" t="n">
        <v>130.51</v>
      </c>
      <c r="Q2019" s="30" t="n">
        <v>78.33</v>
      </c>
      <c r="R2019" s="30" t="n">
        <f aca="false">ROUND(O2019*P2019,2)</f>
        <v>4437.34</v>
      </c>
      <c r="S2019" s="30" t="n">
        <f aca="false">ROUND(O2019*Q2019,2)</f>
        <v>2663.22</v>
      </c>
      <c r="T2019" s="30" t="n">
        <f aca="false">ROUND(R2019*SUMIFS(Parametros!$E$23:$E$38,Parametros!$B$23:$B$38,J2019,Parametros!$C$23:$C$38,C2019,Parametros!$D$23:$D$38,D2019),2)</f>
        <v>248.49</v>
      </c>
      <c r="U2019" s="30" t="n">
        <f aca="false">R2019-S2019-T2019</f>
        <v>1525.63</v>
      </c>
    </row>
    <row r="2020" customFormat="false" ht="15" hidden="false" customHeight="false" outlineLevel="0" collapsed="false">
      <c r="A2020" s="0" t="n">
        <v>2019</v>
      </c>
      <c r="B2020" s="27" t="n">
        <v>45913</v>
      </c>
      <c r="C2020" s="0" t="n">
        <v>2025</v>
      </c>
      <c r="D2020" s="28" t="s">
        <v>115</v>
      </c>
      <c r="E2020" s="0" t="n">
        <v>9</v>
      </c>
      <c r="F2020" s="28" t="s">
        <v>120</v>
      </c>
      <c r="G2020" s="28" t="s">
        <v>151</v>
      </c>
      <c r="H2020" s="28" t="s">
        <v>64</v>
      </c>
      <c r="I2020" s="28" t="s">
        <v>65</v>
      </c>
      <c r="J2020" s="28" t="s">
        <v>66</v>
      </c>
      <c r="K2020" s="28" t="s">
        <v>90</v>
      </c>
      <c r="L2020" s="28" t="s">
        <v>141</v>
      </c>
      <c r="M2020" s="28" t="s">
        <v>94</v>
      </c>
      <c r="N2020" s="28" t="s">
        <v>143</v>
      </c>
      <c r="O2020" s="29" t="n">
        <v>48</v>
      </c>
      <c r="P2020" s="30" t="n">
        <v>35.14</v>
      </c>
      <c r="Q2020" s="30" t="n">
        <v>18.39</v>
      </c>
      <c r="R2020" s="30" t="n">
        <f aca="false">ROUND(O2020*P2020,2)</f>
        <v>1686.72</v>
      </c>
      <c r="S2020" s="30" t="n">
        <f aca="false">ROUND(O2020*Q2020,2)</f>
        <v>882.72</v>
      </c>
      <c r="T2020" s="30" t="n">
        <f aca="false">ROUND(R2020*SUMIFS(Parametros!$E$23:$E$38,Parametros!$B$23:$B$38,J2020,Parametros!$C$23:$C$38,C2020,Parametros!$D$23:$D$38,D2020),2)</f>
        <v>21.93</v>
      </c>
      <c r="U2020" s="30" t="n">
        <f aca="false">R2020-S2020-T2020</f>
        <v>782.07</v>
      </c>
    </row>
    <row r="2021" customFormat="false" ht="15" hidden="false" customHeight="false" outlineLevel="0" collapsed="false">
      <c r="A2021" s="0" t="n">
        <v>2020</v>
      </c>
      <c r="B2021" s="27" t="n">
        <v>45920</v>
      </c>
      <c r="C2021" s="0" t="n">
        <v>2025</v>
      </c>
      <c r="D2021" s="28" t="s">
        <v>115</v>
      </c>
      <c r="E2021" s="0" t="n">
        <v>9</v>
      </c>
      <c r="F2021" s="28" t="s">
        <v>120</v>
      </c>
      <c r="G2021" s="28" t="s">
        <v>151</v>
      </c>
      <c r="H2021" s="28" t="s">
        <v>64</v>
      </c>
      <c r="I2021" s="28" t="s">
        <v>65</v>
      </c>
      <c r="J2021" s="28" t="s">
        <v>71</v>
      </c>
      <c r="K2021" s="28" t="s">
        <v>90</v>
      </c>
      <c r="L2021" s="28" t="s">
        <v>141</v>
      </c>
      <c r="M2021" s="28" t="s">
        <v>94</v>
      </c>
      <c r="N2021" s="28" t="s">
        <v>143</v>
      </c>
      <c r="O2021" s="29" t="n">
        <v>41</v>
      </c>
      <c r="P2021" s="30" t="n">
        <v>35.14</v>
      </c>
      <c r="Q2021" s="30" t="n">
        <v>18.39</v>
      </c>
      <c r="R2021" s="30" t="n">
        <f aca="false">ROUND(O2021*P2021,2)</f>
        <v>1440.74</v>
      </c>
      <c r="S2021" s="30" t="n">
        <f aca="false">ROUND(O2021*Q2021,2)</f>
        <v>753.99</v>
      </c>
      <c r="T2021" s="30" t="n">
        <f aca="false">ROUND(R2021*SUMIFS(Parametros!$E$23:$E$38,Parametros!$B$23:$B$38,J2021,Parametros!$C$23:$C$38,C2021,Parametros!$D$23:$D$38,D2021),2)</f>
        <v>80.68</v>
      </c>
      <c r="U2021" s="30" t="n">
        <f aca="false">R2021-S2021-T2021</f>
        <v>606.07</v>
      </c>
    </row>
    <row r="2022" customFormat="false" ht="15" hidden="false" customHeight="false" outlineLevel="0" collapsed="false">
      <c r="A2022" s="0" t="n">
        <v>2021</v>
      </c>
      <c r="B2022" s="27" t="n">
        <v>45927</v>
      </c>
      <c r="C2022" s="0" t="n">
        <v>2025</v>
      </c>
      <c r="D2022" s="28" t="s">
        <v>115</v>
      </c>
      <c r="E2022" s="0" t="n">
        <v>9</v>
      </c>
      <c r="F2022" s="28" t="s">
        <v>120</v>
      </c>
      <c r="G2022" s="28" t="s">
        <v>151</v>
      </c>
      <c r="H2022" s="28" t="s">
        <v>96</v>
      </c>
      <c r="I2022" s="28" t="s">
        <v>97</v>
      </c>
      <c r="J2022" s="28" t="s">
        <v>66</v>
      </c>
      <c r="K2022" s="28" t="s">
        <v>67</v>
      </c>
      <c r="L2022" s="28" t="s">
        <v>130</v>
      </c>
      <c r="M2022" s="28" t="s">
        <v>69</v>
      </c>
      <c r="N2022" s="28" t="s">
        <v>131</v>
      </c>
      <c r="O2022" s="29" t="n">
        <v>12</v>
      </c>
      <c r="P2022" s="30" t="n">
        <v>1204.74</v>
      </c>
      <c r="Q2022" s="30" t="n">
        <v>766.32</v>
      </c>
      <c r="R2022" s="30" t="n">
        <f aca="false">ROUND(O2022*P2022,2)</f>
        <v>14456.88</v>
      </c>
      <c r="S2022" s="30" t="n">
        <f aca="false">ROUND(O2022*Q2022,2)</f>
        <v>9195.84</v>
      </c>
      <c r="T2022" s="30" t="n">
        <f aca="false">ROUND(R2022*SUMIFS(Parametros!$E$23:$E$38,Parametros!$B$23:$B$38,J2022,Parametros!$C$23:$C$38,C2022,Parametros!$D$23:$D$38,D2022),2)</f>
        <v>187.94</v>
      </c>
      <c r="U2022" s="30" t="n">
        <f aca="false">R2022-S2022-T2022</f>
        <v>5073.1</v>
      </c>
    </row>
    <row r="2023" customFormat="false" ht="15" hidden="false" customHeight="false" outlineLevel="0" collapsed="false">
      <c r="A2023" s="0" t="n">
        <v>2022</v>
      </c>
      <c r="B2023" s="27" t="n">
        <v>45907</v>
      </c>
      <c r="C2023" s="0" t="n">
        <v>2025</v>
      </c>
      <c r="D2023" s="28" t="s">
        <v>115</v>
      </c>
      <c r="E2023" s="0" t="n">
        <v>9</v>
      </c>
      <c r="F2023" s="28" t="s">
        <v>120</v>
      </c>
      <c r="G2023" s="28" t="s">
        <v>151</v>
      </c>
      <c r="H2023" s="28" t="s">
        <v>96</v>
      </c>
      <c r="I2023" s="28" t="s">
        <v>97</v>
      </c>
      <c r="J2023" s="28" t="s">
        <v>71</v>
      </c>
      <c r="K2023" s="28" t="s">
        <v>67</v>
      </c>
      <c r="L2023" s="28" t="s">
        <v>130</v>
      </c>
      <c r="M2023" s="28" t="s">
        <v>69</v>
      </c>
      <c r="N2023" s="28" t="s">
        <v>131</v>
      </c>
      <c r="O2023" s="29" t="n">
        <v>8</v>
      </c>
      <c r="P2023" s="30" t="n">
        <v>1204.74</v>
      </c>
      <c r="Q2023" s="30" t="n">
        <v>766.32</v>
      </c>
      <c r="R2023" s="30" t="n">
        <f aca="false">ROUND(O2023*P2023,2)</f>
        <v>9637.92</v>
      </c>
      <c r="S2023" s="30" t="n">
        <f aca="false">ROUND(O2023*Q2023,2)</f>
        <v>6130.56</v>
      </c>
      <c r="T2023" s="30" t="n">
        <f aca="false">ROUND(R2023*SUMIFS(Parametros!$E$23:$E$38,Parametros!$B$23:$B$38,J2023,Parametros!$C$23:$C$38,C2023,Parametros!$D$23:$D$38,D2023),2)</f>
        <v>539.72</v>
      </c>
      <c r="U2023" s="30" t="n">
        <f aca="false">R2023-S2023-T2023</f>
        <v>2967.64</v>
      </c>
    </row>
    <row r="2024" customFormat="false" ht="15" hidden="false" customHeight="false" outlineLevel="0" collapsed="false">
      <c r="A2024" s="0" t="n">
        <v>2023</v>
      </c>
      <c r="B2024" s="27" t="n">
        <v>45914</v>
      </c>
      <c r="C2024" s="0" t="n">
        <v>2025</v>
      </c>
      <c r="D2024" s="28" t="s">
        <v>115</v>
      </c>
      <c r="E2024" s="0" t="n">
        <v>9</v>
      </c>
      <c r="F2024" s="28" t="s">
        <v>120</v>
      </c>
      <c r="G2024" s="28" t="s">
        <v>151</v>
      </c>
      <c r="H2024" s="28" t="s">
        <v>96</v>
      </c>
      <c r="I2024" s="28" t="s">
        <v>97</v>
      </c>
      <c r="J2024" s="28" t="s">
        <v>66</v>
      </c>
      <c r="K2024" s="28" t="s">
        <v>67</v>
      </c>
      <c r="L2024" s="28" t="s">
        <v>130</v>
      </c>
      <c r="M2024" s="28" t="s">
        <v>72</v>
      </c>
      <c r="N2024" s="28" t="s">
        <v>132</v>
      </c>
      <c r="O2024" s="29" t="n">
        <v>10</v>
      </c>
      <c r="P2024" s="30" t="n">
        <v>451.78</v>
      </c>
      <c r="Q2024" s="30" t="n">
        <v>280.42</v>
      </c>
      <c r="R2024" s="30" t="n">
        <f aca="false">ROUND(O2024*P2024,2)</f>
        <v>4517.8</v>
      </c>
      <c r="S2024" s="30" t="n">
        <f aca="false">ROUND(O2024*Q2024,2)</f>
        <v>2804.2</v>
      </c>
      <c r="T2024" s="30" t="n">
        <f aca="false">ROUND(R2024*SUMIFS(Parametros!$E$23:$E$38,Parametros!$B$23:$B$38,J2024,Parametros!$C$23:$C$38,C2024,Parametros!$D$23:$D$38,D2024),2)</f>
        <v>58.73</v>
      </c>
      <c r="U2024" s="30" t="n">
        <f aca="false">R2024-S2024-T2024</f>
        <v>1654.87</v>
      </c>
    </row>
    <row r="2025" customFormat="false" ht="15" hidden="false" customHeight="false" outlineLevel="0" collapsed="false">
      <c r="A2025" s="0" t="n">
        <v>2024</v>
      </c>
      <c r="B2025" s="27" t="n">
        <v>45921</v>
      </c>
      <c r="C2025" s="0" t="n">
        <v>2025</v>
      </c>
      <c r="D2025" s="28" t="s">
        <v>115</v>
      </c>
      <c r="E2025" s="0" t="n">
        <v>9</v>
      </c>
      <c r="F2025" s="28" t="s">
        <v>120</v>
      </c>
      <c r="G2025" s="28" t="s">
        <v>151</v>
      </c>
      <c r="H2025" s="28" t="s">
        <v>96</v>
      </c>
      <c r="I2025" s="28" t="s">
        <v>97</v>
      </c>
      <c r="J2025" s="28" t="s">
        <v>71</v>
      </c>
      <c r="K2025" s="28" t="s">
        <v>67</v>
      </c>
      <c r="L2025" s="28" t="s">
        <v>130</v>
      </c>
      <c r="M2025" s="28" t="s">
        <v>72</v>
      </c>
      <c r="N2025" s="28" t="s">
        <v>132</v>
      </c>
      <c r="O2025" s="29" t="n">
        <v>9</v>
      </c>
      <c r="P2025" s="30" t="n">
        <v>451.78</v>
      </c>
      <c r="Q2025" s="30" t="n">
        <v>280.42</v>
      </c>
      <c r="R2025" s="30" t="n">
        <f aca="false">ROUND(O2025*P2025,2)</f>
        <v>4066.02</v>
      </c>
      <c r="S2025" s="30" t="n">
        <f aca="false">ROUND(O2025*Q2025,2)</f>
        <v>2523.78</v>
      </c>
      <c r="T2025" s="30" t="n">
        <f aca="false">ROUND(R2025*SUMIFS(Parametros!$E$23:$E$38,Parametros!$B$23:$B$38,J2025,Parametros!$C$23:$C$38,C2025,Parametros!$D$23:$D$38,D2025),2)</f>
        <v>227.7</v>
      </c>
      <c r="U2025" s="30" t="n">
        <f aca="false">R2025-S2025-T2025</f>
        <v>1314.54</v>
      </c>
    </row>
    <row r="2026" customFormat="false" ht="15" hidden="false" customHeight="false" outlineLevel="0" collapsed="false">
      <c r="A2026" s="0" t="n">
        <v>2025</v>
      </c>
      <c r="B2026" s="27" t="n">
        <v>45901</v>
      </c>
      <c r="C2026" s="0" t="n">
        <v>2025</v>
      </c>
      <c r="D2026" s="28" t="s">
        <v>115</v>
      </c>
      <c r="E2026" s="0" t="n">
        <v>9</v>
      </c>
      <c r="F2026" s="28" t="s">
        <v>120</v>
      </c>
      <c r="G2026" s="28" t="s">
        <v>151</v>
      </c>
      <c r="H2026" s="28" t="s">
        <v>96</v>
      </c>
      <c r="I2026" s="28" t="s">
        <v>97</v>
      </c>
      <c r="J2026" s="28" t="s">
        <v>66</v>
      </c>
      <c r="K2026" s="28" t="s">
        <v>67</v>
      </c>
      <c r="L2026" s="28" t="s">
        <v>130</v>
      </c>
      <c r="M2026" s="28" t="s">
        <v>74</v>
      </c>
      <c r="N2026" s="28" t="s">
        <v>133</v>
      </c>
      <c r="O2026" s="29" t="n">
        <v>14</v>
      </c>
      <c r="P2026" s="30" t="n">
        <v>1656.52</v>
      </c>
      <c r="Q2026" s="30" t="n">
        <v>1155.66</v>
      </c>
      <c r="R2026" s="30" t="n">
        <f aca="false">ROUND(O2026*P2026,2)</f>
        <v>23191.28</v>
      </c>
      <c r="S2026" s="30" t="n">
        <f aca="false">ROUND(O2026*Q2026,2)</f>
        <v>16179.24</v>
      </c>
      <c r="T2026" s="30" t="n">
        <f aca="false">ROUND(R2026*SUMIFS(Parametros!$E$23:$E$38,Parametros!$B$23:$B$38,J2026,Parametros!$C$23:$C$38,C2026,Parametros!$D$23:$D$38,D2026),2)</f>
        <v>301.49</v>
      </c>
      <c r="U2026" s="30" t="n">
        <f aca="false">R2026-S2026-T2026</f>
        <v>6710.55</v>
      </c>
    </row>
    <row r="2027" customFormat="false" ht="15" hidden="false" customHeight="false" outlineLevel="0" collapsed="false">
      <c r="A2027" s="0" t="n">
        <v>2026</v>
      </c>
      <c r="B2027" s="27" t="n">
        <v>45908</v>
      </c>
      <c r="C2027" s="0" t="n">
        <v>2025</v>
      </c>
      <c r="D2027" s="28" t="s">
        <v>115</v>
      </c>
      <c r="E2027" s="0" t="n">
        <v>9</v>
      </c>
      <c r="F2027" s="28" t="s">
        <v>120</v>
      </c>
      <c r="G2027" s="28" t="s">
        <v>151</v>
      </c>
      <c r="H2027" s="28" t="s">
        <v>96</v>
      </c>
      <c r="I2027" s="28" t="s">
        <v>97</v>
      </c>
      <c r="J2027" s="28" t="s">
        <v>71</v>
      </c>
      <c r="K2027" s="28" t="s">
        <v>67</v>
      </c>
      <c r="L2027" s="28" t="s">
        <v>130</v>
      </c>
      <c r="M2027" s="28" t="s">
        <v>74</v>
      </c>
      <c r="N2027" s="28" t="s">
        <v>133</v>
      </c>
      <c r="O2027" s="29" t="n">
        <v>7</v>
      </c>
      <c r="P2027" s="30" t="n">
        <v>1656.52</v>
      </c>
      <c r="Q2027" s="30" t="n">
        <v>1155.66</v>
      </c>
      <c r="R2027" s="30" t="n">
        <f aca="false">ROUND(O2027*P2027,2)</f>
        <v>11595.64</v>
      </c>
      <c r="S2027" s="30" t="n">
        <f aca="false">ROUND(O2027*Q2027,2)</f>
        <v>8089.62</v>
      </c>
      <c r="T2027" s="30" t="n">
        <f aca="false">ROUND(R2027*SUMIFS(Parametros!$E$23:$E$38,Parametros!$B$23:$B$38,J2027,Parametros!$C$23:$C$38,C2027,Parametros!$D$23:$D$38,D2027),2)</f>
        <v>649.36</v>
      </c>
      <c r="U2027" s="30" t="n">
        <f aca="false">R2027-S2027-T2027</f>
        <v>2856.66</v>
      </c>
    </row>
    <row r="2028" customFormat="false" ht="15" hidden="false" customHeight="false" outlineLevel="0" collapsed="false">
      <c r="A2028" s="0" t="n">
        <v>2027</v>
      </c>
      <c r="B2028" s="27" t="n">
        <v>45915</v>
      </c>
      <c r="C2028" s="0" t="n">
        <v>2025</v>
      </c>
      <c r="D2028" s="28" t="s">
        <v>115</v>
      </c>
      <c r="E2028" s="0" t="n">
        <v>9</v>
      </c>
      <c r="F2028" s="28" t="s">
        <v>120</v>
      </c>
      <c r="G2028" s="28" t="s">
        <v>151</v>
      </c>
      <c r="H2028" s="28" t="s">
        <v>96</v>
      </c>
      <c r="I2028" s="28" t="s">
        <v>97</v>
      </c>
      <c r="J2028" s="28" t="s">
        <v>66</v>
      </c>
      <c r="K2028" s="28" t="s">
        <v>76</v>
      </c>
      <c r="L2028" s="28" t="s">
        <v>134</v>
      </c>
      <c r="M2028" s="28" t="s">
        <v>78</v>
      </c>
      <c r="N2028" s="28" t="s">
        <v>135</v>
      </c>
      <c r="O2028" s="29" t="n">
        <v>60</v>
      </c>
      <c r="P2028" s="30" t="n">
        <v>28.11</v>
      </c>
      <c r="Q2028" s="30" t="n">
        <v>13.84</v>
      </c>
      <c r="R2028" s="30" t="n">
        <f aca="false">ROUND(O2028*P2028,2)</f>
        <v>1686.6</v>
      </c>
      <c r="S2028" s="30" t="n">
        <f aca="false">ROUND(O2028*Q2028,2)</f>
        <v>830.4</v>
      </c>
      <c r="T2028" s="30" t="n">
        <f aca="false">ROUND(R2028*SUMIFS(Parametros!$E$23:$E$38,Parametros!$B$23:$B$38,J2028,Parametros!$C$23:$C$38,C2028,Parametros!$D$23:$D$38,D2028),2)</f>
        <v>21.93</v>
      </c>
      <c r="U2028" s="30" t="n">
        <f aca="false">R2028-S2028-T2028</f>
        <v>834.27</v>
      </c>
    </row>
    <row r="2029" customFormat="false" ht="15" hidden="false" customHeight="false" outlineLevel="0" collapsed="false">
      <c r="A2029" s="0" t="n">
        <v>2028</v>
      </c>
      <c r="B2029" s="27" t="n">
        <v>45922</v>
      </c>
      <c r="C2029" s="0" t="n">
        <v>2025</v>
      </c>
      <c r="D2029" s="28" t="s">
        <v>115</v>
      </c>
      <c r="E2029" s="0" t="n">
        <v>9</v>
      </c>
      <c r="F2029" s="28" t="s">
        <v>120</v>
      </c>
      <c r="G2029" s="28" t="s">
        <v>151</v>
      </c>
      <c r="H2029" s="28" t="s">
        <v>96</v>
      </c>
      <c r="I2029" s="28" t="s">
        <v>97</v>
      </c>
      <c r="J2029" s="28" t="s">
        <v>71</v>
      </c>
      <c r="K2029" s="28" t="s">
        <v>76</v>
      </c>
      <c r="L2029" s="28" t="s">
        <v>134</v>
      </c>
      <c r="M2029" s="28" t="s">
        <v>78</v>
      </c>
      <c r="N2029" s="28" t="s">
        <v>135</v>
      </c>
      <c r="O2029" s="29" t="n">
        <v>44</v>
      </c>
      <c r="P2029" s="30" t="n">
        <v>28.11</v>
      </c>
      <c r="Q2029" s="30" t="n">
        <v>13.84</v>
      </c>
      <c r="R2029" s="30" t="n">
        <f aca="false">ROUND(O2029*P2029,2)</f>
        <v>1236.84</v>
      </c>
      <c r="S2029" s="30" t="n">
        <f aca="false">ROUND(O2029*Q2029,2)</f>
        <v>608.96</v>
      </c>
      <c r="T2029" s="30" t="n">
        <f aca="false">ROUND(R2029*SUMIFS(Parametros!$E$23:$E$38,Parametros!$B$23:$B$38,J2029,Parametros!$C$23:$C$38,C2029,Parametros!$D$23:$D$38,D2029),2)</f>
        <v>69.26</v>
      </c>
      <c r="U2029" s="30" t="n">
        <f aca="false">R2029-S2029-T2029</f>
        <v>558.62</v>
      </c>
    </row>
    <row r="2030" customFormat="false" ht="15" hidden="false" customHeight="false" outlineLevel="0" collapsed="false">
      <c r="A2030" s="0" t="n">
        <v>2029</v>
      </c>
      <c r="B2030" s="27" t="n">
        <v>45902</v>
      </c>
      <c r="C2030" s="0" t="n">
        <v>2025</v>
      </c>
      <c r="D2030" s="28" t="s">
        <v>115</v>
      </c>
      <c r="E2030" s="0" t="n">
        <v>9</v>
      </c>
      <c r="F2030" s="28" t="s">
        <v>120</v>
      </c>
      <c r="G2030" s="28" t="s">
        <v>151</v>
      </c>
      <c r="H2030" s="28" t="s">
        <v>96</v>
      </c>
      <c r="I2030" s="28" t="s">
        <v>97</v>
      </c>
      <c r="J2030" s="28" t="s">
        <v>66</v>
      </c>
      <c r="K2030" s="28" t="s">
        <v>76</v>
      </c>
      <c r="L2030" s="28" t="s">
        <v>134</v>
      </c>
      <c r="M2030" s="28" t="s">
        <v>80</v>
      </c>
      <c r="N2030" s="28" t="s">
        <v>136</v>
      </c>
      <c r="O2030" s="29" t="n">
        <v>55</v>
      </c>
      <c r="P2030" s="30" t="n">
        <v>95.38</v>
      </c>
      <c r="Q2030" s="30" t="n">
        <v>49.41</v>
      </c>
      <c r="R2030" s="30" t="n">
        <f aca="false">ROUND(O2030*P2030,2)</f>
        <v>5245.9</v>
      </c>
      <c r="S2030" s="30" t="n">
        <f aca="false">ROUND(O2030*Q2030,2)</f>
        <v>2717.55</v>
      </c>
      <c r="T2030" s="30" t="n">
        <f aca="false">ROUND(R2030*SUMIFS(Parametros!$E$23:$E$38,Parametros!$B$23:$B$38,J2030,Parametros!$C$23:$C$38,C2030,Parametros!$D$23:$D$38,D2030),2)</f>
        <v>68.2</v>
      </c>
      <c r="U2030" s="30" t="n">
        <f aca="false">R2030-S2030-T2030</f>
        <v>2460.15</v>
      </c>
    </row>
    <row r="2031" customFormat="false" ht="15" hidden="false" customHeight="false" outlineLevel="0" collapsed="false">
      <c r="A2031" s="0" t="n">
        <v>2030</v>
      </c>
      <c r="B2031" s="27" t="n">
        <v>45909</v>
      </c>
      <c r="C2031" s="0" t="n">
        <v>2025</v>
      </c>
      <c r="D2031" s="28" t="s">
        <v>115</v>
      </c>
      <c r="E2031" s="0" t="n">
        <v>9</v>
      </c>
      <c r="F2031" s="28" t="s">
        <v>120</v>
      </c>
      <c r="G2031" s="28" t="s">
        <v>151</v>
      </c>
      <c r="H2031" s="28" t="s">
        <v>96</v>
      </c>
      <c r="I2031" s="28" t="s">
        <v>97</v>
      </c>
      <c r="J2031" s="28" t="s">
        <v>71</v>
      </c>
      <c r="K2031" s="28" t="s">
        <v>76</v>
      </c>
      <c r="L2031" s="28" t="s">
        <v>134</v>
      </c>
      <c r="M2031" s="28" t="s">
        <v>80</v>
      </c>
      <c r="N2031" s="28" t="s">
        <v>136</v>
      </c>
      <c r="O2031" s="29" t="n">
        <v>43</v>
      </c>
      <c r="P2031" s="30" t="n">
        <v>95.38</v>
      </c>
      <c r="Q2031" s="30" t="n">
        <v>49.41</v>
      </c>
      <c r="R2031" s="30" t="n">
        <f aca="false">ROUND(O2031*P2031,2)</f>
        <v>4101.34</v>
      </c>
      <c r="S2031" s="30" t="n">
        <f aca="false">ROUND(O2031*Q2031,2)</f>
        <v>2124.63</v>
      </c>
      <c r="T2031" s="30" t="n">
        <f aca="false">ROUND(R2031*SUMIFS(Parametros!$E$23:$E$38,Parametros!$B$23:$B$38,J2031,Parametros!$C$23:$C$38,C2031,Parametros!$D$23:$D$38,D2031),2)</f>
        <v>229.68</v>
      </c>
      <c r="U2031" s="30" t="n">
        <f aca="false">R2031-S2031-T2031</f>
        <v>1747.03</v>
      </c>
    </row>
    <row r="2032" customFormat="false" ht="15" hidden="false" customHeight="false" outlineLevel="0" collapsed="false">
      <c r="A2032" s="0" t="n">
        <v>2031</v>
      </c>
      <c r="B2032" s="27" t="n">
        <v>45916</v>
      </c>
      <c r="C2032" s="0" t="n">
        <v>2025</v>
      </c>
      <c r="D2032" s="28" t="s">
        <v>115</v>
      </c>
      <c r="E2032" s="0" t="n">
        <v>9</v>
      </c>
      <c r="F2032" s="28" t="s">
        <v>120</v>
      </c>
      <c r="G2032" s="28" t="s">
        <v>151</v>
      </c>
      <c r="H2032" s="28" t="s">
        <v>96</v>
      </c>
      <c r="I2032" s="28" t="s">
        <v>97</v>
      </c>
      <c r="J2032" s="28" t="s">
        <v>66</v>
      </c>
      <c r="K2032" s="28" t="s">
        <v>76</v>
      </c>
      <c r="L2032" s="28" t="s">
        <v>134</v>
      </c>
      <c r="M2032" s="28" t="s">
        <v>82</v>
      </c>
      <c r="N2032" s="28" t="s">
        <v>137</v>
      </c>
      <c r="O2032" s="29" t="n">
        <v>48</v>
      </c>
      <c r="P2032" s="30" t="n">
        <v>65.26</v>
      </c>
      <c r="Q2032" s="30" t="n">
        <v>36.49</v>
      </c>
      <c r="R2032" s="30" t="n">
        <f aca="false">ROUND(O2032*P2032,2)</f>
        <v>3132.48</v>
      </c>
      <c r="S2032" s="30" t="n">
        <f aca="false">ROUND(O2032*Q2032,2)</f>
        <v>1751.52</v>
      </c>
      <c r="T2032" s="30" t="n">
        <f aca="false">ROUND(R2032*SUMIFS(Parametros!$E$23:$E$38,Parametros!$B$23:$B$38,J2032,Parametros!$C$23:$C$38,C2032,Parametros!$D$23:$D$38,D2032),2)</f>
        <v>40.72</v>
      </c>
      <c r="U2032" s="30" t="n">
        <f aca="false">R2032-S2032-T2032</f>
        <v>1340.24</v>
      </c>
    </row>
    <row r="2033" customFormat="false" ht="15" hidden="false" customHeight="false" outlineLevel="0" collapsed="false">
      <c r="A2033" s="0" t="n">
        <v>2032</v>
      </c>
      <c r="B2033" s="27" t="n">
        <v>45923</v>
      </c>
      <c r="C2033" s="0" t="n">
        <v>2025</v>
      </c>
      <c r="D2033" s="28" t="s">
        <v>115</v>
      </c>
      <c r="E2033" s="0" t="n">
        <v>9</v>
      </c>
      <c r="F2033" s="28" t="s">
        <v>120</v>
      </c>
      <c r="G2033" s="28" t="s">
        <v>151</v>
      </c>
      <c r="H2033" s="28" t="s">
        <v>96</v>
      </c>
      <c r="I2033" s="28" t="s">
        <v>97</v>
      </c>
      <c r="J2033" s="28" t="s">
        <v>71</v>
      </c>
      <c r="K2033" s="28" t="s">
        <v>76</v>
      </c>
      <c r="L2033" s="28" t="s">
        <v>134</v>
      </c>
      <c r="M2033" s="28" t="s">
        <v>82</v>
      </c>
      <c r="N2033" s="28" t="s">
        <v>137</v>
      </c>
      <c r="O2033" s="29" t="n">
        <v>43</v>
      </c>
      <c r="P2033" s="30" t="n">
        <v>65.26</v>
      </c>
      <c r="Q2033" s="30" t="n">
        <v>36.49</v>
      </c>
      <c r="R2033" s="30" t="n">
        <f aca="false">ROUND(O2033*P2033,2)</f>
        <v>2806.18</v>
      </c>
      <c r="S2033" s="30" t="n">
        <f aca="false">ROUND(O2033*Q2033,2)</f>
        <v>1569.07</v>
      </c>
      <c r="T2033" s="30" t="n">
        <f aca="false">ROUND(R2033*SUMIFS(Parametros!$E$23:$E$38,Parametros!$B$23:$B$38,J2033,Parametros!$C$23:$C$38,C2033,Parametros!$D$23:$D$38,D2033),2)</f>
        <v>157.15</v>
      </c>
      <c r="U2033" s="30" t="n">
        <f aca="false">R2033-S2033-T2033</f>
        <v>1079.96</v>
      </c>
    </row>
    <row r="2034" customFormat="false" ht="15" hidden="false" customHeight="false" outlineLevel="0" collapsed="false">
      <c r="A2034" s="0" t="n">
        <v>2033</v>
      </c>
      <c r="B2034" s="27" t="n">
        <v>45903</v>
      </c>
      <c r="C2034" s="0" t="n">
        <v>2025</v>
      </c>
      <c r="D2034" s="28" t="s">
        <v>115</v>
      </c>
      <c r="E2034" s="0" t="n">
        <v>9</v>
      </c>
      <c r="F2034" s="28" t="s">
        <v>120</v>
      </c>
      <c r="G2034" s="28" t="s">
        <v>151</v>
      </c>
      <c r="H2034" s="28" t="s">
        <v>96</v>
      </c>
      <c r="I2034" s="28" t="s">
        <v>97</v>
      </c>
      <c r="J2034" s="28" t="s">
        <v>66</v>
      </c>
      <c r="K2034" s="28" t="s">
        <v>84</v>
      </c>
      <c r="L2034" s="28" t="s">
        <v>138</v>
      </c>
      <c r="M2034" s="28" t="s">
        <v>86</v>
      </c>
      <c r="N2034" s="28" t="s">
        <v>139</v>
      </c>
      <c r="O2034" s="29" t="n">
        <v>24</v>
      </c>
      <c r="P2034" s="30" t="n">
        <v>120.47</v>
      </c>
      <c r="Q2034" s="30" t="n">
        <v>65.51</v>
      </c>
      <c r="R2034" s="30" t="n">
        <f aca="false">ROUND(O2034*P2034,2)</f>
        <v>2891.28</v>
      </c>
      <c r="S2034" s="30" t="n">
        <f aca="false">ROUND(O2034*Q2034,2)</f>
        <v>1572.24</v>
      </c>
      <c r="T2034" s="30" t="n">
        <f aca="false">ROUND(R2034*SUMIFS(Parametros!$E$23:$E$38,Parametros!$B$23:$B$38,J2034,Parametros!$C$23:$C$38,C2034,Parametros!$D$23:$D$38,D2034),2)</f>
        <v>37.59</v>
      </c>
      <c r="U2034" s="30" t="n">
        <f aca="false">R2034-S2034-T2034</f>
        <v>1281.45</v>
      </c>
    </row>
    <row r="2035" customFormat="false" ht="15" hidden="false" customHeight="false" outlineLevel="0" collapsed="false">
      <c r="A2035" s="0" t="n">
        <v>2034</v>
      </c>
      <c r="B2035" s="27" t="n">
        <v>45910</v>
      </c>
      <c r="C2035" s="0" t="n">
        <v>2025</v>
      </c>
      <c r="D2035" s="28" t="s">
        <v>115</v>
      </c>
      <c r="E2035" s="0" t="n">
        <v>9</v>
      </c>
      <c r="F2035" s="28" t="s">
        <v>120</v>
      </c>
      <c r="G2035" s="28" t="s">
        <v>151</v>
      </c>
      <c r="H2035" s="28" t="s">
        <v>96</v>
      </c>
      <c r="I2035" s="28" t="s">
        <v>97</v>
      </c>
      <c r="J2035" s="28" t="s">
        <v>71</v>
      </c>
      <c r="K2035" s="28" t="s">
        <v>84</v>
      </c>
      <c r="L2035" s="28" t="s">
        <v>138</v>
      </c>
      <c r="M2035" s="28" t="s">
        <v>86</v>
      </c>
      <c r="N2035" s="28" t="s">
        <v>139</v>
      </c>
      <c r="O2035" s="29" t="n">
        <v>16</v>
      </c>
      <c r="P2035" s="30" t="n">
        <v>120.47</v>
      </c>
      <c r="Q2035" s="30" t="n">
        <v>65.51</v>
      </c>
      <c r="R2035" s="30" t="n">
        <f aca="false">ROUND(O2035*P2035,2)</f>
        <v>1927.52</v>
      </c>
      <c r="S2035" s="30" t="n">
        <f aca="false">ROUND(O2035*Q2035,2)</f>
        <v>1048.16</v>
      </c>
      <c r="T2035" s="30" t="n">
        <f aca="false">ROUND(R2035*SUMIFS(Parametros!$E$23:$E$38,Parametros!$B$23:$B$38,J2035,Parametros!$C$23:$C$38,C2035,Parametros!$D$23:$D$38,D2035),2)</f>
        <v>107.94</v>
      </c>
      <c r="U2035" s="30" t="n">
        <f aca="false">R2035-S2035-T2035</f>
        <v>771.42</v>
      </c>
    </row>
    <row r="2036" customFormat="false" ht="15" hidden="false" customHeight="false" outlineLevel="0" collapsed="false">
      <c r="A2036" s="0" t="n">
        <v>2035</v>
      </c>
      <c r="B2036" s="27" t="n">
        <v>45917</v>
      </c>
      <c r="C2036" s="0" t="n">
        <v>2025</v>
      </c>
      <c r="D2036" s="28" t="s">
        <v>115</v>
      </c>
      <c r="E2036" s="0" t="n">
        <v>9</v>
      </c>
      <c r="F2036" s="28" t="s">
        <v>120</v>
      </c>
      <c r="G2036" s="28" t="s">
        <v>151</v>
      </c>
      <c r="H2036" s="28" t="s">
        <v>96</v>
      </c>
      <c r="I2036" s="28" t="s">
        <v>97</v>
      </c>
      <c r="J2036" s="28" t="s">
        <v>66</v>
      </c>
      <c r="K2036" s="28" t="s">
        <v>84</v>
      </c>
      <c r="L2036" s="28" t="s">
        <v>138</v>
      </c>
      <c r="M2036" s="28" t="s">
        <v>88</v>
      </c>
      <c r="N2036" s="28" t="s">
        <v>140</v>
      </c>
      <c r="O2036" s="29" t="n">
        <v>24</v>
      </c>
      <c r="P2036" s="30" t="n">
        <v>85.34</v>
      </c>
      <c r="Q2036" s="30" t="n">
        <v>49.47</v>
      </c>
      <c r="R2036" s="30" t="n">
        <f aca="false">ROUND(O2036*P2036,2)</f>
        <v>2048.16</v>
      </c>
      <c r="S2036" s="30" t="n">
        <f aca="false">ROUND(O2036*Q2036,2)</f>
        <v>1187.28</v>
      </c>
      <c r="T2036" s="30" t="n">
        <f aca="false">ROUND(R2036*SUMIFS(Parametros!$E$23:$E$38,Parametros!$B$23:$B$38,J2036,Parametros!$C$23:$C$38,C2036,Parametros!$D$23:$D$38,D2036),2)</f>
        <v>26.63</v>
      </c>
      <c r="U2036" s="30" t="n">
        <f aca="false">R2036-S2036-T2036</f>
        <v>834.25</v>
      </c>
    </row>
    <row r="2037" customFormat="false" ht="15" hidden="false" customHeight="false" outlineLevel="0" collapsed="false">
      <c r="A2037" s="0" t="n">
        <v>2036</v>
      </c>
      <c r="B2037" s="27" t="n">
        <v>45924</v>
      </c>
      <c r="C2037" s="0" t="n">
        <v>2025</v>
      </c>
      <c r="D2037" s="28" t="s">
        <v>115</v>
      </c>
      <c r="E2037" s="0" t="n">
        <v>9</v>
      </c>
      <c r="F2037" s="28" t="s">
        <v>120</v>
      </c>
      <c r="G2037" s="28" t="s">
        <v>151</v>
      </c>
      <c r="H2037" s="28" t="s">
        <v>96</v>
      </c>
      <c r="I2037" s="28" t="s">
        <v>97</v>
      </c>
      <c r="J2037" s="28" t="s">
        <v>71</v>
      </c>
      <c r="K2037" s="28" t="s">
        <v>84</v>
      </c>
      <c r="L2037" s="28" t="s">
        <v>138</v>
      </c>
      <c r="M2037" s="28" t="s">
        <v>88</v>
      </c>
      <c r="N2037" s="28" t="s">
        <v>140</v>
      </c>
      <c r="O2037" s="29" t="n">
        <v>17</v>
      </c>
      <c r="P2037" s="30" t="n">
        <v>85.34</v>
      </c>
      <c r="Q2037" s="30" t="n">
        <v>49.47</v>
      </c>
      <c r="R2037" s="30" t="n">
        <f aca="false">ROUND(O2037*P2037,2)</f>
        <v>1450.78</v>
      </c>
      <c r="S2037" s="30" t="n">
        <f aca="false">ROUND(O2037*Q2037,2)</f>
        <v>840.99</v>
      </c>
      <c r="T2037" s="30" t="n">
        <f aca="false">ROUND(R2037*SUMIFS(Parametros!$E$23:$E$38,Parametros!$B$23:$B$38,J2037,Parametros!$C$23:$C$38,C2037,Parametros!$D$23:$D$38,D2037),2)</f>
        <v>81.24</v>
      </c>
      <c r="U2037" s="30" t="n">
        <f aca="false">R2037-S2037-T2037</f>
        <v>528.55</v>
      </c>
    </row>
    <row r="2038" customFormat="false" ht="15" hidden="false" customHeight="false" outlineLevel="0" collapsed="false">
      <c r="A2038" s="0" t="n">
        <v>2037</v>
      </c>
      <c r="B2038" s="27" t="n">
        <v>45904</v>
      </c>
      <c r="C2038" s="0" t="n">
        <v>2025</v>
      </c>
      <c r="D2038" s="28" t="s">
        <v>115</v>
      </c>
      <c r="E2038" s="0" t="n">
        <v>9</v>
      </c>
      <c r="F2038" s="28" t="s">
        <v>120</v>
      </c>
      <c r="G2038" s="28" t="s">
        <v>151</v>
      </c>
      <c r="H2038" s="28" t="s">
        <v>96</v>
      </c>
      <c r="I2038" s="28" t="s">
        <v>97</v>
      </c>
      <c r="J2038" s="28" t="s">
        <v>66</v>
      </c>
      <c r="K2038" s="28" t="s">
        <v>90</v>
      </c>
      <c r="L2038" s="28" t="s">
        <v>141</v>
      </c>
      <c r="M2038" s="28" t="s">
        <v>92</v>
      </c>
      <c r="N2038" s="28" t="s">
        <v>142</v>
      </c>
      <c r="O2038" s="29" t="n">
        <v>30</v>
      </c>
      <c r="P2038" s="30" t="n">
        <v>130.51</v>
      </c>
      <c r="Q2038" s="30" t="n">
        <v>78.33</v>
      </c>
      <c r="R2038" s="30" t="n">
        <f aca="false">ROUND(O2038*P2038,2)</f>
        <v>3915.3</v>
      </c>
      <c r="S2038" s="30" t="n">
        <f aca="false">ROUND(O2038*Q2038,2)</f>
        <v>2349.9</v>
      </c>
      <c r="T2038" s="30" t="n">
        <f aca="false">ROUND(R2038*SUMIFS(Parametros!$E$23:$E$38,Parametros!$B$23:$B$38,J2038,Parametros!$C$23:$C$38,C2038,Parametros!$D$23:$D$38,D2038),2)</f>
        <v>50.9</v>
      </c>
      <c r="U2038" s="30" t="n">
        <f aca="false">R2038-S2038-T2038</f>
        <v>1514.5</v>
      </c>
    </row>
    <row r="2039" customFormat="false" ht="15" hidden="false" customHeight="false" outlineLevel="0" collapsed="false">
      <c r="A2039" s="0" t="n">
        <v>2038</v>
      </c>
      <c r="B2039" s="27" t="n">
        <v>45911</v>
      </c>
      <c r="C2039" s="0" t="n">
        <v>2025</v>
      </c>
      <c r="D2039" s="28" t="s">
        <v>115</v>
      </c>
      <c r="E2039" s="0" t="n">
        <v>9</v>
      </c>
      <c r="F2039" s="28" t="s">
        <v>120</v>
      </c>
      <c r="G2039" s="28" t="s">
        <v>151</v>
      </c>
      <c r="H2039" s="28" t="s">
        <v>96</v>
      </c>
      <c r="I2039" s="28" t="s">
        <v>97</v>
      </c>
      <c r="J2039" s="28" t="s">
        <v>71</v>
      </c>
      <c r="K2039" s="28" t="s">
        <v>90</v>
      </c>
      <c r="L2039" s="28" t="s">
        <v>141</v>
      </c>
      <c r="M2039" s="28" t="s">
        <v>92</v>
      </c>
      <c r="N2039" s="28" t="s">
        <v>142</v>
      </c>
      <c r="O2039" s="29" t="n">
        <v>22</v>
      </c>
      <c r="P2039" s="30" t="n">
        <v>130.51</v>
      </c>
      <c r="Q2039" s="30" t="n">
        <v>78.33</v>
      </c>
      <c r="R2039" s="30" t="n">
        <f aca="false">ROUND(O2039*P2039,2)</f>
        <v>2871.22</v>
      </c>
      <c r="S2039" s="30" t="n">
        <f aca="false">ROUND(O2039*Q2039,2)</f>
        <v>1723.26</v>
      </c>
      <c r="T2039" s="30" t="n">
        <f aca="false">ROUND(R2039*SUMIFS(Parametros!$E$23:$E$38,Parametros!$B$23:$B$38,J2039,Parametros!$C$23:$C$38,C2039,Parametros!$D$23:$D$38,D2039),2)</f>
        <v>160.79</v>
      </c>
      <c r="U2039" s="30" t="n">
        <f aca="false">R2039-S2039-T2039</f>
        <v>987.17</v>
      </c>
    </row>
    <row r="2040" customFormat="false" ht="15" hidden="false" customHeight="false" outlineLevel="0" collapsed="false">
      <c r="A2040" s="0" t="n">
        <v>2039</v>
      </c>
      <c r="B2040" s="27" t="n">
        <v>45918</v>
      </c>
      <c r="C2040" s="0" t="n">
        <v>2025</v>
      </c>
      <c r="D2040" s="28" t="s">
        <v>115</v>
      </c>
      <c r="E2040" s="0" t="n">
        <v>9</v>
      </c>
      <c r="F2040" s="28" t="s">
        <v>120</v>
      </c>
      <c r="G2040" s="28" t="s">
        <v>151</v>
      </c>
      <c r="H2040" s="28" t="s">
        <v>96</v>
      </c>
      <c r="I2040" s="28" t="s">
        <v>97</v>
      </c>
      <c r="J2040" s="28" t="s">
        <v>66</v>
      </c>
      <c r="K2040" s="28" t="s">
        <v>90</v>
      </c>
      <c r="L2040" s="28" t="s">
        <v>141</v>
      </c>
      <c r="M2040" s="28" t="s">
        <v>94</v>
      </c>
      <c r="N2040" s="28" t="s">
        <v>143</v>
      </c>
      <c r="O2040" s="29" t="n">
        <v>37</v>
      </c>
      <c r="P2040" s="30" t="n">
        <v>35.14</v>
      </c>
      <c r="Q2040" s="30" t="n">
        <v>18.39</v>
      </c>
      <c r="R2040" s="30" t="n">
        <f aca="false">ROUND(O2040*P2040,2)</f>
        <v>1300.18</v>
      </c>
      <c r="S2040" s="30" t="n">
        <f aca="false">ROUND(O2040*Q2040,2)</f>
        <v>680.43</v>
      </c>
      <c r="T2040" s="30" t="n">
        <f aca="false">ROUND(R2040*SUMIFS(Parametros!$E$23:$E$38,Parametros!$B$23:$B$38,J2040,Parametros!$C$23:$C$38,C2040,Parametros!$D$23:$D$38,D2040),2)</f>
        <v>16.9</v>
      </c>
      <c r="U2040" s="30" t="n">
        <f aca="false">R2040-S2040-T2040</f>
        <v>602.85</v>
      </c>
    </row>
    <row r="2041" customFormat="false" ht="15" hidden="false" customHeight="false" outlineLevel="0" collapsed="false">
      <c r="A2041" s="0" t="n">
        <v>2040</v>
      </c>
      <c r="B2041" s="27" t="n">
        <v>45925</v>
      </c>
      <c r="C2041" s="0" t="n">
        <v>2025</v>
      </c>
      <c r="D2041" s="28" t="s">
        <v>115</v>
      </c>
      <c r="E2041" s="0" t="n">
        <v>9</v>
      </c>
      <c r="F2041" s="28" t="s">
        <v>120</v>
      </c>
      <c r="G2041" s="28" t="s">
        <v>151</v>
      </c>
      <c r="H2041" s="28" t="s">
        <v>96</v>
      </c>
      <c r="I2041" s="28" t="s">
        <v>97</v>
      </c>
      <c r="J2041" s="28" t="s">
        <v>71</v>
      </c>
      <c r="K2041" s="28" t="s">
        <v>90</v>
      </c>
      <c r="L2041" s="28" t="s">
        <v>141</v>
      </c>
      <c r="M2041" s="28" t="s">
        <v>94</v>
      </c>
      <c r="N2041" s="28" t="s">
        <v>143</v>
      </c>
      <c r="O2041" s="29" t="n">
        <v>19</v>
      </c>
      <c r="P2041" s="30" t="n">
        <v>35.14</v>
      </c>
      <c r="Q2041" s="30" t="n">
        <v>18.39</v>
      </c>
      <c r="R2041" s="30" t="n">
        <f aca="false">ROUND(O2041*P2041,2)</f>
        <v>667.66</v>
      </c>
      <c r="S2041" s="30" t="n">
        <f aca="false">ROUND(O2041*Q2041,2)</f>
        <v>349.41</v>
      </c>
      <c r="T2041" s="30" t="n">
        <f aca="false">ROUND(R2041*SUMIFS(Parametros!$E$23:$E$38,Parametros!$B$23:$B$38,J2041,Parametros!$C$23:$C$38,C2041,Parametros!$D$23:$D$38,D2041),2)</f>
        <v>37.39</v>
      </c>
      <c r="U2041" s="30" t="n">
        <f aca="false">R2041-S2041-T2041</f>
        <v>280.86</v>
      </c>
    </row>
    <row r="2042" customFormat="false" ht="15" hidden="false" customHeight="false" outlineLevel="0" collapsed="false">
      <c r="A2042" s="0" t="n">
        <v>2041</v>
      </c>
      <c r="B2042" s="27" t="n">
        <v>45905</v>
      </c>
      <c r="C2042" s="0" t="n">
        <v>2025</v>
      </c>
      <c r="D2042" s="28" t="s">
        <v>115</v>
      </c>
      <c r="E2042" s="0" t="n">
        <v>9</v>
      </c>
      <c r="F2042" s="28" t="s">
        <v>120</v>
      </c>
      <c r="G2042" s="28" t="s">
        <v>151</v>
      </c>
      <c r="H2042" s="28" t="s">
        <v>98</v>
      </c>
      <c r="I2042" s="28" t="s">
        <v>99</v>
      </c>
      <c r="J2042" s="28" t="s">
        <v>66</v>
      </c>
      <c r="K2042" s="28" t="s">
        <v>67</v>
      </c>
      <c r="L2042" s="28" t="s">
        <v>130</v>
      </c>
      <c r="M2042" s="28" t="s">
        <v>69</v>
      </c>
      <c r="N2042" s="28" t="s">
        <v>131</v>
      </c>
      <c r="O2042" s="29" t="n">
        <v>7</v>
      </c>
      <c r="P2042" s="30" t="n">
        <v>1204.74</v>
      </c>
      <c r="Q2042" s="30" t="n">
        <v>766.32</v>
      </c>
      <c r="R2042" s="30" t="n">
        <f aca="false">ROUND(O2042*P2042,2)</f>
        <v>8433.18</v>
      </c>
      <c r="S2042" s="30" t="n">
        <f aca="false">ROUND(O2042*Q2042,2)</f>
        <v>5364.24</v>
      </c>
      <c r="T2042" s="30" t="n">
        <f aca="false">ROUND(R2042*SUMIFS(Parametros!$E$23:$E$38,Parametros!$B$23:$B$38,J2042,Parametros!$C$23:$C$38,C2042,Parametros!$D$23:$D$38,D2042),2)</f>
        <v>109.63</v>
      </c>
      <c r="U2042" s="30" t="n">
        <f aca="false">R2042-S2042-T2042</f>
        <v>2959.31</v>
      </c>
    </row>
    <row r="2043" customFormat="false" ht="15" hidden="false" customHeight="false" outlineLevel="0" collapsed="false">
      <c r="A2043" s="0" t="n">
        <v>2042</v>
      </c>
      <c r="B2043" s="27" t="n">
        <v>45912</v>
      </c>
      <c r="C2043" s="0" t="n">
        <v>2025</v>
      </c>
      <c r="D2043" s="28" t="s">
        <v>115</v>
      </c>
      <c r="E2043" s="0" t="n">
        <v>9</v>
      </c>
      <c r="F2043" s="28" t="s">
        <v>120</v>
      </c>
      <c r="G2043" s="28" t="s">
        <v>151</v>
      </c>
      <c r="H2043" s="28" t="s">
        <v>98</v>
      </c>
      <c r="I2043" s="28" t="s">
        <v>99</v>
      </c>
      <c r="J2043" s="28" t="s">
        <v>71</v>
      </c>
      <c r="K2043" s="28" t="s">
        <v>67</v>
      </c>
      <c r="L2043" s="28" t="s">
        <v>130</v>
      </c>
      <c r="M2043" s="28" t="s">
        <v>69</v>
      </c>
      <c r="N2043" s="28" t="s">
        <v>131</v>
      </c>
      <c r="O2043" s="29" t="n">
        <v>6</v>
      </c>
      <c r="P2043" s="30" t="n">
        <v>1204.74</v>
      </c>
      <c r="Q2043" s="30" t="n">
        <v>766.32</v>
      </c>
      <c r="R2043" s="30" t="n">
        <f aca="false">ROUND(O2043*P2043,2)</f>
        <v>7228.44</v>
      </c>
      <c r="S2043" s="30" t="n">
        <f aca="false">ROUND(O2043*Q2043,2)</f>
        <v>4597.92</v>
      </c>
      <c r="T2043" s="30" t="n">
        <f aca="false">ROUND(R2043*SUMIFS(Parametros!$E$23:$E$38,Parametros!$B$23:$B$38,J2043,Parametros!$C$23:$C$38,C2043,Parametros!$D$23:$D$38,D2043),2)</f>
        <v>404.79</v>
      </c>
      <c r="U2043" s="30" t="n">
        <f aca="false">R2043-S2043-T2043</f>
        <v>2225.73</v>
      </c>
    </row>
    <row r="2044" customFormat="false" ht="15" hidden="false" customHeight="false" outlineLevel="0" collapsed="false">
      <c r="A2044" s="0" t="n">
        <v>2043</v>
      </c>
      <c r="B2044" s="27" t="n">
        <v>45919</v>
      </c>
      <c r="C2044" s="0" t="n">
        <v>2025</v>
      </c>
      <c r="D2044" s="28" t="s">
        <v>115</v>
      </c>
      <c r="E2044" s="0" t="n">
        <v>9</v>
      </c>
      <c r="F2044" s="28" t="s">
        <v>120</v>
      </c>
      <c r="G2044" s="28" t="s">
        <v>151</v>
      </c>
      <c r="H2044" s="28" t="s">
        <v>98</v>
      </c>
      <c r="I2044" s="28" t="s">
        <v>99</v>
      </c>
      <c r="J2044" s="28" t="s">
        <v>66</v>
      </c>
      <c r="K2044" s="28" t="s">
        <v>67</v>
      </c>
      <c r="L2044" s="28" t="s">
        <v>130</v>
      </c>
      <c r="M2044" s="28" t="s">
        <v>72</v>
      </c>
      <c r="N2044" s="28" t="s">
        <v>132</v>
      </c>
      <c r="O2044" s="29" t="n">
        <v>9</v>
      </c>
      <c r="P2044" s="30" t="n">
        <v>451.78</v>
      </c>
      <c r="Q2044" s="30" t="n">
        <v>280.42</v>
      </c>
      <c r="R2044" s="30" t="n">
        <f aca="false">ROUND(O2044*P2044,2)</f>
        <v>4066.02</v>
      </c>
      <c r="S2044" s="30" t="n">
        <f aca="false">ROUND(O2044*Q2044,2)</f>
        <v>2523.78</v>
      </c>
      <c r="T2044" s="30" t="n">
        <f aca="false">ROUND(R2044*SUMIFS(Parametros!$E$23:$E$38,Parametros!$B$23:$B$38,J2044,Parametros!$C$23:$C$38,C2044,Parametros!$D$23:$D$38,D2044),2)</f>
        <v>52.86</v>
      </c>
      <c r="U2044" s="30" t="n">
        <f aca="false">R2044-S2044-T2044</f>
        <v>1489.38</v>
      </c>
    </row>
    <row r="2045" customFormat="false" ht="15" hidden="false" customHeight="false" outlineLevel="0" collapsed="false">
      <c r="A2045" s="0" t="n">
        <v>2044</v>
      </c>
      <c r="B2045" s="27" t="n">
        <v>45926</v>
      </c>
      <c r="C2045" s="0" t="n">
        <v>2025</v>
      </c>
      <c r="D2045" s="28" t="s">
        <v>115</v>
      </c>
      <c r="E2045" s="0" t="n">
        <v>9</v>
      </c>
      <c r="F2045" s="28" t="s">
        <v>120</v>
      </c>
      <c r="G2045" s="28" t="s">
        <v>151</v>
      </c>
      <c r="H2045" s="28" t="s">
        <v>98</v>
      </c>
      <c r="I2045" s="28" t="s">
        <v>99</v>
      </c>
      <c r="J2045" s="28" t="s">
        <v>71</v>
      </c>
      <c r="K2045" s="28" t="s">
        <v>67</v>
      </c>
      <c r="L2045" s="28" t="s">
        <v>130</v>
      </c>
      <c r="M2045" s="28" t="s">
        <v>72</v>
      </c>
      <c r="N2045" s="28" t="s">
        <v>132</v>
      </c>
      <c r="O2045" s="29" t="n">
        <v>5</v>
      </c>
      <c r="P2045" s="30" t="n">
        <v>451.78</v>
      </c>
      <c r="Q2045" s="30" t="n">
        <v>280.42</v>
      </c>
      <c r="R2045" s="30" t="n">
        <f aca="false">ROUND(O2045*P2045,2)</f>
        <v>2258.9</v>
      </c>
      <c r="S2045" s="30" t="n">
        <f aca="false">ROUND(O2045*Q2045,2)</f>
        <v>1402.1</v>
      </c>
      <c r="T2045" s="30" t="n">
        <f aca="false">ROUND(R2045*SUMIFS(Parametros!$E$23:$E$38,Parametros!$B$23:$B$38,J2045,Parametros!$C$23:$C$38,C2045,Parametros!$D$23:$D$38,D2045),2)</f>
        <v>126.5</v>
      </c>
      <c r="U2045" s="30" t="n">
        <f aca="false">R2045-S2045-T2045</f>
        <v>730.3</v>
      </c>
    </row>
    <row r="2046" customFormat="false" ht="15" hidden="false" customHeight="false" outlineLevel="0" collapsed="false">
      <c r="A2046" s="0" t="n">
        <v>2045</v>
      </c>
      <c r="B2046" s="27" t="n">
        <v>45906</v>
      </c>
      <c r="C2046" s="0" t="n">
        <v>2025</v>
      </c>
      <c r="D2046" s="28" t="s">
        <v>115</v>
      </c>
      <c r="E2046" s="0" t="n">
        <v>9</v>
      </c>
      <c r="F2046" s="28" t="s">
        <v>120</v>
      </c>
      <c r="G2046" s="28" t="s">
        <v>151</v>
      </c>
      <c r="H2046" s="28" t="s">
        <v>98</v>
      </c>
      <c r="I2046" s="28" t="s">
        <v>99</v>
      </c>
      <c r="J2046" s="28" t="s">
        <v>66</v>
      </c>
      <c r="K2046" s="28" t="s">
        <v>67</v>
      </c>
      <c r="L2046" s="28" t="s">
        <v>130</v>
      </c>
      <c r="M2046" s="28" t="s">
        <v>74</v>
      </c>
      <c r="N2046" s="28" t="s">
        <v>133</v>
      </c>
      <c r="O2046" s="29" t="n">
        <v>10</v>
      </c>
      <c r="P2046" s="30" t="n">
        <v>1656.52</v>
      </c>
      <c r="Q2046" s="30" t="n">
        <v>1155.66</v>
      </c>
      <c r="R2046" s="30" t="n">
        <f aca="false">ROUND(O2046*P2046,2)</f>
        <v>16565.2</v>
      </c>
      <c r="S2046" s="30" t="n">
        <f aca="false">ROUND(O2046*Q2046,2)</f>
        <v>11556.6</v>
      </c>
      <c r="T2046" s="30" t="n">
        <f aca="false">ROUND(R2046*SUMIFS(Parametros!$E$23:$E$38,Parametros!$B$23:$B$38,J2046,Parametros!$C$23:$C$38,C2046,Parametros!$D$23:$D$38,D2046),2)</f>
        <v>215.35</v>
      </c>
      <c r="U2046" s="30" t="n">
        <f aca="false">R2046-S2046-T2046</f>
        <v>4793.25</v>
      </c>
    </row>
    <row r="2047" customFormat="false" ht="15" hidden="false" customHeight="false" outlineLevel="0" collapsed="false">
      <c r="A2047" s="0" t="n">
        <v>2046</v>
      </c>
      <c r="B2047" s="27" t="n">
        <v>45913</v>
      </c>
      <c r="C2047" s="0" t="n">
        <v>2025</v>
      </c>
      <c r="D2047" s="28" t="s">
        <v>115</v>
      </c>
      <c r="E2047" s="0" t="n">
        <v>9</v>
      </c>
      <c r="F2047" s="28" t="s">
        <v>120</v>
      </c>
      <c r="G2047" s="28" t="s">
        <v>151</v>
      </c>
      <c r="H2047" s="28" t="s">
        <v>98</v>
      </c>
      <c r="I2047" s="28" t="s">
        <v>99</v>
      </c>
      <c r="J2047" s="28" t="s">
        <v>71</v>
      </c>
      <c r="K2047" s="28" t="s">
        <v>67</v>
      </c>
      <c r="L2047" s="28" t="s">
        <v>130</v>
      </c>
      <c r="M2047" s="28" t="s">
        <v>74</v>
      </c>
      <c r="N2047" s="28" t="s">
        <v>133</v>
      </c>
      <c r="O2047" s="29" t="n">
        <v>5</v>
      </c>
      <c r="P2047" s="30" t="n">
        <v>1656.52</v>
      </c>
      <c r="Q2047" s="30" t="n">
        <v>1155.66</v>
      </c>
      <c r="R2047" s="30" t="n">
        <f aca="false">ROUND(O2047*P2047,2)</f>
        <v>8282.6</v>
      </c>
      <c r="S2047" s="30" t="n">
        <f aca="false">ROUND(O2047*Q2047,2)</f>
        <v>5778.3</v>
      </c>
      <c r="T2047" s="30" t="n">
        <f aca="false">ROUND(R2047*SUMIFS(Parametros!$E$23:$E$38,Parametros!$B$23:$B$38,J2047,Parametros!$C$23:$C$38,C2047,Parametros!$D$23:$D$38,D2047),2)</f>
        <v>463.83</v>
      </c>
      <c r="U2047" s="30" t="n">
        <f aca="false">R2047-S2047-T2047</f>
        <v>2040.47</v>
      </c>
    </row>
    <row r="2048" customFormat="false" ht="15" hidden="false" customHeight="false" outlineLevel="0" collapsed="false">
      <c r="A2048" s="0" t="n">
        <v>2047</v>
      </c>
      <c r="B2048" s="27" t="n">
        <v>45920</v>
      </c>
      <c r="C2048" s="0" t="n">
        <v>2025</v>
      </c>
      <c r="D2048" s="28" t="s">
        <v>115</v>
      </c>
      <c r="E2048" s="0" t="n">
        <v>9</v>
      </c>
      <c r="F2048" s="28" t="s">
        <v>120</v>
      </c>
      <c r="G2048" s="28" t="s">
        <v>151</v>
      </c>
      <c r="H2048" s="28" t="s">
        <v>98</v>
      </c>
      <c r="I2048" s="28" t="s">
        <v>99</v>
      </c>
      <c r="J2048" s="28" t="s">
        <v>66</v>
      </c>
      <c r="K2048" s="28" t="s">
        <v>76</v>
      </c>
      <c r="L2048" s="28" t="s">
        <v>134</v>
      </c>
      <c r="M2048" s="28" t="s">
        <v>78</v>
      </c>
      <c r="N2048" s="28" t="s">
        <v>135</v>
      </c>
      <c r="O2048" s="29" t="n">
        <v>34</v>
      </c>
      <c r="P2048" s="30" t="n">
        <v>28.11</v>
      </c>
      <c r="Q2048" s="30" t="n">
        <v>13.84</v>
      </c>
      <c r="R2048" s="30" t="n">
        <f aca="false">ROUND(O2048*P2048,2)</f>
        <v>955.74</v>
      </c>
      <c r="S2048" s="30" t="n">
        <f aca="false">ROUND(O2048*Q2048,2)</f>
        <v>470.56</v>
      </c>
      <c r="T2048" s="30" t="n">
        <f aca="false">ROUND(R2048*SUMIFS(Parametros!$E$23:$E$38,Parametros!$B$23:$B$38,J2048,Parametros!$C$23:$C$38,C2048,Parametros!$D$23:$D$38,D2048),2)</f>
        <v>12.42</v>
      </c>
      <c r="U2048" s="30" t="n">
        <f aca="false">R2048-S2048-T2048</f>
        <v>472.76</v>
      </c>
    </row>
    <row r="2049" customFormat="false" ht="15" hidden="false" customHeight="false" outlineLevel="0" collapsed="false">
      <c r="A2049" s="0" t="n">
        <v>2048</v>
      </c>
      <c r="B2049" s="27" t="n">
        <v>45927</v>
      </c>
      <c r="C2049" s="0" t="n">
        <v>2025</v>
      </c>
      <c r="D2049" s="28" t="s">
        <v>115</v>
      </c>
      <c r="E2049" s="0" t="n">
        <v>9</v>
      </c>
      <c r="F2049" s="28" t="s">
        <v>120</v>
      </c>
      <c r="G2049" s="28" t="s">
        <v>151</v>
      </c>
      <c r="H2049" s="28" t="s">
        <v>98</v>
      </c>
      <c r="I2049" s="28" t="s">
        <v>99</v>
      </c>
      <c r="J2049" s="28" t="s">
        <v>71</v>
      </c>
      <c r="K2049" s="28" t="s">
        <v>76</v>
      </c>
      <c r="L2049" s="28" t="s">
        <v>134</v>
      </c>
      <c r="M2049" s="28" t="s">
        <v>78</v>
      </c>
      <c r="N2049" s="28" t="s">
        <v>135</v>
      </c>
      <c r="O2049" s="29" t="n">
        <v>26</v>
      </c>
      <c r="P2049" s="30" t="n">
        <v>28.11</v>
      </c>
      <c r="Q2049" s="30" t="n">
        <v>13.84</v>
      </c>
      <c r="R2049" s="30" t="n">
        <f aca="false">ROUND(O2049*P2049,2)</f>
        <v>730.86</v>
      </c>
      <c r="S2049" s="30" t="n">
        <f aca="false">ROUND(O2049*Q2049,2)</f>
        <v>359.84</v>
      </c>
      <c r="T2049" s="30" t="n">
        <f aca="false">ROUND(R2049*SUMIFS(Parametros!$E$23:$E$38,Parametros!$B$23:$B$38,J2049,Parametros!$C$23:$C$38,C2049,Parametros!$D$23:$D$38,D2049),2)</f>
        <v>40.93</v>
      </c>
      <c r="U2049" s="30" t="n">
        <f aca="false">R2049-S2049-T2049</f>
        <v>330.09</v>
      </c>
    </row>
    <row r="2050" customFormat="false" ht="15" hidden="false" customHeight="false" outlineLevel="0" collapsed="false">
      <c r="A2050" s="0" t="n">
        <v>2049</v>
      </c>
      <c r="B2050" s="27" t="n">
        <v>45907</v>
      </c>
      <c r="C2050" s="0" t="n">
        <v>2025</v>
      </c>
      <c r="D2050" s="28" t="s">
        <v>115</v>
      </c>
      <c r="E2050" s="0" t="n">
        <v>9</v>
      </c>
      <c r="F2050" s="28" t="s">
        <v>120</v>
      </c>
      <c r="G2050" s="28" t="s">
        <v>151</v>
      </c>
      <c r="H2050" s="28" t="s">
        <v>98</v>
      </c>
      <c r="I2050" s="28" t="s">
        <v>99</v>
      </c>
      <c r="J2050" s="28" t="s">
        <v>66</v>
      </c>
      <c r="K2050" s="28" t="s">
        <v>76</v>
      </c>
      <c r="L2050" s="28" t="s">
        <v>134</v>
      </c>
      <c r="M2050" s="28" t="s">
        <v>80</v>
      </c>
      <c r="N2050" s="28" t="s">
        <v>136</v>
      </c>
      <c r="O2050" s="29" t="n">
        <v>43</v>
      </c>
      <c r="P2050" s="30" t="n">
        <v>95.38</v>
      </c>
      <c r="Q2050" s="30" t="n">
        <v>49.41</v>
      </c>
      <c r="R2050" s="30" t="n">
        <f aca="false">ROUND(O2050*P2050,2)</f>
        <v>4101.34</v>
      </c>
      <c r="S2050" s="30" t="n">
        <f aca="false">ROUND(O2050*Q2050,2)</f>
        <v>2124.63</v>
      </c>
      <c r="T2050" s="30" t="n">
        <f aca="false">ROUND(R2050*SUMIFS(Parametros!$E$23:$E$38,Parametros!$B$23:$B$38,J2050,Parametros!$C$23:$C$38,C2050,Parametros!$D$23:$D$38,D2050),2)</f>
        <v>53.32</v>
      </c>
      <c r="U2050" s="30" t="n">
        <f aca="false">R2050-S2050-T2050</f>
        <v>1923.39</v>
      </c>
    </row>
    <row r="2051" customFormat="false" ht="15" hidden="false" customHeight="false" outlineLevel="0" collapsed="false">
      <c r="A2051" s="0" t="n">
        <v>2050</v>
      </c>
      <c r="B2051" s="27" t="n">
        <v>45914</v>
      </c>
      <c r="C2051" s="0" t="n">
        <v>2025</v>
      </c>
      <c r="D2051" s="28" t="s">
        <v>115</v>
      </c>
      <c r="E2051" s="0" t="n">
        <v>9</v>
      </c>
      <c r="F2051" s="28" t="s">
        <v>120</v>
      </c>
      <c r="G2051" s="28" t="s">
        <v>151</v>
      </c>
      <c r="H2051" s="28" t="s">
        <v>98</v>
      </c>
      <c r="I2051" s="28" t="s">
        <v>99</v>
      </c>
      <c r="J2051" s="28" t="s">
        <v>71</v>
      </c>
      <c r="K2051" s="28" t="s">
        <v>76</v>
      </c>
      <c r="L2051" s="28" t="s">
        <v>134</v>
      </c>
      <c r="M2051" s="28" t="s">
        <v>80</v>
      </c>
      <c r="N2051" s="28" t="s">
        <v>136</v>
      </c>
      <c r="O2051" s="29" t="n">
        <v>29</v>
      </c>
      <c r="P2051" s="30" t="n">
        <v>95.38</v>
      </c>
      <c r="Q2051" s="30" t="n">
        <v>49.41</v>
      </c>
      <c r="R2051" s="30" t="n">
        <f aca="false">ROUND(O2051*P2051,2)</f>
        <v>2766.02</v>
      </c>
      <c r="S2051" s="30" t="n">
        <f aca="false">ROUND(O2051*Q2051,2)</f>
        <v>1432.89</v>
      </c>
      <c r="T2051" s="30" t="n">
        <f aca="false">ROUND(R2051*SUMIFS(Parametros!$E$23:$E$38,Parametros!$B$23:$B$38,J2051,Parametros!$C$23:$C$38,C2051,Parametros!$D$23:$D$38,D2051),2)</f>
        <v>154.9</v>
      </c>
      <c r="U2051" s="30" t="n">
        <f aca="false">R2051-S2051-T2051</f>
        <v>1178.23</v>
      </c>
    </row>
    <row r="2052" customFormat="false" ht="15" hidden="false" customHeight="false" outlineLevel="0" collapsed="false">
      <c r="A2052" s="0" t="n">
        <v>2051</v>
      </c>
      <c r="B2052" s="27" t="n">
        <v>45921</v>
      </c>
      <c r="C2052" s="0" t="n">
        <v>2025</v>
      </c>
      <c r="D2052" s="28" t="s">
        <v>115</v>
      </c>
      <c r="E2052" s="0" t="n">
        <v>9</v>
      </c>
      <c r="F2052" s="28" t="s">
        <v>120</v>
      </c>
      <c r="G2052" s="28" t="s">
        <v>151</v>
      </c>
      <c r="H2052" s="28" t="s">
        <v>98</v>
      </c>
      <c r="I2052" s="28" t="s">
        <v>99</v>
      </c>
      <c r="J2052" s="28" t="s">
        <v>66</v>
      </c>
      <c r="K2052" s="28" t="s">
        <v>76</v>
      </c>
      <c r="L2052" s="28" t="s">
        <v>134</v>
      </c>
      <c r="M2052" s="28" t="s">
        <v>82</v>
      </c>
      <c r="N2052" s="28" t="s">
        <v>137</v>
      </c>
      <c r="O2052" s="29" t="n">
        <v>36</v>
      </c>
      <c r="P2052" s="30" t="n">
        <v>65.26</v>
      </c>
      <c r="Q2052" s="30" t="n">
        <v>36.49</v>
      </c>
      <c r="R2052" s="30" t="n">
        <f aca="false">ROUND(O2052*P2052,2)</f>
        <v>2349.36</v>
      </c>
      <c r="S2052" s="30" t="n">
        <f aca="false">ROUND(O2052*Q2052,2)</f>
        <v>1313.64</v>
      </c>
      <c r="T2052" s="30" t="n">
        <f aca="false">ROUND(R2052*SUMIFS(Parametros!$E$23:$E$38,Parametros!$B$23:$B$38,J2052,Parametros!$C$23:$C$38,C2052,Parametros!$D$23:$D$38,D2052),2)</f>
        <v>30.54</v>
      </c>
      <c r="U2052" s="30" t="n">
        <f aca="false">R2052-S2052-T2052</f>
        <v>1005.18</v>
      </c>
    </row>
    <row r="2053" customFormat="false" ht="15" hidden="false" customHeight="false" outlineLevel="0" collapsed="false">
      <c r="A2053" s="0" t="n">
        <v>2052</v>
      </c>
      <c r="B2053" s="27" t="n">
        <v>45901</v>
      </c>
      <c r="C2053" s="0" t="n">
        <v>2025</v>
      </c>
      <c r="D2053" s="28" t="s">
        <v>115</v>
      </c>
      <c r="E2053" s="0" t="n">
        <v>9</v>
      </c>
      <c r="F2053" s="28" t="s">
        <v>120</v>
      </c>
      <c r="G2053" s="28" t="s">
        <v>151</v>
      </c>
      <c r="H2053" s="28" t="s">
        <v>98</v>
      </c>
      <c r="I2053" s="28" t="s">
        <v>99</v>
      </c>
      <c r="J2053" s="28" t="s">
        <v>71</v>
      </c>
      <c r="K2053" s="28" t="s">
        <v>76</v>
      </c>
      <c r="L2053" s="28" t="s">
        <v>134</v>
      </c>
      <c r="M2053" s="28" t="s">
        <v>82</v>
      </c>
      <c r="N2053" s="28" t="s">
        <v>137</v>
      </c>
      <c r="O2053" s="29" t="n">
        <v>23</v>
      </c>
      <c r="P2053" s="30" t="n">
        <v>65.26</v>
      </c>
      <c r="Q2053" s="30" t="n">
        <v>36.49</v>
      </c>
      <c r="R2053" s="30" t="n">
        <f aca="false">ROUND(O2053*P2053,2)</f>
        <v>1500.98</v>
      </c>
      <c r="S2053" s="30" t="n">
        <f aca="false">ROUND(O2053*Q2053,2)</f>
        <v>839.27</v>
      </c>
      <c r="T2053" s="30" t="n">
        <f aca="false">ROUND(R2053*SUMIFS(Parametros!$E$23:$E$38,Parametros!$B$23:$B$38,J2053,Parametros!$C$23:$C$38,C2053,Parametros!$D$23:$D$38,D2053),2)</f>
        <v>84.05</v>
      </c>
      <c r="U2053" s="30" t="n">
        <f aca="false">R2053-S2053-T2053</f>
        <v>577.66</v>
      </c>
    </row>
    <row r="2054" customFormat="false" ht="15" hidden="false" customHeight="false" outlineLevel="0" collapsed="false">
      <c r="A2054" s="0" t="n">
        <v>2053</v>
      </c>
      <c r="B2054" s="27" t="n">
        <v>45908</v>
      </c>
      <c r="C2054" s="0" t="n">
        <v>2025</v>
      </c>
      <c r="D2054" s="28" t="s">
        <v>115</v>
      </c>
      <c r="E2054" s="0" t="n">
        <v>9</v>
      </c>
      <c r="F2054" s="28" t="s">
        <v>120</v>
      </c>
      <c r="G2054" s="28" t="s">
        <v>151</v>
      </c>
      <c r="H2054" s="28" t="s">
        <v>98</v>
      </c>
      <c r="I2054" s="28" t="s">
        <v>99</v>
      </c>
      <c r="J2054" s="28" t="s">
        <v>66</v>
      </c>
      <c r="K2054" s="28" t="s">
        <v>84</v>
      </c>
      <c r="L2054" s="28" t="s">
        <v>138</v>
      </c>
      <c r="M2054" s="28" t="s">
        <v>86</v>
      </c>
      <c r="N2054" s="28" t="s">
        <v>139</v>
      </c>
      <c r="O2054" s="29" t="n">
        <v>21</v>
      </c>
      <c r="P2054" s="30" t="n">
        <v>120.47</v>
      </c>
      <c r="Q2054" s="30" t="n">
        <v>65.51</v>
      </c>
      <c r="R2054" s="30" t="n">
        <f aca="false">ROUND(O2054*P2054,2)</f>
        <v>2529.87</v>
      </c>
      <c r="S2054" s="30" t="n">
        <f aca="false">ROUND(O2054*Q2054,2)</f>
        <v>1375.71</v>
      </c>
      <c r="T2054" s="30" t="n">
        <f aca="false">ROUND(R2054*SUMIFS(Parametros!$E$23:$E$38,Parametros!$B$23:$B$38,J2054,Parametros!$C$23:$C$38,C2054,Parametros!$D$23:$D$38,D2054),2)</f>
        <v>32.89</v>
      </c>
      <c r="U2054" s="30" t="n">
        <f aca="false">R2054-S2054-T2054</f>
        <v>1121.27</v>
      </c>
    </row>
    <row r="2055" customFormat="false" ht="15" hidden="false" customHeight="false" outlineLevel="0" collapsed="false">
      <c r="A2055" s="0" t="n">
        <v>2054</v>
      </c>
      <c r="B2055" s="27" t="n">
        <v>45915</v>
      </c>
      <c r="C2055" s="0" t="n">
        <v>2025</v>
      </c>
      <c r="D2055" s="28" t="s">
        <v>115</v>
      </c>
      <c r="E2055" s="0" t="n">
        <v>9</v>
      </c>
      <c r="F2055" s="28" t="s">
        <v>120</v>
      </c>
      <c r="G2055" s="28" t="s">
        <v>151</v>
      </c>
      <c r="H2055" s="28" t="s">
        <v>98</v>
      </c>
      <c r="I2055" s="28" t="s">
        <v>99</v>
      </c>
      <c r="J2055" s="28" t="s">
        <v>71</v>
      </c>
      <c r="K2055" s="28" t="s">
        <v>84</v>
      </c>
      <c r="L2055" s="28" t="s">
        <v>138</v>
      </c>
      <c r="M2055" s="28" t="s">
        <v>86</v>
      </c>
      <c r="N2055" s="28" t="s">
        <v>139</v>
      </c>
      <c r="O2055" s="29" t="n">
        <v>15</v>
      </c>
      <c r="P2055" s="30" t="n">
        <v>120.47</v>
      </c>
      <c r="Q2055" s="30" t="n">
        <v>65.51</v>
      </c>
      <c r="R2055" s="30" t="n">
        <f aca="false">ROUND(O2055*P2055,2)</f>
        <v>1807.05</v>
      </c>
      <c r="S2055" s="30" t="n">
        <f aca="false">ROUND(O2055*Q2055,2)</f>
        <v>982.65</v>
      </c>
      <c r="T2055" s="30" t="n">
        <f aca="false">ROUND(R2055*SUMIFS(Parametros!$E$23:$E$38,Parametros!$B$23:$B$38,J2055,Parametros!$C$23:$C$38,C2055,Parametros!$D$23:$D$38,D2055),2)</f>
        <v>101.19</v>
      </c>
      <c r="U2055" s="30" t="n">
        <f aca="false">R2055-S2055-T2055</f>
        <v>723.21</v>
      </c>
    </row>
    <row r="2056" customFormat="false" ht="15" hidden="false" customHeight="false" outlineLevel="0" collapsed="false">
      <c r="A2056" s="0" t="n">
        <v>2055</v>
      </c>
      <c r="B2056" s="27" t="n">
        <v>45922</v>
      </c>
      <c r="C2056" s="0" t="n">
        <v>2025</v>
      </c>
      <c r="D2056" s="28" t="s">
        <v>115</v>
      </c>
      <c r="E2056" s="0" t="n">
        <v>9</v>
      </c>
      <c r="F2056" s="28" t="s">
        <v>120</v>
      </c>
      <c r="G2056" s="28" t="s">
        <v>151</v>
      </c>
      <c r="H2056" s="28" t="s">
        <v>98</v>
      </c>
      <c r="I2056" s="28" t="s">
        <v>99</v>
      </c>
      <c r="J2056" s="28" t="s">
        <v>66</v>
      </c>
      <c r="K2056" s="28" t="s">
        <v>84</v>
      </c>
      <c r="L2056" s="28" t="s">
        <v>138</v>
      </c>
      <c r="M2056" s="28" t="s">
        <v>88</v>
      </c>
      <c r="N2056" s="28" t="s">
        <v>140</v>
      </c>
      <c r="O2056" s="29" t="n">
        <v>16</v>
      </c>
      <c r="P2056" s="30" t="n">
        <v>85.34</v>
      </c>
      <c r="Q2056" s="30" t="n">
        <v>49.47</v>
      </c>
      <c r="R2056" s="30" t="n">
        <f aca="false">ROUND(O2056*P2056,2)</f>
        <v>1365.44</v>
      </c>
      <c r="S2056" s="30" t="n">
        <f aca="false">ROUND(O2056*Q2056,2)</f>
        <v>791.52</v>
      </c>
      <c r="T2056" s="30" t="n">
        <f aca="false">ROUND(R2056*SUMIFS(Parametros!$E$23:$E$38,Parametros!$B$23:$B$38,J2056,Parametros!$C$23:$C$38,C2056,Parametros!$D$23:$D$38,D2056),2)</f>
        <v>17.75</v>
      </c>
      <c r="U2056" s="30" t="n">
        <f aca="false">R2056-S2056-T2056</f>
        <v>556.17</v>
      </c>
    </row>
    <row r="2057" customFormat="false" ht="15" hidden="false" customHeight="false" outlineLevel="0" collapsed="false">
      <c r="A2057" s="0" t="n">
        <v>2056</v>
      </c>
      <c r="B2057" s="27" t="n">
        <v>45902</v>
      </c>
      <c r="C2057" s="0" t="n">
        <v>2025</v>
      </c>
      <c r="D2057" s="28" t="s">
        <v>115</v>
      </c>
      <c r="E2057" s="0" t="n">
        <v>9</v>
      </c>
      <c r="F2057" s="28" t="s">
        <v>120</v>
      </c>
      <c r="G2057" s="28" t="s">
        <v>151</v>
      </c>
      <c r="H2057" s="28" t="s">
        <v>98</v>
      </c>
      <c r="I2057" s="28" t="s">
        <v>99</v>
      </c>
      <c r="J2057" s="28" t="s">
        <v>71</v>
      </c>
      <c r="K2057" s="28" t="s">
        <v>84</v>
      </c>
      <c r="L2057" s="28" t="s">
        <v>138</v>
      </c>
      <c r="M2057" s="28" t="s">
        <v>88</v>
      </c>
      <c r="N2057" s="28" t="s">
        <v>140</v>
      </c>
      <c r="O2057" s="29" t="n">
        <v>15</v>
      </c>
      <c r="P2057" s="30" t="n">
        <v>85.34</v>
      </c>
      <c r="Q2057" s="30" t="n">
        <v>49.47</v>
      </c>
      <c r="R2057" s="30" t="n">
        <f aca="false">ROUND(O2057*P2057,2)</f>
        <v>1280.1</v>
      </c>
      <c r="S2057" s="30" t="n">
        <f aca="false">ROUND(O2057*Q2057,2)</f>
        <v>742.05</v>
      </c>
      <c r="T2057" s="30" t="n">
        <f aca="false">ROUND(R2057*SUMIFS(Parametros!$E$23:$E$38,Parametros!$B$23:$B$38,J2057,Parametros!$C$23:$C$38,C2057,Parametros!$D$23:$D$38,D2057),2)</f>
        <v>71.69</v>
      </c>
      <c r="U2057" s="30" t="n">
        <f aca="false">R2057-S2057-T2057</f>
        <v>466.36</v>
      </c>
    </row>
    <row r="2058" customFormat="false" ht="15" hidden="false" customHeight="false" outlineLevel="0" collapsed="false">
      <c r="A2058" s="0" t="n">
        <v>2057</v>
      </c>
      <c r="B2058" s="27" t="n">
        <v>45909</v>
      </c>
      <c r="C2058" s="0" t="n">
        <v>2025</v>
      </c>
      <c r="D2058" s="28" t="s">
        <v>115</v>
      </c>
      <c r="E2058" s="0" t="n">
        <v>9</v>
      </c>
      <c r="F2058" s="28" t="s">
        <v>120</v>
      </c>
      <c r="G2058" s="28" t="s">
        <v>151</v>
      </c>
      <c r="H2058" s="28" t="s">
        <v>98</v>
      </c>
      <c r="I2058" s="28" t="s">
        <v>99</v>
      </c>
      <c r="J2058" s="28" t="s">
        <v>66</v>
      </c>
      <c r="K2058" s="28" t="s">
        <v>90</v>
      </c>
      <c r="L2058" s="28" t="s">
        <v>141</v>
      </c>
      <c r="M2058" s="28" t="s">
        <v>92</v>
      </c>
      <c r="N2058" s="28" t="s">
        <v>142</v>
      </c>
      <c r="O2058" s="29" t="n">
        <v>25</v>
      </c>
      <c r="P2058" s="30" t="n">
        <v>130.51</v>
      </c>
      <c r="Q2058" s="30" t="n">
        <v>78.33</v>
      </c>
      <c r="R2058" s="30" t="n">
        <f aca="false">ROUND(O2058*P2058,2)</f>
        <v>3262.75</v>
      </c>
      <c r="S2058" s="30" t="n">
        <f aca="false">ROUND(O2058*Q2058,2)</f>
        <v>1958.25</v>
      </c>
      <c r="T2058" s="30" t="n">
        <f aca="false">ROUND(R2058*SUMIFS(Parametros!$E$23:$E$38,Parametros!$B$23:$B$38,J2058,Parametros!$C$23:$C$38,C2058,Parametros!$D$23:$D$38,D2058),2)</f>
        <v>42.42</v>
      </c>
      <c r="U2058" s="30" t="n">
        <f aca="false">R2058-S2058-T2058</f>
        <v>1262.08</v>
      </c>
    </row>
    <row r="2059" customFormat="false" ht="15" hidden="false" customHeight="false" outlineLevel="0" collapsed="false">
      <c r="A2059" s="0" t="n">
        <v>2058</v>
      </c>
      <c r="B2059" s="27" t="n">
        <v>45916</v>
      </c>
      <c r="C2059" s="0" t="n">
        <v>2025</v>
      </c>
      <c r="D2059" s="28" t="s">
        <v>115</v>
      </c>
      <c r="E2059" s="0" t="n">
        <v>9</v>
      </c>
      <c r="F2059" s="28" t="s">
        <v>120</v>
      </c>
      <c r="G2059" s="28" t="s">
        <v>151</v>
      </c>
      <c r="H2059" s="28" t="s">
        <v>98</v>
      </c>
      <c r="I2059" s="28" t="s">
        <v>99</v>
      </c>
      <c r="J2059" s="28" t="s">
        <v>71</v>
      </c>
      <c r="K2059" s="28" t="s">
        <v>90</v>
      </c>
      <c r="L2059" s="28" t="s">
        <v>141</v>
      </c>
      <c r="M2059" s="28" t="s">
        <v>92</v>
      </c>
      <c r="N2059" s="28" t="s">
        <v>142</v>
      </c>
      <c r="O2059" s="29" t="n">
        <v>18</v>
      </c>
      <c r="P2059" s="30" t="n">
        <v>130.51</v>
      </c>
      <c r="Q2059" s="30" t="n">
        <v>78.33</v>
      </c>
      <c r="R2059" s="30" t="n">
        <f aca="false">ROUND(O2059*P2059,2)</f>
        <v>2349.18</v>
      </c>
      <c r="S2059" s="30" t="n">
        <f aca="false">ROUND(O2059*Q2059,2)</f>
        <v>1409.94</v>
      </c>
      <c r="T2059" s="30" t="n">
        <f aca="false">ROUND(R2059*SUMIFS(Parametros!$E$23:$E$38,Parametros!$B$23:$B$38,J2059,Parametros!$C$23:$C$38,C2059,Parametros!$D$23:$D$38,D2059),2)</f>
        <v>131.55</v>
      </c>
      <c r="U2059" s="30" t="n">
        <f aca="false">R2059-S2059-T2059</f>
        <v>807.69</v>
      </c>
    </row>
    <row r="2060" customFormat="false" ht="15" hidden="false" customHeight="false" outlineLevel="0" collapsed="false">
      <c r="A2060" s="0" t="n">
        <v>2059</v>
      </c>
      <c r="B2060" s="27" t="n">
        <v>45923</v>
      </c>
      <c r="C2060" s="0" t="n">
        <v>2025</v>
      </c>
      <c r="D2060" s="28" t="s">
        <v>115</v>
      </c>
      <c r="E2060" s="0" t="n">
        <v>9</v>
      </c>
      <c r="F2060" s="28" t="s">
        <v>120</v>
      </c>
      <c r="G2060" s="28" t="s">
        <v>151</v>
      </c>
      <c r="H2060" s="28" t="s">
        <v>98</v>
      </c>
      <c r="I2060" s="28" t="s">
        <v>99</v>
      </c>
      <c r="J2060" s="28" t="s">
        <v>66</v>
      </c>
      <c r="K2060" s="28" t="s">
        <v>90</v>
      </c>
      <c r="L2060" s="28" t="s">
        <v>141</v>
      </c>
      <c r="M2060" s="28" t="s">
        <v>94</v>
      </c>
      <c r="N2060" s="28" t="s">
        <v>143</v>
      </c>
      <c r="O2060" s="29" t="n">
        <v>24</v>
      </c>
      <c r="P2060" s="30" t="n">
        <v>35.14</v>
      </c>
      <c r="Q2060" s="30" t="n">
        <v>18.39</v>
      </c>
      <c r="R2060" s="30" t="n">
        <f aca="false">ROUND(O2060*P2060,2)</f>
        <v>843.36</v>
      </c>
      <c r="S2060" s="30" t="n">
        <f aca="false">ROUND(O2060*Q2060,2)</f>
        <v>441.36</v>
      </c>
      <c r="T2060" s="30" t="n">
        <f aca="false">ROUND(R2060*SUMIFS(Parametros!$E$23:$E$38,Parametros!$B$23:$B$38,J2060,Parametros!$C$23:$C$38,C2060,Parametros!$D$23:$D$38,D2060),2)</f>
        <v>10.96</v>
      </c>
      <c r="U2060" s="30" t="n">
        <f aca="false">R2060-S2060-T2060</f>
        <v>391.04</v>
      </c>
    </row>
    <row r="2061" customFormat="false" ht="15" hidden="false" customHeight="false" outlineLevel="0" collapsed="false">
      <c r="A2061" s="0" t="n">
        <v>2060</v>
      </c>
      <c r="B2061" s="27" t="n">
        <v>45903</v>
      </c>
      <c r="C2061" s="0" t="n">
        <v>2025</v>
      </c>
      <c r="D2061" s="28" t="s">
        <v>115</v>
      </c>
      <c r="E2061" s="0" t="n">
        <v>9</v>
      </c>
      <c r="F2061" s="28" t="s">
        <v>120</v>
      </c>
      <c r="G2061" s="28" t="s">
        <v>151</v>
      </c>
      <c r="H2061" s="28" t="s">
        <v>98</v>
      </c>
      <c r="I2061" s="28" t="s">
        <v>99</v>
      </c>
      <c r="J2061" s="28" t="s">
        <v>71</v>
      </c>
      <c r="K2061" s="28" t="s">
        <v>90</v>
      </c>
      <c r="L2061" s="28" t="s">
        <v>141</v>
      </c>
      <c r="M2061" s="28" t="s">
        <v>94</v>
      </c>
      <c r="N2061" s="28" t="s">
        <v>143</v>
      </c>
      <c r="O2061" s="29" t="n">
        <v>13</v>
      </c>
      <c r="P2061" s="30" t="n">
        <v>35.14</v>
      </c>
      <c r="Q2061" s="30" t="n">
        <v>18.39</v>
      </c>
      <c r="R2061" s="30" t="n">
        <f aca="false">ROUND(O2061*P2061,2)</f>
        <v>456.82</v>
      </c>
      <c r="S2061" s="30" t="n">
        <f aca="false">ROUND(O2061*Q2061,2)</f>
        <v>239.07</v>
      </c>
      <c r="T2061" s="30" t="n">
        <f aca="false">ROUND(R2061*SUMIFS(Parametros!$E$23:$E$38,Parametros!$B$23:$B$38,J2061,Parametros!$C$23:$C$38,C2061,Parametros!$D$23:$D$38,D2061),2)</f>
        <v>25.58</v>
      </c>
      <c r="U2061" s="30" t="n">
        <f aca="false">R2061-S2061-T2061</f>
        <v>192.17</v>
      </c>
    </row>
    <row r="2062" customFormat="false" ht="15" hidden="false" customHeight="false" outlineLevel="0" collapsed="false">
      <c r="A2062" s="0" t="n">
        <v>2061</v>
      </c>
      <c r="B2062" s="27" t="n">
        <v>45910</v>
      </c>
      <c r="C2062" s="0" t="n">
        <v>2025</v>
      </c>
      <c r="D2062" s="28" t="s">
        <v>115</v>
      </c>
      <c r="E2062" s="0" t="n">
        <v>9</v>
      </c>
      <c r="F2062" s="28" t="s">
        <v>120</v>
      </c>
      <c r="G2062" s="28" t="s">
        <v>151</v>
      </c>
      <c r="H2062" s="28" t="s">
        <v>100</v>
      </c>
      <c r="I2062" s="28" t="s">
        <v>101</v>
      </c>
      <c r="J2062" s="28" t="s">
        <v>66</v>
      </c>
      <c r="K2062" s="28" t="s">
        <v>67</v>
      </c>
      <c r="L2062" s="28" t="s">
        <v>130</v>
      </c>
      <c r="M2062" s="28" t="s">
        <v>69</v>
      </c>
      <c r="N2062" s="28" t="s">
        <v>131</v>
      </c>
      <c r="O2062" s="29" t="n">
        <v>6</v>
      </c>
      <c r="P2062" s="30" t="n">
        <v>1204.74</v>
      </c>
      <c r="Q2062" s="30" t="n">
        <v>766.32</v>
      </c>
      <c r="R2062" s="30" t="n">
        <f aca="false">ROUND(O2062*P2062,2)</f>
        <v>7228.44</v>
      </c>
      <c r="S2062" s="30" t="n">
        <f aca="false">ROUND(O2062*Q2062,2)</f>
        <v>4597.92</v>
      </c>
      <c r="T2062" s="30" t="n">
        <f aca="false">ROUND(R2062*SUMIFS(Parametros!$E$23:$E$38,Parametros!$B$23:$B$38,J2062,Parametros!$C$23:$C$38,C2062,Parametros!$D$23:$D$38,D2062),2)</f>
        <v>93.97</v>
      </c>
      <c r="U2062" s="30" t="n">
        <f aca="false">R2062-S2062-T2062</f>
        <v>2536.55</v>
      </c>
    </row>
    <row r="2063" customFormat="false" ht="15" hidden="false" customHeight="false" outlineLevel="0" collapsed="false">
      <c r="A2063" s="0" t="n">
        <v>2062</v>
      </c>
      <c r="B2063" s="27" t="n">
        <v>45917</v>
      </c>
      <c r="C2063" s="0" t="n">
        <v>2025</v>
      </c>
      <c r="D2063" s="28" t="s">
        <v>115</v>
      </c>
      <c r="E2063" s="0" t="n">
        <v>9</v>
      </c>
      <c r="F2063" s="28" t="s">
        <v>120</v>
      </c>
      <c r="G2063" s="28" t="s">
        <v>151</v>
      </c>
      <c r="H2063" s="28" t="s">
        <v>100</v>
      </c>
      <c r="I2063" s="28" t="s">
        <v>101</v>
      </c>
      <c r="J2063" s="28" t="s">
        <v>71</v>
      </c>
      <c r="K2063" s="28" t="s">
        <v>67</v>
      </c>
      <c r="L2063" s="28" t="s">
        <v>130</v>
      </c>
      <c r="M2063" s="28" t="s">
        <v>69</v>
      </c>
      <c r="N2063" s="28" t="s">
        <v>131</v>
      </c>
      <c r="O2063" s="29" t="n">
        <v>4</v>
      </c>
      <c r="P2063" s="30" t="n">
        <v>1204.74</v>
      </c>
      <c r="Q2063" s="30" t="n">
        <v>766.32</v>
      </c>
      <c r="R2063" s="30" t="n">
        <f aca="false">ROUND(O2063*P2063,2)</f>
        <v>4818.96</v>
      </c>
      <c r="S2063" s="30" t="n">
        <f aca="false">ROUND(O2063*Q2063,2)</f>
        <v>3065.28</v>
      </c>
      <c r="T2063" s="30" t="n">
        <f aca="false">ROUND(R2063*SUMIFS(Parametros!$E$23:$E$38,Parametros!$B$23:$B$38,J2063,Parametros!$C$23:$C$38,C2063,Parametros!$D$23:$D$38,D2063),2)</f>
        <v>269.86</v>
      </c>
      <c r="U2063" s="30" t="n">
        <f aca="false">R2063-S2063-T2063</f>
        <v>1483.82</v>
      </c>
    </row>
    <row r="2064" customFormat="false" ht="15" hidden="false" customHeight="false" outlineLevel="0" collapsed="false">
      <c r="A2064" s="0" t="n">
        <v>2063</v>
      </c>
      <c r="B2064" s="27" t="n">
        <v>45924</v>
      </c>
      <c r="C2064" s="0" t="n">
        <v>2025</v>
      </c>
      <c r="D2064" s="28" t="s">
        <v>115</v>
      </c>
      <c r="E2064" s="0" t="n">
        <v>9</v>
      </c>
      <c r="F2064" s="28" t="s">
        <v>120</v>
      </c>
      <c r="G2064" s="28" t="s">
        <v>151</v>
      </c>
      <c r="H2064" s="28" t="s">
        <v>100</v>
      </c>
      <c r="I2064" s="28" t="s">
        <v>101</v>
      </c>
      <c r="J2064" s="28" t="s">
        <v>66</v>
      </c>
      <c r="K2064" s="28" t="s">
        <v>67</v>
      </c>
      <c r="L2064" s="28" t="s">
        <v>130</v>
      </c>
      <c r="M2064" s="28" t="s">
        <v>72</v>
      </c>
      <c r="N2064" s="28" t="s">
        <v>132</v>
      </c>
      <c r="O2064" s="29" t="n">
        <v>6</v>
      </c>
      <c r="P2064" s="30" t="n">
        <v>451.78</v>
      </c>
      <c r="Q2064" s="30" t="n">
        <v>280.42</v>
      </c>
      <c r="R2064" s="30" t="n">
        <f aca="false">ROUND(O2064*P2064,2)</f>
        <v>2710.68</v>
      </c>
      <c r="S2064" s="30" t="n">
        <f aca="false">ROUND(O2064*Q2064,2)</f>
        <v>1682.52</v>
      </c>
      <c r="T2064" s="30" t="n">
        <f aca="false">ROUND(R2064*SUMIFS(Parametros!$E$23:$E$38,Parametros!$B$23:$B$38,J2064,Parametros!$C$23:$C$38,C2064,Parametros!$D$23:$D$38,D2064),2)</f>
        <v>35.24</v>
      </c>
      <c r="U2064" s="30" t="n">
        <f aca="false">R2064-S2064-T2064</f>
        <v>992.92</v>
      </c>
    </row>
    <row r="2065" customFormat="false" ht="15" hidden="false" customHeight="false" outlineLevel="0" collapsed="false">
      <c r="A2065" s="0" t="n">
        <v>2064</v>
      </c>
      <c r="B2065" s="27" t="n">
        <v>45904</v>
      </c>
      <c r="C2065" s="0" t="n">
        <v>2025</v>
      </c>
      <c r="D2065" s="28" t="s">
        <v>115</v>
      </c>
      <c r="E2065" s="0" t="n">
        <v>9</v>
      </c>
      <c r="F2065" s="28" t="s">
        <v>120</v>
      </c>
      <c r="G2065" s="28" t="s">
        <v>151</v>
      </c>
      <c r="H2065" s="28" t="s">
        <v>100</v>
      </c>
      <c r="I2065" s="28" t="s">
        <v>101</v>
      </c>
      <c r="J2065" s="28" t="s">
        <v>71</v>
      </c>
      <c r="K2065" s="28" t="s">
        <v>67</v>
      </c>
      <c r="L2065" s="28" t="s">
        <v>130</v>
      </c>
      <c r="M2065" s="28" t="s">
        <v>72</v>
      </c>
      <c r="N2065" s="28" t="s">
        <v>132</v>
      </c>
      <c r="O2065" s="29" t="n">
        <v>4</v>
      </c>
      <c r="P2065" s="30" t="n">
        <v>451.78</v>
      </c>
      <c r="Q2065" s="30" t="n">
        <v>280.42</v>
      </c>
      <c r="R2065" s="30" t="n">
        <f aca="false">ROUND(O2065*P2065,2)</f>
        <v>1807.12</v>
      </c>
      <c r="S2065" s="30" t="n">
        <f aca="false">ROUND(O2065*Q2065,2)</f>
        <v>1121.68</v>
      </c>
      <c r="T2065" s="30" t="n">
        <f aca="false">ROUND(R2065*SUMIFS(Parametros!$E$23:$E$38,Parametros!$B$23:$B$38,J2065,Parametros!$C$23:$C$38,C2065,Parametros!$D$23:$D$38,D2065),2)</f>
        <v>101.2</v>
      </c>
      <c r="U2065" s="30" t="n">
        <f aca="false">R2065-S2065-T2065</f>
        <v>584.24</v>
      </c>
    </row>
    <row r="2066" customFormat="false" ht="15" hidden="false" customHeight="false" outlineLevel="0" collapsed="false">
      <c r="A2066" s="0" t="n">
        <v>2065</v>
      </c>
      <c r="B2066" s="27" t="n">
        <v>45911</v>
      </c>
      <c r="C2066" s="0" t="n">
        <v>2025</v>
      </c>
      <c r="D2066" s="28" t="s">
        <v>115</v>
      </c>
      <c r="E2066" s="0" t="n">
        <v>9</v>
      </c>
      <c r="F2066" s="28" t="s">
        <v>120</v>
      </c>
      <c r="G2066" s="28" t="s">
        <v>151</v>
      </c>
      <c r="H2066" s="28" t="s">
        <v>100</v>
      </c>
      <c r="I2066" s="28" t="s">
        <v>101</v>
      </c>
      <c r="J2066" s="28" t="s">
        <v>66</v>
      </c>
      <c r="K2066" s="28" t="s">
        <v>67</v>
      </c>
      <c r="L2066" s="28" t="s">
        <v>130</v>
      </c>
      <c r="M2066" s="28" t="s">
        <v>74</v>
      </c>
      <c r="N2066" s="28" t="s">
        <v>133</v>
      </c>
      <c r="O2066" s="29" t="n">
        <v>6</v>
      </c>
      <c r="P2066" s="30" t="n">
        <v>1656.52</v>
      </c>
      <c r="Q2066" s="30" t="n">
        <v>1155.66</v>
      </c>
      <c r="R2066" s="30" t="n">
        <f aca="false">ROUND(O2066*P2066,2)</f>
        <v>9939.12</v>
      </c>
      <c r="S2066" s="30" t="n">
        <f aca="false">ROUND(O2066*Q2066,2)</f>
        <v>6933.96</v>
      </c>
      <c r="T2066" s="30" t="n">
        <f aca="false">ROUND(R2066*SUMIFS(Parametros!$E$23:$E$38,Parametros!$B$23:$B$38,J2066,Parametros!$C$23:$C$38,C2066,Parametros!$D$23:$D$38,D2066),2)</f>
        <v>129.21</v>
      </c>
      <c r="U2066" s="30" t="n">
        <f aca="false">R2066-S2066-T2066</f>
        <v>2875.95</v>
      </c>
    </row>
    <row r="2067" customFormat="false" ht="15" hidden="false" customHeight="false" outlineLevel="0" collapsed="false">
      <c r="A2067" s="0" t="n">
        <v>2066</v>
      </c>
      <c r="B2067" s="27" t="n">
        <v>45918</v>
      </c>
      <c r="C2067" s="0" t="n">
        <v>2025</v>
      </c>
      <c r="D2067" s="28" t="s">
        <v>115</v>
      </c>
      <c r="E2067" s="0" t="n">
        <v>9</v>
      </c>
      <c r="F2067" s="28" t="s">
        <v>120</v>
      </c>
      <c r="G2067" s="28" t="s">
        <v>151</v>
      </c>
      <c r="H2067" s="28" t="s">
        <v>100</v>
      </c>
      <c r="I2067" s="28" t="s">
        <v>101</v>
      </c>
      <c r="J2067" s="28" t="s">
        <v>71</v>
      </c>
      <c r="K2067" s="28" t="s">
        <v>67</v>
      </c>
      <c r="L2067" s="28" t="s">
        <v>130</v>
      </c>
      <c r="M2067" s="28" t="s">
        <v>74</v>
      </c>
      <c r="N2067" s="28" t="s">
        <v>133</v>
      </c>
      <c r="O2067" s="29" t="n">
        <v>5</v>
      </c>
      <c r="P2067" s="30" t="n">
        <v>1656.52</v>
      </c>
      <c r="Q2067" s="30" t="n">
        <v>1155.66</v>
      </c>
      <c r="R2067" s="30" t="n">
        <f aca="false">ROUND(O2067*P2067,2)</f>
        <v>8282.6</v>
      </c>
      <c r="S2067" s="30" t="n">
        <f aca="false">ROUND(O2067*Q2067,2)</f>
        <v>5778.3</v>
      </c>
      <c r="T2067" s="30" t="n">
        <f aca="false">ROUND(R2067*SUMIFS(Parametros!$E$23:$E$38,Parametros!$B$23:$B$38,J2067,Parametros!$C$23:$C$38,C2067,Parametros!$D$23:$D$38,D2067),2)</f>
        <v>463.83</v>
      </c>
      <c r="U2067" s="30" t="n">
        <f aca="false">R2067-S2067-T2067</f>
        <v>2040.47</v>
      </c>
    </row>
    <row r="2068" customFormat="false" ht="15" hidden="false" customHeight="false" outlineLevel="0" collapsed="false">
      <c r="A2068" s="0" t="n">
        <v>2067</v>
      </c>
      <c r="B2068" s="27" t="n">
        <v>45925</v>
      </c>
      <c r="C2068" s="0" t="n">
        <v>2025</v>
      </c>
      <c r="D2068" s="28" t="s">
        <v>115</v>
      </c>
      <c r="E2068" s="0" t="n">
        <v>9</v>
      </c>
      <c r="F2068" s="28" t="s">
        <v>120</v>
      </c>
      <c r="G2068" s="28" t="s">
        <v>151</v>
      </c>
      <c r="H2068" s="28" t="s">
        <v>100</v>
      </c>
      <c r="I2068" s="28" t="s">
        <v>101</v>
      </c>
      <c r="J2068" s="28" t="s">
        <v>66</v>
      </c>
      <c r="K2068" s="28" t="s">
        <v>76</v>
      </c>
      <c r="L2068" s="28" t="s">
        <v>134</v>
      </c>
      <c r="M2068" s="28" t="s">
        <v>78</v>
      </c>
      <c r="N2068" s="28" t="s">
        <v>135</v>
      </c>
      <c r="O2068" s="29" t="n">
        <v>27</v>
      </c>
      <c r="P2068" s="30" t="n">
        <v>28.11</v>
      </c>
      <c r="Q2068" s="30" t="n">
        <v>13.84</v>
      </c>
      <c r="R2068" s="30" t="n">
        <f aca="false">ROUND(O2068*P2068,2)</f>
        <v>758.97</v>
      </c>
      <c r="S2068" s="30" t="n">
        <f aca="false">ROUND(O2068*Q2068,2)</f>
        <v>373.68</v>
      </c>
      <c r="T2068" s="30" t="n">
        <f aca="false">ROUND(R2068*SUMIFS(Parametros!$E$23:$E$38,Parametros!$B$23:$B$38,J2068,Parametros!$C$23:$C$38,C2068,Parametros!$D$23:$D$38,D2068),2)</f>
        <v>9.87</v>
      </c>
      <c r="U2068" s="30" t="n">
        <f aca="false">R2068-S2068-T2068</f>
        <v>375.42</v>
      </c>
    </row>
    <row r="2069" customFormat="false" ht="15" hidden="false" customHeight="false" outlineLevel="0" collapsed="false">
      <c r="A2069" s="0" t="n">
        <v>2068</v>
      </c>
      <c r="B2069" s="27" t="n">
        <v>45905</v>
      </c>
      <c r="C2069" s="0" t="n">
        <v>2025</v>
      </c>
      <c r="D2069" s="28" t="s">
        <v>115</v>
      </c>
      <c r="E2069" s="0" t="n">
        <v>9</v>
      </c>
      <c r="F2069" s="28" t="s">
        <v>120</v>
      </c>
      <c r="G2069" s="28" t="s">
        <v>151</v>
      </c>
      <c r="H2069" s="28" t="s">
        <v>100</v>
      </c>
      <c r="I2069" s="28" t="s">
        <v>101</v>
      </c>
      <c r="J2069" s="28" t="s">
        <v>71</v>
      </c>
      <c r="K2069" s="28" t="s">
        <v>76</v>
      </c>
      <c r="L2069" s="28" t="s">
        <v>134</v>
      </c>
      <c r="M2069" s="28" t="s">
        <v>78</v>
      </c>
      <c r="N2069" s="28" t="s">
        <v>135</v>
      </c>
      <c r="O2069" s="29" t="n">
        <v>23</v>
      </c>
      <c r="P2069" s="30" t="n">
        <v>28.11</v>
      </c>
      <c r="Q2069" s="30" t="n">
        <v>13.84</v>
      </c>
      <c r="R2069" s="30" t="n">
        <f aca="false">ROUND(O2069*P2069,2)</f>
        <v>646.53</v>
      </c>
      <c r="S2069" s="30" t="n">
        <f aca="false">ROUND(O2069*Q2069,2)</f>
        <v>318.32</v>
      </c>
      <c r="T2069" s="30" t="n">
        <f aca="false">ROUND(R2069*SUMIFS(Parametros!$E$23:$E$38,Parametros!$B$23:$B$38,J2069,Parametros!$C$23:$C$38,C2069,Parametros!$D$23:$D$38,D2069),2)</f>
        <v>36.21</v>
      </c>
      <c r="U2069" s="30" t="n">
        <f aca="false">R2069-S2069-T2069</f>
        <v>292</v>
      </c>
    </row>
    <row r="2070" customFormat="false" ht="15" hidden="false" customHeight="false" outlineLevel="0" collapsed="false">
      <c r="A2070" s="0" t="n">
        <v>2069</v>
      </c>
      <c r="B2070" s="27" t="n">
        <v>45912</v>
      </c>
      <c r="C2070" s="0" t="n">
        <v>2025</v>
      </c>
      <c r="D2070" s="28" t="s">
        <v>115</v>
      </c>
      <c r="E2070" s="0" t="n">
        <v>9</v>
      </c>
      <c r="F2070" s="28" t="s">
        <v>120</v>
      </c>
      <c r="G2070" s="28" t="s">
        <v>151</v>
      </c>
      <c r="H2070" s="28" t="s">
        <v>100</v>
      </c>
      <c r="I2070" s="28" t="s">
        <v>101</v>
      </c>
      <c r="J2070" s="28" t="s">
        <v>66</v>
      </c>
      <c r="K2070" s="28" t="s">
        <v>76</v>
      </c>
      <c r="L2070" s="28" t="s">
        <v>134</v>
      </c>
      <c r="M2070" s="28" t="s">
        <v>80</v>
      </c>
      <c r="N2070" s="28" t="s">
        <v>136</v>
      </c>
      <c r="O2070" s="29" t="n">
        <v>26</v>
      </c>
      <c r="P2070" s="30" t="n">
        <v>95.38</v>
      </c>
      <c r="Q2070" s="30" t="n">
        <v>49.41</v>
      </c>
      <c r="R2070" s="30" t="n">
        <f aca="false">ROUND(O2070*P2070,2)</f>
        <v>2479.88</v>
      </c>
      <c r="S2070" s="30" t="n">
        <f aca="false">ROUND(O2070*Q2070,2)</f>
        <v>1284.66</v>
      </c>
      <c r="T2070" s="30" t="n">
        <f aca="false">ROUND(R2070*SUMIFS(Parametros!$E$23:$E$38,Parametros!$B$23:$B$38,J2070,Parametros!$C$23:$C$38,C2070,Parametros!$D$23:$D$38,D2070),2)</f>
        <v>32.24</v>
      </c>
      <c r="U2070" s="30" t="n">
        <f aca="false">R2070-S2070-T2070</f>
        <v>1162.98</v>
      </c>
    </row>
    <row r="2071" customFormat="false" ht="15" hidden="false" customHeight="false" outlineLevel="0" collapsed="false">
      <c r="A2071" s="0" t="n">
        <v>2070</v>
      </c>
      <c r="B2071" s="27" t="n">
        <v>45919</v>
      </c>
      <c r="C2071" s="0" t="n">
        <v>2025</v>
      </c>
      <c r="D2071" s="28" t="s">
        <v>115</v>
      </c>
      <c r="E2071" s="0" t="n">
        <v>9</v>
      </c>
      <c r="F2071" s="28" t="s">
        <v>120</v>
      </c>
      <c r="G2071" s="28" t="s">
        <v>151</v>
      </c>
      <c r="H2071" s="28" t="s">
        <v>100</v>
      </c>
      <c r="I2071" s="28" t="s">
        <v>101</v>
      </c>
      <c r="J2071" s="28" t="s">
        <v>71</v>
      </c>
      <c r="K2071" s="28" t="s">
        <v>76</v>
      </c>
      <c r="L2071" s="28" t="s">
        <v>134</v>
      </c>
      <c r="M2071" s="28" t="s">
        <v>80</v>
      </c>
      <c r="N2071" s="28" t="s">
        <v>136</v>
      </c>
      <c r="O2071" s="29" t="n">
        <v>21</v>
      </c>
      <c r="P2071" s="30" t="n">
        <v>95.38</v>
      </c>
      <c r="Q2071" s="30" t="n">
        <v>49.41</v>
      </c>
      <c r="R2071" s="30" t="n">
        <f aca="false">ROUND(O2071*P2071,2)</f>
        <v>2002.98</v>
      </c>
      <c r="S2071" s="30" t="n">
        <f aca="false">ROUND(O2071*Q2071,2)</f>
        <v>1037.61</v>
      </c>
      <c r="T2071" s="30" t="n">
        <f aca="false">ROUND(R2071*SUMIFS(Parametros!$E$23:$E$38,Parametros!$B$23:$B$38,J2071,Parametros!$C$23:$C$38,C2071,Parametros!$D$23:$D$38,D2071),2)</f>
        <v>112.17</v>
      </c>
      <c r="U2071" s="30" t="n">
        <f aca="false">R2071-S2071-T2071</f>
        <v>853.2</v>
      </c>
    </row>
    <row r="2072" customFormat="false" ht="15" hidden="false" customHeight="false" outlineLevel="0" collapsed="false">
      <c r="A2072" s="0" t="n">
        <v>2071</v>
      </c>
      <c r="B2072" s="27" t="n">
        <v>45926</v>
      </c>
      <c r="C2072" s="0" t="n">
        <v>2025</v>
      </c>
      <c r="D2072" s="28" t="s">
        <v>115</v>
      </c>
      <c r="E2072" s="0" t="n">
        <v>9</v>
      </c>
      <c r="F2072" s="28" t="s">
        <v>120</v>
      </c>
      <c r="G2072" s="28" t="s">
        <v>151</v>
      </c>
      <c r="H2072" s="28" t="s">
        <v>100</v>
      </c>
      <c r="I2072" s="28" t="s">
        <v>101</v>
      </c>
      <c r="J2072" s="28" t="s">
        <v>66</v>
      </c>
      <c r="K2072" s="28" t="s">
        <v>76</v>
      </c>
      <c r="L2072" s="28" t="s">
        <v>134</v>
      </c>
      <c r="M2072" s="28" t="s">
        <v>82</v>
      </c>
      <c r="N2072" s="28" t="s">
        <v>137</v>
      </c>
      <c r="O2072" s="29" t="n">
        <v>30</v>
      </c>
      <c r="P2072" s="30" t="n">
        <v>65.26</v>
      </c>
      <c r="Q2072" s="30" t="n">
        <v>36.49</v>
      </c>
      <c r="R2072" s="30" t="n">
        <f aca="false">ROUND(O2072*P2072,2)</f>
        <v>1957.8</v>
      </c>
      <c r="S2072" s="30" t="n">
        <f aca="false">ROUND(O2072*Q2072,2)</f>
        <v>1094.7</v>
      </c>
      <c r="T2072" s="30" t="n">
        <f aca="false">ROUND(R2072*SUMIFS(Parametros!$E$23:$E$38,Parametros!$B$23:$B$38,J2072,Parametros!$C$23:$C$38,C2072,Parametros!$D$23:$D$38,D2072),2)</f>
        <v>25.45</v>
      </c>
      <c r="U2072" s="30" t="n">
        <f aca="false">R2072-S2072-T2072</f>
        <v>837.65</v>
      </c>
    </row>
    <row r="2073" customFormat="false" ht="15" hidden="false" customHeight="false" outlineLevel="0" collapsed="false">
      <c r="A2073" s="0" t="n">
        <v>2072</v>
      </c>
      <c r="B2073" s="27" t="n">
        <v>45906</v>
      </c>
      <c r="C2073" s="0" t="n">
        <v>2025</v>
      </c>
      <c r="D2073" s="28" t="s">
        <v>115</v>
      </c>
      <c r="E2073" s="0" t="n">
        <v>9</v>
      </c>
      <c r="F2073" s="28" t="s">
        <v>120</v>
      </c>
      <c r="G2073" s="28" t="s">
        <v>151</v>
      </c>
      <c r="H2073" s="28" t="s">
        <v>100</v>
      </c>
      <c r="I2073" s="28" t="s">
        <v>101</v>
      </c>
      <c r="J2073" s="28" t="s">
        <v>71</v>
      </c>
      <c r="K2073" s="28" t="s">
        <v>76</v>
      </c>
      <c r="L2073" s="28" t="s">
        <v>134</v>
      </c>
      <c r="M2073" s="28" t="s">
        <v>82</v>
      </c>
      <c r="N2073" s="28" t="s">
        <v>137</v>
      </c>
      <c r="O2073" s="29" t="n">
        <v>18</v>
      </c>
      <c r="P2073" s="30" t="n">
        <v>65.26</v>
      </c>
      <c r="Q2073" s="30" t="n">
        <v>36.49</v>
      </c>
      <c r="R2073" s="30" t="n">
        <f aca="false">ROUND(O2073*P2073,2)</f>
        <v>1174.68</v>
      </c>
      <c r="S2073" s="30" t="n">
        <f aca="false">ROUND(O2073*Q2073,2)</f>
        <v>656.82</v>
      </c>
      <c r="T2073" s="30" t="n">
        <f aca="false">ROUND(R2073*SUMIFS(Parametros!$E$23:$E$38,Parametros!$B$23:$B$38,J2073,Parametros!$C$23:$C$38,C2073,Parametros!$D$23:$D$38,D2073),2)</f>
        <v>65.78</v>
      </c>
      <c r="U2073" s="30" t="n">
        <f aca="false">R2073-S2073-T2073</f>
        <v>452.08</v>
      </c>
    </row>
    <row r="2074" customFormat="false" ht="15" hidden="false" customHeight="false" outlineLevel="0" collapsed="false">
      <c r="A2074" s="0" t="n">
        <v>2073</v>
      </c>
      <c r="B2074" s="27" t="n">
        <v>45913</v>
      </c>
      <c r="C2074" s="0" t="n">
        <v>2025</v>
      </c>
      <c r="D2074" s="28" t="s">
        <v>115</v>
      </c>
      <c r="E2074" s="0" t="n">
        <v>9</v>
      </c>
      <c r="F2074" s="28" t="s">
        <v>120</v>
      </c>
      <c r="G2074" s="28" t="s">
        <v>151</v>
      </c>
      <c r="H2074" s="28" t="s">
        <v>100</v>
      </c>
      <c r="I2074" s="28" t="s">
        <v>101</v>
      </c>
      <c r="J2074" s="28" t="s">
        <v>66</v>
      </c>
      <c r="K2074" s="28" t="s">
        <v>84</v>
      </c>
      <c r="L2074" s="28" t="s">
        <v>138</v>
      </c>
      <c r="M2074" s="28" t="s">
        <v>86</v>
      </c>
      <c r="N2074" s="28" t="s">
        <v>139</v>
      </c>
      <c r="O2074" s="29" t="n">
        <v>15</v>
      </c>
      <c r="P2074" s="30" t="n">
        <v>120.47</v>
      </c>
      <c r="Q2074" s="30" t="n">
        <v>65.51</v>
      </c>
      <c r="R2074" s="30" t="n">
        <f aca="false">ROUND(O2074*P2074,2)</f>
        <v>1807.05</v>
      </c>
      <c r="S2074" s="30" t="n">
        <f aca="false">ROUND(O2074*Q2074,2)</f>
        <v>982.65</v>
      </c>
      <c r="T2074" s="30" t="n">
        <f aca="false">ROUND(R2074*SUMIFS(Parametros!$E$23:$E$38,Parametros!$B$23:$B$38,J2074,Parametros!$C$23:$C$38,C2074,Parametros!$D$23:$D$38,D2074),2)</f>
        <v>23.49</v>
      </c>
      <c r="U2074" s="30" t="n">
        <f aca="false">R2074-S2074-T2074</f>
        <v>800.91</v>
      </c>
    </row>
    <row r="2075" customFormat="false" ht="15" hidden="false" customHeight="false" outlineLevel="0" collapsed="false">
      <c r="A2075" s="0" t="n">
        <v>2074</v>
      </c>
      <c r="B2075" s="27" t="n">
        <v>45920</v>
      </c>
      <c r="C2075" s="0" t="n">
        <v>2025</v>
      </c>
      <c r="D2075" s="28" t="s">
        <v>115</v>
      </c>
      <c r="E2075" s="0" t="n">
        <v>9</v>
      </c>
      <c r="F2075" s="28" t="s">
        <v>120</v>
      </c>
      <c r="G2075" s="28" t="s">
        <v>151</v>
      </c>
      <c r="H2075" s="28" t="s">
        <v>100</v>
      </c>
      <c r="I2075" s="28" t="s">
        <v>101</v>
      </c>
      <c r="J2075" s="28" t="s">
        <v>71</v>
      </c>
      <c r="K2075" s="28" t="s">
        <v>84</v>
      </c>
      <c r="L2075" s="28" t="s">
        <v>138</v>
      </c>
      <c r="M2075" s="28" t="s">
        <v>86</v>
      </c>
      <c r="N2075" s="28" t="s">
        <v>139</v>
      </c>
      <c r="O2075" s="29" t="n">
        <v>10</v>
      </c>
      <c r="P2075" s="30" t="n">
        <v>120.47</v>
      </c>
      <c r="Q2075" s="30" t="n">
        <v>65.51</v>
      </c>
      <c r="R2075" s="30" t="n">
        <f aca="false">ROUND(O2075*P2075,2)</f>
        <v>1204.7</v>
      </c>
      <c r="S2075" s="30" t="n">
        <f aca="false">ROUND(O2075*Q2075,2)</f>
        <v>655.1</v>
      </c>
      <c r="T2075" s="30" t="n">
        <f aca="false">ROUND(R2075*SUMIFS(Parametros!$E$23:$E$38,Parametros!$B$23:$B$38,J2075,Parametros!$C$23:$C$38,C2075,Parametros!$D$23:$D$38,D2075),2)</f>
        <v>67.46</v>
      </c>
      <c r="U2075" s="30" t="n">
        <f aca="false">R2075-S2075-T2075</f>
        <v>482.14</v>
      </c>
    </row>
    <row r="2076" customFormat="false" ht="15" hidden="false" customHeight="false" outlineLevel="0" collapsed="false">
      <c r="A2076" s="0" t="n">
        <v>2075</v>
      </c>
      <c r="B2076" s="27" t="n">
        <v>45927</v>
      </c>
      <c r="C2076" s="0" t="n">
        <v>2025</v>
      </c>
      <c r="D2076" s="28" t="s">
        <v>115</v>
      </c>
      <c r="E2076" s="0" t="n">
        <v>9</v>
      </c>
      <c r="F2076" s="28" t="s">
        <v>120</v>
      </c>
      <c r="G2076" s="28" t="s">
        <v>151</v>
      </c>
      <c r="H2076" s="28" t="s">
        <v>100</v>
      </c>
      <c r="I2076" s="28" t="s">
        <v>101</v>
      </c>
      <c r="J2076" s="28" t="s">
        <v>66</v>
      </c>
      <c r="K2076" s="28" t="s">
        <v>84</v>
      </c>
      <c r="L2076" s="28" t="s">
        <v>138</v>
      </c>
      <c r="M2076" s="28" t="s">
        <v>88</v>
      </c>
      <c r="N2076" s="28" t="s">
        <v>140</v>
      </c>
      <c r="O2076" s="29" t="n">
        <v>13</v>
      </c>
      <c r="P2076" s="30" t="n">
        <v>85.34</v>
      </c>
      <c r="Q2076" s="30" t="n">
        <v>49.47</v>
      </c>
      <c r="R2076" s="30" t="n">
        <f aca="false">ROUND(O2076*P2076,2)</f>
        <v>1109.42</v>
      </c>
      <c r="S2076" s="30" t="n">
        <f aca="false">ROUND(O2076*Q2076,2)</f>
        <v>643.11</v>
      </c>
      <c r="T2076" s="30" t="n">
        <f aca="false">ROUND(R2076*SUMIFS(Parametros!$E$23:$E$38,Parametros!$B$23:$B$38,J2076,Parametros!$C$23:$C$38,C2076,Parametros!$D$23:$D$38,D2076),2)</f>
        <v>14.42</v>
      </c>
      <c r="U2076" s="30" t="n">
        <f aca="false">R2076-S2076-T2076</f>
        <v>451.89</v>
      </c>
    </row>
    <row r="2077" customFormat="false" ht="15" hidden="false" customHeight="false" outlineLevel="0" collapsed="false">
      <c r="A2077" s="0" t="n">
        <v>2076</v>
      </c>
      <c r="B2077" s="27" t="n">
        <v>45907</v>
      </c>
      <c r="C2077" s="0" t="n">
        <v>2025</v>
      </c>
      <c r="D2077" s="28" t="s">
        <v>115</v>
      </c>
      <c r="E2077" s="0" t="n">
        <v>9</v>
      </c>
      <c r="F2077" s="28" t="s">
        <v>120</v>
      </c>
      <c r="G2077" s="28" t="s">
        <v>151</v>
      </c>
      <c r="H2077" s="28" t="s">
        <v>100</v>
      </c>
      <c r="I2077" s="28" t="s">
        <v>101</v>
      </c>
      <c r="J2077" s="28" t="s">
        <v>71</v>
      </c>
      <c r="K2077" s="28" t="s">
        <v>84</v>
      </c>
      <c r="L2077" s="28" t="s">
        <v>138</v>
      </c>
      <c r="M2077" s="28" t="s">
        <v>88</v>
      </c>
      <c r="N2077" s="28" t="s">
        <v>140</v>
      </c>
      <c r="O2077" s="29" t="n">
        <v>10</v>
      </c>
      <c r="P2077" s="30" t="n">
        <v>85.34</v>
      </c>
      <c r="Q2077" s="30" t="n">
        <v>49.47</v>
      </c>
      <c r="R2077" s="30" t="n">
        <f aca="false">ROUND(O2077*P2077,2)</f>
        <v>853.4</v>
      </c>
      <c r="S2077" s="30" t="n">
        <f aca="false">ROUND(O2077*Q2077,2)</f>
        <v>494.7</v>
      </c>
      <c r="T2077" s="30" t="n">
        <f aca="false">ROUND(R2077*SUMIFS(Parametros!$E$23:$E$38,Parametros!$B$23:$B$38,J2077,Parametros!$C$23:$C$38,C2077,Parametros!$D$23:$D$38,D2077),2)</f>
        <v>47.79</v>
      </c>
      <c r="U2077" s="30" t="n">
        <f aca="false">R2077-S2077-T2077</f>
        <v>310.91</v>
      </c>
    </row>
    <row r="2078" customFormat="false" ht="15" hidden="false" customHeight="false" outlineLevel="0" collapsed="false">
      <c r="A2078" s="0" t="n">
        <v>2077</v>
      </c>
      <c r="B2078" s="27" t="n">
        <v>45914</v>
      </c>
      <c r="C2078" s="0" t="n">
        <v>2025</v>
      </c>
      <c r="D2078" s="28" t="s">
        <v>115</v>
      </c>
      <c r="E2078" s="0" t="n">
        <v>9</v>
      </c>
      <c r="F2078" s="28" t="s">
        <v>120</v>
      </c>
      <c r="G2078" s="28" t="s">
        <v>151</v>
      </c>
      <c r="H2078" s="28" t="s">
        <v>100</v>
      </c>
      <c r="I2078" s="28" t="s">
        <v>101</v>
      </c>
      <c r="J2078" s="28" t="s">
        <v>66</v>
      </c>
      <c r="K2078" s="28" t="s">
        <v>90</v>
      </c>
      <c r="L2078" s="28" t="s">
        <v>141</v>
      </c>
      <c r="M2078" s="28" t="s">
        <v>92</v>
      </c>
      <c r="N2078" s="28" t="s">
        <v>142</v>
      </c>
      <c r="O2078" s="29" t="n">
        <v>16</v>
      </c>
      <c r="P2078" s="30" t="n">
        <v>130.51</v>
      </c>
      <c r="Q2078" s="30" t="n">
        <v>78.33</v>
      </c>
      <c r="R2078" s="30" t="n">
        <f aca="false">ROUND(O2078*P2078,2)</f>
        <v>2088.16</v>
      </c>
      <c r="S2078" s="30" t="n">
        <f aca="false">ROUND(O2078*Q2078,2)</f>
        <v>1253.28</v>
      </c>
      <c r="T2078" s="30" t="n">
        <f aca="false">ROUND(R2078*SUMIFS(Parametros!$E$23:$E$38,Parametros!$B$23:$B$38,J2078,Parametros!$C$23:$C$38,C2078,Parametros!$D$23:$D$38,D2078),2)</f>
        <v>27.15</v>
      </c>
      <c r="U2078" s="30" t="n">
        <f aca="false">R2078-S2078-T2078</f>
        <v>807.73</v>
      </c>
    </row>
    <row r="2079" customFormat="false" ht="15" hidden="false" customHeight="false" outlineLevel="0" collapsed="false">
      <c r="A2079" s="0" t="n">
        <v>2078</v>
      </c>
      <c r="B2079" s="27" t="n">
        <v>45921</v>
      </c>
      <c r="C2079" s="0" t="n">
        <v>2025</v>
      </c>
      <c r="D2079" s="28" t="s">
        <v>115</v>
      </c>
      <c r="E2079" s="0" t="n">
        <v>9</v>
      </c>
      <c r="F2079" s="28" t="s">
        <v>120</v>
      </c>
      <c r="G2079" s="28" t="s">
        <v>151</v>
      </c>
      <c r="H2079" s="28" t="s">
        <v>100</v>
      </c>
      <c r="I2079" s="28" t="s">
        <v>101</v>
      </c>
      <c r="J2079" s="28" t="s">
        <v>71</v>
      </c>
      <c r="K2079" s="28" t="s">
        <v>90</v>
      </c>
      <c r="L2079" s="28" t="s">
        <v>141</v>
      </c>
      <c r="M2079" s="28" t="s">
        <v>92</v>
      </c>
      <c r="N2079" s="28" t="s">
        <v>142</v>
      </c>
      <c r="O2079" s="29" t="n">
        <v>12</v>
      </c>
      <c r="P2079" s="30" t="n">
        <v>130.51</v>
      </c>
      <c r="Q2079" s="30" t="n">
        <v>78.33</v>
      </c>
      <c r="R2079" s="30" t="n">
        <f aca="false">ROUND(O2079*P2079,2)</f>
        <v>1566.12</v>
      </c>
      <c r="S2079" s="30" t="n">
        <f aca="false">ROUND(O2079*Q2079,2)</f>
        <v>939.96</v>
      </c>
      <c r="T2079" s="30" t="n">
        <f aca="false">ROUND(R2079*SUMIFS(Parametros!$E$23:$E$38,Parametros!$B$23:$B$38,J2079,Parametros!$C$23:$C$38,C2079,Parametros!$D$23:$D$38,D2079),2)</f>
        <v>87.7</v>
      </c>
      <c r="U2079" s="30" t="n">
        <f aca="false">R2079-S2079-T2079</f>
        <v>538.46</v>
      </c>
    </row>
    <row r="2080" customFormat="false" ht="15" hidden="false" customHeight="false" outlineLevel="0" collapsed="false">
      <c r="A2080" s="0" t="n">
        <v>2079</v>
      </c>
      <c r="B2080" s="27" t="n">
        <v>45901</v>
      </c>
      <c r="C2080" s="0" t="n">
        <v>2025</v>
      </c>
      <c r="D2080" s="28" t="s">
        <v>115</v>
      </c>
      <c r="E2080" s="0" t="n">
        <v>9</v>
      </c>
      <c r="F2080" s="28" t="s">
        <v>120</v>
      </c>
      <c r="G2080" s="28" t="s">
        <v>151</v>
      </c>
      <c r="H2080" s="28" t="s">
        <v>100</v>
      </c>
      <c r="I2080" s="28" t="s">
        <v>101</v>
      </c>
      <c r="J2080" s="28" t="s">
        <v>66</v>
      </c>
      <c r="K2080" s="28" t="s">
        <v>90</v>
      </c>
      <c r="L2080" s="28" t="s">
        <v>141</v>
      </c>
      <c r="M2080" s="28" t="s">
        <v>94</v>
      </c>
      <c r="N2080" s="28" t="s">
        <v>143</v>
      </c>
      <c r="O2080" s="29" t="n">
        <v>17</v>
      </c>
      <c r="P2080" s="30" t="n">
        <v>35.14</v>
      </c>
      <c r="Q2080" s="30" t="n">
        <v>18.39</v>
      </c>
      <c r="R2080" s="30" t="n">
        <f aca="false">ROUND(O2080*P2080,2)</f>
        <v>597.38</v>
      </c>
      <c r="S2080" s="30" t="n">
        <f aca="false">ROUND(O2080*Q2080,2)</f>
        <v>312.63</v>
      </c>
      <c r="T2080" s="30" t="n">
        <f aca="false">ROUND(R2080*SUMIFS(Parametros!$E$23:$E$38,Parametros!$B$23:$B$38,J2080,Parametros!$C$23:$C$38,C2080,Parametros!$D$23:$D$38,D2080),2)</f>
        <v>7.77</v>
      </c>
      <c r="U2080" s="30" t="n">
        <f aca="false">R2080-S2080-T2080</f>
        <v>276.98</v>
      </c>
    </row>
    <row r="2081" customFormat="false" ht="15" hidden="false" customHeight="false" outlineLevel="0" collapsed="false">
      <c r="A2081" s="0" t="n">
        <v>2080</v>
      </c>
      <c r="B2081" s="27" t="n">
        <v>45908</v>
      </c>
      <c r="C2081" s="0" t="n">
        <v>2025</v>
      </c>
      <c r="D2081" s="28" t="s">
        <v>115</v>
      </c>
      <c r="E2081" s="0" t="n">
        <v>9</v>
      </c>
      <c r="F2081" s="28" t="s">
        <v>120</v>
      </c>
      <c r="G2081" s="28" t="s">
        <v>151</v>
      </c>
      <c r="H2081" s="28" t="s">
        <v>100</v>
      </c>
      <c r="I2081" s="28" t="s">
        <v>101</v>
      </c>
      <c r="J2081" s="28" t="s">
        <v>71</v>
      </c>
      <c r="K2081" s="28" t="s">
        <v>90</v>
      </c>
      <c r="L2081" s="28" t="s">
        <v>141</v>
      </c>
      <c r="M2081" s="28" t="s">
        <v>94</v>
      </c>
      <c r="N2081" s="28" t="s">
        <v>143</v>
      </c>
      <c r="O2081" s="29" t="n">
        <v>14</v>
      </c>
      <c r="P2081" s="30" t="n">
        <v>35.14</v>
      </c>
      <c r="Q2081" s="30" t="n">
        <v>18.39</v>
      </c>
      <c r="R2081" s="30" t="n">
        <f aca="false">ROUND(O2081*P2081,2)</f>
        <v>491.96</v>
      </c>
      <c r="S2081" s="30" t="n">
        <f aca="false">ROUND(O2081*Q2081,2)</f>
        <v>257.46</v>
      </c>
      <c r="T2081" s="30" t="n">
        <f aca="false">ROUND(R2081*SUMIFS(Parametros!$E$23:$E$38,Parametros!$B$23:$B$38,J2081,Parametros!$C$23:$C$38,C2081,Parametros!$D$23:$D$38,D2081),2)</f>
        <v>27.55</v>
      </c>
      <c r="U2081" s="30" t="n">
        <f aca="false">R2081-S2081-T2081</f>
        <v>206.95</v>
      </c>
    </row>
    <row r="2082" customFormat="false" ht="15" hidden="false" customHeight="false" outlineLevel="0" collapsed="false">
      <c r="A2082" s="0" t="n">
        <v>2081</v>
      </c>
      <c r="B2082" s="27" t="n">
        <v>45915</v>
      </c>
      <c r="C2082" s="0" t="n">
        <v>2025</v>
      </c>
      <c r="D2082" s="28" t="s">
        <v>115</v>
      </c>
      <c r="E2082" s="0" t="n">
        <v>9</v>
      </c>
      <c r="F2082" s="28" t="s">
        <v>120</v>
      </c>
      <c r="G2082" s="28" t="s">
        <v>151</v>
      </c>
      <c r="H2082" s="28" t="s">
        <v>102</v>
      </c>
      <c r="I2082" s="28" t="s">
        <v>103</v>
      </c>
      <c r="J2082" s="28" t="s">
        <v>66</v>
      </c>
      <c r="K2082" s="28" t="s">
        <v>67</v>
      </c>
      <c r="L2082" s="28" t="s">
        <v>130</v>
      </c>
      <c r="M2082" s="28" t="s">
        <v>69</v>
      </c>
      <c r="N2082" s="28" t="s">
        <v>131</v>
      </c>
      <c r="O2082" s="29" t="n">
        <v>5</v>
      </c>
      <c r="P2082" s="30" t="n">
        <v>1204.74</v>
      </c>
      <c r="Q2082" s="30" t="n">
        <v>766.32</v>
      </c>
      <c r="R2082" s="30" t="n">
        <f aca="false">ROUND(O2082*P2082,2)</f>
        <v>6023.7</v>
      </c>
      <c r="S2082" s="30" t="n">
        <f aca="false">ROUND(O2082*Q2082,2)</f>
        <v>3831.6</v>
      </c>
      <c r="T2082" s="30" t="n">
        <f aca="false">ROUND(R2082*SUMIFS(Parametros!$E$23:$E$38,Parametros!$B$23:$B$38,J2082,Parametros!$C$23:$C$38,C2082,Parametros!$D$23:$D$38,D2082),2)</f>
        <v>78.31</v>
      </c>
      <c r="U2082" s="30" t="n">
        <f aca="false">R2082-S2082-T2082</f>
        <v>2113.79</v>
      </c>
    </row>
    <row r="2083" customFormat="false" ht="15" hidden="false" customHeight="false" outlineLevel="0" collapsed="false">
      <c r="A2083" s="0" t="n">
        <v>2082</v>
      </c>
      <c r="B2083" s="27" t="n">
        <v>45922</v>
      </c>
      <c r="C2083" s="0" t="n">
        <v>2025</v>
      </c>
      <c r="D2083" s="28" t="s">
        <v>115</v>
      </c>
      <c r="E2083" s="0" t="n">
        <v>9</v>
      </c>
      <c r="F2083" s="28" t="s">
        <v>120</v>
      </c>
      <c r="G2083" s="28" t="s">
        <v>151</v>
      </c>
      <c r="H2083" s="28" t="s">
        <v>102</v>
      </c>
      <c r="I2083" s="28" t="s">
        <v>103</v>
      </c>
      <c r="J2083" s="28" t="s">
        <v>71</v>
      </c>
      <c r="K2083" s="28" t="s">
        <v>67</v>
      </c>
      <c r="L2083" s="28" t="s">
        <v>130</v>
      </c>
      <c r="M2083" s="28" t="s">
        <v>69</v>
      </c>
      <c r="N2083" s="28" t="s">
        <v>131</v>
      </c>
      <c r="O2083" s="29" t="n">
        <v>4</v>
      </c>
      <c r="P2083" s="30" t="n">
        <v>1204.74</v>
      </c>
      <c r="Q2083" s="30" t="n">
        <v>766.32</v>
      </c>
      <c r="R2083" s="30" t="n">
        <f aca="false">ROUND(O2083*P2083,2)</f>
        <v>4818.96</v>
      </c>
      <c r="S2083" s="30" t="n">
        <f aca="false">ROUND(O2083*Q2083,2)</f>
        <v>3065.28</v>
      </c>
      <c r="T2083" s="30" t="n">
        <f aca="false">ROUND(R2083*SUMIFS(Parametros!$E$23:$E$38,Parametros!$B$23:$B$38,J2083,Parametros!$C$23:$C$38,C2083,Parametros!$D$23:$D$38,D2083),2)</f>
        <v>269.86</v>
      </c>
      <c r="U2083" s="30" t="n">
        <f aca="false">R2083-S2083-T2083</f>
        <v>1483.82</v>
      </c>
    </row>
    <row r="2084" customFormat="false" ht="15" hidden="false" customHeight="false" outlineLevel="0" collapsed="false">
      <c r="A2084" s="0" t="n">
        <v>2083</v>
      </c>
      <c r="B2084" s="27" t="n">
        <v>45902</v>
      </c>
      <c r="C2084" s="0" t="n">
        <v>2025</v>
      </c>
      <c r="D2084" s="28" t="s">
        <v>115</v>
      </c>
      <c r="E2084" s="0" t="n">
        <v>9</v>
      </c>
      <c r="F2084" s="28" t="s">
        <v>120</v>
      </c>
      <c r="G2084" s="28" t="s">
        <v>151</v>
      </c>
      <c r="H2084" s="28" t="s">
        <v>102</v>
      </c>
      <c r="I2084" s="28" t="s">
        <v>103</v>
      </c>
      <c r="J2084" s="28" t="s">
        <v>66</v>
      </c>
      <c r="K2084" s="28" t="s">
        <v>67</v>
      </c>
      <c r="L2084" s="28" t="s">
        <v>130</v>
      </c>
      <c r="M2084" s="28" t="s">
        <v>72</v>
      </c>
      <c r="N2084" s="28" t="s">
        <v>132</v>
      </c>
      <c r="O2084" s="29" t="n">
        <v>6</v>
      </c>
      <c r="P2084" s="30" t="n">
        <v>451.78</v>
      </c>
      <c r="Q2084" s="30" t="n">
        <v>280.42</v>
      </c>
      <c r="R2084" s="30" t="n">
        <f aca="false">ROUND(O2084*P2084,2)</f>
        <v>2710.68</v>
      </c>
      <c r="S2084" s="30" t="n">
        <f aca="false">ROUND(O2084*Q2084,2)</f>
        <v>1682.52</v>
      </c>
      <c r="T2084" s="30" t="n">
        <f aca="false">ROUND(R2084*SUMIFS(Parametros!$E$23:$E$38,Parametros!$B$23:$B$38,J2084,Parametros!$C$23:$C$38,C2084,Parametros!$D$23:$D$38,D2084),2)</f>
        <v>35.24</v>
      </c>
      <c r="U2084" s="30" t="n">
        <f aca="false">R2084-S2084-T2084</f>
        <v>992.92</v>
      </c>
    </row>
    <row r="2085" customFormat="false" ht="15" hidden="false" customHeight="false" outlineLevel="0" collapsed="false">
      <c r="A2085" s="0" t="n">
        <v>2084</v>
      </c>
      <c r="B2085" s="27" t="n">
        <v>45909</v>
      </c>
      <c r="C2085" s="0" t="n">
        <v>2025</v>
      </c>
      <c r="D2085" s="28" t="s">
        <v>115</v>
      </c>
      <c r="E2085" s="0" t="n">
        <v>9</v>
      </c>
      <c r="F2085" s="28" t="s">
        <v>120</v>
      </c>
      <c r="G2085" s="28" t="s">
        <v>151</v>
      </c>
      <c r="H2085" s="28" t="s">
        <v>102</v>
      </c>
      <c r="I2085" s="28" t="s">
        <v>103</v>
      </c>
      <c r="J2085" s="28" t="s">
        <v>71</v>
      </c>
      <c r="K2085" s="28" t="s">
        <v>67</v>
      </c>
      <c r="L2085" s="28" t="s">
        <v>130</v>
      </c>
      <c r="M2085" s="28" t="s">
        <v>72</v>
      </c>
      <c r="N2085" s="28" t="s">
        <v>132</v>
      </c>
      <c r="O2085" s="29" t="n">
        <v>4</v>
      </c>
      <c r="P2085" s="30" t="n">
        <v>451.78</v>
      </c>
      <c r="Q2085" s="30" t="n">
        <v>280.42</v>
      </c>
      <c r="R2085" s="30" t="n">
        <f aca="false">ROUND(O2085*P2085,2)</f>
        <v>1807.12</v>
      </c>
      <c r="S2085" s="30" t="n">
        <f aca="false">ROUND(O2085*Q2085,2)</f>
        <v>1121.68</v>
      </c>
      <c r="T2085" s="30" t="n">
        <f aca="false">ROUND(R2085*SUMIFS(Parametros!$E$23:$E$38,Parametros!$B$23:$B$38,J2085,Parametros!$C$23:$C$38,C2085,Parametros!$D$23:$D$38,D2085),2)</f>
        <v>101.2</v>
      </c>
      <c r="U2085" s="30" t="n">
        <f aca="false">R2085-S2085-T2085</f>
        <v>584.24</v>
      </c>
    </row>
    <row r="2086" customFormat="false" ht="15" hidden="false" customHeight="false" outlineLevel="0" collapsed="false">
      <c r="A2086" s="0" t="n">
        <v>2085</v>
      </c>
      <c r="B2086" s="27" t="n">
        <v>45916</v>
      </c>
      <c r="C2086" s="0" t="n">
        <v>2025</v>
      </c>
      <c r="D2086" s="28" t="s">
        <v>115</v>
      </c>
      <c r="E2086" s="0" t="n">
        <v>9</v>
      </c>
      <c r="F2086" s="28" t="s">
        <v>120</v>
      </c>
      <c r="G2086" s="28" t="s">
        <v>151</v>
      </c>
      <c r="H2086" s="28" t="s">
        <v>102</v>
      </c>
      <c r="I2086" s="28" t="s">
        <v>103</v>
      </c>
      <c r="J2086" s="28" t="s">
        <v>66</v>
      </c>
      <c r="K2086" s="28" t="s">
        <v>67</v>
      </c>
      <c r="L2086" s="28" t="s">
        <v>130</v>
      </c>
      <c r="M2086" s="28" t="s">
        <v>74</v>
      </c>
      <c r="N2086" s="28" t="s">
        <v>133</v>
      </c>
      <c r="O2086" s="29" t="n">
        <v>7</v>
      </c>
      <c r="P2086" s="30" t="n">
        <v>1656.52</v>
      </c>
      <c r="Q2086" s="30" t="n">
        <v>1155.66</v>
      </c>
      <c r="R2086" s="30" t="n">
        <f aca="false">ROUND(O2086*P2086,2)</f>
        <v>11595.64</v>
      </c>
      <c r="S2086" s="30" t="n">
        <f aca="false">ROUND(O2086*Q2086,2)</f>
        <v>8089.62</v>
      </c>
      <c r="T2086" s="30" t="n">
        <f aca="false">ROUND(R2086*SUMIFS(Parametros!$E$23:$E$38,Parametros!$B$23:$B$38,J2086,Parametros!$C$23:$C$38,C2086,Parametros!$D$23:$D$38,D2086),2)</f>
        <v>150.74</v>
      </c>
      <c r="U2086" s="30" t="n">
        <f aca="false">R2086-S2086-T2086</f>
        <v>3355.28</v>
      </c>
    </row>
    <row r="2087" customFormat="false" ht="15" hidden="false" customHeight="false" outlineLevel="0" collapsed="false">
      <c r="A2087" s="0" t="n">
        <v>2086</v>
      </c>
      <c r="B2087" s="27" t="n">
        <v>45923</v>
      </c>
      <c r="C2087" s="0" t="n">
        <v>2025</v>
      </c>
      <c r="D2087" s="28" t="s">
        <v>115</v>
      </c>
      <c r="E2087" s="0" t="n">
        <v>9</v>
      </c>
      <c r="F2087" s="28" t="s">
        <v>120</v>
      </c>
      <c r="G2087" s="28" t="s">
        <v>151</v>
      </c>
      <c r="H2087" s="28" t="s">
        <v>102</v>
      </c>
      <c r="I2087" s="28" t="s">
        <v>103</v>
      </c>
      <c r="J2087" s="28" t="s">
        <v>71</v>
      </c>
      <c r="K2087" s="28" t="s">
        <v>67</v>
      </c>
      <c r="L2087" s="28" t="s">
        <v>130</v>
      </c>
      <c r="M2087" s="28" t="s">
        <v>74</v>
      </c>
      <c r="N2087" s="28" t="s">
        <v>133</v>
      </c>
      <c r="O2087" s="29" t="n">
        <v>4</v>
      </c>
      <c r="P2087" s="30" t="n">
        <v>1656.52</v>
      </c>
      <c r="Q2087" s="30" t="n">
        <v>1155.66</v>
      </c>
      <c r="R2087" s="30" t="n">
        <f aca="false">ROUND(O2087*P2087,2)</f>
        <v>6626.08</v>
      </c>
      <c r="S2087" s="30" t="n">
        <f aca="false">ROUND(O2087*Q2087,2)</f>
        <v>4622.64</v>
      </c>
      <c r="T2087" s="30" t="n">
        <f aca="false">ROUND(R2087*SUMIFS(Parametros!$E$23:$E$38,Parametros!$B$23:$B$38,J2087,Parametros!$C$23:$C$38,C2087,Parametros!$D$23:$D$38,D2087),2)</f>
        <v>371.06</v>
      </c>
      <c r="U2087" s="30" t="n">
        <f aca="false">R2087-S2087-T2087</f>
        <v>1632.38</v>
      </c>
    </row>
    <row r="2088" customFormat="false" ht="15" hidden="false" customHeight="false" outlineLevel="0" collapsed="false">
      <c r="A2088" s="0" t="n">
        <v>2087</v>
      </c>
      <c r="B2088" s="27" t="n">
        <v>45903</v>
      </c>
      <c r="C2088" s="0" t="n">
        <v>2025</v>
      </c>
      <c r="D2088" s="28" t="s">
        <v>115</v>
      </c>
      <c r="E2088" s="0" t="n">
        <v>9</v>
      </c>
      <c r="F2088" s="28" t="s">
        <v>120</v>
      </c>
      <c r="G2088" s="28" t="s">
        <v>151</v>
      </c>
      <c r="H2088" s="28" t="s">
        <v>102</v>
      </c>
      <c r="I2088" s="28" t="s">
        <v>103</v>
      </c>
      <c r="J2088" s="28" t="s">
        <v>66</v>
      </c>
      <c r="K2088" s="28" t="s">
        <v>76</v>
      </c>
      <c r="L2088" s="28" t="s">
        <v>134</v>
      </c>
      <c r="M2088" s="28" t="s">
        <v>78</v>
      </c>
      <c r="N2088" s="28" t="s">
        <v>135</v>
      </c>
      <c r="O2088" s="29" t="n">
        <v>33</v>
      </c>
      <c r="P2088" s="30" t="n">
        <v>28.11</v>
      </c>
      <c r="Q2088" s="30" t="n">
        <v>13.84</v>
      </c>
      <c r="R2088" s="30" t="n">
        <f aca="false">ROUND(O2088*P2088,2)</f>
        <v>927.63</v>
      </c>
      <c r="S2088" s="30" t="n">
        <f aca="false">ROUND(O2088*Q2088,2)</f>
        <v>456.72</v>
      </c>
      <c r="T2088" s="30" t="n">
        <f aca="false">ROUND(R2088*SUMIFS(Parametros!$E$23:$E$38,Parametros!$B$23:$B$38,J2088,Parametros!$C$23:$C$38,C2088,Parametros!$D$23:$D$38,D2088),2)</f>
        <v>12.06</v>
      </c>
      <c r="U2088" s="30" t="n">
        <f aca="false">R2088-S2088-T2088</f>
        <v>458.85</v>
      </c>
    </row>
    <row r="2089" customFormat="false" ht="15" hidden="false" customHeight="false" outlineLevel="0" collapsed="false">
      <c r="A2089" s="0" t="n">
        <v>2088</v>
      </c>
      <c r="B2089" s="27" t="n">
        <v>45910</v>
      </c>
      <c r="C2089" s="0" t="n">
        <v>2025</v>
      </c>
      <c r="D2089" s="28" t="s">
        <v>115</v>
      </c>
      <c r="E2089" s="0" t="n">
        <v>9</v>
      </c>
      <c r="F2089" s="28" t="s">
        <v>120</v>
      </c>
      <c r="G2089" s="28" t="s">
        <v>151</v>
      </c>
      <c r="H2089" s="28" t="s">
        <v>102</v>
      </c>
      <c r="I2089" s="28" t="s">
        <v>103</v>
      </c>
      <c r="J2089" s="28" t="s">
        <v>71</v>
      </c>
      <c r="K2089" s="28" t="s">
        <v>76</v>
      </c>
      <c r="L2089" s="28" t="s">
        <v>134</v>
      </c>
      <c r="M2089" s="28" t="s">
        <v>78</v>
      </c>
      <c r="N2089" s="28" t="s">
        <v>135</v>
      </c>
      <c r="O2089" s="29" t="n">
        <v>18</v>
      </c>
      <c r="P2089" s="30" t="n">
        <v>28.11</v>
      </c>
      <c r="Q2089" s="30" t="n">
        <v>13.84</v>
      </c>
      <c r="R2089" s="30" t="n">
        <f aca="false">ROUND(O2089*P2089,2)</f>
        <v>505.98</v>
      </c>
      <c r="S2089" s="30" t="n">
        <f aca="false">ROUND(O2089*Q2089,2)</f>
        <v>249.12</v>
      </c>
      <c r="T2089" s="30" t="n">
        <f aca="false">ROUND(R2089*SUMIFS(Parametros!$E$23:$E$38,Parametros!$B$23:$B$38,J2089,Parametros!$C$23:$C$38,C2089,Parametros!$D$23:$D$38,D2089),2)</f>
        <v>28.33</v>
      </c>
      <c r="U2089" s="30" t="n">
        <f aca="false">R2089-S2089-T2089</f>
        <v>228.53</v>
      </c>
    </row>
    <row r="2090" customFormat="false" ht="15" hidden="false" customHeight="false" outlineLevel="0" collapsed="false">
      <c r="A2090" s="0" t="n">
        <v>2089</v>
      </c>
      <c r="B2090" s="27" t="n">
        <v>45917</v>
      </c>
      <c r="C2090" s="0" t="n">
        <v>2025</v>
      </c>
      <c r="D2090" s="28" t="s">
        <v>115</v>
      </c>
      <c r="E2090" s="0" t="n">
        <v>9</v>
      </c>
      <c r="F2090" s="28" t="s">
        <v>120</v>
      </c>
      <c r="G2090" s="28" t="s">
        <v>151</v>
      </c>
      <c r="H2090" s="28" t="s">
        <v>102</v>
      </c>
      <c r="I2090" s="28" t="s">
        <v>103</v>
      </c>
      <c r="J2090" s="28" t="s">
        <v>66</v>
      </c>
      <c r="K2090" s="28" t="s">
        <v>76</v>
      </c>
      <c r="L2090" s="28" t="s">
        <v>134</v>
      </c>
      <c r="M2090" s="28" t="s">
        <v>80</v>
      </c>
      <c r="N2090" s="28" t="s">
        <v>136</v>
      </c>
      <c r="O2090" s="29" t="n">
        <v>26</v>
      </c>
      <c r="P2090" s="30" t="n">
        <v>95.38</v>
      </c>
      <c r="Q2090" s="30" t="n">
        <v>49.41</v>
      </c>
      <c r="R2090" s="30" t="n">
        <f aca="false">ROUND(O2090*P2090,2)</f>
        <v>2479.88</v>
      </c>
      <c r="S2090" s="30" t="n">
        <f aca="false">ROUND(O2090*Q2090,2)</f>
        <v>1284.66</v>
      </c>
      <c r="T2090" s="30" t="n">
        <f aca="false">ROUND(R2090*SUMIFS(Parametros!$E$23:$E$38,Parametros!$B$23:$B$38,J2090,Parametros!$C$23:$C$38,C2090,Parametros!$D$23:$D$38,D2090),2)</f>
        <v>32.24</v>
      </c>
      <c r="U2090" s="30" t="n">
        <f aca="false">R2090-S2090-T2090</f>
        <v>1162.98</v>
      </c>
    </row>
    <row r="2091" customFormat="false" ht="15" hidden="false" customHeight="false" outlineLevel="0" collapsed="false">
      <c r="A2091" s="0" t="n">
        <v>2090</v>
      </c>
      <c r="B2091" s="27" t="n">
        <v>45924</v>
      </c>
      <c r="C2091" s="0" t="n">
        <v>2025</v>
      </c>
      <c r="D2091" s="28" t="s">
        <v>115</v>
      </c>
      <c r="E2091" s="0" t="n">
        <v>9</v>
      </c>
      <c r="F2091" s="28" t="s">
        <v>120</v>
      </c>
      <c r="G2091" s="28" t="s">
        <v>151</v>
      </c>
      <c r="H2091" s="28" t="s">
        <v>102</v>
      </c>
      <c r="I2091" s="28" t="s">
        <v>103</v>
      </c>
      <c r="J2091" s="28" t="s">
        <v>71</v>
      </c>
      <c r="K2091" s="28" t="s">
        <v>76</v>
      </c>
      <c r="L2091" s="28" t="s">
        <v>134</v>
      </c>
      <c r="M2091" s="28" t="s">
        <v>80</v>
      </c>
      <c r="N2091" s="28" t="s">
        <v>136</v>
      </c>
      <c r="O2091" s="29" t="n">
        <v>21</v>
      </c>
      <c r="P2091" s="30" t="n">
        <v>95.38</v>
      </c>
      <c r="Q2091" s="30" t="n">
        <v>49.41</v>
      </c>
      <c r="R2091" s="30" t="n">
        <f aca="false">ROUND(O2091*P2091,2)</f>
        <v>2002.98</v>
      </c>
      <c r="S2091" s="30" t="n">
        <f aca="false">ROUND(O2091*Q2091,2)</f>
        <v>1037.61</v>
      </c>
      <c r="T2091" s="30" t="n">
        <f aca="false">ROUND(R2091*SUMIFS(Parametros!$E$23:$E$38,Parametros!$B$23:$B$38,J2091,Parametros!$C$23:$C$38,C2091,Parametros!$D$23:$D$38,D2091),2)</f>
        <v>112.17</v>
      </c>
      <c r="U2091" s="30" t="n">
        <f aca="false">R2091-S2091-T2091</f>
        <v>853.2</v>
      </c>
    </row>
    <row r="2092" customFormat="false" ht="15" hidden="false" customHeight="false" outlineLevel="0" collapsed="false">
      <c r="A2092" s="0" t="n">
        <v>2091</v>
      </c>
      <c r="B2092" s="27" t="n">
        <v>45904</v>
      </c>
      <c r="C2092" s="0" t="n">
        <v>2025</v>
      </c>
      <c r="D2092" s="28" t="s">
        <v>115</v>
      </c>
      <c r="E2092" s="0" t="n">
        <v>9</v>
      </c>
      <c r="F2092" s="28" t="s">
        <v>120</v>
      </c>
      <c r="G2092" s="28" t="s">
        <v>151</v>
      </c>
      <c r="H2092" s="28" t="s">
        <v>102</v>
      </c>
      <c r="I2092" s="28" t="s">
        <v>103</v>
      </c>
      <c r="J2092" s="28" t="s">
        <v>66</v>
      </c>
      <c r="K2092" s="28" t="s">
        <v>76</v>
      </c>
      <c r="L2092" s="28" t="s">
        <v>134</v>
      </c>
      <c r="M2092" s="28" t="s">
        <v>82</v>
      </c>
      <c r="N2092" s="28" t="s">
        <v>137</v>
      </c>
      <c r="O2092" s="29" t="n">
        <v>32</v>
      </c>
      <c r="P2092" s="30" t="n">
        <v>65.26</v>
      </c>
      <c r="Q2092" s="30" t="n">
        <v>36.49</v>
      </c>
      <c r="R2092" s="30" t="n">
        <f aca="false">ROUND(O2092*P2092,2)</f>
        <v>2088.32</v>
      </c>
      <c r="S2092" s="30" t="n">
        <f aca="false">ROUND(O2092*Q2092,2)</f>
        <v>1167.68</v>
      </c>
      <c r="T2092" s="30" t="n">
        <f aca="false">ROUND(R2092*SUMIFS(Parametros!$E$23:$E$38,Parametros!$B$23:$B$38,J2092,Parametros!$C$23:$C$38,C2092,Parametros!$D$23:$D$38,D2092),2)</f>
        <v>27.15</v>
      </c>
      <c r="U2092" s="30" t="n">
        <f aca="false">R2092-S2092-T2092</f>
        <v>893.49</v>
      </c>
    </row>
    <row r="2093" customFormat="false" ht="15" hidden="false" customHeight="false" outlineLevel="0" collapsed="false">
      <c r="A2093" s="0" t="n">
        <v>2092</v>
      </c>
      <c r="B2093" s="27" t="n">
        <v>45911</v>
      </c>
      <c r="C2093" s="0" t="n">
        <v>2025</v>
      </c>
      <c r="D2093" s="28" t="s">
        <v>115</v>
      </c>
      <c r="E2093" s="0" t="n">
        <v>9</v>
      </c>
      <c r="F2093" s="28" t="s">
        <v>120</v>
      </c>
      <c r="G2093" s="28" t="s">
        <v>151</v>
      </c>
      <c r="H2093" s="28" t="s">
        <v>102</v>
      </c>
      <c r="I2093" s="28" t="s">
        <v>103</v>
      </c>
      <c r="J2093" s="28" t="s">
        <v>71</v>
      </c>
      <c r="K2093" s="28" t="s">
        <v>76</v>
      </c>
      <c r="L2093" s="28" t="s">
        <v>134</v>
      </c>
      <c r="M2093" s="28" t="s">
        <v>82</v>
      </c>
      <c r="N2093" s="28" t="s">
        <v>137</v>
      </c>
      <c r="O2093" s="29" t="n">
        <v>19</v>
      </c>
      <c r="P2093" s="30" t="n">
        <v>65.26</v>
      </c>
      <c r="Q2093" s="30" t="n">
        <v>36.49</v>
      </c>
      <c r="R2093" s="30" t="n">
        <f aca="false">ROUND(O2093*P2093,2)</f>
        <v>1239.94</v>
      </c>
      <c r="S2093" s="30" t="n">
        <f aca="false">ROUND(O2093*Q2093,2)</f>
        <v>693.31</v>
      </c>
      <c r="T2093" s="30" t="n">
        <f aca="false">ROUND(R2093*SUMIFS(Parametros!$E$23:$E$38,Parametros!$B$23:$B$38,J2093,Parametros!$C$23:$C$38,C2093,Parametros!$D$23:$D$38,D2093),2)</f>
        <v>69.44</v>
      </c>
      <c r="U2093" s="30" t="n">
        <f aca="false">R2093-S2093-T2093</f>
        <v>477.19</v>
      </c>
    </row>
    <row r="2094" customFormat="false" ht="15" hidden="false" customHeight="false" outlineLevel="0" collapsed="false">
      <c r="A2094" s="0" t="n">
        <v>2093</v>
      </c>
      <c r="B2094" s="27" t="n">
        <v>45918</v>
      </c>
      <c r="C2094" s="0" t="n">
        <v>2025</v>
      </c>
      <c r="D2094" s="28" t="s">
        <v>115</v>
      </c>
      <c r="E2094" s="0" t="n">
        <v>9</v>
      </c>
      <c r="F2094" s="28" t="s">
        <v>120</v>
      </c>
      <c r="G2094" s="28" t="s">
        <v>151</v>
      </c>
      <c r="H2094" s="28" t="s">
        <v>102</v>
      </c>
      <c r="I2094" s="28" t="s">
        <v>103</v>
      </c>
      <c r="J2094" s="28" t="s">
        <v>66</v>
      </c>
      <c r="K2094" s="28" t="s">
        <v>84</v>
      </c>
      <c r="L2094" s="28" t="s">
        <v>138</v>
      </c>
      <c r="M2094" s="28" t="s">
        <v>86</v>
      </c>
      <c r="N2094" s="28" t="s">
        <v>139</v>
      </c>
      <c r="O2094" s="29" t="n">
        <v>15</v>
      </c>
      <c r="P2094" s="30" t="n">
        <v>120.47</v>
      </c>
      <c r="Q2094" s="30" t="n">
        <v>65.51</v>
      </c>
      <c r="R2094" s="30" t="n">
        <f aca="false">ROUND(O2094*P2094,2)</f>
        <v>1807.05</v>
      </c>
      <c r="S2094" s="30" t="n">
        <f aca="false">ROUND(O2094*Q2094,2)</f>
        <v>982.65</v>
      </c>
      <c r="T2094" s="30" t="n">
        <f aca="false">ROUND(R2094*SUMIFS(Parametros!$E$23:$E$38,Parametros!$B$23:$B$38,J2094,Parametros!$C$23:$C$38,C2094,Parametros!$D$23:$D$38,D2094),2)</f>
        <v>23.49</v>
      </c>
      <c r="U2094" s="30" t="n">
        <f aca="false">R2094-S2094-T2094</f>
        <v>800.91</v>
      </c>
    </row>
    <row r="2095" customFormat="false" ht="15" hidden="false" customHeight="false" outlineLevel="0" collapsed="false">
      <c r="A2095" s="0" t="n">
        <v>2094</v>
      </c>
      <c r="B2095" s="27" t="n">
        <v>45925</v>
      </c>
      <c r="C2095" s="0" t="n">
        <v>2025</v>
      </c>
      <c r="D2095" s="28" t="s">
        <v>115</v>
      </c>
      <c r="E2095" s="0" t="n">
        <v>9</v>
      </c>
      <c r="F2095" s="28" t="s">
        <v>120</v>
      </c>
      <c r="G2095" s="28" t="s">
        <v>151</v>
      </c>
      <c r="H2095" s="28" t="s">
        <v>102</v>
      </c>
      <c r="I2095" s="28" t="s">
        <v>103</v>
      </c>
      <c r="J2095" s="28" t="s">
        <v>71</v>
      </c>
      <c r="K2095" s="28" t="s">
        <v>84</v>
      </c>
      <c r="L2095" s="28" t="s">
        <v>138</v>
      </c>
      <c r="M2095" s="28" t="s">
        <v>86</v>
      </c>
      <c r="N2095" s="28" t="s">
        <v>139</v>
      </c>
      <c r="O2095" s="29" t="n">
        <v>8</v>
      </c>
      <c r="P2095" s="30" t="n">
        <v>120.47</v>
      </c>
      <c r="Q2095" s="30" t="n">
        <v>65.51</v>
      </c>
      <c r="R2095" s="30" t="n">
        <f aca="false">ROUND(O2095*P2095,2)</f>
        <v>963.76</v>
      </c>
      <c r="S2095" s="30" t="n">
        <f aca="false">ROUND(O2095*Q2095,2)</f>
        <v>524.08</v>
      </c>
      <c r="T2095" s="30" t="n">
        <f aca="false">ROUND(R2095*SUMIFS(Parametros!$E$23:$E$38,Parametros!$B$23:$B$38,J2095,Parametros!$C$23:$C$38,C2095,Parametros!$D$23:$D$38,D2095),2)</f>
        <v>53.97</v>
      </c>
      <c r="U2095" s="30" t="n">
        <f aca="false">R2095-S2095-T2095</f>
        <v>385.71</v>
      </c>
    </row>
    <row r="2096" customFormat="false" ht="15" hidden="false" customHeight="false" outlineLevel="0" collapsed="false">
      <c r="A2096" s="0" t="n">
        <v>2095</v>
      </c>
      <c r="B2096" s="27" t="n">
        <v>45905</v>
      </c>
      <c r="C2096" s="0" t="n">
        <v>2025</v>
      </c>
      <c r="D2096" s="28" t="s">
        <v>115</v>
      </c>
      <c r="E2096" s="0" t="n">
        <v>9</v>
      </c>
      <c r="F2096" s="28" t="s">
        <v>120</v>
      </c>
      <c r="G2096" s="28" t="s">
        <v>151</v>
      </c>
      <c r="H2096" s="28" t="s">
        <v>102</v>
      </c>
      <c r="I2096" s="28" t="s">
        <v>103</v>
      </c>
      <c r="J2096" s="28" t="s">
        <v>66</v>
      </c>
      <c r="K2096" s="28" t="s">
        <v>84</v>
      </c>
      <c r="L2096" s="28" t="s">
        <v>138</v>
      </c>
      <c r="M2096" s="28" t="s">
        <v>88</v>
      </c>
      <c r="N2096" s="28" t="s">
        <v>140</v>
      </c>
      <c r="O2096" s="29" t="n">
        <v>12</v>
      </c>
      <c r="P2096" s="30" t="n">
        <v>85.34</v>
      </c>
      <c r="Q2096" s="30" t="n">
        <v>49.47</v>
      </c>
      <c r="R2096" s="30" t="n">
        <f aca="false">ROUND(O2096*P2096,2)</f>
        <v>1024.08</v>
      </c>
      <c r="S2096" s="30" t="n">
        <f aca="false">ROUND(O2096*Q2096,2)</f>
        <v>593.64</v>
      </c>
      <c r="T2096" s="30" t="n">
        <f aca="false">ROUND(R2096*SUMIFS(Parametros!$E$23:$E$38,Parametros!$B$23:$B$38,J2096,Parametros!$C$23:$C$38,C2096,Parametros!$D$23:$D$38,D2096),2)</f>
        <v>13.31</v>
      </c>
      <c r="U2096" s="30" t="n">
        <f aca="false">R2096-S2096-T2096</f>
        <v>417.13</v>
      </c>
    </row>
    <row r="2097" customFormat="false" ht="15" hidden="false" customHeight="false" outlineLevel="0" collapsed="false">
      <c r="A2097" s="0" t="n">
        <v>2096</v>
      </c>
      <c r="B2097" s="27" t="n">
        <v>45912</v>
      </c>
      <c r="C2097" s="0" t="n">
        <v>2025</v>
      </c>
      <c r="D2097" s="28" t="s">
        <v>115</v>
      </c>
      <c r="E2097" s="0" t="n">
        <v>9</v>
      </c>
      <c r="F2097" s="28" t="s">
        <v>120</v>
      </c>
      <c r="G2097" s="28" t="s">
        <v>151</v>
      </c>
      <c r="H2097" s="28" t="s">
        <v>102</v>
      </c>
      <c r="I2097" s="28" t="s">
        <v>103</v>
      </c>
      <c r="J2097" s="28" t="s">
        <v>71</v>
      </c>
      <c r="K2097" s="28" t="s">
        <v>84</v>
      </c>
      <c r="L2097" s="28" t="s">
        <v>138</v>
      </c>
      <c r="M2097" s="28" t="s">
        <v>88</v>
      </c>
      <c r="N2097" s="28" t="s">
        <v>140</v>
      </c>
      <c r="O2097" s="29" t="n">
        <v>10</v>
      </c>
      <c r="P2097" s="30" t="n">
        <v>85.34</v>
      </c>
      <c r="Q2097" s="30" t="n">
        <v>49.47</v>
      </c>
      <c r="R2097" s="30" t="n">
        <f aca="false">ROUND(O2097*P2097,2)</f>
        <v>853.4</v>
      </c>
      <c r="S2097" s="30" t="n">
        <f aca="false">ROUND(O2097*Q2097,2)</f>
        <v>494.7</v>
      </c>
      <c r="T2097" s="30" t="n">
        <f aca="false">ROUND(R2097*SUMIFS(Parametros!$E$23:$E$38,Parametros!$B$23:$B$38,J2097,Parametros!$C$23:$C$38,C2097,Parametros!$D$23:$D$38,D2097),2)</f>
        <v>47.79</v>
      </c>
      <c r="U2097" s="30" t="n">
        <f aca="false">R2097-S2097-T2097</f>
        <v>310.91</v>
      </c>
    </row>
    <row r="2098" customFormat="false" ht="15" hidden="false" customHeight="false" outlineLevel="0" collapsed="false">
      <c r="A2098" s="0" t="n">
        <v>2097</v>
      </c>
      <c r="B2098" s="27" t="n">
        <v>45919</v>
      </c>
      <c r="C2098" s="0" t="n">
        <v>2025</v>
      </c>
      <c r="D2098" s="28" t="s">
        <v>115</v>
      </c>
      <c r="E2098" s="0" t="n">
        <v>9</v>
      </c>
      <c r="F2098" s="28" t="s">
        <v>120</v>
      </c>
      <c r="G2098" s="28" t="s">
        <v>151</v>
      </c>
      <c r="H2098" s="28" t="s">
        <v>102</v>
      </c>
      <c r="I2098" s="28" t="s">
        <v>103</v>
      </c>
      <c r="J2098" s="28" t="s">
        <v>66</v>
      </c>
      <c r="K2098" s="28" t="s">
        <v>90</v>
      </c>
      <c r="L2098" s="28" t="s">
        <v>141</v>
      </c>
      <c r="M2098" s="28" t="s">
        <v>92</v>
      </c>
      <c r="N2098" s="28" t="s">
        <v>142</v>
      </c>
      <c r="O2098" s="29" t="n">
        <v>18</v>
      </c>
      <c r="P2098" s="30" t="n">
        <v>130.51</v>
      </c>
      <c r="Q2098" s="30" t="n">
        <v>78.33</v>
      </c>
      <c r="R2098" s="30" t="n">
        <f aca="false">ROUND(O2098*P2098,2)</f>
        <v>2349.18</v>
      </c>
      <c r="S2098" s="30" t="n">
        <f aca="false">ROUND(O2098*Q2098,2)</f>
        <v>1409.94</v>
      </c>
      <c r="T2098" s="30" t="n">
        <f aca="false">ROUND(R2098*SUMIFS(Parametros!$E$23:$E$38,Parametros!$B$23:$B$38,J2098,Parametros!$C$23:$C$38,C2098,Parametros!$D$23:$D$38,D2098),2)</f>
        <v>30.54</v>
      </c>
      <c r="U2098" s="30" t="n">
        <f aca="false">R2098-S2098-T2098</f>
        <v>908.7</v>
      </c>
    </row>
    <row r="2099" customFormat="false" ht="15" hidden="false" customHeight="false" outlineLevel="0" collapsed="false">
      <c r="A2099" s="0" t="n">
        <v>2098</v>
      </c>
      <c r="B2099" s="27" t="n">
        <v>45926</v>
      </c>
      <c r="C2099" s="0" t="n">
        <v>2025</v>
      </c>
      <c r="D2099" s="28" t="s">
        <v>115</v>
      </c>
      <c r="E2099" s="0" t="n">
        <v>9</v>
      </c>
      <c r="F2099" s="28" t="s">
        <v>120</v>
      </c>
      <c r="G2099" s="28" t="s">
        <v>151</v>
      </c>
      <c r="H2099" s="28" t="s">
        <v>102</v>
      </c>
      <c r="I2099" s="28" t="s">
        <v>103</v>
      </c>
      <c r="J2099" s="28" t="s">
        <v>71</v>
      </c>
      <c r="K2099" s="28" t="s">
        <v>90</v>
      </c>
      <c r="L2099" s="28" t="s">
        <v>141</v>
      </c>
      <c r="M2099" s="28" t="s">
        <v>92</v>
      </c>
      <c r="N2099" s="28" t="s">
        <v>142</v>
      </c>
      <c r="O2099" s="29" t="n">
        <v>11</v>
      </c>
      <c r="P2099" s="30" t="n">
        <v>130.51</v>
      </c>
      <c r="Q2099" s="30" t="n">
        <v>78.33</v>
      </c>
      <c r="R2099" s="30" t="n">
        <f aca="false">ROUND(O2099*P2099,2)</f>
        <v>1435.61</v>
      </c>
      <c r="S2099" s="30" t="n">
        <f aca="false">ROUND(O2099*Q2099,2)</f>
        <v>861.63</v>
      </c>
      <c r="T2099" s="30" t="n">
        <f aca="false">ROUND(R2099*SUMIFS(Parametros!$E$23:$E$38,Parametros!$B$23:$B$38,J2099,Parametros!$C$23:$C$38,C2099,Parametros!$D$23:$D$38,D2099),2)</f>
        <v>80.39</v>
      </c>
      <c r="U2099" s="30" t="n">
        <f aca="false">R2099-S2099-T2099</f>
        <v>493.59</v>
      </c>
    </row>
    <row r="2100" customFormat="false" ht="15" hidden="false" customHeight="false" outlineLevel="0" collapsed="false">
      <c r="A2100" s="0" t="n">
        <v>2099</v>
      </c>
      <c r="B2100" s="27" t="n">
        <v>45906</v>
      </c>
      <c r="C2100" s="0" t="n">
        <v>2025</v>
      </c>
      <c r="D2100" s="28" t="s">
        <v>115</v>
      </c>
      <c r="E2100" s="0" t="n">
        <v>9</v>
      </c>
      <c r="F2100" s="28" t="s">
        <v>120</v>
      </c>
      <c r="G2100" s="28" t="s">
        <v>151</v>
      </c>
      <c r="H2100" s="28" t="s">
        <v>102</v>
      </c>
      <c r="I2100" s="28" t="s">
        <v>103</v>
      </c>
      <c r="J2100" s="28" t="s">
        <v>66</v>
      </c>
      <c r="K2100" s="28" t="s">
        <v>90</v>
      </c>
      <c r="L2100" s="28" t="s">
        <v>141</v>
      </c>
      <c r="M2100" s="28" t="s">
        <v>94</v>
      </c>
      <c r="N2100" s="28" t="s">
        <v>143</v>
      </c>
      <c r="O2100" s="29" t="n">
        <v>15</v>
      </c>
      <c r="P2100" s="30" t="n">
        <v>35.14</v>
      </c>
      <c r="Q2100" s="30" t="n">
        <v>18.39</v>
      </c>
      <c r="R2100" s="30" t="n">
        <f aca="false">ROUND(O2100*P2100,2)</f>
        <v>527.1</v>
      </c>
      <c r="S2100" s="30" t="n">
        <f aca="false">ROUND(O2100*Q2100,2)</f>
        <v>275.85</v>
      </c>
      <c r="T2100" s="30" t="n">
        <f aca="false">ROUND(R2100*SUMIFS(Parametros!$E$23:$E$38,Parametros!$B$23:$B$38,J2100,Parametros!$C$23:$C$38,C2100,Parametros!$D$23:$D$38,D2100),2)</f>
        <v>6.85</v>
      </c>
      <c r="U2100" s="30" t="n">
        <f aca="false">R2100-S2100-T2100</f>
        <v>244.4</v>
      </c>
    </row>
    <row r="2101" customFormat="false" ht="15" hidden="false" customHeight="false" outlineLevel="0" collapsed="false">
      <c r="A2101" s="0" t="n">
        <v>2100</v>
      </c>
      <c r="B2101" s="27" t="n">
        <v>45913</v>
      </c>
      <c r="C2101" s="0" t="n">
        <v>2025</v>
      </c>
      <c r="D2101" s="28" t="s">
        <v>115</v>
      </c>
      <c r="E2101" s="0" t="n">
        <v>9</v>
      </c>
      <c r="F2101" s="28" t="s">
        <v>120</v>
      </c>
      <c r="G2101" s="28" t="s">
        <v>151</v>
      </c>
      <c r="H2101" s="28" t="s">
        <v>102</v>
      </c>
      <c r="I2101" s="28" t="s">
        <v>103</v>
      </c>
      <c r="J2101" s="28" t="s">
        <v>71</v>
      </c>
      <c r="K2101" s="28" t="s">
        <v>90</v>
      </c>
      <c r="L2101" s="28" t="s">
        <v>141</v>
      </c>
      <c r="M2101" s="28" t="s">
        <v>94</v>
      </c>
      <c r="N2101" s="28" t="s">
        <v>143</v>
      </c>
      <c r="O2101" s="29" t="n">
        <v>14</v>
      </c>
      <c r="P2101" s="30" t="n">
        <v>35.14</v>
      </c>
      <c r="Q2101" s="30" t="n">
        <v>18.39</v>
      </c>
      <c r="R2101" s="30" t="n">
        <f aca="false">ROUND(O2101*P2101,2)</f>
        <v>491.96</v>
      </c>
      <c r="S2101" s="30" t="n">
        <f aca="false">ROUND(O2101*Q2101,2)</f>
        <v>257.46</v>
      </c>
      <c r="T2101" s="30" t="n">
        <f aca="false">ROUND(R2101*SUMIFS(Parametros!$E$23:$E$38,Parametros!$B$23:$B$38,J2101,Parametros!$C$23:$C$38,C2101,Parametros!$D$23:$D$38,D2101),2)</f>
        <v>27.55</v>
      </c>
      <c r="U2101" s="30" t="n">
        <f aca="false">R2101-S2101-T2101</f>
        <v>206.95</v>
      </c>
    </row>
    <row r="2102" customFormat="false" ht="15" hidden="false" customHeight="false" outlineLevel="0" collapsed="false">
      <c r="A2102" s="0" t="n">
        <v>2101</v>
      </c>
      <c r="B2102" s="27" t="n">
        <v>45950</v>
      </c>
      <c r="C2102" s="0" t="n">
        <v>2025</v>
      </c>
      <c r="D2102" s="28" t="s">
        <v>122</v>
      </c>
      <c r="E2102" s="0" t="n">
        <v>10</v>
      </c>
      <c r="F2102" s="28" t="s">
        <v>123</v>
      </c>
      <c r="G2102" s="28" t="s">
        <v>152</v>
      </c>
      <c r="H2102" s="28" t="s">
        <v>64</v>
      </c>
      <c r="I2102" s="28" t="s">
        <v>65</v>
      </c>
      <c r="J2102" s="28" t="s">
        <v>66</v>
      </c>
      <c r="K2102" s="28" t="s">
        <v>67</v>
      </c>
      <c r="L2102" s="28" t="s">
        <v>130</v>
      </c>
      <c r="M2102" s="28" t="s">
        <v>69</v>
      </c>
      <c r="N2102" s="28" t="s">
        <v>131</v>
      </c>
      <c r="O2102" s="29" t="n">
        <v>18</v>
      </c>
      <c r="P2102" s="30" t="n">
        <v>1204.74</v>
      </c>
      <c r="Q2102" s="30" t="n">
        <v>766.32</v>
      </c>
      <c r="R2102" s="30" t="n">
        <f aca="false">ROUND(O2102*P2102,2)</f>
        <v>21685.32</v>
      </c>
      <c r="S2102" s="30" t="n">
        <f aca="false">ROUND(O2102*Q2102,2)</f>
        <v>13793.76</v>
      </c>
      <c r="T2102" s="30" t="n">
        <f aca="false">ROUND(R2102*SUMIFS(Parametros!$E$23:$E$38,Parametros!$B$23:$B$38,J2102,Parametros!$C$23:$C$38,C2102,Parametros!$D$23:$D$38,D2102),2)</f>
        <v>281.91</v>
      </c>
      <c r="U2102" s="30" t="n">
        <f aca="false">R2102-S2102-T2102</f>
        <v>7609.65</v>
      </c>
    </row>
    <row r="2103" customFormat="false" ht="15" hidden="false" customHeight="false" outlineLevel="0" collapsed="false">
      <c r="A2103" s="0" t="n">
        <v>2102</v>
      </c>
      <c r="B2103" s="27" t="n">
        <v>45957</v>
      </c>
      <c r="C2103" s="0" t="n">
        <v>2025</v>
      </c>
      <c r="D2103" s="28" t="s">
        <v>122</v>
      </c>
      <c r="E2103" s="0" t="n">
        <v>10</v>
      </c>
      <c r="F2103" s="28" t="s">
        <v>123</v>
      </c>
      <c r="G2103" s="28" t="s">
        <v>152</v>
      </c>
      <c r="H2103" s="28" t="s">
        <v>64</v>
      </c>
      <c r="I2103" s="28" t="s">
        <v>65</v>
      </c>
      <c r="J2103" s="28" t="s">
        <v>71</v>
      </c>
      <c r="K2103" s="28" t="s">
        <v>67</v>
      </c>
      <c r="L2103" s="28" t="s">
        <v>130</v>
      </c>
      <c r="M2103" s="28" t="s">
        <v>69</v>
      </c>
      <c r="N2103" s="28" t="s">
        <v>131</v>
      </c>
      <c r="O2103" s="29" t="n">
        <v>12</v>
      </c>
      <c r="P2103" s="30" t="n">
        <v>1204.74</v>
      </c>
      <c r="Q2103" s="30" t="n">
        <v>766.32</v>
      </c>
      <c r="R2103" s="30" t="n">
        <f aca="false">ROUND(O2103*P2103,2)</f>
        <v>14456.88</v>
      </c>
      <c r="S2103" s="30" t="n">
        <f aca="false">ROUND(O2103*Q2103,2)</f>
        <v>9195.84</v>
      </c>
      <c r="T2103" s="30" t="n">
        <f aca="false">ROUND(R2103*SUMIFS(Parametros!$E$23:$E$38,Parametros!$B$23:$B$38,J2103,Parametros!$C$23:$C$38,C2103,Parametros!$D$23:$D$38,D2103),2)</f>
        <v>751.76</v>
      </c>
      <c r="U2103" s="30" t="n">
        <f aca="false">R2103-S2103-T2103</f>
        <v>4509.28</v>
      </c>
    </row>
    <row r="2104" customFormat="false" ht="15" hidden="false" customHeight="false" outlineLevel="0" collapsed="false">
      <c r="A2104" s="0" t="n">
        <v>2103</v>
      </c>
      <c r="B2104" s="27" t="n">
        <v>45937</v>
      </c>
      <c r="C2104" s="0" t="n">
        <v>2025</v>
      </c>
      <c r="D2104" s="28" t="s">
        <v>122</v>
      </c>
      <c r="E2104" s="0" t="n">
        <v>10</v>
      </c>
      <c r="F2104" s="28" t="s">
        <v>123</v>
      </c>
      <c r="G2104" s="28" t="s">
        <v>152</v>
      </c>
      <c r="H2104" s="28" t="s">
        <v>64</v>
      </c>
      <c r="I2104" s="28" t="s">
        <v>65</v>
      </c>
      <c r="J2104" s="28" t="s">
        <v>66</v>
      </c>
      <c r="K2104" s="28" t="s">
        <v>67</v>
      </c>
      <c r="L2104" s="28" t="s">
        <v>130</v>
      </c>
      <c r="M2104" s="28" t="s">
        <v>72</v>
      </c>
      <c r="N2104" s="28" t="s">
        <v>132</v>
      </c>
      <c r="O2104" s="29" t="n">
        <v>21</v>
      </c>
      <c r="P2104" s="30" t="n">
        <v>451.78</v>
      </c>
      <c r="Q2104" s="30" t="n">
        <v>280.42</v>
      </c>
      <c r="R2104" s="30" t="n">
        <f aca="false">ROUND(O2104*P2104,2)</f>
        <v>9487.38</v>
      </c>
      <c r="S2104" s="30" t="n">
        <f aca="false">ROUND(O2104*Q2104,2)</f>
        <v>5888.82</v>
      </c>
      <c r="T2104" s="30" t="n">
        <f aca="false">ROUND(R2104*SUMIFS(Parametros!$E$23:$E$38,Parametros!$B$23:$B$38,J2104,Parametros!$C$23:$C$38,C2104,Parametros!$D$23:$D$38,D2104),2)</f>
        <v>123.34</v>
      </c>
      <c r="U2104" s="30" t="n">
        <f aca="false">R2104-S2104-T2104</f>
        <v>3475.22</v>
      </c>
    </row>
    <row r="2105" customFormat="false" ht="15" hidden="false" customHeight="false" outlineLevel="0" collapsed="false">
      <c r="A2105" s="0" t="n">
        <v>2104</v>
      </c>
      <c r="B2105" s="27" t="n">
        <v>45944</v>
      </c>
      <c r="C2105" s="0" t="n">
        <v>2025</v>
      </c>
      <c r="D2105" s="28" t="s">
        <v>122</v>
      </c>
      <c r="E2105" s="0" t="n">
        <v>10</v>
      </c>
      <c r="F2105" s="28" t="s">
        <v>123</v>
      </c>
      <c r="G2105" s="28" t="s">
        <v>152</v>
      </c>
      <c r="H2105" s="28" t="s">
        <v>64</v>
      </c>
      <c r="I2105" s="28" t="s">
        <v>65</v>
      </c>
      <c r="J2105" s="28" t="s">
        <v>71</v>
      </c>
      <c r="K2105" s="28" t="s">
        <v>67</v>
      </c>
      <c r="L2105" s="28" t="s">
        <v>130</v>
      </c>
      <c r="M2105" s="28" t="s">
        <v>72</v>
      </c>
      <c r="N2105" s="28" t="s">
        <v>132</v>
      </c>
      <c r="O2105" s="29" t="n">
        <v>14</v>
      </c>
      <c r="P2105" s="30" t="n">
        <v>451.78</v>
      </c>
      <c r="Q2105" s="30" t="n">
        <v>280.42</v>
      </c>
      <c r="R2105" s="30" t="n">
        <f aca="false">ROUND(O2105*P2105,2)</f>
        <v>6324.92</v>
      </c>
      <c r="S2105" s="30" t="n">
        <f aca="false">ROUND(O2105*Q2105,2)</f>
        <v>3925.88</v>
      </c>
      <c r="T2105" s="30" t="n">
        <f aca="false">ROUND(R2105*SUMIFS(Parametros!$E$23:$E$38,Parametros!$B$23:$B$38,J2105,Parametros!$C$23:$C$38,C2105,Parametros!$D$23:$D$38,D2105),2)</f>
        <v>328.9</v>
      </c>
      <c r="U2105" s="30" t="n">
        <f aca="false">R2105-S2105-T2105</f>
        <v>2070.14</v>
      </c>
    </row>
    <row r="2106" customFormat="false" ht="15" hidden="false" customHeight="false" outlineLevel="0" collapsed="false">
      <c r="A2106" s="0" t="n">
        <v>2105</v>
      </c>
      <c r="B2106" s="27" t="n">
        <v>45951</v>
      </c>
      <c r="C2106" s="0" t="n">
        <v>2025</v>
      </c>
      <c r="D2106" s="28" t="s">
        <v>122</v>
      </c>
      <c r="E2106" s="0" t="n">
        <v>10</v>
      </c>
      <c r="F2106" s="28" t="s">
        <v>123</v>
      </c>
      <c r="G2106" s="28" t="s">
        <v>152</v>
      </c>
      <c r="H2106" s="28" t="s">
        <v>64</v>
      </c>
      <c r="I2106" s="28" t="s">
        <v>65</v>
      </c>
      <c r="J2106" s="28" t="s">
        <v>66</v>
      </c>
      <c r="K2106" s="28" t="s">
        <v>67</v>
      </c>
      <c r="L2106" s="28" t="s">
        <v>130</v>
      </c>
      <c r="M2106" s="28" t="s">
        <v>74</v>
      </c>
      <c r="N2106" s="28" t="s">
        <v>133</v>
      </c>
      <c r="O2106" s="29" t="n">
        <v>25</v>
      </c>
      <c r="P2106" s="30" t="n">
        <v>1656.52</v>
      </c>
      <c r="Q2106" s="30" t="n">
        <v>1155.66</v>
      </c>
      <c r="R2106" s="30" t="n">
        <f aca="false">ROUND(O2106*P2106,2)</f>
        <v>41413</v>
      </c>
      <c r="S2106" s="30" t="n">
        <f aca="false">ROUND(O2106*Q2106,2)</f>
        <v>28891.5</v>
      </c>
      <c r="T2106" s="30" t="n">
        <f aca="false">ROUND(R2106*SUMIFS(Parametros!$E$23:$E$38,Parametros!$B$23:$B$38,J2106,Parametros!$C$23:$C$38,C2106,Parametros!$D$23:$D$38,D2106),2)</f>
        <v>538.37</v>
      </c>
      <c r="U2106" s="30" t="n">
        <f aca="false">R2106-S2106-T2106</f>
        <v>11983.13</v>
      </c>
    </row>
    <row r="2107" customFormat="false" ht="15" hidden="false" customHeight="false" outlineLevel="0" collapsed="false">
      <c r="A2107" s="0" t="n">
        <v>2106</v>
      </c>
      <c r="B2107" s="27" t="n">
        <v>45931</v>
      </c>
      <c r="C2107" s="0" t="n">
        <v>2025</v>
      </c>
      <c r="D2107" s="28" t="s">
        <v>122</v>
      </c>
      <c r="E2107" s="0" t="n">
        <v>10</v>
      </c>
      <c r="F2107" s="28" t="s">
        <v>123</v>
      </c>
      <c r="G2107" s="28" t="s">
        <v>152</v>
      </c>
      <c r="H2107" s="28" t="s">
        <v>64</v>
      </c>
      <c r="I2107" s="28" t="s">
        <v>65</v>
      </c>
      <c r="J2107" s="28" t="s">
        <v>71</v>
      </c>
      <c r="K2107" s="28" t="s">
        <v>67</v>
      </c>
      <c r="L2107" s="28" t="s">
        <v>130</v>
      </c>
      <c r="M2107" s="28" t="s">
        <v>74</v>
      </c>
      <c r="N2107" s="28" t="s">
        <v>133</v>
      </c>
      <c r="O2107" s="29" t="n">
        <v>15</v>
      </c>
      <c r="P2107" s="30" t="n">
        <v>1656.52</v>
      </c>
      <c r="Q2107" s="30" t="n">
        <v>1155.66</v>
      </c>
      <c r="R2107" s="30" t="n">
        <f aca="false">ROUND(O2107*P2107,2)</f>
        <v>24847.8</v>
      </c>
      <c r="S2107" s="30" t="n">
        <f aca="false">ROUND(O2107*Q2107,2)</f>
        <v>17334.9</v>
      </c>
      <c r="T2107" s="30" t="n">
        <f aca="false">ROUND(R2107*SUMIFS(Parametros!$E$23:$E$38,Parametros!$B$23:$B$38,J2107,Parametros!$C$23:$C$38,C2107,Parametros!$D$23:$D$38,D2107),2)</f>
        <v>1292.09</v>
      </c>
      <c r="U2107" s="30" t="n">
        <f aca="false">R2107-S2107-T2107</f>
        <v>6220.81</v>
      </c>
    </row>
    <row r="2108" customFormat="false" ht="15" hidden="false" customHeight="false" outlineLevel="0" collapsed="false">
      <c r="A2108" s="0" t="n">
        <v>2107</v>
      </c>
      <c r="B2108" s="27" t="n">
        <v>45938</v>
      </c>
      <c r="C2108" s="0" t="n">
        <v>2025</v>
      </c>
      <c r="D2108" s="28" t="s">
        <v>122</v>
      </c>
      <c r="E2108" s="0" t="n">
        <v>10</v>
      </c>
      <c r="F2108" s="28" t="s">
        <v>123</v>
      </c>
      <c r="G2108" s="28" t="s">
        <v>152</v>
      </c>
      <c r="H2108" s="28" t="s">
        <v>64</v>
      </c>
      <c r="I2108" s="28" t="s">
        <v>65</v>
      </c>
      <c r="J2108" s="28" t="s">
        <v>66</v>
      </c>
      <c r="K2108" s="28" t="s">
        <v>76</v>
      </c>
      <c r="L2108" s="28" t="s">
        <v>134</v>
      </c>
      <c r="M2108" s="28" t="s">
        <v>78</v>
      </c>
      <c r="N2108" s="28" t="s">
        <v>135</v>
      </c>
      <c r="O2108" s="29" t="n">
        <v>94</v>
      </c>
      <c r="P2108" s="30" t="n">
        <v>28.11</v>
      </c>
      <c r="Q2108" s="30" t="n">
        <v>13.84</v>
      </c>
      <c r="R2108" s="30" t="n">
        <f aca="false">ROUND(O2108*P2108,2)</f>
        <v>2642.34</v>
      </c>
      <c r="S2108" s="30" t="n">
        <f aca="false">ROUND(O2108*Q2108,2)</f>
        <v>1300.96</v>
      </c>
      <c r="T2108" s="30" t="n">
        <f aca="false">ROUND(R2108*SUMIFS(Parametros!$E$23:$E$38,Parametros!$B$23:$B$38,J2108,Parametros!$C$23:$C$38,C2108,Parametros!$D$23:$D$38,D2108),2)</f>
        <v>34.35</v>
      </c>
      <c r="U2108" s="30" t="n">
        <f aca="false">R2108-S2108-T2108</f>
        <v>1307.03</v>
      </c>
    </row>
    <row r="2109" customFormat="false" ht="15" hidden="false" customHeight="false" outlineLevel="0" collapsed="false">
      <c r="A2109" s="0" t="n">
        <v>2108</v>
      </c>
      <c r="B2109" s="27" t="n">
        <v>45945</v>
      </c>
      <c r="C2109" s="0" t="n">
        <v>2025</v>
      </c>
      <c r="D2109" s="28" t="s">
        <v>122</v>
      </c>
      <c r="E2109" s="0" t="n">
        <v>10</v>
      </c>
      <c r="F2109" s="28" t="s">
        <v>123</v>
      </c>
      <c r="G2109" s="28" t="s">
        <v>152</v>
      </c>
      <c r="H2109" s="28" t="s">
        <v>64</v>
      </c>
      <c r="I2109" s="28" t="s">
        <v>65</v>
      </c>
      <c r="J2109" s="28" t="s">
        <v>71</v>
      </c>
      <c r="K2109" s="28" t="s">
        <v>76</v>
      </c>
      <c r="L2109" s="28" t="s">
        <v>134</v>
      </c>
      <c r="M2109" s="28" t="s">
        <v>78</v>
      </c>
      <c r="N2109" s="28" t="s">
        <v>135</v>
      </c>
      <c r="O2109" s="29" t="n">
        <v>64</v>
      </c>
      <c r="P2109" s="30" t="n">
        <v>28.11</v>
      </c>
      <c r="Q2109" s="30" t="n">
        <v>13.84</v>
      </c>
      <c r="R2109" s="30" t="n">
        <f aca="false">ROUND(O2109*P2109,2)</f>
        <v>1799.04</v>
      </c>
      <c r="S2109" s="30" t="n">
        <f aca="false">ROUND(O2109*Q2109,2)</f>
        <v>885.76</v>
      </c>
      <c r="T2109" s="30" t="n">
        <f aca="false">ROUND(R2109*SUMIFS(Parametros!$E$23:$E$38,Parametros!$B$23:$B$38,J2109,Parametros!$C$23:$C$38,C2109,Parametros!$D$23:$D$38,D2109),2)</f>
        <v>93.55</v>
      </c>
      <c r="U2109" s="30" t="n">
        <f aca="false">R2109-S2109-T2109</f>
        <v>819.73</v>
      </c>
    </row>
    <row r="2110" customFormat="false" ht="15" hidden="false" customHeight="false" outlineLevel="0" collapsed="false">
      <c r="A2110" s="0" t="n">
        <v>2109</v>
      </c>
      <c r="B2110" s="27" t="n">
        <v>45952</v>
      </c>
      <c r="C2110" s="0" t="n">
        <v>2025</v>
      </c>
      <c r="D2110" s="28" t="s">
        <v>122</v>
      </c>
      <c r="E2110" s="0" t="n">
        <v>10</v>
      </c>
      <c r="F2110" s="28" t="s">
        <v>123</v>
      </c>
      <c r="G2110" s="28" t="s">
        <v>152</v>
      </c>
      <c r="H2110" s="28" t="s">
        <v>64</v>
      </c>
      <c r="I2110" s="28" t="s">
        <v>65</v>
      </c>
      <c r="J2110" s="28" t="s">
        <v>66</v>
      </c>
      <c r="K2110" s="28" t="s">
        <v>76</v>
      </c>
      <c r="L2110" s="28" t="s">
        <v>134</v>
      </c>
      <c r="M2110" s="28" t="s">
        <v>80</v>
      </c>
      <c r="N2110" s="28" t="s">
        <v>136</v>
      </c>
      <c r="O2110" s="29" t="n">
        <v>90</v>
      </c>
      <c r="P2110" s="30" t="n">
        <v>95.38</v>
      </c>
      <c r="Q2110" s="30" t="n">
        <v>49.41</v>
      </c>
      <c r="R2110" s="30" t="n">
        <f aca="false">ROUND(O2110*P2110,2)</f>
        <v>8584.2</v>
      </c>
      <c r="S2110" s="30" t="n">
        <f aca="false">ROUND(O2110*Q2110,2)</f>
        <v>4446.9</v>
      </c>
      <c r="T2110" s="30" t="n">
        <f aca="false">ROUND(R2110*SUMIFS(Parametros!$E$23:$E$38,Parametros!$B$23:$B$38,J2110,Parametros!$C$23:$C$38,C2110,Parametros!$D$23:$D$38,D2110),2)</f>
        <v>111.59</v>
      </c>
      <c r="U2110" s="30" t="n">
        <f aca="false">R2110-S2110-T2110</f>
        <v>4025.71</v>
      </c>
    </row>
    <row r="2111" customFormat="false" ht="15" hidden="false" customHeight="false" outlineLevel="0" collapsed="false">
      <c r="A2111" s="0" t="n">
        <v>2110</v>
      </c>
      <c r="B2111" s="27" t="n">
        <v>45932</v>
      </c>
      <c r="C2111" s="0" t="n">
        <v>2025</v>
      </c>
      <c r="D2111" s="28" t="s">
        <v>122</v>
      </c>
      <c r="E2111" s="0" t="n">
        <v>10</v>
      </c>
      <c r="F2111" s="28" t="s">
        <v>123</v>
      </c>
      <c r="G2111" s="28" t="s">
        <v>152</v>
      </c>
      <c r="H2111" s="28" t="s">
        <v>64</v>
      </c>
      <c r="I2111" s="28" t="s">
        <v>65</v>
      </c>
      <c r="J2111" s="28" t="s">
        <v>71</v>
      </c>
      <c r="K2111" s="28" t="s">
        <v>76</v>
      </c>
      <c r="L2111" s="28" t="s">
        <v>134</v>
      </c>
      <c r="M2111" s="28" t="s">
        <v>80</v>
      </c>
      <c r="N2111" s="28" t="s">
        <v>136</v>
      </c>
      <c r="O2111" s="29" t="n">
        <v>77</v>
      </c>
      <c r="P2111" s="30" t="n">
        <v>95.38</v>
      </c>
      <c r="Q2111" s="30" t="n">
        <v>49.41</v>
      </c>
      <c r="R2111" s="30" t="n">
        <f aca="false">ROUND(O2111*P2111,2)</f>
        <v>7344.26</v>
      </c>
      <c r="S2111" s="30" t="n">
        <f aca="false">ROUND(O2111*Q2111,2)</f>
        <v>3804.57</v>
      </c>
      <c r="T2111" s="30" t="n">
        <f aca="false">ROUND(R2111*SUMIFS(Parametros!$E$23:$E$38,Parametros!$B$23:$B$38,J2111,Parametros!$C$23:$C$38,C2111,Parametros!$D$23:$D$38,D2111),2)</f>
        <v>381.9</v>
      </c>
      <c r="U2111" s="30" t="n">
        <f aca="false">R2111-S2111-T2111</f>
        <v>3157.79</v>
      </c>
    </row>
    <row r="2112" customFormat="false" ht="15" hidden="false" customHeight="false" outlineLevel="0" collapsed="false">
      <c r="A2112" s="0" t="n">
        <v>2111</v>
      </c>
      <c r="B2112" s="27" t="n">
        <v>45939</v>
      </c>
      <c r="C2112" s="0" t="n">
        <v>2025</v>
      </c>
      <c r="D2112" s="28" t="s">
        <v>122</v>
      </c>
      <c r="E2112" s="0" t="n">
        <v>10</v>
      </c>
      <c r="F2112" s="28" t="s">
        <v>123</v>
      </c>
      <c r="G2112" s="28" t="s">
        <v>152</v>
      </c>
      <c r="H2112" s="28" t="s">
        <v>64</v>
      </c>
      <c r="I2112" s="28" t="s">
        <v>65</v>
      </c>
      <c r="J2112" s="28" t="s">
        <v>66</v>
      </c>
      <c r="K2112" s="28" t="s">
        <v>76</v>
      </c>
      <c r="L2112" s="28" t="s">
        <v>134</v>
      </c>
      <c r="M2112" s="28" t="s">
        <v>82</v>
      </c>
      <c r="N2112" s="28" t="s">
        <v>137</v>
      </c>
      <c r="O2112" s="29" t="n">
        <v>95</v>
      </c>
      <c r="P2112" s="30" t="n">
        <v>65.26</v>
      </c>
      <c r="Q2112" s="30" t="n">
        <v>36.49</v>
      </c>
      <c r="R2112" s="30" t="n">
        <f aca="false">ROUND(O2112*P2112,2)</f>
        <v>6199.7</v>
      </c>
      <c r="S2112" s="30" t="n">
        <f aca="false">ROUND(O2112*Q2112,2)</f>
        <v>3466.55</v>
      </c>
      <c r="T2112" s="30" t="n">
        <f aca="false">ROUND(R2112*SUMIFS(Parametros!$E$23:$E$38,Parametros!$B$23:$B$38,J2112,Parametros!$C$23:$C$38,C2112,Parametros!$D$23:$D$38,D2112),2)</f>
        <v>80.6</v>
      </c>
      <c r="U2112" s="30" t="n">
        <f aca="false">R2112-S2112-T2112</f>
        <v>2652.55</v>
      </c>
    </row>
    <row r="2113" customFormat="false" ht="15" hidden="false" customHeight="false" outlineLevel="0" collapsed="false">
      <c r="A2113" s="0" t="n">
        <v>2112</v>
      </c>
      <c r="B2113" s="27" t="n">
        <v>45946</v>
      </c>
      <c r="C2113" s="0" t="n">
        <v>2025</v>
      </c>
      <c r="D2113" s="28" t="s">
        <v>122</v>
      </c>
      <c r="E2113" s="0" t="n">
        <v>10</v>
      </c>
      <c r="F2113" s="28" t="s">
        <v>123</v>
      </c>
      <c r="G2113" s="28" t="s">
        <v>152</v>
      </c>
      <c r="H2113" s="28" t="s">
        <v>64</v>
      </c>
      <c r="I2113" s="28" t="s">
        <v>65</v>
      </c>
      <c r="J2113" s="28" t="s">
        <v>71</v>
      </c>
      <c r="K2113" s="28" t="s">
        <v>76</v>
      </c>
      <c r="L2113" s="28" t="s">
        <v>134</v>
      </c>
      <c r="M2113" s="28" t="s">
        <v>82</v>
      </c>
      <c r="N2113" s="28" t="s">
        <v>137</v>
      </c>
      <c r="O2113" s="29" t="n">
        <v>77</v>
      </c>
      <c r="P2113" s="30" t="n">
        <v>65.26</v>
      </c>
      <c r="Q2113" s="30" t="n">
        <v>36.49</v>
      </c>
      <c r="R2113" s="30" t="n">
        <f aca="false">ROUND(O2113*P2113,2)</f>
        <v>5025.02</v>
      </c>
      <c r="S2113" s="30" t="n">
        <f aca="false">ROUND(O2113*Q2113,2)</f>
        <v>2809.73</v>
      </c>
      <c r="T2113" s="30" t="n">
        <f aca="false">ROUND(R2113*SUMIFS(Parametros!$E$23:$E$38,Parametros!$B$23:$B$38,J2113,Parametros!$C$23:$C$38,C2113,Parametros!$D$23:$D$38,D2113),2)</f>
        <v>261.3</v>
      </c>
      <c r="U2113" s="30" t="n">
        <f aca="false">R2113-S2113-T2113</f>
        <v>1953.99</v>
      </c>
    </row>
    <row r="2114" customFormat="false" ht="15" hidden="false" customHeight="false" outlineLevel="0" collapsed="false">
      <c r="A2114" s="0" t="n">
        <v>2113</v>
      </c>
      <c r="B2114" s="27" t="n">
        <v>45953</v>
      </c>
      <c r="C2114" s="0" t="n">
        <v>2025</v>
      </c>
      <c r="D2114" s="28" t="s">
        <v>122</v>
      </c>
      <c r="E2114" s="0" t="n">
        <v>10</v>
      </c>
      <c r="F2114" s="28" t="s">
        <v>123</v>
      </c>
      <c r="G2114" s="28" t="s">
        <v>152</v>
      </c>
      <c r="H2114" s="28" t="s">
        <v>64</v>
      </c>
      <c r="I2114" s="28" t="s">
        <v>65</v>
      </c>
      <c r="J2114" s="28" t="s">
        <v>66</v>
      </c>
      <c r="K2114" s="28" t="s">
        <v>84</v>
      </c>
      <c r="L2114" s="28" t="s">
        <v>138</v>
      </c>
      <c r="M2114" s="28" t="s">
        <v>86</v>
      </c>
      <c r="N2114" s="28" t="s">
        <v>139</v>
      </c>
      <c r="O2114" s="29" t="n">
        <v>39</v>
      </c>
      <c r="P2114" s="30" t="n">
        <v>120.47</v>
      </c>
      <c r="Q2114" s="30" t="n">
        <v>65.51</v>
      </c>
      <c r="R2114" s="30" t="n">
        <f aca="false">ROUND(O2114*P2114,2)</f>
        <v>4698.33</v>
      </c>
      <c r="S2114" s="30" t="n">
        <f aca="false">ROUND(O2114*Q2114,2)</f>
        <v>2554.89</v>
      </c>
      <c r="T2114" s="30" t="n">
        <f aca="false">ROUND(R2114*SUMIFS(Parametros!$E$23:$E$38,Parametros!$B$23:$B$38,J2114,Parametros!$C$23:$C$38,C2114,Parametros!$D$23:$D$38,D2114),2)</f>
        <v>61.08</v>
      </c>
      <c r="U2114" s="30" t="n">
        <f aca="false">R2114-S2114-T2114</f>
        <v>2082.36</v>
      </c>
    </row>
    <row r="2115" customFormat="false" ht="15" hidden="false" customHeight="false" outlineLevel="0" collapsed="false">
      <c r="A2115" s="0" t="n">
        <v>2114</v>
      </c>
      <c r="B2115" s="27" t="n">
        <v>45933</v>
      </c>
      <c r="C2115" s="0" t="n">
        <v>2025</v>
      </c>
      <c r="D2115" s="28" t="s">
        <v>122</v>
      </c>
      <c r="E2115" s="0" t="n">
        <v>10</v>
      </c>
      <c r="F2115" s="28" t="s">
        <v>123</v>
      </c>
      <c r="G2115" s="28" t="s">
        <v>152</v>
      </c>
      <c r="H2115" s="28" t="s">
        <v>64</v>
      </c>
      <c r="I2115" s="28" t="s">
        <v>65</v>
      </c>
      <c r="J2115" s="28" t="s">
        <v>71</v>
      </c>
      <c r="K2115" s="28" t="s">
        <v>84</v>
      </c>
      <c r="L2115" s="28" t="s">
        <v>138</v>
      </c>
      <c r="M2115" s="28" t="s">
        <v>86</v>
      </c>
      <c r="N2115" s="28" t="s">
        <v>139</v>
      </c>
      <c r="O2115" s="29" t="n">
        <v>27</v>
      </c>
      <c r="P2115" s="30" t="n">
        <v>120.47</v>
      </c>
      <c r="Q2115" s="30" t="n">
        <v>65.51</v>
      </c>
      <c r="R2115" s="30" t="n">
        <f aca="false">ROUND(O2115*P2115,2)</f>
        <v>3252.69</v>
      </c>
      <c r="S2115" s="30" t="n">
        <f aca="false">ROUND(O2115*Q2115,2)</f>
        <v>1768.77</v>
      </c>
      <c r="T2115" s="30" t="n">
        <f aca="false">ROUND(R2115*SUMIFS(Parametros!$E$23:$E$38,Parametros!$B$23:$B$38,J2115,Parametros!$C$23:$C$38,C2115,Parametros!$D$23:$D$38,D2115),2)</f>
        <v>169.14</v>
      </c>
      <c r="U2115" s="30" t="n">
        <f aca="false">R2115-S2115-T2115</f>
        <v>1314.78</v>
      </c>
    </row>
    <row r="2116" customFormat="false" ht="15" hidden="false" customHeight="false" outlineLevel="0" collapsed="false">
      <c r="A2116" s="0" t="n">
        <v>2115</v>
      </c>
      <c r="B2116" s="27" t="n">
        <v>45940</v>
      </c>
      <c r="C2116" s="0" t="n">
        <v>2025</v>
      </c>
      <c r="D2116" s="28" t="s">
        <v>122</v>
      </c>
      <c r="E2116" s="0" t="n">
        <v>10</v>
      </c>
      <c r="F2116" s="28" t="s">
        <v>123</v>
      </c>
      <c r="G2116" s="28" t="s">
        <v>152</v>
      </c>
      <c r="H2116" s="28" t="s">
        <v>64</v>
      </c>
      <c r="I2116" s="28" t="s">
        <v>65</v>
      </c>
      <c r="J2116" s="28" t="s">
        <v>66</v>
      </c>
      <c r="K2116" s="28" t="s">
        <v>84</v>
      </c>
      <c r="L2116" s="28" t="s">
        <v>138</v>
      </c>
      <c r="M2116" s="28" t="s">
        <v>88</v>
      </c>
      <c r="N2116" s="28" t="s">
        <v>140</v>
      </c>
      <c r="O2116" s="29" t="n">
        <v>38</v>
      </c>
      <c r="P2116" s="30" t="n">
        <v>85.34</v>
      </c>
      <c r="Q2116" s="30" t="n">
        <v>49.47</v>
      </c>
      <c r="R2116" s="30" t="n">
        <f aca="false">ROUND(O2116*P2116,2)</f>
        <v>3242.92</v>
      </c>
      <c r="S2116" s="30" t="n">
        <f aca="false">ROUND(O2116*Q2116,2)</f>
        <v>1879.86</v>
      </c>
      <c r="T2116" s="30" t="n">
        <f aca="false">ROUND(R2116*SUMIFS(Parametros!$E$23:$E$38,Parametros!$B$23:$B$38,J2116,Parametros!$C$23:$C$38,C2116,Parametros!$D$23:$D$38,D2116),2)</f>
        <v>42.16</v>
      </c>
      <c r="U2116" s="30" t="n">
        <f aca="false">R2116-S2116-T2116</f>
        <v>1320.9</v>
      </c>
    </row>
    <row r="2117" customFormat="false" ht="15" hidden="false" customHeight="false" outlineLevel="0" collapsed="false">
      <c r="A2117" s="0" t="n">
        <v>2116</v>
      </c>
      <c r="B2117" s="27" t="n">
        <v>45947</v>
      </c>
      <c r="C2117" s="0" t="n">
        <v>2025</v>
      </c>
      <c r="D2117" s="28" t="s">
        <v>122</v>
      </c>
      <c r="E2117" s="0" t="n">
        <v>10</v>
      </c>
      <c r="F2117" s="28" t="s">
        <v>123</v>
      </c>
      <c r="G2117" s="28" t="s">
        <v>152</v>
      </c>
      <c r="H2117" s="28" t="s">
        <v>64</v>
      </c>
      <c r="I2117" s="28" t="s">
        <v>65</v>
      </c>
      <c r="J2117" s="28" t="s">
        <v>71</v>
      </c>
      <c r="K2117" s="28" t="s">
        <v>84</v>
      </c>
      <c r="L2117" s="28" t="s">
        <v>138</v>
      </c>
      <c r="M2117" s="28" t="s">
        <v>88</v>
      </c>
      <c r="N2117" s="28" t="s">
        <v>140</v>
      </c>
      <c r="O2117" s="29" t="n">
        <v>31</v>
      </c>
      <c r="P2117" s="30" t="n">
        <v>85.34</v>
      </c>
      <c r="Q2117" s="30" t="n">
        <v>49.47</v>
      </c>
      <c r="R2117" s="30" t="n">
        <f aca="false">ROUND(O2117*P2117,2)</f>
        <v>2645.54</v>
      </c>
      <c r="S2117" s="30" t="n">
        <f aca="false">ROUND(O2117*Q2117,2)</f>
        <v>1533.57</v>
      </c>
      <c r="T2117" s="30" t="n">
        <f aca="false">ROUND(R2117*SUMIFS(Parametros!$E$23:$E$38,Parametros!$B$23:$B$38,J2117,Parametros!$C$23:$C$38,C2117,Parametros!$D$23:$D$38,D2117),2)</f>
        <v>137.57</v>
      </c>
      <c r="U2117" s="30" t="n">
        <f aca="false">R2117-S2117-T2117</f>
        <v>974.4</v>
      </c>
    </row>
    <row r="2118" customFormat="false" ht="15" hidden="false" customHeight="false" outlineLevel="0" collapsed="false">
      <c r="A2118" s="0" t="n">
        <v>2117</v>
      </c>
      <c r="B2118" s="27" t="n">
        <v>45954</v>
      </c>
      <c r="C2118" s="0" t="n">
        <v>2025</v>
      </c>
      <c r="D2118" s="28" t="s">
        <v>122</v>
      </c>
      <c r="E2118" s="0" t="n">
        <v>10</v>
      </c>
      <c r="F2118" s="28" t="s">
        <v>123</v>
      </c>
      <c r="G2118" s="28" t="s">
        <v>152</v>
      </c>
      <c r="H2118" s="28" t="s">
        <v>64</v>
      </c>
      <c r="I2118" s="28" t="s">
        <v>65</v>
      </c>
      <c r="J2118" s="28" t="s">
        <v>66</v>
      </c>
      <c r="K2118" s="28" t="s">
        <v>90</v>
      </c>
      <c r="L2118" s="28" t="s">
        <v>141</v>
      </c>
      <c r="M2118" s="28" t="s">
        <v>92</v>
      </c>
      <c r="N2118" s="28" t="s">
        <v>142</v>
      </c>
      <c r="O2118" s="29" t="n">
        <v>47</v>
      </c>
      <c r="P2118" s="30" t="n">
        <v>130.51</v>
      </c>
      <c r="Q2118" s="30" t="n">
        <v>78.33</v>
      </c>
      <c r="R2118" s="30" t="n">
        <f aca="false">ROUND(O2118*P2118,2)</f>
        <v>6133.97</v>
      </c>
      <c r="S2118" s="30" t="n">
        <f aca="false">ROUND(O2118*Q2118,2)</f>
        <v>3681.51</v>
      </c>
      <c r="T2118" s="30" t="n">
        <f aca="false">ROUND(R2118*SUMIFS(Parametros!$E$23:$E$38,Parametros!$B$23:$B$38,J2118,Parametros!$C$23:$C$38,C2118,Parametros!$D$23:$D$38,D2118),2)</f>
        <v>79.74</v>
      </c>
      <c r="U2118" s="30" t="n">
        <f aca="false">R2118-S2118-T2118</f>
        <v>2372.72</v>
      </c>
    </row>
    <row r="2119" customFormat="false" ht="15" hidden="false" customHeight="false" outlineLevel="0" collapsed="false">
      <c r="A2119" s="0" t="n">
        <v>2118</v>
      </c>
      <c r="B2119" s="27" t="n">
        <v>45934</v>
      </c>
      <c r="C2119" s="0" t="n">
        <v>2025</v>
      </c>
      <c r="D2119" s="28" t="s">
        <v>122</v>
      </c>
      <c r="E2119" s="0" t="n">
        <v>10</v>
      </c>
      <c r="F2119" s="28" t="s">
        <v>123</v>
      </c>
      <c r="G2119" s="28" t="s">
        <v>152</v>
      </c>
      <c r="H2119" s="28" t="s">
        <v>64</v>
      </c>
      <c r="I2119" s="28" t="s">
        <v>65</v>
      </c>
      <c r="J2119" s="28" t="s">
        <v>71</v>
      </c>
      <c r="K2119" s="28" t="s">
        <v>90</v>
      </c>
      <c r="L2119" s="28" t="s">
        <v>141</v>
      </c>
      <c r="M2119" s="28" t="s">
        <v>92</v>
      </c>
      <c r="N2119" s="28" t="s">
        <v>142</v>
      </c>
      <c r="O2119" s="29" t="n">
        <v>39</v>
      </c>
      <c r="P2119" s="30" t="n">
        <v>130.51</v>
      </c>
      <c r="Q2119" s="30" t="n">
        <v>78.33</v>
      </c>
      <c r="R2119" s="30" t="n">
        <f aca="false">ROUND(O2119*P2119,2)</f>
        <v>5089.89</v>
      </c>
      <c r="S2119" s="30" t="n">
        <f aca="false">ROUND(O2119*Q2119,2)</f>
        <v>3054.87</v>
      </c>
      <c r="T2119" s="30" t="n">
        <f aca="false">ROUND(R2119*SUMIFS(Parametros!$E$23:$E$38,Parametros!$B$23:$B$38,J2119,Parametros!$C$23:$C$38,C2119,Parametros!$D$23:$D$38,D2119),2)</f>
        <v>264.67</v>
      </c>
      <c r="U2119" s="30" t="n">
        <f aca="false">R2119-S2119-T2119</f>
        <v>1770.35</v>
      </c>
    </row>
    <row r="2120" customFormat="false" ht="15" hidden="false" customHeight="false" outlineLevel="0" collapsed="false">
      <c r="A2120" s="0" t="n">
        <v>2119</v>
      </c>
      <c r="B2120" s="27" t="n">
        <v>45941</v>
      </c>
      <c r="C2120" s="0" t="n">
        <v>2025</v>
      </c>
      <c r="D2120" s="28" t="s">
        <v>122</v>
      </c>
      <c r="E2120" s="0" t="n">
        <v>10</v>
      </c>
      <c r="F2120" s="28" t="s">
        <v>123</v>
      </c>
      <c r="G2120" s="28" t="s">
        <v>152</v>
      </c>
      <c r="H2120" s="28" t="s">
        <v>64</v>
      </c>
      <c r="I2120" s="28" t="s">
        <v>65</v>
      </c>
      <c r="J2120" s="28" t="s">
        <v>66</v>
      </c>
      <c r="K2120" s="28" t="s">
        <v>90</v>
      </c>
      <c r="L2120" s="28" t="s">
        <v>141</v>
      </c>
      <c r="M2120" s="28" t="s">
        <v>94</v>
      </c>
      <c r="N2120" s="28" t="s">
        <v>143</v>
      </c>
      <c r="O2120" s="29" t="n">
        <v>51</v>
      </c>
      <c r="P2120" s="30" t="n">
        <v>35.14</v>
      </c>
      <c r="Q2120" s="30" t="n">
        <v>18.39</v>
      </c>
      <c r="R2120" s="30" t="n">
        <f aca="false">ROUND(O2120*P2120,2)</f>
        <v>1792.14</v>
      </c>
      <c r="S2120" s="30" t="n">
        <f aca="false">ROUND(O2120*Q2120,2)</f>
        <v>937.89</v>
      </c>
      <c r="T2120" s="30" t="n">
        <f aca="false">ROUND(R2120*SUMIFS(Parametros!$E$23:$E$38,Parametros!$B$23:$B$38,J2120,Parametros!$C$23:$C$38,C2120,Parametros!$D$23:$D$38,D2120),2)</f>
        <v>23.3</v>
      </c>
      <c r="U2120" s="30" t="n">
        <f aca="false">R2120-S2120-T2120</f>
        <v>830.95</v>
      </c>
    </row>
    <row r="2121" customFormat="false" ht="15" hidden="false" customHeight="false" outlineLevel="0" collapsed="false">
      <c r="A2121" s="0" t="n">
        <v>2120</v>
      </c>
      <c r="B2121" s="27" t="n">
        <v>45948</v>
      </c>
      <c r="C2121" s="0" t="n">
        <v>2025</v>
      </c>
      <c r="D2121" s="28" t="s">
        <v>122</v>
      </c>
      <c r="E2121" s="0" t="n">
        <v>10</v>
      </c>
      <c r="F2121" s="28" t="s">
        <v>123</v>
      </c>
      <c r="G2121" s="28" t="s">
        <v>152</v>
      </c>
      <c r="H2121" s="28" t="s">
        <v>64</v>
      </c>
      <c r="I2121" s="28" t="s">
        <v>65</v>
      </c>
      <c r="J2121" s="28" t="s">
        <v>71</v>
      </c>
      <c r="K2121" s="28" t="s">
        <v>90</v>
      </c>
      <c r="L2121" s="28" t="s">
        <v>141</v>
      </c>
      <c r="M2121" s="28" t="s">
        <v>94</v>
      </c>
      <c r="N2121" s="28" t="s">
        <v>143</v>
      </c>
      <c r="O2121" s="29" t="n">
        <v>41</v>
      </c>
      <c r="P2121" s="30" t="n">
        <v>35.14</v>
      </c>
      <c r="Q2121" s="30" t="n">
        <v>18.39</v>
      </c>
      <c r="R2121" s="30" t="n">
        <f aca="false">ROUND(O2121*P2121,2)</f>
        <v>1440.74</v>
      </c>
      <c r="S2121" s="30" t="n">
        <f aca="false">ROUND(O2121*Q2121,2)</f>
        <v>753.99</v>
      </c>
      <c r="T2121" s="30" t="n">
        <f aca="false">ROUND(R2121*SUMIFS(Parametros!$E$23:$E$38,Parametros!$B$23:$B$38,J2121,Parametros!$C$23:$C$38,C2121,Parametros!$D$23:$D$38,D2121),2)</f>
        <v>74.92</v>
      </c>
      <c r="U2121" s="30" t="n">
        <f aca="false">R2121-S2121-T2121</f>
        <v>611.83</v>
      </c>
    </row>
    <row r="2122" customFormat="false" ht="15" hidden="false" customHeight="false" outlineLevel="0" collapsed="false">
      <c r="A2122" s="0" t="n">
        <v>2121</v>
      </c>
      <c r="B2122" s="27" t="n">
        <v>45955</v>
      </c>
      <c r="C2122" s="0" t="n">
        <v>2025</v>
      </c>
      <c r="D2122" s="28" t="s">
        <v>122</v>
      </c>
      <c r="E2122" s="0" t="n">
        <v>10</v>
      </c>
      <c r="F2122" s="28" t="s">
        <v>123</v>
      </c>
      <c r="G2122" s="28" t="s">
        <v>152</v>
      </c>
      <c r="H2122" s="28" t="s">
        <v>96</v>
      </c>
      <c r="I2122" s="28" t="s">
        <v>97</v>
      </c>
      <c r="J2122" s="28" t="s">
        <v>66</v>
      </c>
      <c r="K2122" s="28" t="s">
        <v>67</v>
      </c>
      <c r="L2122" s="28" t="s">
        <v>130</v>
      </c>
      <c r="M2122" s="28" t="s">
        <v>69</v>
      </c>
      <c r="N2122" s="28" t="s">
        <v>131</v>
      </c>
      <c r="O2122" s="29" t="n">
        <v>12</v>
      </c>
      <c r="P2122" s="30" t="n">
        <v>1204.74</v>
      </c>
      <c r="Q2122" s="30" t="n">
        <v>766.32</v>
      </c>
      <c r="R2122" s="30" t="n">
        <f aca="false">ROUND(O2122*P2122,2)</f>
        <v>14456.88</v>
      </c>
      <c r="S2122" s="30" t="n">
        <f aca="false">ROUND(O2122*Q2122,2)</f>
        <v>9195.84</v>
      </c>
      <c r="T2122" s="30" t="n">
        <f aca="false">ROUND(R2122*SUMIFS(Parametros!$E$23:$E$38,Parametros!$B$23:$B$38,J2122,Parametros!$C$23:$C$38,C2122,Parametros!$D$23:$D$38,D2122),2)</f>
        <v>187.94</v>
      </c>
      <c r="U2122" s="30" t="n">
        <f aca="false">R2122-S2122-T2122</f>
        <v>5073.1</v>
      </c>
    </row>
    <row r="2123" customFormat="false" ht="15" hidden="false" customHeight="false" outlineLevel="0" collapsed="false">
      <c r="A2123" s="0" t="n">
        <v>2122</v>
      </c>
      <c r="B2123" s="27" t="n">
        <v>45935</v>
      </c>
      <c r="C2123" s="0" t="n">
        <v>2025</v>
      </c>
      <c r="D2123" s="28" t="s">
        <v>122</v>
      </c>
      <c r="E2123" s="0" t="n">
        <v>10</v>
      </c>
      <c r="F2123" s="28" t="s">
        <v>123</v>
      </c>
      <c r="G2123" s="28" t="s">
        <v>152</v>
      </c>
      <c r="H2123" s="28" t="s">
        <v>96</v>
      </c>
      <c r="I2123" s="28" t="s">
        <v>97</v>
      </c>
      <c r="J2123" s="28" t="s">
        <v>71</v>
      </c>
      <c r="K2123" s="28" t="s">
        <v>67</v>
      </c>
      <c r="L2123" s="28" t="s">
        <v>130</v>
      </c>
      <c r="M2123" s="28" t="s">
        <v>69</v>
      </c>
      <c r="N2123" s="28" t="s">
        <v>131</v>
      </c>
      <c r="O2123" s="29" t="n">
        <v>8</v>
      </c>
      <c r="P2123" s="30" t="n">
        <v>1204.74</v>
      </c>
      <c r="Q2123" s="30" t="n">
        <v>766.32</v>
      </c>
      <c r="R2123" s="30" t="n">
        <f aca="false">ROUND(O2123*P2123,2)</f>
        <v>9637.92</v>
      </c>
      <c r="S2123" s="30" t="n">
        <f aca="false">ROUND(O2123*Q2123,2)</f>
        <v>6130.56</v>
      </c>
      <c r="T2123" s="30" t="n">
        <f aca="false">ROUND(R2123*SUMIFS(Parametros!$E$23:$E$38,Parametros!$B$23:$B$38,J2123,Parametros!$C$23:$C$38,C2123,Parametros!$D$23:$D$38,D2123),2)</f>
        <v>501.17</v>
      </c>
      <c r="U2123" s="30" t="n">
        <f aca="false">R2123-S2123-T2123</f>
        <v>3006.19</v>
      </c>
    </row>
    <row r="2124" customFormat="false" ht="15" hidden="false" customHeight="false" outlineLevel="0" collapsed="false">
      <c r="A2124" s="0" t="n">
        <v>2123</v>
      </c>
      <c r="B2124" s="27" t="n">
        <v>45942</v>
      </c>
      <c r="C2124" s="0" t="n">
        <v>2025</v>
      </c>
      <c r="D2124" s="28" t="s">
        <v>122</v>
      </c>
      <c r="E2124" s="0" t="n">
        <v>10</v>
      </c>
      <c r="F2124" s="28" t="s">
        <v>123</v>
      </c>
      <c r="G2124" s="28" t="s">
        <v>152</v>
      </c>
      <c r="H2124" s="28" t="s">
        <v>96</v>
      </c>
      <c r="I2124" s="28" t="s">
        <v>97</v>
      </c>
      <c r="J2124" s="28" t="s">
        <v>66</v>
      </c>
      <c r="K2124" s="28" t="s">
        <v>67</v>
      </c>
      <c r="L2124" s="28" t="s">
        <v>130</v>
      </c>
      <c r="M2124" s="28" t="s">
        <v>72</v>
      </c>
      <c r="N2124" s="28" t="s">
        <v>132</v>
      </c>
      <c r="O2124" s="29" t="n">
        <v>11</v>
      </c>
      <c r="P2124" s="30" t="n">
        <v>451.78</v>
      </c>
      <c r="Q2124" s="30" t="n">
        <v>280.42</v>
      </c>
      <c r="R2124" s="30" t="n">
        <f aca="false">ROUND(O2124*P2124,2)</f>
        <v>4969.58</v>
      </c>
      <c r="S2124" s="30" t="n">
        <f aca="false">ROUND(O2124*Q2124,2)</f>
        <v>3084.62</v>
      </c>
      <c r="T2124" s="30" t="n">
        <f aca="false">ROUND(R2124*SUMIFS(Parametros!$E$23:$E$38,Parametros!$B$23:$B$38,J2124,Parametros!$C$23:$C$38,C2124,Parametros!$D$23:$D$38,D2124),2)</f>
        <v>64.6</v>
      </c>
      <c r="U2124" s="30" t="n">
        <f aca="false">R2124-S2124-T2124</f>
        <v>1820.36</v>
      </c>
    </row>
    <row r="2125" customFormat="false" ht="15" hidden="false" customHeight="false" outlineLevel="0" collapsed="false">
      <c r="A2125" s="0" t="n">
        <v>2124</v>
      </c>
      <c r="B2125" s="27" t="n">
        <v>45949</v>
      </c>
      <c r="C2125" s="0" t="n">
        <v>2025</v>
      </c>
      <c r="D2125" s="28" t="s">
        <v>122</v>
      </c>
      <c r="E2125" s="0" t="n">
        <v>10</v>
      </c>
      <c r="F2125" s="28" t="s">
        <v>123</v>
      </c>
      <c r="G2125" s="28" t="s">
        <v>152</v>
      </c>
      <c r="H2125" s="28" t="s">
        <v>96</v>
      </c>
      <c r="I2125" s="28" t="s">
        <v>97</v>
      </c>
      <c r="J2125" s="28" t="s">
        <v>71</v>
      </c>
      <c r="K2125" s="28" t="s">
        <v>67</v>
      </c>
      <c r="L2125" s="28" t="s">
        <v>130</v>
      </c>
      <c r="M2125" s="28" t="s">
        <v>72</v>
      </c>
      <c r="N2125" s="28" t="s">
        <v>132</v>
      </c>
      <c r="O2125" s="29" t="n">
        <v>9</v>
      </c>
      <c r="P2125" s="30" t="n">
        <v>451.78</v>
      </c>
      <c r="Q2125" s="30" t="n">
        <v>280.42</v>
      </c>
      <c r="R2125" s="30" t="n">
        <f aca="false">ROUND(O2125*P2125,2)</f>
        <v>4066.02</v>
      </c>
      <c r="S2125" s="30" t="n">
        <f aca="false">ROUND(O2125*Q2125,2)</f>
        <v>2523.78</v>
      </c>
      <c r="T2125" s="30" t="n">
        <f aca="false">ROUND(R2125*SUMIFS(Parametros!$E$23:$E$38,Parametros!$B$23:$B$38,J2125,Parametros!$C$23:$C$38,C2125,Parametros!$D$23:$D$38,D2125),2)</f>
        <v>211.43</v>
      </c>
      <c r="U2125" s="30" t="n">
        <f aca="false">R2125-S2125-T2125</f>
        <v>1330.81</v>
      </c>
    </row>
    <row r="2126" customFormat="false" ht="15" hidden="false" customHeight="false" outlineLevel="0" collapsed="false">
      <c r="A2126" s="0" t="n">
        <v>2125</v>
      </c>
      <c r="B2126" s="27" t="n">
        <v>45956</v>
      </c>
      <c r="C2126" s="0" t="n">
        <v>2025</v>
      </c>
      <c r="D2126" s="28" t="s">
        <v>122</v>
      </c>
      <c r="E2126" s="0" t="n">
        <v>10</v>
      </c>
      <c r="F2126" s="28" t="s">
        <v>123</v>
      </c>
      <c r="G2126" s="28" t="s">
        <v>152</v>
      </c>
      <c r="H2126" s="28" t="s">
        <v>96</v>
      </c>
      <c r="I2126" s="28" t="s">
        <v>97</v>
      </c>
      <c r="J2126" s="28" t="s">
        <v>66</v>
      </c>
      <c r="K2126" s="28" t="s">
        <v>67</v>
      </c>
      <c r="L2126" s="28" t="s">
        <v>130</v>
      </c>
      <c r="M2126" s="28" t="s">
        <v>74</v>
      </c>
      <c r="N2126" s="28" t="s">
        <v>133</v>
      </c>
      <c r="O2126" s="29" t="n">
        <v>11</v>
      </c>
      <c r="P2126" s="30" t="n">
        <v>1656.52</v>
      </c>
      <c r="Q2126" s="30" t="n">
        <v>1155.66</v>
      </c>
      <c r="R2126" s="30" t="n">
        <f aca="false">ROUND(O2126*P2126,2)</f>
        <v>18221.72</v>
      </c>
      <c r="S2126" s="30" t="n">
        <f aca="false">ROUND(O2126*Q2126,2)</f>
        <v>12712.26</v>
      </c>
      <c r="T2126" s="30" t="n">
        <f aca="false">ROUND(R2126*SUMIFS(Parametros!$E$23:$E$38,Parametros!$B$23:$B$38,J2126,Parametros!$C$23:$C$38,C2126,Parametros!$D$23:$D$38,D2126),2)</f>
        <v>236.88</v>
      </c>
      <c r="U2126" s="30" t="n">
        <f aca="false">R2126-S2126-T2126</f>
        <v>5272.58</v>
      </c>
    </row>
    <row r="2127" customFormat="false" ht="15" hidden="false" customHeight="false" outlineLevel="0" collapsed="false">
      <c r="A2127" s="0" t="n">
        <v>2126</v>
      </c>
      <c r="B2127" s="27" t="n">
        <v>45936</v>
      </c>
      <c r="C2127" s="0" t="n">
        <v>2025</v>
      </c>
      <c r="D2127" s="28" t="s">
        <v>122</v>
      </c>
      <c r="E2127" s="0" t="n">
        <v>10</v>
      </c>
      <c r="F2127" s="28" t="s">
        <v>123</v>
      </c>
      <c r="G2127" s="28" t="s">
        <v>152</v>
      </c>
      <c r="H2127" s="28" t="s">
        <v>96</v>
      </c>
      <c r="I2127" s="28" t="s">
        <v>97</v>
      </c>
      <c r="J2127" s="28" t="s">
        <v>71</v>
      </c>
      <c r="K2127" s="28" t="s">
        <v>67</v>
      </c>
      <c r="L2127" s="28" t="s">
        <v>130</v>
      </c>
      <c r="M2127" s="28" t="s">
        <v>74</v>
      </c>
      <c r="N2127" s="28" t="s">
        <v>133</v>
      </c>
      <c r="O2127" s="29" t="n">
        <v>7</v>
      </c>
      <c r="P2127" s="30" t="n">
        <v>1656.52</v>
      </c>
      <c r="Q2127" s="30" t="n">
        <v>1155.66</v>
      </c>
      <c r="R2127" s="30" t="n">
        <f aca="false">ROUND(O2127*P2127,2)</f>
        <v>11595.64</v>
      </c>
      <c r="S2127" s="30" t="n">
        <f aca="false">ROUND(O2127*Q2127,2)</f>
        <v>8089.62</v>
      </c>
      <c r="T2127" s="30" t="n">
        <f aca="false">ROUND(R2127*SUMIFS(Parametros!$E$23:$E$38,Parametros!$B$23:$B$38,J2127,Parametros!$C$23:$C$38,C2127,Parametros!$D$23:$D$38,D2127),2)</f>
        <v>602.97</v>
      </c>
      <c r="U2127" s="30" t="n">
        <f aca="false">R2127-S2127-T2127</f>
        <v>2903.05</v>
      </c>
    </row>
    <row r="2128" customFormat="false" ht="15" hidden="false" customHeight="false" outlineLevel="0" collapsed="false">
      <c r="A2128" s="0" t="n">
        <v>2127</v>
      </c>
      <c r="B2128" s="27" t="n">
        <v>45943</v>
      </c>
      <c r="C2128" s="0" t="n">
        <v>2025</v>
      </c>
      <c r="D2128" s="28" t="s">
        <v>122</v>
      </c>
      <c r="E2128" s="0" t="n">
        <v>10</v>
      </c>
      <c r="F2128" s="28" t="s">
        <v>123</v>
      </c>
      <c r="G2128" s="28" t="s">
        <v>152</v>
      </c>
      <c r="H2128" s="28" t="s">
        <v>96</v>
      </c>
      <c r="I2128" s="28" t="s">
        <v>97</v>
      </c>
      <c r="J2128" s="28" t="s">
        <v>66</v>
      </c>
      <c r="K2128" s="28" t="s">
        <v>76</v>
      </c>
      <c r="L2128" s="28" t="s">
        <v>134</v>
      </c>
      <c r="M2128" s="28" t="s">
        <v>78</v>
      </c>
      <c r="N2128" s="28" t="s">
        <v>135</v>
      </c>
      <c r="O2128" s="29" t="n">
        <v>55</v>
      </c>
      <c r="P2128" s="30" t="n">
        <v>28.11</v>
      </c>
      <c r="Q2128" s="30" t="n">
        <v>13.84</v>
      </c>
      <c r="R2128" s="30" t="n">
        <f aca="false">ROUND(O2128*P2128,2)</f>
        <v>1546.05</v>
      </c>
      <c r="S2128" s="30" t="n">
        <f aca="false">ROUND(O2128*Q2128,2)</f>
        <v>761.2</v>
      </c>
      <c r="T2128" s="30" t="n">
        <f aca="false">ROUND(R2128*SUMIFS(Parametros!$E$23:$E$38,Parametros!$B$23:$B$38,J2128,Parametros!$C$23:$C$38,C2128,Parametros!$D$23:$D$38,D2128),2)</f>
        <v>20.1</v>
      </c>
      <c r="U2128" s="30" t="n">
        <f aca="false">R2128-S2128-T2128</f>
        <v>764.75</v>
      </c>
    </row>
    <row r="2129" customFormat="false" ht="15" hidden="false" customHeight="false" outlineLevel="0" collapsed="false">
      <c r="A2129" s="0" t="n">
        <v>2128</v>
      </c>
      <c r="B2129" s="27" t="n">
        <v>45950</v>
      </c>
      <c r="C2129" s="0" t="n">
        <v>2025</v>
      </c>
      <c r="D2129" s="28" t="s">
        <v>122</v>
      </c>
      <c r="E2129" s="0" t="n">
        <v>10</v>
      </c>
      <c r="F2129" s="28" t="s">
        <v>123</v>
      </c>
      <c r="G2129" s="28" t="s">
        <v>152</v>
      </c>
      <c r="H2129" s="28" t="s">
        <v>96</v>
      </c>
      <c r="I2129" s="28" t="s">
        <v>97</v>
      </c>
      <c r="J2129" s="28" t="s">
        <v>71</v>
      </c>
      <c r="K2129" s="28" t="s">
        <v>76</v>
      </c>
      <c r="L2129" s="28" t="s">
        <v>134</v>
      </c>
      <c r="M2129" s="28" t="s">
        <v>78</v>
      </c>
      <c r="N2129" s="28" t="s">
        <v>135</v>
      </c>
      <c r="O2129" s="29" t="n">
        <v>33</v>
      </c>
      <c r="P2129" s="30" t="n">
        <v>28.11</v>
      </c>
      <c r="Q2129" s="30" t="n">
        <v>13.84</v>
      </c>
      <c r="R2129" s="30" t="n">
        <f aca="false">ROUND(O2129*P2129,2)</f>
        <v>927.63</v>
      </c>
      <c r="S2129" s="30" t="n">
        <f aca="false">ROUND(O2129*Q2129,2)</f>
        <v>456.72</v>
      </c>
      <c r="T2129" s="30" t="n">
        <f aca="false">ROUND(R2129*SUMIFS(Parametros!$E$23:$E$38,Parametros!$B$23:$B$38,J2129,Parametros!$C$23:$C$38,C2129,Parametros!$D$23:$D$38,D2129),2)</f>
        <v>48.24</v>
      </c>
      <c r="U2129" s="30" t="n">
        <f aca="false">R2129-S2129-T2129</f>
        <v>422.67</v>
      </c>
    </row>
    <row r="2130" customFormat="false" ht="15" hidden="false" customHeight="false" outlineLevel="0" collapsed="false">
      <c r="A2130" s="0" t="n">
        <v>2129</v>
      </c>
      <c r="B2130" s="27" t="n">
        <v>45957</v>
      </c>
      <c r="C2130" s="0" t="n">
        <v>2025</v>
      </c>
      <c r="D2130" s="28" t="s">
        <v>122</v>
      </c>
      <c r="E2130" s="0" t="n">
        <v>10</v>
      </c>
      <c r="F2130" s="28" t="s">
        <v>123</v>
      </c>
      <c r="G2130" s="28" t="s">
        <v>152</v>
      </c>
      <c r="H2130" s="28" t="s">
        <v>96</v>
      </c>
      <c r="I2130" s="28" t="s">
        <v>97</v>
      </c>
      <c r="J2130" s="28" t="s">
        <v>66</v>
      </c>
      <c r="K2130" s="28" t="s">
        <v>76</v>
      </c>
      <c r="L2130" s="28" t="s">
        <v>134</v>
      </c>
      <c r="M2130" s="28" t="s">
        <v>80</v>
      </c>
      <c r="N2130" s="28" t="s">
        <v>136</v>
      </c>
      <c r="O2130" s="29" t="n">
        <v>61</v>
      </c>
      <c r="P2130" s="30" t="n">
        <v>95.38</v>
      </c>
      <c r="Q2130" s="30" t="n">
        <v>49.41</v>
      </c>
      <c r="R2130" s="30" t="n">
        <f aca="false">ROUND(O2130*P2130,2)</f>
        <v>5818.18</v>
      </c>
      <c r="S2130" s="30" t="n">
        <f aca="false">ROUND(O2130*Q2130,2)</f>
        <v>3014.01</v>
      </c>
      <c r="T2130" s="30" t="n">
        <f aca="false">ROUND(R2130*SUMIFS(Parametros!$E$23:$E$38,Parametros!$B$23:$B$38,J2130,Parametros!$C$23:$C$38,C2130,Parametros!$D$23:$D$38,D2130),2)</f>
        <v>75.64</v>
      </c>
      <c r="U2130" s="30" t="n">
        <f aca="false">R2130-S2130-T2130</f>
        <v>2728.53</v>
      </c>
    </row>
    <row r="2131" customFormat="false" ht="15" hidden="false" customHeight="false" outlineLevel="0" collapsed="false">
      <c r="A2131" s="0" t="n">
        <v>2130</v>
      </c>
      <c r="B2131" s="27" t="n">
        <v>45937</v>
      </c>
      <c r="C2131" s="0" t="n">
        <v>2025</v>
      </c>
      <c r="D2131" s="28" t="s">
        <v>122</v>
      </c>
      <c r="E2131" s="0" t="n">
        <v>10</v>
      </c>
      <c r="F2131" s="28" t="s">
        <v>123</v>
      </c>
      <c r="G2131" s="28" t="s">
        <v>152</v>
      </c>
      <c r="H2131" s="28" t="s">
        <v>96</v>
      </c>
      <c r="I2131" s="28" t="s">
        <v>97</v>
      </c>
      <c r="J2131" s="28" t="s">
        <v>71</v>
      </c>
      <c r="K2131" s="28" t="s">
        <v>76</v>
      </c>
      <c r="L2131" s="28" t="s">
        <v>134</v>
      </c>
      <c r="M2131" s="28" t="s">
        <v>80</v>
      </c>
      <c r="N2131" s="28" t="s">
        <v>136</v>
      </c>
      <c r="O2131" s="29" t="n">
        <v>40</v>
      </c>
      <c r="P2131" s="30" t="n">
        <v>95.38</v>
      </c>
      <c r="Q2131" s="30" t="n">
        <v>49.41</v>
      </c>
      <c r="R2131" s="30" t="n">
        <f aca="false">ROUND(O2131*P2131,2)</f>
        <v>3815.2</v>
      </c>
      <c r="S2131" s="30" t="n">
        <f aca="false">ROUND(O2131*Q2131,2)</f>
        <v>1976.4</v>
      </c>
      <c r="T2131" s="30" t="n">
        <f aca="false">ROUND(R2131*SUMIFS(Parametros!$E$23:$E$38,Parametros!$B$23:$B$38,J2131,Parametros!$C$23:$C$38,C2131,Parametros!$D$23:$D$38,D2131),2)</f>
        <v>198.39</v>
      </c>
      <c r="U2131" s="30" t="n">
        <f aca="false">R2131-S2131-T2131</f>
        <v>1640.41</v>
      </c>
    </row>
    <row r="2132" customFormat="false" ht="15" hidden="false" customHeight="false" outlineLevel="0" collapsed="false">
      <c r="A2132" s="0" t="n">
        <v>2131</v>
      </c>
      <c r="B2132" s="27" t="n">
        <v>45944</v>
      </c>
      <c r="C2132" s="0" t="n">
        <v>2025</v>
      </c>
      <c r="D2132" s="28" t="s">
        <v>122</v>
      </c>
      <c r="E2132" s="0" t="n">
        <v>10</v>
      </c>
      <c r="F2132" s="28" t="s">
        <v>123</v>
      </c>
      <c r="G2132" s="28" t="s">
        <v>152</v>
      </c>
      <c r="H2132" s="28" t="s">
        <v>96</v>
      </c>
      <c r="I2132" s="28" t="s">
        <v>97</v>
      </c>
      <c r="J2132" s="28" t="s">
        <v>66</v>
      </c>
      <c r="K2132" s="28" t="s">
        <v>76</v>
      </c>
      <c r="L2132" s="28" t="s">
        <v>134</v>
      </c>
      <c r="M2132" s="28" t="s">
        <v>82</v>
      </c>
      <c r="N2132" s="28" t="s">
        <v>137</v>
      </c>
      <c r="O2132" s="29" t="n">
        <v>57</v>
      </c>
      <c r="P2132" s="30" t="n">
        <v>65.26</v>
      </c>
      <c r="Q2132" s="30" t="n">
        <v>36.49</v>
      </c>
      <c r="R2132" s="30" t="n">
        <f aca="false">ROUND(O2132*P2132,2)</f>
        <v>3719.82</v>
      </c>
      <c r="S2132" s="30" t="n">
        <f aca="false">ROUND(O2132*Q2132,2)</f>
        <v>2079.93</v>
      </c>
      <c r="T2132" s="30" t="n">
        <f aca="false">ROUND(R2132*SUMIFS(Parametros!$E$23:$E$38,Parametros!$B$23:$B$38,J2132,Parametros!$C$23:$C$38,C2132,Parametros!$D$23:$D$38,D2132),2)</f>
        <v>48.36</v>
      </c>
      <c r="U2132" s="30" t="n">
        <f aca="false">R2132-S2132-T2132</f>
        <v>1591.53</v>
      </c>
    </row>
    <row r="2133" customFormat="false" ht="15" hidden="false" customHeight="false" outlineLevel="0" collapsed="false">
      <c r="A2133" s="0" t="n">
        <v>2132</v>
      </c>
      <c r="B2133" s="27" t="n">
        <v>45951</v>
      </c>
      <c r="C2133" s="0" t="n">
        <v>2025</v>
      </c>
      <c r="D2133" s="28" t="s">
        <v>122</v>
      </c>
      <c r="E2133" s="0" t="n">
        <v>10</v>
      </c>
      <c r="F2133" s="28" t="s">
        <v>123</v>
      </c>
      <c r="G2133" s="28" t="s">
        <v>152</v>
      </c>
      <c r="H2133" s="28" t="s">
        <v>96</v>
      </c>
      <c r="I2133" s="28" t="s">
        <v>97</v>
      </c>
      <c r="J2133" s="28" t="s">
        <v>71</v>
      </c>
      <c r="K2133" s="28" t="s">
        <v>76</v>
      </c>
      <c r="L2133" s="28" t="s">
        <v>134</v>
      </c>
      <c r="M2133" s="28" t="s">
        <v>82</v>
      </c>
      <c r="N2133" s="28" t="s">
        <v>137</v>
      </c>
      <c r="O2133" s="29" t="n">
        <v>39</v>
      </c>
      <c r="P2133" s="30" t="n">
        <v>65.26</v>
      </c>
      <c r="Q2133" s="30" t="n">
        <v>36.49</v>
      </c>
      <c r="R2133" s="30" t="n">
        <f aca="false">ROUND(O2133*P2133,2)</f>
        <v>2545.14</v>
      </c>
      <c r="S2133" s="30" t="n">
        <f aca="false">ROUND(O2133*Q2133,2)</f>
        <v>1423.11</v>
      </c>
      <c r="T2133" s="30" t="n">
        <f aca="false">ROUND(R2133*SUMIFS(Parametros!$E$23:$E$38,Parametros!$B$23:$B$38,J2133,Parametros!$C$23:$C$38,C2133,Parametros!$D$23:$D$38,D2133),2)</f>
        <v>132.35</v>
      </c>
      <c r="U2133" s="30" t="n">
        <f aca="false">R2133-S2133-T2133</f>
        <v>989.68</v>
      </c>
    </row>
    <row r="2134" customFormat="false" ht="15" hidden="false" customHeight="false" outlineLevel="0" collapsed="false">
      <c r="A2134" s="0" t="n">
        <v>2133</v>
      </c>
      <c r="B2134" s="27" t="n">
        <v>45931</v>
      </c>
      <c r="C2134" s="0" t="n">
        <v>2025</v>
      </c>
      <c r="D2134" s="28" t="s">
        <v>122</v>
      </c>
      <c r="E2134" s="0" t="n">
        <v>10</v>
      </c>
      <c r="F2134" s="28" t="s">
        <v>123</v>
      </c>
      <c r="G2134" s="28" t="s">
        <v>152</v>
      </c>
      <c r="H2134" s="28" t="s">
        <v>96</v>
      </c>
      <c r="I2134" s="28" t="s">
        <v>97</v>
      </c>
      <c r="J2134" s="28" t="s">
        <v>66</v>
      </c>
      <c r="K2134" s="28" t="s">
        <v>84</v>
      </c>
      <c r="L2134" s="28" t="s">
        <v>138</v>
      </c>
      <c r="M2134" s="28" t="s">
        <v>86</v>
      </c>
      <c r="N2134" s="28" t="s">
        <v>139</v>
      </c>
      <c r="O2134" s="29" t="n">
        <v>28</v>
      </c>
      <c r="P2134" s="30" t="n">
        <v>120.47</v>
      </c>
      <c r="Q2134" s="30" t="n">
        <v>65.51</v>
      </c>
      <c r="R2134" s="30" t="n">
        <f aca="false">ROUND(O2134*P2134,2)</f>
        <v>3373.16</v>
      </c>
      <c r="S2134" s="30" t="n">
        <f aca="false">ROUND(O2134*Q2134,2)</f>
        <v>1834.28</v>
      </c>
      <c r="T2134" s="30" t="n">
        <f aca="false">ROUND(R2134*SUMIFS(Parametros!$E$23:$E$38,Parametros!$B$23:$B$38,J2134,Parametros!$C$23:$C$38,C2134,Parametros!$D$23:$D$38,D2134),2)</f>
        <v>43.85</v>
      </c>
      <c r="U2134" s="30" t="n">
        <f aca="false">R2134-S2134-T2134</f>
        <v>1495.03</v>
      </c>
    </row>
    <row r="2135" customFormat="false" ht="15" hidden="false" customHeight="false" outlineLevel="0" collapsed="false">
      <c r="A2135" s="0" t="n">
        <v>2134</v>
      </c>
      <c r="B2135" s="27" t="n">
        <v>45938</v>
      </c>
      <c r="C2135" s="0" t="n">
        <v>2025</v>
      </c>
      <c r="D2135" s="28" t="s">
        <v>122</v>
      </c>
      <c r="E2135" s="0" t="n">
        <v>10</v>
      </c>
      <c r="F2135" s="28" t="s">
        <v>123</v>
      </c>
      <c r="G2135" s="28" t="s">
        <v>152</v>
      </c>
      <c r="H2135" s="28" t="s">
        <v>96</v>
      </c>
      <c r="I2135" s="28" t="s">
        <v>97</v>
      </c>
      <c r="J2135" s="28" t="s">
        <v>71</v>
      </c>
      <c r="K2135" s="28" t="s">
        <v>84</v>
      </c>
      <c r="L2135" s="28" t="s">
        <v>138</v>
      </c>
      <c r="M2135" s="28" t="s">
        <v>86</v>
      </c>
      <c r="N2135" s="28" t="s">
        <v>139</v>
      </c>
      <c r="O2135" s="29" t="n">
        <v>20</v>
      </c>
      <c r="P2135" s="30" t="n">
        <v>120.47</v>
      </c>
      <c r="Q2135" s="30" t="n">
        <v>65.51</v>
      </c>
      <c r="R2135" s="30" t="n">
        <f aca="false">ROUND(O2135*P2135,2)</f>
        <v>2409.4</v>
      </c>
      <c r="S2135" s="30" t="n">
        <f aca="false">ROUND(O2135*Q2135,2)</f>
        <v>1310.2</v>
      </c>
      <c r="T2135" s="30" t="n">
        <f aca="false">ROUND(R2135*SUMIFS(Parametros!$E$23:$E$38,Parametros!$B$23:$B$38,J2135,Parametros!$C$23:$C$38,C2135,Parametros!$D$23:$D$38,D2135),2)</f>
        <v>125.29</v>
      </c>
      <c r="U2135" s="30" t="n">
        <f aca="false">R2135-S2135-T2135</f>
        <v>973.91</v>
      </c>
    </row>
    <row r="2136" customFormat="false" ht="15" hidden="false" customHeight="false" outlineLevel="0" collapsed="false">
      <c r="A2136" s="0" t="n">
        <v>2135</v>
      </c>
      <c r="B2136" s="27" t="n">
        <v>45945</v>
      </c>
      <c r="C2136" s="0" t="n">
        <v>2025</v>
      </c>
      <c r="D2136" s="28" t="s">
        <v>122</v>
      </c>
      <c r="E2136" s="0" t="n">
        <v>10</v>
      </c>
      <c r="F2136" s="28" t="s">
        <v>123</v>
      </c>
      <c r="G2136" s="28" t="s">
        <v>152</v>
      </c>
      <c r="H2136" s="28" t="s">
        <v>96</v>
      </c>
      <c r="I2136" s="28" t="s">
        <v>97</v>
      </c>
      <c r="J2136" s="28" t="s">
        <v>66</v>
      </c>
      <c r="K2136" s="28" t="s">
        <v>84</v>
      </c>
      <c r="L2136" s="28" t="s">
        <v>138</v>
      </c>
      <c r="M2136" s="28" t="s">
        <v>88</v>
      </c>
      <c r="N2136" s="28" t="s">
        <v>140</v>
      </c>
      <c r="O2136" s="29" t="n">
        <v>26</v>
      </c>
      <c r="P2136" s="30" t="n">
        <v>85.34</v>
      </c>
      <c r="Q2136" s="30" t="n">
        <v>49.47</v>
      </c>
      <c r="R2136" s="30" t="n">
        <f aca="false">ROUND(O2136*P2136,2)</f>
        <v>2218.84</v>
      </c>
      <c r="S2136" s="30" t="n">
        <f aca="false">ROUND(O2136*Q2136,2)</f>
        <v>1286.22</v>
      </c>
      <c r="T2136" s="30" t="n">
        <f aca="false">ROUND(R2136*SUMIFS(Parametros!$E$23:$E$38,Parametros!$B$23:$B$38,J2136,Parametros!$C$23:$C$38,C2136,Parametros!$D$23:$D$38,D2136),2)</f>
        <v>28.84</v>
      </c>
      <c r="U2136" s="30" t="n">
        <f aca="false">R2136-S2136-T2136</f>
        <v>903.78</v>
      </c>
    </row>
    <row r="2137" customFormat="false" ht="15" hidden="false" customHeight="false" outlineLevel="0" collapsed="false">
      <c r="A2137" s="0" t="n">
        <v>2136</v>
      </c>
      <c r="B2137" s="27" t="n">
        <v>45952</v>
      </c>
      <c r="C2137" s="0" t="n">
        <v>2025</v>
      </c>
      <c r="D2137" s="28" t="s">
        <v>122</v>
      </c>
      <c r="E2137" s="0" t="n">
        <v>10</v>
      </c>
      <c r="F2137" s="28" t="s">
        <v>123</v>
      </c>
      <c r="G2137" s="28" t="s">
        <v>152</v>
      </c>
      <c r="H2137" s="28" t="s">
        <v>96</v>
      </c>
      <c r="I2137" s="28" t="s">
        <v>97</v>
      </c>
      <c r="J2137" s="28" t="s">
        <v>71</v>
      </c>
      <c r="K2137" s="28" t="s">
        <v>84</v>
      </c>
      <c r="L2137" s="28" t="s">
        <v>138</v>
      </c>
      <c r="M2137" s="28" t="s">
        <v>88</v>
      </c>
      <c r="N2137" s="28" t="s">
        <v>140</v>
      </c>
      <c r="O2137" s="29" t="n">
        <v>18</v>
      </c>
      <c r="P2137" s="30" t="n">
        <v>85.34</v>
      </c>
      <c r="Q2137" s="30" t="n">
        <v>49.47</v>
      </c>
      <c r="R2137" s="30" t="n">
        <f aca="false">ROUND(O2137*P2137,2)</f>
        <v>1536.12</v>
      </c>
      <c r="S2137" s="30" t="n">
        <f aca="false">ROUND(O2137*Q2137,2)</f>
        <v>890.46</v>
      </c>
      <c r="T2137" s="30" t="n">
        <f aca="false">ROUND(R2137*SUMIFS(Parametros!$E$23:$E$38,Parametros!$B$23:$B$38,J2137,Parametros!$C$23:$C$38,C2137,Parametros!$D$23:$D$38,D2137),2)</f>
        <v>79.88</v>
      </c>
      <c r="U2137" s="30" t="n">
        <f aca="false">R2137-S2137-T2137</f>
        <v>565.78</v>
      </c>
    </row>
    <row r="2138" customFormat="false" ht="15" hidden="false" customHeight="false" outlineLevel="0" collapsed="false">
      <c r="A2138" s="0" t="n">
        <v>2137</v>
      </c>
      <c r="B2138" s="27" t="n">
        <v>45932</v>
      </c>
      <c r="C2138" s="0" t="n">
        <v>2025</v>
      </c>
      <c r="D2138" s="28" t="s">
        <v>122</v>
      </c>
      <c r="E2138" s="0" t="n">
        <v>10</v>
      </c>
      <c r="F2138" s="28" t="s">
        <v>123</v>
      </c>
      <c r="G2138" s="28" t="s">
        <v>152</v>
      </c>
      <c r="H2138" s="28" t="s">
        <v>96</v>
      </c>
      <c r="I2138" s="28" t="s">
        <v>97</v>
      </c>
      <c r="J2138" s="28" t="s">
        <v>66</v>
      </c>
      <c r="K2138" s="28" t="s">
        <v>90</v>
      </c>
      <c r="L2138" s="28" t="s">
        <v>141</v>
      </c>
      <c r="M2138" s="28" t="s">
        <v>92</v>
      </c>
      <c r="N2138" s="28" t="s">
        <v>142</v>
      </c>
      <c r="O2138" s="29" t="n">
        <v>28</v>
      </c>
      <c r="P2138" s="30" t="n">
        <v>130.51</v>
      </c>
      <c r="Q2138" s="30" t="n">
        <v>78.33</v>
      </c>
      <c r="R2138" s="30" t="n">
        <f aca="false">ROUND(O2138*P2138,2)</f>
        <v>3654.28</v>
      </c>
      <c r="S2138" s="30" t="n">
        <f aca="false">ROUND(O2138*Q2138,2)</f>
        <v>2193.24</v>
      </c>
      <c r="T2138" s="30" t="n">
        <f aca="false">ROUND(R2138*SUMIFS(Parametros!$E$23:$E$38,Parametros!$B$23:$B$38,J2138,Parametros!$C$23:$C$38,C2138,Parametros!$D$23:$D$38,D2138),2)</f>
        <v>47.51</v>
      </c>
      <c r="U2138" s="30" t="n">
        <f aca="false">R2138-S2138-T2138</f>
        <v>1413.53</v>
      </c>
    </row>
    <row r="2139" customFormat="false" ht="15" hidden="false" customHeight="false" outlineLevel="0" collapsed="false">
      <c r="A2139" s="0" t="n">
        <v>2138</v>
      </c>
      <c r="B2139" s="27" t="n">
        <v>45939</v>
      </c>
      <c r="C2139" s="0" t="n">
        <v>2025</v>
      </c>
      <c r="D2139" s="28" t="s">
        <v>122</v>
      </c>
      <c r="E2139" s="0" t="n">
        <v>10</v>
      </c>
      <c r="F2139" s="28" t="s">
        <v>123</v>
      </c>
      <c r="G2139" s="28" t="s">
        <v>152</v>
      </c>
      <c r="H2139" s="28" t="s">
        <v>96</v>
      </c>
      <c r="I2139" s="28" t="s">
        <v>97</v>
      </c>
      <c r="J2139" s="28" t="s">
        <v>71</v>
      </c>
      <c r="K2139" s="28" t="s">
        <v>90</v>
      </c>
      <c r="L2139" s="28" t="s">
        <v>141</v>
      </c>
      <c r="M2139" s="28" t="s">
        <v>92</v>
      </c>
      <c r="N2139" s="28" t="s">
        <v>142</v>
      </c>
      <c r="O2139" s="29" t="n">
        <v>24</v>
      </c>
      <c r="P2139" s="30" t="n">
        <v>130.51</v>
      </c>
      <c r="Q2139" s="30" t="n">
        <v>78.33</v>
      </c>
      <c r="R2139" s="30" t="n">
        <f aca="false">ROUND(O2139*P2139,2)</f>
        <v>3132.24</v>
      </c>
      <c r="S2139" s="30" t="n">
        <f aca="false">ROUND(O2139*Q2139,2)</f>
        <v>1879.92</v>
      </c>
      <c r="T2139" s="30" t="n">
        <f aca="false">ROUND(R2139*SUMIFS(Parametros!$E$23:$E$38,Parametros!$B$23:$B$38,J2139,Parametros!$C$23:$C$38,C2139,Parametros!$D$23:$D$38,D2139),2)</f>
        <v>162.88</v>
      </c>
      <c r="U2139" s="30" t="n">
        <f aca="false">R2139-S2139-T2139</f>
        <v>1089.44</v>
      </c>
    </row>
    <row r="2140" customFormat="false" ht="15" hidden="false" customHeight="false" outlineLevel="0" collapsed="false">
      <c r="A2140" s="0" t="n">
        <v>2139</v>
      </c>
      <c r="B2140" s="27" t="n">
        <v>45946</v>
      </c>
      <c r="C2140" s="0" t="n">
        <v>2025</v>
      </c>
      <c r="D2140" s="28" t="s">
        <v>122</v>
      </c>
      <c r="E2140" s="0" t="n">
        <v>10</v>
      </c>
      <c r="F2140" s="28" t="s">
        <v>123</v>
      </c>
      <c r="G2140" s="28" t="s">
        <v>152</v>
      </c>
      <c r="H2140" s="28" t="s">
        <v>96</v>
      </c>
      <c r="I2140" s="28" t="s">
        <v>97</v>
      </c>
      <c r="J2140" s="28" t="s">
        <v>66</v>
      </c>
      <c r="K2140" s="28" t="s">
        <v>90</v>
      </c>
      <c r="L2140" s="28" t="s">
        <v>141</v>
      </c>
      <c r="M2140" s="28" t="s">
        <v>94</v>
      </c>
      <c r="N2140" s="28" t="s">
        <v>143</v>
      </c>
      <c r="O2140" s="29" t="n">
        <v>30</v>
      </c>
      <c r="P2140" s="30" t="n">
        <v>35.14</v>
      </c>
      <c r="Q2140" s="30" t="n">
        <v>18.39</v>
      </c>
      <c r="R2140" s="30" t="n">
        <f aca="false">ROUND(O2140*P2140,2)</f>
        <v>1054.2</v>
      </c>
      <c r="S2140" s="30" t="n">
        <f aca="false">ROUND(O2140*Q2140,2)</f>
        <v>551.7</v>
      </c>
      <c r="T2140" s="30" t="n">
        <f aca="false">ROUND(R2140*SUMIFS(Parametros!$E$23:$E$38,Parametros!$B$23:$B$38,J2140,Parametros!$C$23:$C$38,C2140,Parametros!$D$23:$D$38,D2140),2)</f>
        <v>13.7</v>
      </c>
      <c r="U2140" s="30" t="n">
        <f aca="false">R2140-S2140-T2140</f>
        <v>488.8</v>
      </c>
    </row>
    <row r="2141" customFormat="false" ht="15" hidden="false" customHeight="false" outlineLevel="0" collapsed="false">
      <c r="A2141" s="0" t="n">
        <v>2140</v>
      </c>
      <c r="B2141" s="27" t="n">
        <v>45953</v>
      </c>
      <c r="C2141" s="0" t="n">
        <v>2025</v>
      </c>
      <c r="D2141" s="28" t="s">
        <v>122</v>
      </c>
      <c r="E2141" s="0" t="n">
        <v>10</v>
      </c>
      <c r="F2141" s="28" t="s">
        <v>123</v>
      </c>
      <c r="G2141" s="28" t="s">
        <v>152</v>
      </c>
      <c r="H2141" s="28" t="s">
        <v>96</v>
      </c>
      <c r="I2141" s="28" t="s">
        <v>97</v>
      </c>
      <c r="J2141" s="28" t="s">
        <v>71</v>
      </c>
      <c r="K2141" s="28" t="s">
        <v>90</v>
      </c>
      <c r="L2141" s="28" t="s">
        <v>141</v>
      </c>
      <c r="M2141" s="28" t="s">
        <v>94</v>
      </c>
      <c r="N2141" s="28" t="s">
        <v>143</v>
      </c>
      <c r="O2141" s="29" t="n">
        <v>19</v>
      </c>
      <c r="P2141" s="30" t="n">
        <v>35.14</v>
      </c>
      <c r="Q2141" s="30" t="n">
        <v>18.39</v>
      </c>
      <c r="R2141" s="30" t="n">
        <f aca="false">ROUND(O2141*P2141,2)</f>
        <v>667.66</v>
      </c>
      <c r="S2141" s="30" t="n">
        <f aca="false">ROUND(O2141*Q2141,2)</f>
        <v>349.41</v>
      </c>
      <c r="T2141" s="30" t="n">
        <f aca="false">ROUND(R2141*SUMIFS(Parametros!$E$23:$E$38,Parametros!$B$23:$B$38,J2141,Parametros!$C$23:$C$38,C2141,Parametros!$D$23:$D$38,D2141),2)</f>
        <v>34.72</v>
      </c>
      <c r="U2141" s="30" t="n">
        <f aca="false">R2141-S2141-T2141</f>
        <v>283.53</v>
      </c>
    </row>
    <row r="2142" customFormat="false" ht="15" hidden="false" customHeight="false" outlineLevel="0" collapsed="false">
      <c r="A2142" s="0" t="n">
        <v>2141</v>
      </c>
      <c r="B2142" s="27" t="n">
        <v>45933</v>
      </c>
      <c r="C2142" s="0" t="n">
        <v>2025</v>
      </c>
      <c r="D2142" s="28" t="s">
        <v>122</v>
      </c>
      <c r="E2142" s="0" t="n">
        <v>10</v>
      </c>
      <c r="F2142" s="28" t="s">
        <v>123</v>
      </c>
      <c r="G2142" s="28" t="s">
        <v>152</v>
      </c>
      <c r="H2142" s="28" t="s">
        <v>98</v>
      </c>
      <c r="I2142" s="28" t="s">
        <v>99</v>
      </c>
      <c r="J2142" s="28" t="s">
        <v>66</v>
      </c>
      <c r="K2142" s="28" t="s">
        <v>67</v>
      </c>
      <c r="L2142" s="28" t="s">
        <v>130</v>
      </c>
      <c r="M2142" s="28" t="s">
        <v>69</v>
      </c>
      <c r="N2142" s="28" t="s">
        <v>131</v>
      </c>
      <c r="O2142" s="29" t="n">
        <v>8</v>
      </c>
      <c r="P2142" s="30" t="n">
        <v>1204.74</v>
      </c>
      <c r="Q2142" s="30" t="n">
        <v>766.32</v>
      </c>
      <c r="R2142" s="30" t="n">
        <f aca="false">ROUND(O2142*P2142,2)</f>
        <v>9637.92</v>
      </c>
      <c r="S2142" s="30" t="n">
        <f aca="false">ROUND(O2142*Q2142,2)</f>
        <v>6130.56</v>
      </c>
      <c r="T2142" s="30" t="n">
        <f aca="false">ROUND(R2142*SUMIFS(Parametros!$E$23:$E$38,Parametros!$B$23:$B$38,J2142,Parametros!$C$23:$C$38,C2142,Parametros!$D$23:$D$38,D2142),2)</f>
        <v>125.29</v>
      </c>
      <c r="U2142" s="30" t="n">
        <f aca="false">R2142-S2142-T2142</f>
        <v>3382.07</v>
      </c>
    </row>
    <row r="2143" customFormat="false" ht="15" hidden="false" customHeight="false" outlineLevel="0" collapsed="false">
      <c r="A2143" s="0" t="n">
        <v>2142</v>
      </c>
      <c r="B2143" s="27" t="n">
        <v>45940</v>
      </c>
      <c r="C2143" s="0" t="n">
        <v>2025</v>
      </c>
      <c r="D2143" s="28" t="s">
        <v>122</v>
      </c>
      <c r="E2143" s="0" t="n">
        <v>10</v>
      </c>
      <c r="F2143" s="28" t="s">
        <v>123</v>
      </c>
      <c r="G2143" s="28" t="s">
        <v>152</v>
      </c>
      <c r="H2143" s="28" t="s">
        <v>98</v>
      </c>
      <c r="I2143" s="28" t="s">
        <v>99</v>
      </c>
      <c r="J2143" s="28" t="s">
        <v>71</v>
      </c>
      <c r="K2143" s="28" t="s">
        <v>67</v>
      </c>
      <c r="L2143" s="28" t="s">
        <v>130</v>
      </c>
      <c r="M2143" s="28" t="s">
        <v>69</v>
      </c>
      <c r="N2143" s="28" t="s">
        <v>131</v>
      </c>
      <c r="O2143" s="29" t="n">
        <v>7</v>
      </c>
      <c r="P2143" s="30" t="n">
        <v>1204.74</v>
      </c>
      <c r="Q2143" s="30" t="n">
        <v>766.32</v>
      </c>
      <c r="R2143" s="30" t="n">
        <f aca="false">ROUND(O2143*P2143,2)</f>
        <v>8433.18</v>
      </c>
      <c r="S2143" s="30" t="n">
        <f aca="false">ROUND(O2143*Q2143,2)</f>
        <v>5364.24</v>
      </c>
      <c r="T2143" s="30" t="n">
        <f aca="false">ROUND(R2143*SUMIFS(Parametros!$E$23:$E$38,Parametros!$B$23:$B$38,J2143,Parametros!$C$23:$C$38,C2143,Parametros!$D$23:$D$38,D2143),2)</f>
        <v>438.53</v>
      </c>
      <c r="U2143" s="30" t="n">
        <f aca="false">R2143-S2143-T2143</f>
        <v>2630.41</v>
      </c>
    </row>
    <row r="2144" customFormat="false" ht="15" hidden="false" customHeight="false" outlineLevel="0" collapsed="false">
      <c r="A2144" s="0" t="n">
        <v>2143</v>
      </c>
      <c r="B2144" s="27" t="n">
        <v>45947</v>
      </c>
      <c r="C2144" s="0" t="n">
        <v>2025</v>
      </c>
      <c r="D2144" s="28" t="s">
        <v>122</v>
      </c>
      <c r="E2144" s="0" t="n">
        <v>10</v>
      </c>
      <c r="F2144" s="28" t="s">
        <v>123</v>
      </c>
      <c r="G2144" s="28" t="s">
        <v>152</v>
      </c>
      <c r="H2144" s="28" t="s">
        <v>98</v>
      </c>
      <c r="I2144" s="28" t="s">
        <v>99</v>
      </c>
      <c r="J2144" s="28" t="s">
        <v>66</v>
      </c>
      <c r="K2144" s="28" t="s">
        <v>67</v>
      </c>
      <c r="L2144" s="28" t="s">
        <v>130</v>
      </c>
      <c r="M2144" s="28" t="s">
        <v>72</v>
      </c>
      <c r="N2144" s="28" t="s">
        <v>132</v>
      </c>
      <c r="O2144" s="29" t="n">
        <v>8</v>
      </c>
      <c r="P2144" s="30" t="n">
        <v>451.78</v>
      </c>
      <c r="Q2144" s="30" t="n">
        <v>280.42</v>
      </c>
      <c r="R2144" s="30" t="n">
        <f aca="false">ROUND(O2144*P2144,2)</f>
        <v>3614.24</v>
      </c>
      <c r="S2144" s="30" t="n">
        <f aca="false">ROUND(O2144*Q2144,2)</f>
        <v>2243.36</v>
      </c>
      <c r="T2144" s="30" t="n">
        <f aca="false">ROUND(R2144*SUMIFS(Parametros!$E$23:$E$38,Parametros!$B$23:$B$38,J2144,Parametros!$C$23:$C$38,C2144,Parametros!$D$23:$D$38,D2144),2)</f>
        <v>46.99</v>
      </c>
      <c r="U2144" s="30" t="n">
        <f aca="false">R2144-S2144-T2144</f>
        <v>1323.89</v>
      </c>
    </row>
    <row r="2145" customFormat="false" ht="15" hidden="false" customHeight="false" outlineLevel="0" collapsed="false">
      <c r="A2145" s="0" t="n">
        <v>2144</v>
      </c>
      <c r="B2145" s="27" t="n">
        <v>45954</v>
      </c>
      <c r="C2145" s="0" t="n">
        <v>2025</v>
      </c>
      <c r="D2145" s="28" t="s">
        <v>122</v>
      </c>
      <c r="E2145" s="0" t="n">
        <v>10</v>
      </c>
      <c r="F2145" s="28" t="s">
        <v>123</v>
      </c>
      <c r="G2145" s="28" t="s">
        <v>152</v>
      </c>
      <c r="H2145" s="28" t="s">
        <v>98</v>
      </c>
      <c r="I2145" s="28" t="s">
        <v>99</v>
      </c>
      <c r="J2145" s="28" t="s">
        <v>71</v>
      </c>
      <c r="K2145" s="28" t="s">
        <v>67</v>
      </c>
      <c r="L2145" s="28" t="s">
        <v>130</v>
      </c>
      <c r="M2145" s="28" t="s">
        <v>72</v>
      </c>
      <c r="N2145" s="28" t="s">
        <v>132</v>
      </c>
      <c r="O2145" s="29" t="n">
        <v>6</v>
      </c>
      <c r="P2145" s="30" t="n">
        <v>451.78</v>
      </c>
      <c r="Q2145" s="30" t="n">
        <v>280.42</v>
      </c>
      <c r="R2145" s="30" t="n">
        <f aca="false">ROUND(O2145*P2145,2)</f>
        <v>2710.68</v>
      </c>
      <c r="S2145" s="30" t="n">
        <f aca="false">ROUND(O2145*Q2145,2)</f>
        <v>1682.52</v>
      </c>
      <c r="T2145" s="30" t="n">
        <f aca="false">ROUND(R2145*SUMIFS(Parametros!$E$23:$E$38,Parametros!$B$23:$B$38,J2145,Parametros!$C$23:$C$38,C2145,Parametros!$D$23:$D$38,D2145),2)</f>
        <v>140.96</v>
      </c>
      <c r="U2145" s="30" t="n">
        <f aca="false">R2145-S2145-T2145</f>
        <v>887.2</v>
      </c>
    </row>
    <row r="2146" customFormat="false" ht="15" hidden="false" customHeight="false" outlineLevel="0" collapsed="false">
      <c r="A2146" s="0" t="n">
        <v>2145</v>
      </c>
      <c r="B2146" s="27" t="n">
        <v>45934</v>
      </c>
      <c r="C2146" s="0" t="n">
        <v>2025</v>
      </c>
      <c r="D2146" s="28" t="s">
        <v>122</v>
      </c>
      <c r="E2146" s="0" t="n">
        <v>10</v>
      </c>
      <c r="F2146" s="28" t="s">
        <v>123</v>
      </c>
      <c r="G2146" s="28" t="s">
        <v>152</v>
      </c>
      <c r="H2146" s="28" t="s">
        <v>98</v>
      </c>
      <c r="I2146" s="28" t="s">
        <v>99</v>
      </c>
      <c r="J2146" s="28" t="s">
        <v>66</v>
      </c>
      <c r="K2146" s="28" t="s">
        <v>67</v>
      </c>
      <c r="L2146" s="28" t="s">
        <v>130</v>
      </c>
      <c r="M2146" s="28" t="s">
        <v>74</v>
      </c>
      <c r="N2146" s="28" t="s">
        <v>133</v>
      </c>
      <c r="O2146" s="29" t="n">
        <v>8</v>
      </c>
      <c r="P2146" s="30" t="n">
        <v>1656.52</v>
      </c>
      <c r="Q2146" s="30" t="n">
        <v>1155.66</v>
      </c>
      <c r="R2146" s="30" t="n">
        <f aca="false">ROUND(O2146*P2146,2)</f>
        <v>13252.16</v>
      </c>
      <c r="S2146" s="30" t="n">
        <f aca="false">ROUND(O2146*Q2146,2)</f>
        <v>9245.28</v>
      </c>
      <c r="T2146" s="30" t="n">
        <f aca="false">ROUND(R2146*SUMIFS(Parametros!$E$23:$E$38,Parametros!$B$23:$B$38,J2146,Parametros!$C$23:$C$38,C2146,Parametros!$D$23:$D$38,D2146),2)</f>
        <v>172.28</v>
      </c>
      <c r="U2146" s="30" t="n">
        <f aca="false">R2146-S2146-T2146</f>
        <v>3834.6</v>
      </c>
    </row>
    <row r="2147" customFormat="false" ht="15" hidden="false" customHeight="false" outlineLevel="0" collapsed="false">
      <c r="A2147" s="0" t="n">
        <v>2146</v>
      </c>
      <c r="B2147" s="27" t="n">
        <v>45941</v>
      </c>
      <c r="C2147" s="0" t="n">
        <v>2025</v>
      </c>
      <c r="D2147" s="28" t="s">
        <v>122</v>
      </c>
      <c r="E2147" s="0" t="n">
        <v>10</v>
      </c>
      <c r="F2147" s="28" t="s">
        <v>123</v>
      </c>
      <c r="G2147" s="28" t="s">
        <v>152</v>
      </c>
      <c r="H2147" s="28" t="s">
        <v>98</v>
      </c>
      <c r="I2147" s="28" t="s">
        <v>99</v>
      </c>
      <c r="J2147" s="28" t="s">
        <v>71</v>
      </c>
      <c r="K2147" s="28" t="s">
        <v>67</v>
      </c>
      <c r="L2147" s="28" t="s">
        <v>130</v>
      </c>
      <c r="M2147" s="28" t="s">
        <v>74</v>
      </c>
      <c r="N2147" s="28" t="s">
        <v>133</v>
      </c>
      <c r="O2147" s="29" t="n">
        <v>6</v>
      </c>
      <c r="P2147" s="30" t="n">
        <v>1656.52</v>
      </c>
      <c r="Q2147" s="30" t="n">
        <v>1155.66</v>
      </c>
      <c r="R2147" s="30" t="n">
        <f aca="false">ROUND(O2147*P2147,2)</f>
        <v>9939.12</v>
      </c>
      <c r="S2147" s="30" t="n">
        <f aca="false">ROUND(O2147*Q2147,2)</f>
        <v>6933.96</v>
      </c>
      <c r="T2147" s="30" t="n">
        <f aca="false">ROUND(R2147*SUMIFS(Parametros!$E$23:$E$38,Parametros!$B$23:$B$38,J2147,Parametros!$C$23:$C$38,C2147,Parametros!$D$23:$D$38,D2147),2)</f>
        <v>516.83</v>
      </c>
      <c r="U2147" s="30" t="n">
        <f aca="false">R2147-S2147-T2147</f>
        <v>2488.33</v>
      </c>
    </row>
    <row r="2148" customFormat="false" ht="15" hidden="false" customHeight="false" outlineLevel="0" collapsed="false">
      <c r="A2148" s="0" t="n">
        <v>2147</v>
      </c>
      <c r="B2148" s="27" t="n">
        <v>45948</v>
      </c>
      <c r="C2148" s="0" t="n">
        <v>2025</v>
      </c>
      <c r="D2148" s="28" t="s">
        <v>122</v>
      </c>
      <c r="E2148" s="0" t="n">
        <v>10</v>
      </c>
      <c r="F2148" s="28" t="s">
        <v>123</v>
      </c>
      <c r="G2148" s="28" t="s">
        <v>152</v>
      </c>
      <c r="H2148" s="28" t="s">
        <v>98</v>
      </c>
      <c r="I2148" s="28" t="s">
        <v>99</v>
      </c>
      <c r="J2148" s="28" t="s">
        <v>66</v>
      </c>
      <c r="K2148" s="28" t="s">
        <v>76</v>
      </c>
      <c r="L2148" s="28" t="s">
        <v>134</v>
      </c>
      <c r="M2148" s="28" t="s">
        <v>78</v>
      </c>
      <c r="N2148" s="28" t="s">
        <v>135</v>
      </c>
      <c r="O2148" s="29" t="n">
        <v>35</v>
      </c>
      <c r="P2148" s="30" t="n">
        <v>28.11</v>
      </c>
      <c r="Q2148" s="30" t="n">
        <v>13.84</v>
      </c>
      <c r="R2148" s="30" t="n">
        <f aca="false">ROUND(O2148*P2148,2)</f>
        <v>983.85</v>
      </c>
      <c r="S2148" s="30" t="n">
        <f aca="false">ROUND(O2148*Q2148,2)</f>
        <v>484.4</v>
      </c>
      <c r="T2148" s="30" t="n">
        <f aca="false">ROUND(R2148*SUMIFS(Parametros!$E$23:$E$38,Parametros!$B$23:$B$38,J2148,Parametros!$C$23:$C$38,C2148,Parametros!$D$23:$D$38,D2148),2)</f>
        <v>12.79</v>
      </c>
      <c r="U2148" s="30" t="n">
        <f aca="false">R2148-S2148-T2148</f>
        <v>486.66</v>
      </c>
    </row>
    <row r="2149" customFormat="false" ht="15" hidden="false" customHeight="false" outlineLevel="0" collapsed="false">
      <c r="A2149" s="0" t="n">
        <v>2148</v>
      </c>
      <c r="B2149" s="27" t="n">
        <v>45955</v>
      </c>
      <c r="C2149" s="0" t="n">
        <v>2025</v>
      </c>
      <c r="D2149" s="28" t="s">
        <v>122</v>
      </c>
      <c r="E2149" s="0" t="n">
        <v>10</v>
      </c>
      <c r="F2149" s="28" t="s">
        <v>123</v>
      </c>
      <c r="G2149" s="28" t="s">
        <v>152</v>
      </c>
      <c r="H2149" s="28" t="s">
        <v>98</v>
      </c>
      <c r="I2149" s="28" t="s">
        <v>99</v>
      </c>
      <c r="J2149" s="28" t="s">
        <v>71</v>
      </c>
      <c r="K2149" s="28" t="s">
        <v>76</v>
      </c>
      <c r="L2149" s="28" t="s">
        <v>134</v>
      </c>
      <c r="M2149" s="28" t="s">
        <v>78</v>
      </c>
      <c r="N2149" s="28" t="s">
        <v>135</v>
      </c>
      <c r="O2149" s="29" t="n">
        <v>31</v>
      </c>
      <c r="P2149" s="30" t="n">
        <v>28.11</v>
      </c>
      <c r="Q2149" s="30" t="n">
        <v>13.84</v>
      </c>
      <c r="R2149" s="30" t="n">
        <f aca="false">ROUND(O2149*P2149,2)</f>
        <v>871.41</v>
      </c>
      <c r="S2149" s="30" t="n">
        <f aca="false">ROUND(O2149*Q2149,2)</f>
        <v>429.04</v>
      </c>
      <c r="T2149" s="30" t="n">
        <f aca="false">ROUND(R2149*SUMIFS(Parametros!$E$23:$E$38,Parametros!$B$23:$B$38,J2149,Parametros!$C$23:$C$38,C2149,Parametros!$D$23:$D$38,D2149),2)</f>
        <v>45.31</v>
      </c>
      <c r="U2149" s="30" t="n">
        <f aca="false">R2149-S2149-T2149</f>
        <v>397.06</v>
      </c>
    </row>
    <row r="2150" customFormat="false" ht="15" hidden="false" customHeight="false" outlineLevel="0" collapsed="false">
      <c r="A2150" s="0" t="n">
        <v>2149</v>
      </c>
      <c r="B2150" s="27" t="n">
        <v>45935</v>
      </c>
      <c r="C2150" s="0" t="n">
        <v>2025</v>
      </c>
      <c r="D2150" s="28" t="s">
        <v>122</v>
      </c>
      <c r="E2150" s="0" t="n">
        <v>10</v>
      </c>
      <c r="F2150" s="28" t="s">
        <v>123</v>
      </c>
      <c r="G2150" s="28" t="s">
        <v>152</v>
      </c>
      <c r="H2150" s="28" t="s">
        <v>98</v>
      </c>
      <c r="I2150" s="28" t="s">
        <v>99</v>
      </c>
      <c r="J2150" s="28" t="s">
        <v>66</v>
      </c>
      <c r="K2150" s="28" t="s">
        <v>76</v>
      </c>
      <c r="L2150" s="28" t="s">
        <v>134</v>
      </c>
      <c r="M2150" s="28" t="s">
        <v>80</v>
      </c>
      <c r="N2150" s="28" t="s">
        <v>136</v>
      </c>
      <c r="O2150" s="29" t="n">
        <v>44</v>
      </c>
      <c r="P2150" s="30" t="n">
        <v>95.38</v>
      </c>
      <c r="Q2150" s="30" t="n">
        <v>49.41</v>
      </c>
      <c r="R2150" s="30" t="n">
        <f aca="false">ROUND(O2150*P2150,2)</f>
        <v>4196.72</v>
      </c>
      <c r="S2150" s="30" t="n">
        <f aca="false">ROUND(O2150*Q2150,2)</f>
        <v>2174.04</v>
      </c>
      <c r="T2150" s="30" t="n">
        <f aca="false">ROUND(R2150*SUMIFS(Parametros!$E$23:$E$38,Parametros!$B$23:$B$38,J2150,Parametros!$C$23:$C$38,C2150,Parametros!$D$23:$D$38,D2150),2)</f>
        <v>54.56</v>
      </c>
      <c r="U2150" s="30" t="n">
        <f aca="false">R2150-S2150-T2150</f>
        <v>1968.12</v>
      </c>
    </row>
    <row r="2151" customFormat="false" ht="15" hidden="false" customHeight="false" outlineLevel="0" collapsed="false">
      <c r="A2151" s="0" t="n">
        <v>2150</v>
      </c>
      <c r="B2151" s="27" t="n">
        <v>45942</v>
      </c>
      <c r="C2151" s="0" t="n">
        <v>2025</v>
      </c>
      <c r="D2151" s="28" t="s">
        <v>122</v>
      </c>
      <c r="E2151" s="0" t="n">
        <v>10</v>
      </c>
      <c r="F2151" s="28" t="s">
        <v>123</v>
      </c>
      <c r="G2151" s="28" t="s">
        <v>152</v>
      </c>
      <c r="H2151" s="28" t="s">
        <v>98</v>
      </c>
      <c r="I2151" s="28" t="s">
        <v>99</v>
      </c>
      <c r="J2151" s="28" t="s">
        <v>71</v>
      </c>
      <c r="K2151" s="28" t="s">
        <v>76</v>
      </c>
      <c r="L2151" s="28" t="s">
        <v>134</v>
      </c>
      <c r="M2151" s="28" t="s">
        <v>80</v>
      </c>
      <c r="N2151" s="28" t="s">
        <v>136</v>
      </c>
      <c r="O2151" s="29" t="n">
        <v>26</v>
      </c>
      <c r="P2151" s="30" t="n">
        <v>95.38</v>
      </c>
      <c r="Q2151" s="30" t="n">
        <v>49.41</v>
      </c>
      <c r="R2151" s="30" t="n">
        <f aca="false">ROUND(O2151*P2151,2)</f>
        <v>2479.88</v>
      </c>
      <c r="S2151" s="30" t="n">
        <f aca="false">ROUND(O2151*Q2151,2)</f>
        <v>1284.66</v>
      </c>
      <c r="T2151" s="30" t="n">
        <f aca="false">ROUND(R2151*SUMIFS(Parametros!$E$23:$E$38,Parametros!$B$23:$B$38,J2151,Parametros!$C$23:$C$38,C2151,Parametros!$D$23:$D$38,D2151),2)</f>
        <v>128.95</v>
      </c>
      <c r="U2151" s="30" t="n">
        <f aca="false">R2151-S2151-T2151</f>
        <v>1066.27</v>
      </c>
    </row>
    <row r="2152" customFormat="false" ht="15" hidden="false" customHeight="false" outlineLevel="0" collapsed="false">
      <c r="A2152" s="0" t="n">
        <v>2151</v>
      </c>
      <c r="B2152" s="27" t="n">
        <v>45949</v>
      </c>
      <c r="C2152" s="0" t="n">
        <v>2025</v>
      </c>
      <c r="D2152" s="28" t="s">
        <v>122</v>
      </c>
      <c r="E2152" s="0" t="n">
        <v>10</v>
      </c>
      <c r="F2152" s="28" t="s">
        <v>123</v>
      </c>
      <c r="G2152" s="28" t="s">
        <v>152</v>
      </c>
      <c r="H2152" s="28" t="s">
        <v>98</v>
      </c>
      <c r="I2152" s="28" t="s">
        <v>99</v>
      </c>
      <c r="J2152" s="28" t="s">
        <v>66</v>
      </c>
      <c r="K2152" s="28" t="s">
        <v>76</v>
      </c>
      <c r="L2152" s="28" t="s">
        <v>134</v>
      </c>
      <c r="M2152" s="28" t="s">
        <v>82</v>
      </c>
      <c r="N2152" s="28" t="s">
        <v>137</v>
      </c>
      <c r="O2152" s="29" t="n">
        <v>38</v>
      </c>
      <c r="P2152" s="30" t="n">
        <v>65.26</v>
      </c>
      <c r="Q2152" s="30" t="n">
        <v>36.49</v>
      </c>
      <c r="R2152" s="30" t="n">
        <f aca="false">ROUND(O2152*P2152,2)</f>
        <v>2479.88</v>
      </c>
      <c r="S2152" s="30" t="n">
        <f aca="false">ROUND(O2152*Q2152,2)</f>
        <v>1386.62</v>
      </c>
      <c r="T2152" s="30" t="n">
        <f aca="false">ROUND(R2152*SUMIFS(Parametros!$E$23:$E$38,Parametros!$B$23:$B$38,J2152,Parametros!$C$23:$C$38,C2152,Parametros!$D$23:$D$38,D2152),2)</f>
        <v>32.24</v>
      </c>
      <c r="U2152" s="30" t="n">
        <f aca="false">R2152-S2152-T2152</f>
        <v>1061.02</v>
      </c>
    </row>
    <row r="2153" customFormat="false" ht="15" hidden="false" customHeight="false" outlineLevel="0" collapsed="false">
      <c r="A2153" s="0" t="n">
        <v>2152</v>
      </c>
      <c r="B2153" s="27" t="n">
        <v>45956</v>
      </c>
      <c r="C2153" s="0" t="n">
        <v>2025</v>
      </c>
      <c r="D2153" s="28" t="s">
        <v>122</v>
      </c>
      <c r="E2153" s="0" t="n">
        <v>10</v>
      </c>
      <c r="F2153" s="28" t="s">
        <v>123</v>
      </c>
      <c r="G2153" s="28" t="s">
        <v>152</v>
      </c>
      <c r="H2153" s="28" t="s">
        <v>98</v>
      </c>
      <c r="I2153" s="28" t="s">
        <v>99</v>
      </c>
      <c r="J2153" s="28" t="s">
        <v>71</v>
      </c>
      <c r="K2153" s="28" t="s">
        <v>76</v>
      </c>
      <c r="L2153" s="28" t="s">
        <v>134</v>
      </c>
      <c r="M2153" s="28" t="s">
        <v>82</v>
      </c>
      <c r="N2153" s="28" t="s">
        <v>137</v>
      </c>
      <c r="O2153" s="29" t="n">
        <v>33</v>
      </c>
      <c r="P2153" s="30" t="n">
        <v>65.26</v>
      </c>
      <c r="Q2153" s="30" t="n">
        <v>36.49</v>
      </c>
      <c r="R2153" s="30" t="n">
        <f aca="false">ROUND(O2153*P2153,2)</f>
        <v>2153.58</v>
      </c>
      <c r="S2153" s="30" t="n">
        <f aca="false">ROUND(O2153*Q2153,2)</f>
        <v>1204.17</v>
      </c>
      <c r="T2153" s="30" t="n">
        <f aca="false">ROUND(R2153*SUMIFS(Parametros!$E$23:$E$38,Parametros!$B$23:$B$38,J2153,Parametros!$C$23:$C$38,C2153,Parametros!$D$23:$D$38,D2153),2)</f>
        <v>111.99</v>
      </c>
      <c r="U2153" s="30" t="n">
        <f aca="false">R2153-S2153-T2153</f>
        <v>837.42</v>
      </c>
    </row>
    <row r="2154" customFormat="false" ht="15" hidden="false" customHeight="false" outlineLevel="0" collapsed="false">
      <c r="A2154" s="0" t="n">
        <v>2153</v>
      </c>
      <c r="B2154" s="27" t="n">
        <v>45936</v>
      </c>
      <c r="C2154" s="0" t="n">
        <v>2025</v>
      </c>
      <c r="D2154" s="28" t="s">
        <v>122</v>
      </c>
      <c r="E2154" s="0" t="n">
        <v>10</v>
      </c>
      <c r="F2154" s="28" t="s">
        <v>123</v>
      </c>
      <c r="G2154" s="28" t="s">
        <v>152</v>
      </c>
      <c r="H2154" s="28" t="s">
        <v>98</v>
      </c>
      <c r="I2154" s="28" t="s">
        <v>99</v>
      </c>
      <c r="J2154" s="28" t="s">
        <v>66</v>
      </c>
      <c r="K2154" s="28" t="s">
        <v>84</v>
      </c>
      <c r="L2154" s="28" t="s">
        <v>138</v>
      </c>
      <c r="M2154" s="28" t="s">
        <v>86</v>
      </c>
      <c r="N2154" s="28" t="s">
        <v>139</v>
      </c>
      <c r="O2154" s="29" t="n">
        <v>19</v>
      </c>
      <c r="P2154" s="30" t="n">
        <v>120.47</v>
      </c>
      <c r="Q2154" s="30" t="n">
        <v>65.51</v>
      </c>
      <c r="R2154" s="30" t="n">
        <f aca="false">ROUND(O2154*P2154,2)</f>
        <v>2288.93</v>
      </c>
      <c r="S2154" s="30" t="n">
        <f aca="false">ROUND(O2154*Q2154,2)</f>
        <v>1244.69</v>
      </c>
      <c r="T2154" s="30" t="n">
        <f aca="false">ROUND(R2154*SUMIFS(Parametros!$E$23:$E$38,Parametros!$B$23:$B$38,J2154,Parametros!$C$23:$C$38,C2154,Parametros!$D$23:$D$38,D2154),2)</f>
        <v>29.76</v>
      </c>
      <c r="U2154" s="30" t="n">
        <f aca="false">R2154-S2154-T2154</f>
        <v>1014.48</v>
      </c>
    </row>
    <row r="2155" customFormat="false" ht="15" hidden="false" customHeight="false" outlineLevel="0" collapsed="false">
      <c r="A2155" s="0" t="n">
        <v>2154</v>
      </c>
      <c r="B2155" s="27" t="n">
        <v>45943</v>
      </c>
      <c r="C2155" s="0" t="n">
        <v>2025</v>
      </c>
      <c r="D2155" s="28" t="s">
        <v>122</v>
      </c>
      <c r="E2155" s="0" t="n">
        <v>10</v>
      </c>
      <c r="F2155" s="28" t="s">
        <v>123</v>
      </c>
      <c r="G2155" s="28" t="s">
        <v>152</v>
      </c>
      <c r="H2155" s="28" t="s">
        <v>98</v>
      </c>
      <c r="I2155" s="28" t="s">
        <v>99</v>
      </c>
      <c r="J2155" s="28" t="s">
        <v>71</v>
      </c>
      <c r="K2155" s="28" t="s">
        <v>84</v>
      </c>
      <c r="L2155" s="28" t="s">
        <v>138</v>
      </c>
      <c r="M2155" s="28" t="s">
        <v>86</v>
      </c>
      <c r="N2155" s="28" t="s">
        <v>139</v>
      </c>
      <c r="O2155" s="29" t="n">
        <v>15</v>
      </c>
      <c r="P2155" s="30" t="n">
        <v>120.47</v>
      </c>
      <c r="Q2155" s="30" t="n">
        <v>65.51</v>
      </c>
      <c r="R2155" s="30" t="n">
        <f aca="false">ROUND(O2155*P2155,2)</f>
        <v>1807.05</v>
      </c>
      <c r="S2155" s="30" t="n">
        <f aca="false">ROUND(O2155*Q2155,2)</f>
        <v>982.65</v>
      </c>
      <c r="T2155" s="30" t="n">
        <f aca="false">ROUND(R2155*SUMIFS(Parametros!$E$23:$E$38,Parametros!$B$23:$B$38,J2155,Parametros!$C$23:$C$38,C2155,Parametros!$D$23:$D$38,D2155),2)</f>
        <v>93.97</v>
      </c>
      <c r="U2155" s="30" t="n">
        <f aca="false">R2155-S2155-T2155</f>
        <v>730.43</v>
      </c>
    </row>
    <row r="2156" customFormat="false" ht="15" hidden="false" customHeight="false" outlineLevel="0" collapsed="false">
      <c r="A2156" s="0" t="n">
        <v>2155</v>
      </c>
      <c r="B2156" s="27" t="n">
        <v>45950</v>
      </c>
      <c r="C2156" s="0" t="n">
        <v>2025</v>
      </c>
      <c r="D2156" s="28" t="s">
        <v>122</v>
      </c>
      <c r="E2156" s="0" t="n">
        <v>10</v>
      </c>
      <c r="F2156" s="28" t="s">
        <v>123</v>
      </c>
      <c r="G2156" s="28" t="s">
        <v>152</v>
      </c>
      <c r="H2156" s="28" t="s">
        <v>98</v>
      </c>
      <c r="I2156" s="28" t="s">
        <v>99</v>
      </c>
      <c r="J2156" s="28" t="s">
        <v>66</v>
      </c>
      <c r="K2156" s="28" t="s">
        <v>84</v>
      </c>
      <c r="L2156" s="28" t="s">
        <v>138</v>
      </c>
      <c r="M2156" s="28" t="s">
        <v>88</v>
      </c>
      <c r="N2156" s="28" t="s">
        <v>140</v>
      </c>
      <c r="O2156" s="29" t="n">
        <v>16</v>
      </c>
      <c r="P2156" s="30" t="n">
        <v>85.34</v>
      </c>
      <c r="Q2156" s="30" t="n">
        <v>49.47</v>
      </c>
      <c r="R2156" s="30" t="n">
        <f aca="false">ROUND(O2156*P2156,2)</f>
        <v>1365.44</v>
      </c>
      <c r="S2156" s="30" t="n">
        <f aca="false">ROUND(O2156*Q2156,2)</f>
        <v>791.52</v>
      </c>
      <c r="T2156" s="30" t="n">
        <f aca="false">ROUND(R2156*SUMIFS(Parametros!$E$23:$E$38,Parametros!$B$23:$B$38,J2156,Parametros!$C$23:$C$38,C2156,Parametros!$D$23:$D$38,D2156),2)</f>
        <v>17.75</v>
      </c>
      <c r="U2156" s="30" t="n">
        <f aca="false">R2156-S2156-T2156</f>
        <v>556.17</v>
      </c>
    </row>
    <row r="2157" customFormat="false" ht="15" hidden="false" customHeight="false" outlineLevel="0" collapsed="false">
      <c r="A2157" s="0" t="n">
        <v>2156</v>
      </c>
      <c r="B2157" s="27" t="n">
        <v>45957</v>
      </c>
      <c r="C2157" s="0" t="n">
        <v>2025</v>
      </c>
      <c r="D2157" s="28" t="s">
        <v>122</v>
      </c>
      <c r="E2157" s="0" t="n">
        <v>10</v>
      </c>
      <c r="F2157" s="28" t="s">
        <v>123</v>
      </c>
      <c r="G2157" s="28" t="s">
        <v>152</v>
      </c>
      <c r="H2157" s="28" t="s">
        <v>98</v>
      </c>
      <c r="I2157" s="28" t="s">
        <v>99</v>
      </c>
      <c r="J2157" s="28" t="s">
        <v>71</v>
      </c>
      <c r="K2157" s="28" t="s">
        <v>84</v>
      </c>
      <c r="L2157" s="28" t="s">
        <v>138</v>
      </c>
      <c r="M2157" s="28" t="s">
        <v>88</v>
      </c>
      <c r="N2157" s="28" t="s">
        <v>140</v>
      </c>
      <c r="O2157" s="29" t="n">
        <v>14</v>
      </c>
      <c r="P2157" s="30" t="n">
        <v>85.34</v>
      </c>
      <c r="Q2157" s="30" t="n">
        <v>49.47</v>
      </c>
      <c r="R2157" s="30" t="n">
        <f aca="false">ROUND(O2157*P2157,2)</f>
        <v>1194.76</v>
      </c>
      <c r="S2157" s="30" t="n">
        <f aca="false">ROUND(O2157*Q2157,2)</f>
        <v>692.58</v>
      </c>
      <c r="T2157" s="30" t="n">
        <f aca="false">ROUND(R2157*SUMIFS(Parametros!$E$23:$E$38,Parametros!$B$23:$B$38,J2157,Parametros!$C$23:$C$38,C2157,Parametros!$D$23:$D$38,D2157),2)</f>
        <v>62.13</v>
      </c>
      <c r="U2157" s="30" t="n">
        <f aca="false">R2157-S2157-T2157</f>
        <v>440.05</v>
      </c>
    </row>
    <row r="2158" customFormat="false" ht="15" hidden="false" customHeight="false" outlineLevel="0" collapsed="false">
      <c r="A2158" s="0" t="n">
        <v>2157</v>
      </c>
      <c r="B2158" s="27" t="n">
        <v>45937</v>
      </c>
      <c r="C2158" s="0" t="n">
        <v>2025</v>
      </c>
      <c r="D2158" s="28" t="s">
        <v>122</v>
      </c>
      <c r="E2158" s="0" t="n">
        <v>10</v>
      </c>
      <c r="F2158" s="28" t="s">
        <v>123</v>
      </c>
      <c r="G2158" s="28" t="s">
        <v>152</v>
      </c>
      <c r="H2158" s="28" t="s">
        <v>98</v>
      </c>
      <c r="I2158" s="28" t="s">
        <v>99</v>
      </c>
      <c r="J2158" s="28" t="s">
        <v>66</v>
      </c>
      <c r="K2158" s="28" t="s">
        <v>90</v>
      </c>
      <c r="L2158" s="28" t="s">
        <v>141</v>
      </c>
      <c r="M2158" s="28" t="s">
        <v>92</v>
      </c>
      <c r="N2158" s="28" t="s">
        <v>142</v>
      </c>
      <c r="O2158" s="29" t="n">
        <v>24</v>
      </c>
      <c r="P2158" s="30" t="n">
        <v>130.51</v>
      </c>
      <c r="Q2158" s="30" t="n">
        <v>78.33</v>
      </c>
      <c r="R2158" s="30" t="n">
        <f aca="false">ROUND(O2158*P2158,2)</f>
        <v>3132.24</v>
      </c>
      <c r="S2158" s="30" t="n">
        <f aca="false">ROUND(O2158*Q2158,2)</f>
        <v>1879.92</v>
      </c>
      <c r="T2158" s="30" t="n">
        <f aca="false">ROUND(R2158*SUMIFS(Parametros!$E$23:$E$38,Parametros!$B$23:$B$38,J2158,Parametros!$C$23:$C$38,C2158,Parametros!$D$23:$D$38,D2158),2)</f>
        <v>40.72</v>
      </c>
      <c r="U2158" s="30" t="n">
        <f aca="false">R2158-S2158-T2158</f>
        <v>1211.6</v>
      </c>
    </row>
    <row r="2159" customFormat="false" ht="15" hidden="false" customHeight="false" outlineLevel="0" collapsed="false">
      <c r="A2159" s="0" t="n">
        <v>2158</v>
      </c>
      <c r="B2159" s="27" t="n">
        <v>45944</v>
      </c>
      <c r="C2159" s="0" t="n">
        <v>2025</v>
      </c>
      <c r="D2159" s="28" t="s">
        <v>122</v>
      </c>
      <c r="E2159" s="0" t="n">
        <v>10</v>
      </c>
      <c r="F2159" s="28" t="s">
        <v>123</v>
      </c>
      <c r="G2159" s="28" t="s">
        <v>152</v>
      </c>
      <c r="H2159" s="28" t="s">
        <v>98</v>
      </c>
      <c r="I2159" s="28" t="s">
        <v>99</v>
      </c>
      <c r="J2159" s="28" t="s">
        <v>71</v>
      </c>
      <c r="K2159" s="28" t="s">
        <v>90</v>
      </c>
      <c r="L2159" s="28" t="s">
        <v>141</v>
      </c>
      <c r="M2159" s="28" t="s">
        <v>92</v>
      </c>
      <c r="N2159" s="28" t="s">
        <v>142</v>
      </c>
      <c r="O2159" s="29" t="n">
        <v>18</v>
      </c>
      <c r="P2159" s="30" t="n">
        <v>130.51</v>
      </c>
      <c r="Q2159" s="30" t="n">
        <v>78.33</v>
      </c>
      <c r="R2159" s="30" t="n">
        <f aca="false">ROUND(O2159*P2159,2)</f>
        <v>2349.18</v>
      </c>
      <c r="S2159" s="30" t="n">
        <f aca="false">ROUND(O2159*Q2159,2)</f>
        <v>1409.94</v>
      </c>
      <c r="T2159" s="30" t="n">
        <f aca="false">ROUND(R2159*SUMIFS(Parametros!$E$23:$E$38,Parametros!$B$23:$B$38,J2159,Parametros!$C$23:$C$38,C2159,Parametros!$D$23:$D$38,D2159),2)</f>
        <v>122.16</v>
      </c>
      <c r="U2159" s="30" t="n">
        <f aca="false">R2159-S2159-T2159</f>
        <v>817.08</v>
      </c>
    </row>
    <row r="2160" customFormat="false" ht="15" hidden="false" customHeight="false" outlineLevel="0" collapsed="false">
      <c r="A2160" s="0" t="n">
        <v>2159</v>
      </c>
      <c r="B2160" s="27" t="n">
        <v>45951</v>
      </c>
      <c r="C2160" s="0" t="n">
        <v>2025</v>
      </c>
      <c r="D2160" s="28" t="s">
        <v>122</v>
      </c>
      <c r="E2160" s="0" t="n">
        <v>10</v>
      </c>
      <c r="F2160" s="28" t="s">
        <v>123</v>
      </c>
      <c r="G2160" s="28" t="s">
        <v>152</v>
      </c>
      <c r="H2160" s="28" t="s">
        <v>98</v>
      </c>
      <c r="I2160" s="28" t="s">
        <v>99</v>
      </c>
      <c r="J2160" s="28" t="s">
        <v>66</v>
      </c>
      <c r="K2160" s="28" t="s">
        <v>90</v>
      </c>
      <c r="L2160" s="28" t="s">
        <v>141</v>
      </c>
      <c r="M2160" s="28" t="s">
        <v>94</v>
      </c>
      <c r="N2160" s="28" t="s">
        <v>143</v>
      </c>
      <c r="O2160" s="29" t="n">
        <v>25</v>
      </c>
      <c r="P2160" s="30" t="n">
        <v>35.14</v>
      </c>
      <c r="Q2160" s="30" t="n">
        <v>18.39</v>
      </c>
      <c r="R2160" s="30" t="n">
        <f aca="false">ROUND(O2160*P2160,2)</f>
        <v>878.5</v>
      </c>
      <c r="S2160" s="30" t="n">
        <f aca="false">ROUND(O2160*Q2160,2)</f>
        <v>459.75</v>
      </c>
      <c r="T2160" s="30" t="n">
        <f aca="false">ROUND(R2160*SUMIFS(Parametros!$E$23:$E$38,Parametros!$B$23:$B$38,J2160,Parametros!$C$23:$C$38,C2160,Parametros!$D$23:$D$38,D2160),2)</f>
        <v>11.42</v>
      </c>
      <c r="U2160" s="30" t="n">
        <f aca="false">R2160-S2160-T2160</f>
        <v>407.33</v>
      </c>
    </row>
    <row r="2161" customFormat="false" ht="15" hidden="false" customHeight="false" outlineLevel="0" collapsed="false">
      <c r="A2161" s="0" t="n">
        <v>2160</v>
      </c>
      <c r="B2161" s="27" t="n">
        <v>45931</v>
      </c>
      <c r="C2161" s="0" t="n">
        <v>2025</v>
      </c>
      <c r="D2161" s="28" t="s">
        <v>122</v>
      </c>
      <c r="E2161" s="0" t="n">
        <v>10</v>
      </c>
      <c r="F2161" s="28" t="s">
        <v>123</v>
      </c>
      <c r="G2161" s="28" t="s">
        <v>152</v>
      </c>
      <c r="H2161" s="28" t="s">
        <v>98</v>
      </c>
      <c r="I2161" s="28" t="s">
        <v>99</v>
      </c>
      <c r="J2161" s="28" t="s">
        <v>71</v>
      </c>
      <c r="K2161" s="28" t="s">
        <v>90</v>
      </c>
      <c r="L2161" s="28" t="s">
        <v>141</v>
      </c>
      <c r="M2161" s="28" t="s">
        <v>94</v>
      </c>
      <c r="N2161" s="28" t="s">
        <v>143</v>
      </c>
      <c r="O2161" s="29" t="n">
        <v>18</v>
      </c>
      <c r="P2161" s="30" t="n">
        <v>35.14</v>
      </c>
      <c r="Q2161" s="30" t="n">
        <v>18.39</v>
      </c>
      <c r="R2161" s="30" t="n">
        <f aca="false">ROUND(O2161*P2161,2)</f>
        <v>632.52</v>
      </c>
      <c r="S2161" s="30" t="n">
        <f aca="false">ROUND(O2161*Q2161,2)</f>
        <v>331.02</v>
      </c>
      <c r="T2161" s="30" t="n">
        <f aca="false">ROUND(R2161*SUMIFS(Parametros!$E$23:$E$38,Parametros!$B$23:$B$38,J2161,Parametros!$C$23:$C$38,C2161,Parametros!$D$23:$D$38,D2161),2)</f>
        <v>32.89</v>
      </c>
      <c r="U2161" s="30" t="n">
        <f aca="false">R2161-S2161-T2161</f>
        <v>268.61</v>
      </c>
    </row>
    <row r="2162" customFormat="false" ht="15" hidden="false" customHeight="false" outlineLevel="0" collapsed="false">
      <c r="A2162" s="0" t="n">
        <v>2161</v>
      </c>
      <c r="B2162" s="27" t="n">
        <v>45938</v>
      </c>
      <c r="C2162" s="0" t="n">
        <v>2025</v>
      </c>
      <c r="D2162" s="28" t="s">
        <v>122</v>
      </c>
      <c r="E2162" s="0" t="n">
        <v>10</v>
      </c>
      <c r="F2162" s="28" t="s">
        <v>123</v>
      </c>
      <c r="G2162" s="28" t="s">
        <v>152</v>
      </c>
      <c r="H2162" s="28" t="s">
        <v>100</v>
      </c>
      <c r="I2162" s="28" t="s">
        <v>101</v>
      </c>
      <c r="J2162" s="28" t="s">
        <v>66</v>
      </c>
      <c r="K2162" s="28" t="s">
        <v>67</v>
      </c>
      <c r="L2162" s="28" t="s">
        <v>130</v>
      </c>
      <c r="M2162" s="28" t="s">
        <v>69</v>
      </c>
      <c r="N2162" s="28" t="s">
        <v>131</v>
      </c>
      <c r="O2162" s="29" t="n">
        <v>7</v>
      </c>
      <c r="P2162" s="30" t="n">
        <v>1204.74</v>
      </c>
      <c r="Q2162" s="30" t="n">
        <v>766.32</v>
      </c>
      <c r="R2162" s="30" t="n">
        <f aca="false">ROUND(O2162*P2162,2)</f>
        <v>8433.18</v>
      </c>
      <c r="S2162" s="30" t="n">
        <f aca="false">ROUND(O2162*Q2162,2)</f>
        <v>5364.24</v>
      </c>
      <c r="T2162" s="30" t="n">
        <f aca="false">ROUND(R2162*SUMIFS(Parametros!$E$23:$E$38,Parametros!$B$23:$B$38,J2162,Parametros!$C$23:$C$38,C2162,Parametros!$D$23:$D$38,D2162),2)</f>
        <v>109.63</v>
      </c>
      <c r="U2162" s="30" t="n">
        <f aca="false">R2162-S2162-T2162</f>
        <v>2959.31</v>
      </c>
    </row>
    <row r="2163" customFormat="false" ht="15" hidden="false" customHeight="false" outlineLevel="0" collapsed="false">
      <c r="A2163" s="0" t="n">
        <v>2162</v>
      </c>
      <c r="B2163" s="27" t="n">
        <v>45945</v>
      </c>
      <c r="C2163" s="0" t="n">
        <v>2025</v>
      </c>
      <c r="D2163" s="28" t="s">
        <v>122</v>
      </c>
      <c r="E2163" s="0" t="n">
        <v>10</v>
      </c>
      <c r="F2163" s="28" t="s">
        <v>123</v>
      </c>
      <c r="G2163" s="28" t="s">
        <v>152</v>
      </c>
      <c r="H2163" s="28" t="s">
        <v>100</v>
      </c>
      <c r="I2163" s="28" t="s">
        <v>101</v>
      </c>
      <c r="J2163" s="28" t="s">
        <v>71</v>
      </c>
      <c r="K2163" s="28" t="s">
        <v>67</v>
      </c>
      <c r="L2163" s="28" t="s">
        <v>130</v>
      </c>
      <c r="M2163" s="28" t="s">
        <v>69</v>
      </c>
      <c r="N2163" s="28" t="s">
        <v>131</v>
      </c>
      <c r="O2163" s="29" t="n">
        <v>4</v>
      </c>
      <c r="P2163" s="30" t="n">
        <v>1204.74</v>
      </c>
      <c r="Q2163" s="30" t="n">
        <v>766.32</v>
      </c>
      <c r="R2163" s="30" t="n">
        <f aca="false">ROUND(O2163*P2163,2)</f>
        <v>4818.96</v>
      </c>
      <c r="S2163" s="30" t="n">
        <f aca="false">ROUND(O2163*Q2163,2)</f>
        <v>3065.28</v>
      </c>
      <c r="T2163" s="30" t="n">
        <f aca="false">ROUND(R2163*SUMIFS(Parametros!$E$23:$E$38,Parametros!$B$23:$B$38,J2163,Parametros!$C$23:$C$38,C2163,Parametros!$D$23:$D$38,D2163),2)</f>
        <v>250.59</v>
      </c>
      <c r="U2163" s="30" t="n">
        <f aca="false">R2163-S2163-T2163</f>
        <v>1503.09</v>
      </c>
    </row>
    <row r="2164" customFormat="false" ht="15" hidden="false" customHeight="false" outlineLevel="0" collapsed="false">
      <c r="A2164" s="0" t="n">
        <v>2163</v>
      </c>
      <c r="B2164" s="27" t="n">
        <v>45952</v>
      </c>
      <c r="C2164" s="0" t="n">
        <v>2025</v>
      </c>
      <c r="D2164" s="28" t="s">
        <v>122</v>
      </c>
      <c r="E2164" s="0" t="n">
        <v>10</v>
      </c>
      <c r="F2164" s="28" t="s">
        <v>123</v>
      </c>
      <c r="G2164" s="28" t="s">
        <v>152</v>
      </c>
      <c r="H2164" s="28" t="s">
        <v>100</v>
      </c>
      <c r="I2164" s="28" t="s">
        <v>101</v>
      </c>
      <c r="J2164" s="28" t="s">
        <v>66</v>
      </c>
      <c r="K2164" s="28" t="s">
        <v>67</v>
      </c>
      <c r="L2164" s="28" t="s">
        <v>130</v>
      </c>
      <c r="M2164" s="28" t="s">
        <v>72</v>
      </c>
      <c r="N2164" s="28" t="s">
        <v>132</v>
      </c>
      <c r="O2164" s="29" t="n">
        <v>6</v>
      </c>
      <c r="P2164" s="30" t="n">
        <v>451.78</v>
      </c>
      <c r="Q2164" s="30" t="n">
        <v>280.42</v>
      </c>
      <c r="R2164" s="30" t="n">
        <f aca="false">ROUND(O2164*P2164,2)</f>
        <v>2710.68</v>
      </c>
      <c r="S2164" s="30" t="n">
        <f aca="false">ROUND(O2164*Q2164,2)</f>
        <v>1682.52</v>
      </c>
      <c r="T2164" s="30" t="n">
        <f aca="false">ROUND(R2164*SUMIFS(Parametros!$E$23:$E$38,Parametros!$B$23:$B$38,J2164,Parametros!$C$23:$C$38,C2164,Parametros!$D$23:$D$38,D2164),2)</f>
        <v>35.24</v>
      </c>
      <c r="U2164" s="30" t="n">
        <f aca="false">R2164-S2164-T2164</f>
        <v>992.92</v>
      </c>
    </row>
    <row r="2165" customFormat="false" ht="15" hidden="false" customHeight="false" outlineLevel="0" collapsed="false">
      <c r="A2165" s="0" t="n">
        <v>2164</v>
      </c>
      <c r="B2165" s="27" t="n">
        <v>45932</v>
      </c>
      <c r="C2165" s="0" t="n">
        <v>2025</v>
      </c>
      <c r="D2165" s="28" t="s">
        <v>122</v>
      </c>
      <c r="E2165" s="0" t="n">
        <v>10</v>
      </c>
      <c r="F2165" s="28" t="s">
        <v>123</v>
      </c>
      <c r="G2165" s="28" t="s">
        <v>152</v>
      </c>
      <c r="H2165" s="28" t="s">
        <v>100</v>
      </c>
      <c r="I2165" s="28" t="s">
        <v>101</v>
      </c>
      <c r="J2165" s="28" t="s">
        <v>71</v>
      </c>
      <c r="K2165" s="28" t="s">
        <v>67</v>
      </c>
      <c r="L2165" s="28" t="s">
        <v>130</v>
      </c>
      <c r="M2165" s="28" t="s">
        <v>72</v>
      </c>
      <c r="N2165" s="28" t="s">
        <v>132</v>
      </c>
      <c r="O2165" s="29" t="n">
        <v>4</v>
      </c>
      <c r="P2165" s="30" t="n">
        <v>451.78</v>
      </c>
      <c r="Q2165" s="30" t="n">
        <v>280.42</v>
      </c>
      <c r="R2165" s="30" t="n">
        <f aca="false">ROUND(O2165*P2165,2)</f>
        <v>1807.12</v>
      </c>
      <c r="S2165" s="30" t="n">
        <f aca="false">ROUND(O2165*Q2165,2)</f>
        <v>1121.68</v>
      </c>
      <c r="T2165" s="30" t="n">
        <f aca="false">ROUND(R2165*SUMIFS(Parametros!$E$23:$E$38,Parametros!$B$23:$B$38,J2165,Parametros!$C$23:$C$38,C2165,Parametros!$D$23:$D$38,D2165),2)</f>
        <v>93.97</v>
      </c>
      <c r="U2165" s="30" t="n">
        <f aca="false">R2165-S2165-T2165</f>
        <v>591.47</v>
      </c>
    </row>
    <row r="2166" customFormat="false" ht="15" hidden="false" customHeight="false" outlineLevel="0" collapsed="false">
      <c r="A2166" s="0" t="n">
        <v>2165</v>
      </c>
      <c r="B2166" s="27" t="n">
        <v>45939</v>
      </c>
      <c r="C2166" s="0" t="n">
        <v>2025</v>
      </c>
      <c r="D2166" s="28" t="s">
        <v>122</v>
      </c>
      <c r="E2166" s="0" t="n">
        <v>10</v>
      </c>
      <c r="F2166" s="28" t="s">
        <v>123</v>
      </c>
      <c r="G2166" s="28" t="s">
        <v>152</v>
      </c>
      <c r="H2166" s="28" t="s">
        <v>100</v>
      </c>
      <c r="I2166" s="28" t="s">
        <v>101</v>
      </c>
      <c r="J2166" s="28" t="s">
        <v>66</v>
      </c>
      <c r="K2166" s="28" t="s">
        <v>67</v>
      </c>
      <c r="L2166" s="28" t="s">
        <v>130</v>
      </c>
      <c r="M2166" s="28" t="s">
        <v>74</v>
      </c>
      <c r="N2166" s="28" t="s">
        <v>133</v>
      </c>
      <c r="O2166" s="29" t="n">
        <v>6</v>
      </c>
      <c r="P2166" s="30" t="n">
        <v>1656.52</v>
      </c>
      <c r="Q2166" s="30" t="n">
        <v>1155.66</v>
      </c>
      <c r="R2166" s="30" t="n">
        <f aca="false">ROUND(O2166*P2166,2)</f>
        <v>9939.12</v>
      </c>
      <c r="S2166" s="30" t="n">
        <f aca="false">ROUND(O2166*Q2166,2)</f>
        <v>6933.96</v>
      </c>
      <c r="T2166" s="30" t="n">
        <f aca="false">ROUND(R2166*SUMIFS(Parametros!$E$23:$E$38,Parametros!$B$23:$B$38,J2166,Parametros!$C$23:$C$38,C2166,Parametros!$D$23:$D$38,D2166),2)</f>
        <v>129.21</v>
      </c>
      <c r="U2166" s="30" t="n">
        <f aca="false">R2166-S2166-T2166</f>
        <v>2875.95</v>
      </c>
    </row>
    <row r="2167" customFormat="false" ht="15" hidden="false" customHeight="false" outlineLevel="0" collapsed="false">
      <c r="A2167" s="0" t="n">
        <v>2166</v>
      </c>
      <c r="B2167" s="27" t="n">
        <v>45946</v>
      </c>
      <c r="C2167" s="0" t="n">
        <v>2025</v>
      </c>
      <c r="D2167" s="28" t="s">
        <v>122</v>
      </c>
      <c r="E2167" s="0" t="n">
        <v>10</v>
      </c>
      <c r="F2167" s="28" t="s">
        <v>123</v>
      </c>
      <c r="G2167" s="28" t="s">
        <v>152</v>
      </c>
      <c r="H2167" s="28" t="s">
        <v>100</v>
      </c>
      <c r="I2167" s="28" t="s">
        <v>101</v>
      </c>
      <c r="J2167" s="28" t="s">
        <v>71</v>
      </c>
      <c r="K2167" s="28" t="s">
        <v>67</v>
      </c>
      <c r="L2167" s="28" t="s">
        <v>130</v>
      </c>
      <c r="M2167" s="28" t="s">
        <v>74</v>
      </c>
      <c r="N2167" s="28" t="s">
        <v>133</v>
      </c>
      <c r="O2167" s="29" t="n">
        <v>5</v>
      </c>
      <c r="P2167" s="30" t="n">
        <v>1656.52</v>
      </c>
      <c r="Q2167" s="30" t="n">
        <v>1155.66</v>
      </c>
      <c r="R2167" s="30" t="n">
        <f aca="false">ROUND(O2167*P2167,2)</f>
        <v>8282.6</v>
      </c>
      <c r="S2167" s="30" t="n">
        <f aca="false">ROUND(O2167*Q2167,2)</f>
        <v>5778.3</v>
      </c>
      <c r="T2167" s="30" t="n">
        <f aca="false">ROUND(R2167*SUMIFS(Parametros!$E$23:$E$38,Parametros!$B$23:$B$38,J2167,Parametros!$C$23:$C$38,C2167,Parametros!$D$23:$D$38,D2167),2)</f>
        <v>430.7</v>
      </c>
      <c r="U2167" s="30" t="n">
        <f aca="false">R2167-S2167-T2167</f>
        <v>2073.6</v>
      </c>
    </row>
    <row r="2168" customFormat="false" ht="15" hidden="false" customHeight="false" outlineLevel="0" collapsed="false">
      <c r="A2168" s="0" t="n">
        <v>2167</v>
      </c>
      <c r="B2168" s="27" t="n">
        <v>45953</v>
      </c>
      <c r="C2168" s="0" t="n">
        <v>2025</v>
      </c>
      <c r="D2168" s="28" t="s">
        <v>122</v>
      </c>
      <c r="E2168" s="0" t="n">
        <v>10</v>
      </c>
      <c r="F2168" s="28" t="s">
        <v>123</v>
      </c>
      <c r="G2168" s="28" t="s">
        <v>152</v>
      </c>
      <c r="H2168" s="28" t="s">
        <v>100</v>
      </c>
      <c r="I2168" s="28" t="s">
        <v>101</v>
      </c>
      <c r="J2168" s="28" t="s">
        <v>66</v>
      </c>
      <c r="K2168" s="28" t="s">
        <v>76</v>
      </c>
      <c r="L2168" s="28" t="s">
        <v>134</v>
      </c>
      <c r="M2168" s="28" t="s">
        <v>78</v>
      </c>
      <c r="N2168" s="28" t="s">
        <v>135</v>
      </c>
      <c r="O2168" s="29" t="n">
        <v>36</v>
      </c>
      <c r="P2168" s="30" t="n">
        <v>28.11</v>
      </c>
      <c r="Q2168" s="30" t="n">
        <v>13.84</v>
      </c>
      <c r="R2168" s="30" t="n">
        <f aca="false">ROUND(O2168*P2168,2)</f>
        <v>1011.96</v>
      </c>
      <c r="S2168" s="30" t="n">
        <f aca="false">ROUND(O2168*Q2168,2)</f>
        <v>498.24</v>
      </c>
      <c r="T2168" s="30" t="n">
        <f aca="false">ROUND(R2168*SUMIFS(Parametros!$E$23:$E$38,Parametros!$B$23:$B$38,J2168,Parametros!$C$23:$C$38,C2168,Parametros!$D$23:$D$38,D2168),2)</f>
        <v>13.16</v>
      </c>
      <c r="U2168" s="30" t="n">
        <f aca="false">R2168-S2168-T2168</f>
        <v>500.56</v>
      </c>
    </row>
    <row r="2169" customFormat="false" ht="15" hidden="false" customHeight="false" outlineLevel="0" collapsed="false">
      <c r="A2169" s="0" t="n">
        <v>2168</v>
      </c>
      <c r="B2169" s="27" t="n">
        <v>45933</v>
      </c>
      <c r="C2169" s="0" t="n">
        <v>2025</v>
      </c>
      <c r="D2169" s="28" t="s">
        <v>122</v>
      </c>
      <c r="E2169" s="0" t="n">
        <v>10</v>
      </c>
      <c r="F2169" s="28" t="s">
        <v>123</v>
      </c>
      <c r="G2169" s="28" t="s">
        <v>152</v>
      </c>
      <c r="H2169" s="28" t="s">
        <v>100</v>
      </c>
      <c r="I2169" s="28" t="s">
        <v>101</v>
      </c>
      <c r="J2169" s="28" t="s">
        <v>71</v>
      </c>
      <c r="K2169" s="28" t="s">
        <v>76</v>
      </c>
      <c r="L2169" s="28" t="s">
        <v>134</v>
      </c>
      <c r="M2169" s="28" t="s">
        <v>78</v>
      </c>
      <c r="N2169" s="28" t="s">
        <v>135</v>
      </c>
      <c r="O2169" s="29" t="n">
        <v>18</v>
      </c>
      <c r="P2169" s="30" t="n">
        <v>28.11</v>
      </c>
      <c r="Q2169" s="30" t="n">
        <v>13.84</v>
      </c>
      <c r="R2169" s="30" t="n">
        <f aca="false">ROUND(O2169*P2169,2)</f>
        <v>505.98</v>
      </c>
      <c r="S2169" s="30" t="n">
        <f aca="false">ROUND(O2169*Q2169,2)</f>
        <v>249.12</v>
      </c>
      <c r="T2169" s="30" t="n">
        <f aca="false">ROUND(R2169*SUMIFS(Parametros!$E$23:$E$38,Parametros!$B$23:$B$38,J2169,Parametros!$C$23:$C$38,C2169,Parametros!$D$23:$D$38,D2169),2)</f>
        <v>26.31</v>
      </c>
      <c r="U2169" s="30" t="n">
        <f aca="false">R2169-S2169-T2169</f>
        <v>230.55</v>
      </c>
    </row>
    <row r="2170" customFormat="false" ht="15" hidden="false" customHeight="false" outlineLevel="0" collapsed="false">
      <c r="A2170" s="0" t="n">
        <v>2169</v>
      </c>
      <c r="B2170" s="27" t="n">
        <v>45940</v>
      </c>
      <c r="C2170" s="0" t="n">
        <v>2025</v>
      </c>
      <c r="D2170" s="28" t="s">
        <v>122</v>
      </c>
      <c r="E2170" s="0" t="n">
        <v>10</v>
      </c>
      <c r="F2170" s="28" t="s">
        <v>123</v>
      </c>
      <c r="G2170" s="28" t="s">
        <v>152</v>
      </c>
      <c r="H2170" s="28" t="s">
        <v>100</v>
      </c>
      <c r="I2170" s="28" t="s">
        <v>101</v>
      </c>
      <c r="J2170" s="28" t="s">
        <v>66</v>
      </c>
      <c r="K2170" s="28" t="s">
        <v>76</v>
      </c>
      <c r="L2170" s="28" t="s">
        <v>134</v>
      </c>
      <c r="M2170" s="28" t="s">
        <v>80</v>
      </c>
      <c r="N2170" s="28" t="s">
        <v>136</v>
      </c>
      <c r="O2170" s="29" t="n">
        <v>34</v>
      </c>
      <c r="P2170" s="30" t="n">
        <v>95.38</v>
      </c>
      <c r="Q2170" s="30" t="n">
        <v>49.41</v>
      </c>
      <c r="R2170" s="30" t="n">
        <f aca="false">ROUND(O2170*P2170,2)</f>
        <v>3242.92</v>
      </c>
      <c r="S2170" s="30" t="n">
        <f aca="false">ROUND(O2170*Q2170,2)</f>
        <v>1679.94</v>
      </c>
      <c r="T2170" s="30" t="n">
        <f aca="false">ROUND(R2170*SUMIFS(Parametros!$E$23:$E$38,Parametros!$B$23:$B$38,J2170,Parametros!$C$23:$C$38,C2170,Parametros!$D$23:$D$38,D2170),2)</f>
        <v>42.16</v>
      </c>
      <c r="U2170" s="30" t="n">
        <f aca="false">R2170-S2170-T2170</f>
        <v>1520.82</v>
      </c>
    </row>
    <row r="2171" customFormat="false" ht="15" hidden="false" customHeight="false" outlineLevel="0" collapsed="false">
      <c r="A2171" s="0" t="n">
        <v>2170</v>
      </c>
      <c r="B2171" s="27" t="n">
        <v>45947</v>
      </c>
      <c r="C2171" s="0" t="n">
        <v>2025</v>
      </c>
      <c r="D2171" s="28" t="s">
        <v>122</v>
      </c>
      <c r="E2171" s="0" t="n">
        <v>10</v>
      </c>
      <c r="F2171" s="28" t="s">
        <v>123</v>
      </c>
      <c r="G2171" s="28" t="s">
        <v>152</v>
      </c>
      <c r="H2171" s="28" t="s">
        <v>100</v>
      </c>
      <c r="I2171" s="28" t="s">
        <v>101</v>
      </c>
      <c r="J2171" s="28" t="s">
        <v>71</v>
      </c>
      <c r="K2171" s="28" t="s">
        <v>76</v>
      </c>
      <c r="L2171" s="28" t="s">
        <v>134</v>
      </c>
      <c r="M2171" s="28" t="s">
        <v>80</v>
      </c>
      <c r="N2171" s="28" t="s">
        <v>136</v>
      </c>
      <c r="O2171" s="29" t="n">
        <v>18</v>
      </c>
      <c r="P2171" s="30" t="n">
        <v>95.38</v>
      </c>
      <c r="Q2171" s="30" t="n">
        <v>49.41</v>
      </c>
      <c r="R2171" s="30" t="n">
        <f aca="false">ROUND(O2171*P2171,2)</f>
        <v>1716.84</v>
      </c>
      <c r="S2171" s="30" t="n">
        <f aca="false">ROUND(O2171*Q2171,2)</f>
        <v>889.38</v>
      </c>
      <c r="T2171" s="30" t="n">
        <f aca="false">ROUND(R2171*SUMIFS(Parametros!$E$23:$E$38,Parametros!$B$23:$B$38,J2171,Parametros!$C$23:$C$38,C2171,Parametros!$D$23:$D$38,D2171),2)</f>
        <v>89.28</v>
      </c>
      <c r="U2171" s="30" t="n">
        <f aca="false">R2171-S2171-T2171</f>
        <v>738.18</v>
      </c>
    </row>
    <row r="2172" customFormat="false" ht="15" hidden="false" customHeight="false" outlineLevel="0" collapsed="false">
      <c r="A2172" s="0" t="n">
        <v>2171</v>
      </c>
      <c r="B2172" s="27" t="n">
        <v>45954</v>
      </c>
      <c r="C2172" s="0" t="n">
        <v>2025</v>
      </c>
      <c r="D2172" s="28" t="s">
        <v>122</v>
      </c>
      <c r="E2172" s="0" t="n">
        <v>10</v>
      </c>
      <c r="F2172" s="28" t="s">
        <v>123</v>
      </c>
      <c r="G2172" s="28" t="s">
        <v>152</v>
      </c>
      <c r="H2172" s="28" t="s">
        <v>100</v>
      </c>
      <c r="I2172" s="28" t="s">
        <v>101</v>
      </c>
      <c r="J2172" s="28" t="s">
        <v>66</v>
      </c>
      <c r="K2172" s="28" t="s">
        <v>76</v>
      </c>
      <c r="L2172" s="28" t="s">
        <v>134</v>
      </c>
      <c r="M2172" s="28" t="s">
        <v>82</v>
      </c>
      <c r="N2172" s="28" t="s">
        <v>137</v>
      </c>
      <c r="O2172" s="29" t="n">
        <v>36</v>
      </c>
      <c r="P2172" s="30" t="n">
        <v>65.26</v>
      </c>
      <c r="Q2172" s="30" t="n">
        <v>36.49</v>
      </c>
      <c r="R2172" s="30" t="n">
        <f aca="false">ROUND(O2172*P2172,2)</f>
        <v>2349.36</v>
      </c>
      <c r="S2172" s="30" t="n">
        <f aca="false">ROUND(O2172*Q2172,2)</f>
        <v>1313.64</v>
      </c>
      <c r="T2172" s="30" t="n">
        <f aca="false">ROUND(R2172*SUMIFS(Parametros!$E$23:$E$38,Parametros!$B$23:$B$38,J2172,Parametros!$C$23:$C$38,C2172,Parametros!$D$23:$D$38,D2172),2)</f>
        <v>30.54</v>
      </c>
      <c r="U2172" s="30" t="n">
        <f aca="false">R2172-S2172-T2172</f>
        <v>1005.18</v>
      </c>
    </row>
    <row r="2173" customFormat="false" ht="15" hidden="false" customHeight="false" outlineLevel="0" collapsed="false">
      <c r="A2173" s="0" t="n">
        <v>2172</v>
      </c>
      <c r="B2173" s="27" t="n">
        <v>45934</v>
      </c>
      <c r="C2173" s="0" t="n">
        <v>2025</v>
      </c>
      <c r="D2173" s="28" t="s">
        <v>122</v>
      </c>
      <c r="E2173" s="0" t="n">
        <v>10</v>
      </c>
      <c r="F2173" s="28" t="s">
        <v>123</v>
      </c>
      <c r="G2173" s="28" t="s">
        <v>152</v>
      </c>
      <c r="H2173" s="28" t="s">
        <v>100</v>
      </c>
      <c r="I2173" s="28" t="s">
        <v>101</v>
      </c>
      <c r="J2173" s="28" t="s">
        <v>71</v>
      </c>
      <c r="K2173" s="28" t="s">
        <v>76</v>
      </c>
      <c r="L2173" s="28" t="s">
        <v>134</v>
      </c>
      <c r="M2173" s="28" t="s">
        <v>82</v>
      </c>
      <c r="N2173" s="28" t="s">
        <v>137</v>
      </c>
      <c r="O2173" s="29" t="n">
        <v>22</v>
      </c>
      <c r="P2173" s="30" t="n">
        <v>65.26</v>
      </c>
      <c r="Q2173" s="30" t="n">
        <v>36.49</v>
      </c>
      <c r="R2173" s="30" t="n">
        <f aca="false">ROUND(O2173*P2173,2)</f>
        <v>1435.72</v>
      </c>
      <c r="S2173" s="30" t="n">
        <f aca="false">ROUND(O2173*Q2173,2)</f>
        <v>802.78</v>
      </c>
      <c r="T2173" s="30" t="n">
        <f aca="false">ROUND(R2173*SUMIFS(Parametros!$E$23:$E$38,Parametros!$B$23:$B$38,J2173,Parametros!$C$23:$C$38,C2173,Parametros!$D$23:$D$38,D2173),2)</f>
        <v>74.66</v>
      </c>
      <c r="U2173" s="30" t="n">
        <f aca="false">R2173-S2173-T2173</f>
        <v>558.28</v>
      </c>
    </row>
    <row r="2174" customFormat="false" ht="15" hidden="false" customHeight="false" outlineLevel="0" collapsed="false">
      <c r="A2174" s="0" t="n">
        <v>2173</v>
      </c>
      <c r="B2174" s="27" t="n">
        <v>45941</v>
      </c>
      <c r="C2174" s="0" t="n">
        <v>2025</v>
      </c>
      <c r="D2174" s="28" t="s">
        <v>122</v>
      </c>
      <c r="E2174" s="0" t="n">
        <v>10</v>
      </c>
      <c r="F2174" s="28" t="s">
        <v>123</v>
      </c>
      <c r="G2174" s="28" t="s">
        <v>152</v>
      </c>
      <c r="H2174" s="28" t="s">
        <v>100</v>
      </c>
      <c r="I2174" s="28" t="s">
        <v>101</v>
      </c>
      <c r="J2174" s="28" t="s">
        <v>66</v>
      </c>
      <c r="K2174" s="28" t="s">
        <v>84</v>
      </c>
      <c r="L2174" s="28" t="s">
        <v>138</v>
      </c>
      <c r="M2174" s="28" t="s">
        <v>86</v>
      </c>
      <c r="N2174" s="28" t="s">
        <v>139</v>
      </c>
      <c r="O2174" s="29" t="n">
        <v>14</v>
      </c>
      <c r="P2174" s="30" t="n">
        <v>120.47</v>
      </c>
      <c r="Q2174" s="30" t="n">
        <v>65.51</v>
      </c>
      <c r="R2174" s="30" t="n">
        <f aca="false">ROUND(O2174*P2174,2)</f>
        <v>1686.58</v>
      </c>
      <c r="S2174" s="30" t="n">
        <f aca="false">ROUND(O2174*Q2174,2)</f>
        <v>917.14</v>
      </c>
      <c r="T2174" s="30" t="n">
        <f aca="false">ROUND(R2174*SUMIFS(Parametros!$E$23:$E$38,Parametros!$B$23:$B$38,J2174,Parametros!$C$23:$C$38,C2174,Parametros!$D$23:$D$38,D2174),2)</f>
        <v>21.93</v>
      </c>
      <c r="U2174" s="30" t="n">
        <f aca="false">R2174-S2174-T2174</f>
        <v>747.51</v>
      </c>
    </row>
    <row r="2175" customFormat="false" ht="15" hidden="false" customHeight="false" outlineLevel="0" collapsed="false">
      <c r="A2175" s="0" t="n">
        <v>2174</v>
      </c>
      <c r="B2175" s="27" t="n">
        <v>45948</v>
      </c>
      <c r="C2175" s="0" t="n">
        <v>2025</v>
      </c>
      <c r="D2175" s="28" t="s">
        <v>122</v>
      </c>
      <c r="E2175" s="0" t="n">
        <v>10</v>
      </c>
      <c r="F2175" s="28" t="s">
        <v>123</v>
      </c>
      <c r="G2175" s="28" t="s">
        <v>152</v>
      </c>
      <c r="H2175" s="28" t="s">
        <v>100</v>
      </c>
      <c r="I2175" s="28" t="s">
        <v>101</v>
      </c>
      <c r="J2175" s="28" t="s">
        <v>71</v>
      </c>
      <c r="K2175" s="28" t="s">
        <v>84</v>
      </c>
      <c r="L2175" s="28" t="s">
        <v>138</v>
      </c>
      <c r="M2175" s="28" t="s">
        <v>86</v>
      </c>
      <c r="N2175" s="28" t="s">
        <v>139</v>
      </c>
      <c r="O2175" s="29" t="n">
        <v>9</v>
      </c>
      <c r="P2175" s="30" t="n">
        <v>120.47</v>
      </c>
      <c r="Q2175" s="30" t="n">
        <v>65.51</v>
      </c>
      <c r="R2175" s="30" t="n">
        <f aca="false">ROUND(O2175*P2175,2)</f>
        <v>1084.23</v>
      </c>
      <c r="S2175" s="30" t="n">
        <f aca="false">ROUND(O2175*Q2175,2)</f>
        <v>589.59</v>
      </c>
      <c r="T2175" s="30" t="n">
        <f aca="false">ROUND(R2175*SUMIFS(Parametros!$E$23:$E$38,Parametros!$B$23:$B$38,J2175,Parametros!$C$23:$C$38,C2175,Parametros!$D$23:$D$38,D2175),2)</f>
        <v>56.38</v>
      </c>
      <c r="U2175" s="30" t="n">
        <f aca="false">R2175-S2175-T2175</f>
        <v>438.26</v>
      </c>
    </row>
    <row r="2176" customFormat="false" ht="15" hidden="false" customHeight="false" outlineLevel="0" collapsed="false">
      <c r="A2176" s="0" t="n">
        <v>2175</v>
      </c>
      <c r="B2176" s="27" t="n">
        <v>45955</v>
      </c>
      <c r="C2176" s="0" t="n">
        <v>2025</v>
      </c>
      <c r="D2176" s="28" t="s">
        <v>122</v>
      </c>
      <c r="E2176" s="0" t="n">
        <v>10</v>
      </c>
      <c r="F2176" s="28" t="s">
        <v>123</v>
      </c>
      <c r="G2176" s="28" t="s">
        <v>152</v>
      </c>
      <c r="H2176" s="28" t="s">
        <v>100</v>
      </c>
      <c r="I2176" s="28" t="s">
        <v>101</v>
      </c>
      <c r="J2176" s="28" t="s">
        <v>66</v>
      </c>
      <c r="K2176" s="28" t="s">
        <v>84</v>
      </c>
      <c r="L2176" s="28" t="s">
        <v>138</v>
      </c>
      <c r="M2176" s="28" t="s">
        <v>88</v>
      </c>
      <c r="N2176" s="28" t="s">
        <v>140</v>
      </c>
      <c r="O2176" s="29" t="n">
        <v>15</v>
      </c>
      <c r="P2176" s="30" t="n">
        <v>85.34</v>
      </c>
      <c r="Q2176" s="30" t="n">
        <v>49.47</v>
      </c>
      <c r="R2176" s="30" t="n">
        <f aca="false">ROUND(O2176*P2176,2)</f>
        <v>1280.1</v>
      </c>
      <c r="S2176" s="30" t="n">
        <f aca="false">ROUND(O2176*Q2176,2)</f>
        <v>742.05</v>
      </c>
      <c r="T2176" s="30" t="n">
        <f aca="false">ROUND(R2176*SUMIFS(Parametros!$E$23:$E$38,Parametros!$B$23:$B$38,J2176,Parametros!$C$23:$C$38,C2176,Parametros!$D$23:$D$38,D2176),2)</f>
        <v>16.64</v>
      </c>
      <c r="U2176" s="30" t="n">
        <f aca="false">R2176-S2176-T2176</f>
        <v>521.41</v>
      </c>
    </row>
    <row r="2177" customFormat="false" ht="15" hidden="false" customHeight="false" outlineLevel="0" collapsed="false">
      <c r="A2177" s="0" t="n">
        <v>2176</v>
      </c>
      <c r="B2177" s="27" t="n">
        <v>45935</v>
      </c>
      <c r="C2177" s="0" t="n">
        <v>2025</v>
      </c>
      <c r="D2177" s="28" t="s">
        <v>122</v>
      </c>
      <c r="E2177" s="0" t="n">
        <v>10</v>
      </c>
      <c r="F2177" s="28" t="s">
        <v>123</v>
      </c>
      <c r="G2177" s="28" t="s">
        <v>152</v>
      </c>
      <c r="H2177" s="28" t="s">
        <v>100</v>
      </c>
      <c r="I2177" s="28" t="s">
        <v>101</v>
      </c>
      <c r="J2177" s="28" t="s">
        <v>71</v>
      </c>
      <c r="K2177" s="28" t="s">
        <v>84</v>
      </c>
      <c r="L2177" s="28" t="s">
        <v>138</v>
      </c>
      <c r="M2177" s="28" t="s">
        <v>88</v>
      </c>
      <c r="N2177" s="28" t="s">
        <v>140</v>
      </c>
      <c r="O2177" s="29" t="n">
        <v>9</v>
      </c>
      <c r="P2177" s="30" t="n">
        <v>85.34</v>
      </c>
      <c r="Q2177" s="30" t="n">
        <v>49.47</v>
      </c>
      <c r="R2177" s="30" t="n">
        <f aca="false">ROUND(O2177*P2177,2)</f>
        <v>768.06</v>
      </c>
      <c r="S2177" s="30" t="n">
        <f aca="false">ROUND(O2177*Q2177,2)</f>
        <v>445.23</v>
      </c>
      <c r="T2177" s="30" t="n">
        <f aca="false">ROUND(R2177*SUMIFS(Parametros!$E$23:$E$38,Parametros!$B$23:$B$38,J2177,Parametros!$C$23:$C$38,C2177,Parametros!$D$23:$D$38,D2177),2)</f>
        <v>39.94</v>
      </c>
      <c r="U2177" s="30" t="n">
        <f aca="false">R2177-S2177-T2177</f>
        <v>282.89</v>
      </c>
    </row>
    <row r="2178" customFormat="false" ht="15" hidden="false" customHeight="false" outlineLevel="0" collapsed="false">
      <c r="A2178" s="0" t="n">
        <v>2177</v>
      </c>
      <c r="B2178" s="27" t="n">
        <v>45942</v>
      </c>
      <c r="C2178" s="0" t="n">
        <v>2025</v>
      </c>
      <c r="D2178" s="28" t="s">
        <v>122</v>
      </c>
      <c r="E2178" s="0" t="n">
        <v>10</v>
      </c>
      <c r="F2178" s="28" t="s">
        <v>123</v>
      </c>
      <c r="G2178" s="28" t="s">
        <v>152</v>
      </c>
      <c r="H2178" s="28" t="s">
        <v>100</v>
      </c>
      <c r="I2178" s="28" t="s">
        <v>101</v>
      </c>
      <c r="J2178" s="28" t="s">
        <v>66</v>
      </c>
      <c r="K2178" s="28" t="s">
        <v>90</v>
      </c>
      <c r="L2178" s="28" t="s">
        <v>141</v>
      </c>
      <c r="M2178" s="28" t="s">
        <v>92</v>
      </c>
      <c r="N2178" s="28" t="s">
        <v>142</v>
      </c>
      <c r="O2178" s="29" t="n">
        <v>18</v>
      </c>
      <c r="P2178" s="30" t="n">
        <v>130.51</v>
      </c>
      <c r="Q2178" s="30" t="n">
        <v>78.33</v>
      </c>
      <c r="R2178" s="30" t="n">
        <f aca="false">ROUND(O2178*P2178,2)</f>
        <v>2349.18</v>
      </c>
      <c r="S2178" s="30" t="n">
        <f aca="false">ROUND(O2178*Q2178,2)</f>
        <v>1409.94</v>
      </c>
      <c r="T2178" s="30" t="n">
        <f aca="false">ROUND(R2178*SUMIFS(Parametros!$E$23:$E$38,Parametros!$B$23:$B$38,J2178,Parametros!$C$23:$C$38,C2178,Parametros!$D$23:$D$38,D2178),2)</f>
        <v>30.54</v>
      </c>
      <c r="U2178" s="30" t="n">
        <f aca="false">R2178-S2178-T2178</f>
        <v>908.7</v>
      </c>
    </row>
    <row r="2179" customFormat="false" ht="15" hidden="false" customHeight="false" outlineLevel="0" collapsed="false">
      <c r="A2179" s="0" t="n">
        <v>2178</v>
      </c>
      <c r="B2179" s="27" t="n">
        <v>45949</v>
      </c>
      <c r="C2179" s="0" t="n">
        <v>2025</v>
      </c>
      <c r="D2179" s="28" t="s">
        <v>122</v>
      </c>
      <c r="E2179" s="0" t="n">
        <v>10</v>
      </c>
      <c r="F2179" s="28" t="s">
        <v>123</v>
      </c>
      <c r="G2179" s="28" t="s">
        <v>152</v>
      </c>
      <c r="H2179" s="28" t="s">
        <v>100</v>
      </c>
      <c r="I2179" s="28" t="s">
        <v>101</v>
      </c>
      <c r="J2179" s="28" t="s">
        <v>71</v>
      </c>
      <c r="K2179" s="28" t="s">
        <v>90</v>
      </c>
      <c r="L2179" s="28" t="s">
        <v>141</v>
      </c>
      <c r="M2179" s="28" t="s">
        <v>92</v>
      </c>
      <c r="N2179" s="28" t="s">
        <v>142</v>
      </c>
      <c r="O2179" s="29" t="n">
        <v>13</v>
      </c>
      <c r="P2179" s="30" t="n">
        <v>130.51</v>
      </c>
      <c r="Q2179" s="30" t="n">
        <v>78.33</v>
      </c>
      <c r="R2179" s="30" t="n">
        <f aca="false">ROUND(O2179*P2179,2)</f>
        <v>1696.63</v>
      </c>
      <c r="S2179" s="30" t="n">
        <f aca="false">ROUND(O2179*Q2179,2)</f>
        <v>1018.29</v>
      </c>
      <c r="T2179" s="30" t="n">
        <f aca="false">ROUND(R2179*SUMIFS(Parametros!$E$23:$E$38,Parametros!$B$23:$B$38,J2179,Parametros!$C$23:$C$38,C2179,Parametros!$D$23:$D$38,D2179),2)</f>
        <v>88.22</v>
      </c>
      <c r="U2179" s="30" t="n">
        <f aca="false">R2179-S2179-T2179</f>
        <v>590.12</v>
      </c>
    </row>
    <row r="2180" customFormat="false" ht="15" hidden="false" customHeight="false" outlineLevel="0" collapsed="false">
      <c r="A2180" s="0" t="n">
        <v>2179</v>
      </c>
      <c r="B2180" s="27" t="n">
        <v>45956</v>
      </c>
      <c r="C2180" s="0" t="n">
        <v>2025</v>
      </c>
      <c r="D2180" s="28" t="s">
        <v>122</v>
      </c>
      <c r="E2180" s="0" t="n">
        <v>10</v>
      </c>
      <c r="F2180" s="28" t="s">
        <v>123</v>
      </c>
      <c r="G2180" s="28" t="s">
        <v>152</v>
      </c>
      <c r="H2180" s="28" t="s">
        <v>100</v>
      </c>
      <c r="I2180" s="28" t="s">
        <v>101</v>
      </c>
      <c r="J2180" s="28" t="s">
        <v>66</v>
      </c>
      <c r="K2180" s="28" t="s">
        <v>90</v>
      </c>
      <c r="L2180" s="28" t="s">
        <v>141</v>
      </c>
      <c r="M2180" s="28" t="s">
        <v>94</v>
      </c>
      <c r="N2180" s="28" t="s">
        <v>143</v>
      </c>
      <c r="O2180" s="29" t="n">
        <v>19</v>
      </c>
      <c r="P2180" s="30" t="n">
        <v>35.14</v>
      </c>
      <c r="Q2180" s="30" t="n">
        <v>18.39</v>
      </c>
      <c r="R2180" s="30" t="n">
        <f aca="false">ROUND(O2180*P2180,2)</f>
        <v>667.66</v>
      </c>
      <c r="S2180" s="30" t="n">
        <f aca="false">ROUND(O2180*Q2180,2)</f>
        <v>349.41</v>
      </c>
      <c r="T2180" s="30" t="n">
        <f aca="false">ROUND(R2180*SUMIFS(Parametros!$E$23:$E$38,Parametros!$B$23:$B$38,J2180,Parametros!$C$23:$C$38,C2180,Parametros!$D$23:$D$38,D2180),2)</f>
        <v>8.68</v>
      </c>
      <c r="U2180" s="30" t="n">
        <f aca="false">R2180-S2180-T2180</f>
        <v>309.57</v>
      </c>
    </row>
    <row r="2181" customFormat="false" ht="15" hidden="false" customHeight="false" outlineLevel="0" collapsed="false">
      <c r="A2181" s="0" t="n">
        <v>2180</v>
      </c>
      <c r="B2181" s="27" t="n">
        <v>45936</v>
      </c>
      <c r="C2181" s="0" t="n">
        <v>2025</v>
      </c>
      <c r="D2181" s="28" t="s">
        <v>122</v>
      </c>
      <c r="E2181" s="0" t="n">
        <v>10</v>
      </c>
      <c r="F2181" s="28" t="s">
        <v>123</v>
      </c>
      <c r="G2181" s="28" t="s">
        <v>152</v>
      </c>
      <c r="H2181" s="28" t="s">
        <v>100</v>
      </c>
      <c r="I2181" s="28" t="s">
        <v>101</v>
      </c>
      <c r="J2181" s="28" t="s">
        <v>71</v>
      </c>
      <c r="K2181" s="28" t="s">
        <v>90</v>
      </c>
      <c r="L2181" s="28" t="s">
        <v>141</v>
      </c>
      <c r="M2181" s="28" t="s">
        <v>94</v>
      </c>
      <c r="N2181" s="28" t="s">
        <v>143</v>
      </c>
      <c r="O2181" s="29" t="n">
        <v>12</v>
      </c>
      <c r="P2181" s="30" t="n">
        <v>35.14</v>
      </c>
      <c r="Q2181" s="30" t="n">
        <v>18.39</v>
      </c>
      <c r="R2181" s="30" t="n">
        <f aca="false">ROUND(O2181*P2181,2)</f>
        <v>421.68</v>
      </c>
      <c r="S2181" s="30" t="n">
        <f aca="false">ROUND(O2181*Q2181,2)</f>
        <v>220.68</v>
      </c>
      <c r="T2181" s="30" t="n">
        <f aca="false">ROUND(R2181*SUMIFS(Parametros!$E$23:$E$38,Parametros!$B$23:$B$38,J2181,Parametros!$C$23:$C$38,C2181,Parametros!$D$23:$D$38,D2181),2)</f>
        <v>21.93</v>
      </c>
      <c r="U2181" s="30" t="n">
        <f aca="false">R2181-S2181-T2181</f>
        <v>179.07</v>
      </c>
    </row>
    <row r="2182" customFormat="false" ht="15" hidden="false" customHeight="false" outlineLevel="0" collapsed="false">
      <c r="A2182" s="0" t="n">
        <v>2181</v>
      </c>
      <c r="B2182" s="27" t="n">
        <v>45943</v>
      </c>
      <c r="C2182" s="0" t="n">
        <v>2025</v>
      </c>
      <c r="D2182" s="28" t="s">
        <v>122</v>
      </c>
      <c r="E2182" s="0" t="n">
        <v>10</v>
      </c>
      <c r="F2182" s="28" t="s">
        <v>123</v>
      </c>
      <c r="G2182" s="28" t="s">
        <v>152</v>
      </c>
      <c r="H2182" s="28" t="s">
        <v>102</v>
      </c>
      <c r="I2182" s="28" t="s">
        <v>103</v>
      </c>
      <c r="J2182" s="28" t="s">
        <v>66</v>
      </c>
      <c r="K2182" s="28" t="s">
        <v>67</v>
      </c>
      <c r="L2182" s="28" t="s">
        <v>130</v>
      </c>
      <c r="M2182" s="28" t="s">
        <v>69</v>
      </c>
      <c r="N2182" s="28" t="s">
        <v>131</v>
      </c>
      <c r="O2182" s="29" t="n">
        <v>7</v>
      </c>
      <c r="P2182" s="30" t="n">
        <v>1204.74</v>
      </c>
      <c r="Q2182" s="30" t="n">
        <v>766.32</v>
      </c>
      <c r="R2182" s="30" t="n">
        <f aca="false">ROUND(O2182*P2182,2)</f>
        <v>8433.18</v>
      </c>
      <c r="S2182" s="30" t="n">
        <f aca="false">ROUND(O2182*Q2182,2)</f>
        <v>5364.24</v>
      </c>
      <c r="T2182" s="30" t="n">
        <f aca="false">ROUND(R2182*SUMIFS(Parametros!$E$23:$E$38,Parametros!$B$23:$B$38,J2182,Parametros!$C$23:$C$38,C2182,Parametros!$D$23:$D$38,D2182),2)</f>
        <v>109.63</v>
      </c>
      <c r="U2182" s="30" t="n">
        <f aca="false">R2182-S2182-T2182</f>
        <v>2959.31</v>
      </c>
    </row>
    <row r="2183" customFormat="false" ht="15" hidden="false" customHeight="false" outlineLevel="0" collapsed="false">
      <c r="A2183" s="0" t="n">
        <v>2182</v>
      </c>
      <c r="B2183" s="27" t="n">
        <v>45950</v>
      </c>
      <c r="C2183" s="0" t="n">
        <v>2025</v>
      </c>
      <c r="D2183" s="28" t="s">
        <v>122</v>
      </c>
      <c r="E2183" s="0" t="n">
        <v>10</v>
      </c>
      <c r="F2183" s="28" t="s">
        <v>123</v>
      </c>
      <c r="G2183" s="28" t="s">
        <v>152</v>
      </c>
      <c r="H2183" s="28" t="s">
        <v>102</v>
      </c>
      <c r="I2183" s="28" t="s">
        <v>103</v>
      </c>
      <c r="J2183" s="28" t="s">
        <v>71</v>
      </c>
      <c r="K2183" s="28" t="s">
        <v>67</v>
      </c>
      <c r="L2183" s="28" t="s">
        <v>130</v>
      </c>
      <c r="M2183" s="28" t="s">
        <v>69</v>
      </c>
      <c r="N2183" s="28" t="s">
        <v>131</v>
      </c>
      <c r="O2183" s="29" t="n">
        <v>5</v>
      </c>
      <c r="P2183" s="30" t="n">
        <v>1204.74</v>
      </c>
      <c r="Q2183" s="30" t="n">
        <v>766.32</v>
      </c>
      <c r="R2183" s="30" t="n">
        <f aca="false">ROUND(O2183*P2183,2)</f>
        <v>6023.7</v>
      </c>
      <c r="S2183" s="30" t="n">
        <f aca="false">ROUND(O2183*Q2183,2)</f>
        <v>3831.6</v>
      </c>
      <c r="T2183" s="30" t="n">
        <f aca="false">ROUND(R2183*SUMIFS(Parametros!$E$23:$E$38,Parametros!$B$23:$B$38,J2183,Parametros!$C$23:$C$38,C2183,Parametros!$D$23:$D$38,D2183),2)</f>
        <v>313.23</v>
      </c>
      <c r="U2183" s="30" t="n">
        <f aca="false">R2183-S2183-T2183</f>
        <v>1878.87</v>
      </c>
    </row>
    <row r="2184" customFormat="false" ht="15" hidden="false" customHeight="false" outlineLevel="0" collapsed="false">
      <c r="A2184" s="0" t="n">
        <v>2183</v>
      </c>
      <c r="B2184" s="27" t="n">
        <v>45957</v>
      </c>
      <c r="C2184" s="0" t="n">
        <v>2025</v>
      </c>
      <c r="D2184" s="28" t="s">
        <v>122</v>
      </c>
      <c r="E2184" s="0" t="n">
        <v>10</v>
      </c>
      <c r="F2184" s="28" t="s">
        <v>123</v>
      </c>
      <c r="G2184" s="28" t="s">
        <v>152</v>
      </c>
      <c r="H2184" s="28" t="s">
        <v>102</v>
      </c>
      <c r="I2184" s="28" t="s">
        <v>103</v>
      </c>
      <c r="J2184" s="28" t="s">
        <v>66</v>
      </c>
      <c r="K2184" s="28" t="s">
        <v>67</v>
      </c>
      <c r="L2184" s="28" t="s">
        <v>130</v>
      </c>
      <c r="M2184" s="28" t="s">
        <v>72</v>
      </c>
      <c r="N2184" s="28" t="s">
        <v>132</v>
      </c>
      <c r="O2184" s="29" t="n">
        <v>8</v>
      </c>
      <c r="P2184" s="30" t="n">
        <v>451.78</v>
      </c>
      <c r="Q2184" s="30" t="n">
        <v>280.42</v>
      </c>
      <c r="R2184" s="30" t="n">
        <f aca="false">ROUND(O2184*P2184,2)</f>
        <v>3614.24</v>
      </c>
      <c r="S2184" s="30" t="n">
        <f aca="false">ROUND(O2184*Q2184,2)</f>
        <v>2243.36</v>
      </c>
      <c r="T2184" s="30" t="n">
        <f aca="false">ROUND(R2184*SUMIFS(Parametros!$E$23:$E$38,Parametros!$B$23:$B$38,J2184,Parametros!$C$23:$C$38,C2184,Parametros!$D$23:$D$38,D2184),2)</f>
        <v>46.99</v>
      </c>
      <c r="U2184" s="30" t="n">
        <f aca="false">R2184-S2184-T2184</f>
        <v>1323.89</v>
      </c>
    </row>
    <row r="2185" customFormat="false" ht="15" hidden="false" customHeight="false" outlineLevel="0" collapsed="false">
      <c r="A2185" s="0" t="n">
        <v>2184</v>
      </c>
      <c r="B2185" s="27" t="n">
        <v>45937</v>
      </c>
      <c r="C2185" s="0" t="n">
        <v>2025</v>
      </c>
      <c r="D2185" s="28" t="s">
        <v>122</v>
      </c>
      <c r="E2185" s="0" t="n">
        <v>10</v>
      </c>
      <c r="F2185" s="28" t="s">
        <v>123</v>
      </c>
      <c r="G2185" s="28" t="s">
        <v>152</v>
      </c>
      <c r="H2185" s="28" t="s">
        <v>102</v>
      </c>
      <c r="I2185" s="28" t="s">
        <v>103</v>
      </c>
      <c r="J2185" s="28" t="s">
        <v>71</v>
      </c>
      <c r="K2185" s="28" t="s">
        <v>67</v>
      </c>
      <c r="L2185" s="28" t="s">
        <v>130</v>
      </c>
      <c r="M2185" s="28" t="s">
        <v>72</v>
      </c>
      <c r="N2185" s="28" t="s">
        <v>132</v>
      </c>
      <c r="O2185" s="29" t="n">
        <v>5</v>
      </c>
      <c r="P2185" s="30" t="n">
        <v>451.78</v>
      </c>
      <c r="Q2185" s="30" t="n">
        <v>280.42</v>
      </c>
      <c r="R2185" s="30" t="n">
        <f aca="false">ROUND(O2185*P2185,2)</f>
        <v>2258.9</v>
      </c>
      <c r="S2185" s="30" t="n">
        <f aca="false">ROUND(O2185*Q2185,2)</f>
        <v>1402.1</v>
      </c>
      <c r="T2185" s="30" t="n">
        <f aca="false">ROUND(R2185*SUMIFS(Parametros!$E$23:$E$38,Parametros!$B$23:$B$38,J2185,Parametros!$C$23:$C$38,C2185,Parametros!$D$23:$D$38,D2185),2)</f>
        <v>117.46</v>
      </c>
      <c r="U2185" s="30" t="n">
        <f aca="false">R2185-S2185-T2185</f>
        <v>739.34</v>
      </c>
    </row>
    <row r="2186" customFormat="false" ht="15" hidden="false" customHeight="false" outlineLevel="0" collapsed="false">
      <c r="A2186" s="0" t="n">
        <v>2185</v>
      </c>
      <c r="B2186" s="27" t="n">
        <v>45944</v>
      </c>
      <c r="C2186" s="0" t="n">
        <v>2025</v>
      </c>
      <c r="D2186" s="28" t="s">
        <v>122</v>
      </c>
      <c r="E2186" s="0" t="n">
        <v>10</v>
      </c>
      <c r="F2186" s="28" t="s">
        <v>123</v>
      </c>
      <c r="G2186" s="28" t="s">
        <v>152</v>
      </c>
      <c r="H2186" s="28" t="s">
        <v>102</v>
      </c>
      <c r="I2186" s="28" t="s">
        <v>103</v>
      </c>
      <c r="J2186" s="28" t="s">
        <v>66</v>
      </c>
      <c r="K2186" s="28" t="s">
        <v>67</v>
      </c>
      <c r="L2186" s="28" t="s">
        <v>130</v>
      </c>
      <c r="M2186" s="28" t="s">
        <v>74</v>
      </c>
      <c r="N2186" s="28" t="s">
        <v>133</v>
      </c>
      <c r="O2186" s="29" t="n">
        <v>7</v>
      </c>
      <c r="P2186" s="30" t="n">
        <v>1656.52</v>
      </c>
      <c r="Q2186" s="30" t="n">
        <v>1155.66</v>
      </c>
      <c r="R2186" s="30" t="n">
        <f aca="false">ROUND(O2186*P2186,2)</f>
        <v>11595.64</v>
      </c>
      <c r="S2186" s="30" t="n">
        <f aca="false">ROUND(O2186*Q2186,2)</f>
        <v>8089.62</v>
      </c>
      <c r="T2186" s="30" t="n">
        <f aca="false">ROUND(R2186*SUMIFS(Parametros!$E$23:$E$38,Parametros!$B$23:$B$38,J2186,Parametros!$C$23:$C$38,C2186,Parametros!$D$23:$D$38,D2186),2)</f>
        <v>150.74</v>
      </c>
      <c r="U2186" s="30" t="n">
        <f aca="false">R2186-S2186-T2186</f>
        <v>3355.28</v>
      </c>
    </row>
    <row r="2187" customFormat="false" ht="15" hidden="false" customHeight="false" outlineLevel="0" collapsed="false">
      <c r="A2187" s="0" t="n">
        <v>2186</v>
      </c>
      <c r="B2187" s="27" t="n">
        <v>45951</v>
      </c>
      <c r="C2187" s="0" t="n">
        <v>2025</v>
      </c>
      <c r="D2187" s="28" t="s">
        <v>122</v>
      </c>
      <c r="E2187" s="0" t="n">
        <v>10</v>
      </c>
      <c r="F2187" s="28" t="s">
        <v>123</v>
      </c>
      <c r="G2187" s="28" t="s">
        <v>152</v>
      </c>
      <c r="H2187" s="28" t="s">
        <v>102</v>
      </c>
      <c r="I2187" s="28" t="s">
        <v>103</v>
      </c>
      <c r="J2187" s="28" t="s">
        <v>71</v>
      </c>
      <c r="K2187" s="28" t="s">
        <v>67</v>
      </c>
      <c r="L2187" s="28" t="s">
        <v>130</v>
      </c>
      <c r="M2187" s="28" t="s">
        <v>74</v>
      </c>
      <c r="N2187" s="28" t="s">
        <v>133</v>
      </c>
      <c r="O2187" s="29" t="n">
        <v>4</v>
      </c>
      <c r="P2187" s="30" t="n">
        <v>1656.52</v>
      </c>
      <c r="Q2187" s="30" t="n">
        <v>1155.66</v>
      </c>
      <c r="R2187" s="30" t="n">
        <f aca="false">ROUND(O2187*P2187,2)</f>
        <v>6626.08</v>
      </c>
      <c r="S2187" s="30" t="n">
        <f aca="false">ROUND(O2187*Q2187,2)</f>
        <v>4622.64</v>
      </c>
      <c r="T2187" s="30" t="n">
        <f aca="false">ROUND(R2187*SUMIFS(Parametros!$E$23:$E$38,Parametros!$B$23:$B$38,J2187,Parametros!$C$23:$C$38,C2187,Parametros!$D$23:$D$38,D2187),2)</f>
        <v>344.56</v>
      </c>
      <c r="U2187" s="30" t="n">
        <f aca="false">R2187-S2187-T2187</f>
        <v>1658.88</v>
      </c>
    </row>
    <row r="2188" customFormat="false" ht="15" hidden="false" customHeight="false" outlineLevel="0" collapsed="false">
      <c r="A2188" s="0" t="n">
        <v>2187</v>
      </c>
      <c r="B2188" s="27" t="n">
        <v>45931</v>
      </c>
      <c r="C2188" s="0" t="n">
        <v>2025</v>
      </c>
      <c r="D2188" s="28" t="s">
        <v>122</v>
      </c>
      <c r="E2188" s="0" t="n">
        <v>10</v>
      </c>
      <c r="F2188" s="28" t="s">
        <v>123</v>
      </c>
      <c r="G2188" s="28" t="s">
        <v>152</v>
      </c>
      <c r="H2188" s="28" t="s">
        <v>102</v>
      </c>
      <c r="I2188" s="28" t="s">
        <v>103</v>
      </c>
      <c r="J2188" s="28" t="s">
        <v>66</v>
      </c>
      <c r="K2188" s="28" t="s">
        <v>76</v>
      </c>
      <c r="L2188" s="28" t="s">
        <v>134</v>
      </c>
      <c r="M2188" s="28" t="s">
        <v>78</v>
      </c>
      <c r="N2188" s="28" t="s">
        <v>135</v>
      </c>
      <c r="O2188" s="29" t="n">
        <v>36</v>
      </c>
      <c r="P2188" s="30" t="n">
        <v>28.11</v>
      </c>
      <c r="Q2188" s="30" t="n">
        <v>13.84</v>
      </c>
      <c r="R2188" s="30" t="n">
        <f aca="false">ROUND(O2188*P2188,2)</f>
        <v>1011.96</v>
      </c>
      <c r="S2188" s="30" t="n">
        <f aca="false">ROUND(O2188*Q2188,2)</f>
        <v>498.24</v>
      </c>
      <c r="T2188" s="30" t="n">
        <f aca="false">ROUND(R2188*SUMIFS(Parametros!$E$23:$E$38,Parametros!$B$23:$B$38,J2188,Parametros!$C$23:$C$38,C2188,Parametros!$D$23:$D$38,D2188),2)</f>
        <v>13.16</v>
      </c>
      <c r="U2188" s="30" t="n">
        <f aca="false">R2188-S2188-T2188</f>
        <v>500.56</v>
      </c>
    </row>
    <row r="2189" customFormat="false" ht="15" hidden="false" customHeight="false" outlineLevel="0" collapsed="false">
      <c r="A2189" s="0" t="n">
        <v>2188</v>
      </c>
      <c r="B2189" s="27" t="n">
        <v>45938</v>
      </c>
      <c r="C2189" s="0" t="n">
        <v>2025</v>
      </c>
      <c r="D2189" s="28" t="s">
        <v>122</v>
      </c>
      <c r="E2189" s="0" t="n">
        <v>10</v>
      </c>
      <c r="F2189" s="28" t="s">
        <v>123</v>
      </c>
      <c r="G2189" s="28" t="s">
        <v>152</v>
      </c>
      <c r="H2189" s="28" t="s">
        <v>102</v>
      </c>
      <c r="I2189" s="28" t="s">
        <v>103</v>
      </c>
      <c r="J2189" s="28" t="s">
        <v>71</v>
      </c>
      <c r="K2189" s="28" t="s">
        <v>76</v>
      </c>
      <c r="L2189" s="28" t="s">
        <v>134</v>
      </c>
      <c r="M2189" s="28" t="s">
        <v>78</v>
      </c>
      <c r="N2189" s="28" t="s">
        <v>135</v>
      </c>
      <c r="O2189" s="29" t="n">
        <v>19</v>
      </c>
      <c r="P2189" s="30" t="n">
        <v>28.11</v>
      </c>
      <c r="Q2189" s="30" t="n">
        <v>13.84</v>
      </c>
      <c r="R2189" s="30" t="n">
        <f aca="false">ROUND(O2189*P2189,2)</f>
        <v>534.09</v>
      </c>
      <c r="S2189" s="30" t="n">
        <f aca="false">ROUND(O2189*Q2189,2)</f>
        <v>262.96</v>
      </c>
      <c r="T2189" s="30" t="n">
        <f aca="false">ROUND(R2189*SUMIFS(Parametros!$E$23:$E$38,Parametros!$B$23:$B$38,J2189,Parametros!$C$23:$C$38,C2189,Parametros!$D$23:$D$38,D2189),2)</f>
        <v>27.77</v>
      </c>
      <c r="U2189" s="30" t="n">
        <f aca="false">R2189-S2189-T2189</f>
        <v>243.36</v>
      </c>
    </row>
    <row r="2190" customFormat="false" ht="15" hidden="false" customHeight="false" outlineLevel="0" collapsed="false">
      <c r="A2190" s="0" t="n">
        <v>2189</v>
      </c>
      <c r="B2190" s="27" t="n">
        <v>45945</v>
      </c>
      <c r="C2190" s="0" t="n">
        <v>2025</v>
      </c>
      <c r="D2190" s="28" t="s">
        <v>122</v>
      </c>
      <c r="E2190" s="0" t="n">
        <v>10</v>
      </c>
      <c r="F2190" s="28" t="s">
        <v>123</v>
      </c>
      <c r="G2190" s="28" t="s">
        <v>152</v>
      </c>
      <c r="H2190" s="28" t="s">
        <v>102</v>
      </c>
      <c r="I2190" s="28" t="s">
        <v>103</v>
      </c>
      <c r="J2190" s="28" t="s">
        <v>66</v>
      </c>
      <c r="K2190" s="28" t="s">
        <v>76</v>
      </c>
      <c r="L2190" s="28" t="s">
        <v>134</v>
      </c>
      <c r="M2190" s="28" t="s">
        <v>80</v>
      </c>
      <c r="N2190" s="28" t="s">
        <v>136</v>
      </c>
      <c r="O2190" s="29" t="n">
        <v>31</v>
      </c>
      <c r="P2190" s="30" t="n">
        <v>95.38</v>
      </c>
      <c r="Q2190" s="30" t="n">
        <v>49.41</v>
      </c>
      <c r="R2190" s="30" t="n">
        <f aca="false">ROUND(O2190*P2190,2)</f>
        <v>2956.78</v>
      </c>
      <c r="S2190" s="30" t="n">
        <f aca="false">ROUND(O2190*Q2190,2)</f>
        <v>1531.71</v>
      </c>
      <c r="T2190" s="30" t="n">
        <f aca="false">ROUND(R2190*SUMIFS(Parametros!$E$23:$E$38,Parametros!$B$23:$B$38,J2190,Parametros!$C$23:$C$38,C2190,Parametros!$D$23:$D$38,D2190),2)</f>
        <v>38.44</v>
      </c>
      <c r="U2190" s="30" t="n">
        <f aca="false">R2190-S2190-T2190</f>
        <v>1386.63</v>
      </c>
    </row>
    <row r="2191" customFormat="false" ht="15" hidden="false" customHeight="false" outlineLevel="0" collapsed="false">
      <c r="A2191" s="0" t="n">
        <v>2190</v>
      </c>
      <c r="B2191" s="27" t="n">
        <v>45952</v>
      </c>
      <c r="C2191" s="0" t="n">
        <v>2025</v>
      </c>
      <c r="D2191" s="28" t="s">
        <v>122</v>
      </c>
      <c r="E2191" s="0" t="n">
        <v>10</v>
      </c>
      <c r="F2191" s="28" t="s">
        <v>123</v>
      </c>
      <c r="G2191" s="28" t="s">
        <v>152</v>
      </c>
      <c r="H2191" s="28" t="s">
        <v>102</v>
      </c>
      <c r="I2191" s="28" t="s">
        <v>103</v>
      </c>
      <c r="J2191" s="28" t="s">
        <v>71</v>
      </c>
      <c r="K2191" s="28" t="s">
        <v>76</v>
      </c>
      <c r="L2191" s="28" t="s">
        <v>134</v>
      </c>
      <c r="M2191" s="28" t="s">
        <v>80</v>
      </c>
      <c r="N2191" s="28" t="s">
        <v>136</v>
      </c>
      <c r="O2191" s="29" t="n">
        <v>24</v>
      </c>
      <c r="P2191" s="30" t="n">
        <v>95.38</v>
      </c>
      <c r="Q2191" s="30" t="n">
        <v>49.41</v>
      </c>
      <c r="R2191" s="30" t="n">
        <f aca="false">ROUND(O2191*P2191,2)</f>
        <v>2289.12</v>
      </c>
      <c r="S2191" s="30" t="n">
        <f aca="false">ROUND(O2191*Q2191,2)</f>
        <v>1185.84</v>
      </c>
      <c r="T2191" s="30" t="n">
        <f aca="false">ROUND(R2191*SUMIFS(Parametros!$E$23:$E$38,Parametros!$B$23:$B$38,J2191,Parametros!$C$23:$C$38,C2191,Parametros!$D$23:$D$38,D2191),2)</f>
        <v>119.03</v>
      </c>
      <c r="U2191" s="30" t="n">
        <f aca="false">R2191-S2191-T2191</f>
        <v>984.25</v>
      </c>
    </row>
    <row r="2192" customFormat="false" ht="15" hidden="false" customHeight="false" outlineLevel="0" collapsed="false">
      <c r="A2192" s="0" t="n">
        <v>2191</v>
      </c>
      <c r="B2192" s="27" t="n">
        <v>45932</v>
      </c>
      <c r="C2192" s="0" t="n">
        <v>2025</v>
      </c>
      <c r="D2192" s="28" t="s">
        <v>122</v>
      </c>
      <c r="E2192" s="0" t="n">
        <v>10</v>
      </c>
      <c r="F2192" s="28" t="s">
        <v>123</v>
      </c>
      <c r="G2192" s="28" t="s">
        <v>152</v>
      </c>
      <c r="H2192" s="28" t="s">
        <v>102</v>
      </c>
      <c r="I2192" s="28" t="s">
        <v>103</v>
      </c>
      <c r="J2192" s="28" t="s">
        <v>66</v>
      </c>
      <c r="K2192" s="28" t="s">
        <v>76</v>
      </c>
      <c r="L2192" s="28" t="s">
        <v>134</v>
      </c>
      <c r="M2192" s="28" t="s">
        <v>82</v>
      </c>
      <c r="N2192" s="28" t="s">
        <v>137</v>
      </c>
      <c r="O2192" s="29" t="n">
        <v>27</v>
      </c>
      <c r="P2192" s="30" t="n">
        <v>65.26</v>
      </c>
      <c r="Q2192" s="30" t="n">
        <v>36.49</v>
      </c>
      <c r="R2192" s="30" t="n">
        <f aca="false">ROUND(O2192*P2192,2)</f>
        <v>1762.02</v>
      </c>
      <c r="S2192" s="30" t="n">
        <f aca="false">ROUND(O2192*Q2192,2)</f>
        <v>985.23</v>
      </c>
      <c r="T2192" s="30" t="n">
        <f aca="false">ROUND(R2192*SUMIFS(Parametros!$E$23:$E$38,Parametros!$B$23:$B$38,J2192,Parametros!$C$23:$C$38,C2192,Parametros!$D$23:$D$38,D2192),2)</f>
        <v>22.91</v>
      </c>
      <c r="U2192" s="30" t="n">
        <f aca="false">R2192-S2192-T2192</f>
        <v>753.88</v>
      </c>
    </row>
    <row r="2193" customFormat="false" ht="15" hidden="false" customHeight="false" outlineLevel="0" collapsed="false">
      <c r="A2193" s="0" t="n">
        <v>2192</v>
      </c>
      <c r="B2193" s="27" t="n">
        <v>45939</v>
      </c>
      <c r="C2193" s="0" t="n">
        <v>2025</v>
      </c>
      <c r="D2193" s="28" t="s">
        <v>122</v>
      </c>
      <c r="E2193" s="0" t="n">
        <v>10</v>
      </c>
      <c r="F2193" s="28" t="s">
        <v>123</v>
      </c>
      <c r="G2193" s="28" t="s">
        <v>152</v>
      </c>
      <c r="H2193" s="28" t="s">
        <v>102</v>
      </c>
      <c r="I2193" s="28" t="s">
        <v>103</v>
      </c>
      <c r="J2193" s="28" t="s">
        <v>71</v>
      </c>
      <c r="K2193" s="28" t="s">
        <v>76</v>
      </c>
      <c r="L2193" s="28" t="s">
        <v>134</v>
      </c>
      <c r="M2193" s="28" t="s">
        <v>82</v>
      </c>
      <c r="N2193" s="28" t="s">
        <v>137</v>
      </c>
      <c r="O2193" s="29" t="n">
        <v>22</v>
      </c>
      <c r="P2193" s="30" t="n">
        <v>65.26</v>
      </c>
      <c r="Q2193" s="30" t="n">
        <v>36.49</v>
      </c>
      <c r="R2193" s="30" t="n">
        <f aca="false">ROUND(O2193*P2193,2)</f>
        <v>1435.72</v>
      </c>
      <c r="S2193" s="30" t="n">
        <f aca="false">ROUND(O2193*Q2193,2)</f>
        <v>802.78</v>
      </c>
      <c r="T2193" s="30" t="n">
        <f aca="false">ROUND(R2193*SUMIFS(Parametros!$E$23:$E$38,Parametros!$B$23:$B$38,J2193,Parametros!$C$23:$C$38,C2193,Parametros!$D$23:$D$38,D2193),2)</f>
        <v>74.66</v>
      </c>
      <c r="U2193" s="30" t="n">
        <f aca="false">R2193-S2193-T2193</f>
        <v>558.28</v>
      </c>
    </row>
    <row r="2194" customFormat="false" ht="15" hidden="false" customHeight="false" outlineLevel="0" collapsed="false">
      <c r="A2194" s="0" t="n">
        <v>2193</v>
      </c>
      <c r="B2194" s="27" t="n">
        <v>45946</v>
      </c>
      <c r="C2194" s="0" t="n">
        <v>2025</v>
      </c>
      <c r="D2194" s="28" t="s">
        <v>122</v>
      </c>
      <c r="E2194" s="0" t="n">
        <v>10</v>
      </c>
      <c r="F2194" s="28" t="s">
        <v>123</v>
      </c>
      <c r="G2194" s="28" t="s">
        <v>152</v>
      </c>
      <c r="H2194" s="28" t="s">
        <v>102</v>
      </c>
      <c r="I2194" s="28" t="s">
        <v>103</v>
      </c>
      <c r="J2194" s="28" t="s">
        <v>66</v>
      </c>
      <c r="K2194" s="28" t="s">
        <v>84</v>
      </c>
      <c r="L2194" s="28" t="s">
        <v>138</v>
      </c>
      <c r="M2194" s="28" t="s">
        <v>86</v>
      </c>
      <c r="N2194" s="28" t="s">
        <v>139</v>
      </c>
      <c r="O2194" s="29" t="n">
        <v>13</v>
      </c>
      <c r="P2194" s="30" t="n">
        <v>120.47</v>
      </c>
      <c r="Q2194" s="30" t="n">
        <v>65.51</v>
      </c>
      <c r="R2194" s="30" t="n">
        <f aca="false">ROUND(O2194*P2194,2)</f>
        <v>1566.11</v>
      </c>
      <c r="S2194" s="30" t="n">
        <f aca="false">ROUND(O2194*Q2194,2)</f>
        <v>851.63</v>
      </c>
      <c r="T2194" s="30" t="n">
        <f aca="false">ROUND(R2194*SUMIFS(Parametros!$E$23:$E$38,Parametros!$B$23:$B$38,J2194,Parametros!$C$23:$C$38,C2194,Parametros!$D$23:$D$38,D2194),2)</f>
        <v>20.36</v>
      </c>
      <c r="U2194" s="30" t="n">
        <f aca="false">R2194-S2194-T2194</f>
        <v>694.12</v>
      </c>
    </row>
    <row r="2195" customFormat="false" ht="15" hidden="false" customHeight="false" outlineLevel="0" collapsed="false">
      <c r="A2195" s="0" t="n">
        <v>2194</v>
      </c>
      <c r="B2195" s="27" t="n">
        <v>45953</v>
      </c>
      <c r="C2195" s="0" t="n">
        <v>2025</v>
      </c>
      <c r="D2195" s="28" t="s">
        <v>122</v>
      </c>
      <c r="E2195" s="0" t="n">
        <v>10</v>
      </c>
      <c r="F2195" s="28" t="s">
        <v>123</v>
      </c>
      <c r="G2195" s="28" t="s">
        <v>152</v>
      </c>
      <c r="H2195" s="28" t="s">
        <v>102</v>
      </c>
      <c r="I2195" s="28" t="s">
        <v>103</v>
      </c>
      <c r="J2195" s="28" t="s">
        <v>71</v>
      </c>
      <c r="K2195" s="28" t="s">
        <v>84</v>
      </c>
      <c r="L2195" s="28" t="s">
        <v>138</v>
      </c>
      <c r="M2195" s="28" t="s">
        <v>86</v>
      </c>
      <c r="N2195" s="28" t="s">
        <v>139</v>
      </c>
      <c r="O2195" s="29" t="n">
        <v>9</v>
      </c>
      <c r="P2195" s="30" t="n">
        <v>120.47</v>
      </c>
      <c r="Q2195" s="30" t="n">
        <v>65.51</v>
      </c>
      <c r="R2195" s="30" t="n">
        <f aca="false">ROUND(O2195*P2195,2)</f>
        <v>1084.23</v>
      </c>
      <c r="S2195" s="30" t="n">
        <f aca="false">ROUND(O2195*Q2195,2)</f>
        <v>589.59</v>
      </c>
      <c r="T2195" s="30" t="n">
        <f aca="false">ROUND(R2195*SUMIFS(Parametros!$E$23:$E$38,Parametros!$B$23:$B$38,J2195,Parametros!$C$23:$C$38,C2195,Parametros!$D$23:$D$38,D2195),2)</f>
        <v>56.38</v>
      </c>
      <c r="U2195" s="30" t="n">
        <f aca="false">R2195-S2195-T2195</f>
        <v>438.26</v>
      </c>
    </row>
    <row r="2196" customFormat="false" ht="15" hidden="false" customHeight="false" outlineLevel="0" collapsed="false">
      <c r="A2196" s="0" t="n">
        <v>2195</v>
      </c>
      <c r="B2196" s="27" t="n">
        <v>45933</v>
      </c>
      <c r="C2196" s="0" t="n">
        <v>2025</v>
      </c>
      <c r="D2196" s="28" t="s">
        <v>122</v>
      </c>
      <c r="E2196" s="0" t="n">
        <v>10</v>
      </c>
      <c r="F2196" s="28" t="s">
        <v>123</v>
      </c>
      <c r="G2196" s="28" t="s">
        <v>152</v>
      </c>
      <c r="H2196" s="28" t="s">
        <v>102</v>
      </c>
      <c r="I2196" s="28" t="s">
        <v>103</v>
      </c>
      <c r="J2196" s="28" t="s">
        <v>66</v>
      </c>
      <c r="K2196" s="28" t="s">
        <v>84</v>
      </c>
      <c r="L2196" s="28" t="s">
        <v>138</v>
      </c>
      <c r="M2196" s="28" t="s">
        <v>88</v>
      </c>
      <c r="N2196" s="28" t="s">
        <v>140</v>
      </c>
      <c r="O2196" s="29" t="n">
        <v>16</v>
      </c>
      <c r="P2196" s="30" t="n">
        <v>85.34</v>
      </c>
      <c r="Q2196" s="30" t="n">
        <v>49.47</v>
      </c>
      <c r="R2196" s="30" t="n">
        <f aca="false">ROUND(O2196*P2196,2)</f>
        <v>1365.44</v>
      </c>
      <c r="S2196" s="30" t="n">
        <f aca="false">ROUND(O2196*Q2196,2)</f>
        <v>791.52</v>
      </c>
      <c r="T2196" s="30" t="n">
        <f aca="false">ROUND(R2196*SUMIFS(Parametros!$E$23:$E$38,Parametros!$B$23:$B$38,J2196,Parametros!$C$23:$C$38,C2196,Parametros!$D$23:$D$38,D2196),2)</f>
        <v>17.75</v>
      </c>
      <c r="U2196" s="30" t="n">
        <f aca="false">R2196-S2196-T2196</f>
        <v>556.17</v>
      </c>
    </row>
    <row r="2197" customFormat="false" ht="15" hidden="false" customHeight="false" outlineLevel="0" collapsed="false">
      <c r="A2197" s="0" t="n">
        <v>2196</v>
      </c>
      <c r="B2197" s="27" t="n">
        <v>45940</v>
      </c>
      <c r="C2197" s="0" t="n">
        <v>2025</v>
      </c>
      <c r="D2197" s="28" t="s">
        <v>122</v>
      </c>
      <c r="E2197" s="0" t="n">
        <v>10</v>
      </c>
      <c r="F2197" s="28" t="s">
        <v>123</v>
      </c>
      <c r="G2197" s="28" t="s">
        <v>152</v>
      </c>
      <c r="H2197" s="28" t="s">
        <v>102</v>
      </c>
      <c r="I2197" s="28" t="s">
        <v>103</v>
      </c>
      <c r="J2197" s="28" t="s">
        <v>71</v>
      </c>
      <c r="K2197" s="28" t="s">
        <v>84</v>
      </c>
      <c r="L2197" s="28" t="s">
        <v>138</v>
      </c>
      <c r="M2197" s="28" t="s">
        <v>88</v>
      </c>
      <c r="N2197" s="28" t="s">
        <v>140</v>
      </c>
      <c r="O2197" s="29" t="n">
        <v>11</v>
      </c>
      <c r="P2197" s="30" t="n">
        <v>85.34</v>
      </c>
      <c r="Q2197" s="30" t="n">
        <v>49.47</v>
      </c>
      <c r="R2197" s="30" t="n">
        <f aca="false">ROUND(O2197*P2197,2)</f>
        <v>938.74</v>
      </c>
      <c r="S2197" s="30" t="n">
        <f aca="false">ROUND(O2197*Q2197,2)</f>
        <v>544.17</v>
      </c>
      <c r="T2197" s="30" t="n">
        <f aca="false">ROUND(R2197*SUMIFS(Parametros!$E$23:$E$38,Parametros!$B$23:$B$38,J2197,Parametros!$C$23:$C$38,C2197,Parametros!$D$23:$D$38,D2197),2)</f>
        <v>48.81</v>
      </c>
      <c r="U2197" s="30" t="n">
        <f aca="false">R2197-S2197-T2197</f>
        <v>345.76</v>
      </c>
    </row>
    <row r="2198" customFormat="false" ht="15" hidden="false" customHeight="false" outlineLevel="0" collapsed="false">
      <c r="A2198" s="0" t="n">
        <v>2197</v>
      </c>
      <c r="B2198" s="27" t="n">
        <v>45947</v>
      </c>
      <c r="C2198" s="0" t="n">
        <v>2025</v>
      </c>
      <c r="D2198" s="28" t="s">
        <v>122</v>
      </c>
      <c r="E2198" s="0" t="n">
        <v>10</v>
      </c>
      <c r="F2198" s="28" t="s">
        <v>123</v>
      </c>
      <c r="G2198" s="28" t="s">
        <v>152</v>
      </c>
      <c r="H2198" s="28" t="s">
        <v>102</v>
      </c>
      <c r="I2198" s="28" t="s">
        <v>103</v>
      </c>
      <c r="J2198" s="28" t="s">
        <v>66</v>
      </c>
      <c r="K2198" s="28" t="s">
        <v>90</v>
      </c>
      <c r="L2198" s="28" t="s">
        <v>141</v>
      </c>
      <c r="M2198" s="28" t="s">
        <v>92</v>
      </c>
      <c r="N2198" s="28" t="s">
        <v>142</v>
      </c>
      <c r="O2198" s="29" t="n">
        <v>17</v>
      </c>
      <c r="P2198" s="30" t="n">
        <v>130.51</v>
      </c>
      <c r="Q2198" s="30" t="n">
        <v>78.33</v>
      </c>
      <c r="R2198" s="30" t="n">
        <f aca="false">ROUND(O2198*P2198,2)</f>
        <v>2218.67</v>
      </c>
      <c r="S2198" s="30" t="n">
        <f aca="false">ROUND(O2198*Q2198,2)</f>
        <v>1331.61</v>
      </c>
      <c r="T2198" s="30" t="n">
        <f aca="false">ROUND(R2198*SUMIFS(Parametros!$E$23:$E$38,Parametros!$B$23:$B$38,J2198,Parametros!$C$23:$C$38,C2198,Parametros!$D$23:$D$38,D2198),2)</f>
        <v>28.84</v>
      </c>
      <c r="U2198" s="30" t="n">
        <f aca="false">R2198-S2198-T2198</f>
        <v>858.22</v>
      </c>
    </row>
    <row r="2199" customFormat="false" ht="15" hidden="false" customHeight="false" outlineLevel="0" collapsed="false">
      <c r="A2199" s="0" t="n">
        <v>2198</v>
      </c>
      <c r="B2199" s="27" t="n">
        <v>45954</v>
      </c>
      <c r="C2199" s="0" t="n">
        <v>2025</v>
      </c>
      <c r="D2199" s="28" t="s">
        <v>122</v>
      </c>
      <c r="E2199" s="0" t="n">
        <v>10</v>
      </c>
      <c r="F2199" s="28" t="s">
        <v>123</v>
      </c>
      <c r="G2199" s="28" t="s">
        <v>152</v>
      </c>
      <c r="H2199" s="28" t="s">
        <v>102</v>
      </c>
      <c r="I2199" s="28" t="s">
        <v>103</v>
      </c>
      <c r="J2199" s="28" t="s">
        <v>71</v>
      </c>
      <c r="K2199" s="28" t="s">
        <v>90</v>
      </c>
      <c r="L2199" s="28" t="s">
        <v>141</v>
      </c>
      <c r="M2199" s="28" t="s">
        <v>92</v>
      </c>
      <c r="N2199" s="28" t="s">
        <v>142</v>
      </c>
      <c r="O2199" s="29" t="n">
        <v>12</v>
      </c>
      <c r="P2199" s="30" t="n">
        <v>130.51</v>
      </c>
      <c r="Q2199" s="30" t="n">
        <v>78.33</v>
      </c>
      <c r="R2199" s="30" t="n">
        <f aca="false">ROUND(O2199*P2199,2)</f>
        <v>1566.12</v>
      </c>
      <c r="S2199" s="30" t="n">
        <f aca="false">ROUND(O2199*Q2199,2)</f>
        <v>939.96</v>
      </c>
      <c r="T2199" s="30" t="n">
        <f aca="false">ROUND(R2199*SUMIFS(Parametros!$E$23:$E$38,Parametros!$B$23:$B$38,J2199,Parametros!$C$23:$C$38,C2199,Parametros!$D$23:$D$38,D2199),2)</f>
        <v>81.44</v>
      </c>
      <c r="U2199" s="30" t="n">
        <f aca="false">R2199-S2199-T2199</f>
        <v>544.72</v>
      </c>
    </row>
    <row r="2200" customFormat="false" ht="15" hidden="false" customHeight="false" outlineLevel="0" collapsed="false">
      <c r="A2200" s="0" t="n">
        <v>2199</v>
      </c>
      <c r="B2200" s="27" t="n">
        <v>45934</v>
      </c>
      <c r="C2200" s="0" t="n">
        <v>2025</v>
      </c>
      <c r="D2200" s="28" t="s">
        <v>122</v>
      </c>
      <c r="E2200" s="0" t="n">
        <v>10</v>
      </c>
      <c r="F2200" s="28" t="s">
        <v>123</v>
      </c>
      <c r="G2200" s="28" t="s">
        <v>152</v>
      </c>
      <c r="H2200" s="28" t="s">
        <v>102</v>
      </c>
      <c r="I2200" s="28" t="s">
        <v>103</v>
      </c>
      <c r="J2200" s="28" t="s">
        <v>66</v>
      </c>
      <c r="K2200" s="28" t="s">
        <v>90</v>
      </c>
      <c r="L2200" s="28" t="s">
        <v>141</v>
      </c>
      <c r="M2200" s="28" t="s">
        <v>94</v>
      </c>
      <c r="N2200" s="28" t="s">
        <v>143</v>
      </c>
      <c r="O2200" s="29" t="n">
        <v>16</v>
      </c>
      <c r="P2200" s="30" t="n">
        <v>35.14</v>
      </c>
      <c r="Q2200" s="30" t="n">
        <v>18.39</v>
      </c>
      <c r="R2200" s="30" t="n">
        <f aca="false">ROUND(O2200*P2200,2)</f>
        <v>562.24</v>
      </c>
      <c r="S2200" s="30" t="n">
        <f aca="false">ROUND(O2200*Q2200,2)</f>
        <v>294.24</v>
      </c>
      <c r="T2200" s="30" t="n">
        <f aca="false">ROUND(R2200*SUMIFS(Parametros!$E$23:$E$38,Parametros!$B$23:$B$38,J2200,Parametros!$C$23:$C$38,C2200,Parametros!$D$23:$D$38,D2200),2)</f>
        <v>7.31</v>
      </c>
      <c r="U2200" s="30" t="n">
        <f aca="false">R2200-S2200-T2200</f>
        <v>260.69</v>
      </c>
    </row>
    <row r="2201" customFormat="false" ht="15" hidden="false" customHeight="false" outlineLevel="0" collapsed="false">
      <c r="A2201" s="0" t="n">
        <v>2200</v>
      </c>
      <c r="B2201" s="27" t="n">
        <v>45941</v>
      </c>
      <c r="C2201" s="0" t="n">
        <v>2025</v>
      </c>
      <c r="D2201" s="28" t="s">
        <v>122</v>
      </c>
      <c r="E2201" s="0" t="n">
        <v>10</v>
      </c>
      <c r="F2201" s="28" t="s">
        <v>123</v>
      </c>
      <c r="G2201" s="28" t="s">
        <v>152</v>
      </c>
      <c r="H2201" s="28" t="s">
        <v>102</v>
      </c>
      <c r="I2201" s="28" t="s">
        <v>103</v>
      </c>
      <c r="J2201" s="28" t="s">
        <v>71</v>
      </c>
      <c r="K2201" s="28" t="s">
        <v>90</v>
      </c>
      <c r="L2201" s="28" t="s">
        <v>141</v>
      </c>
      <c r="M2201" s="28" t="s">
        <v>94</v>
      </c>
      <c r="N2201" s="28" t="s">
        <v>143</v>
      </c>
      <c r="O2201" s="29" t="n">
        <v>14</v>
      </c>
      <c r="P2201" s="30" t="n">
        <v>35.14</v>
      </c>
      <c r="Q2201" s="30" t="n">
        <v>18.39</v>
      </c>
      <c r="R2201" s="30" t="n">
        <f aca="false">ROUND(O2201*P2201,2)</f>
        <v>491.96</v>
      </c>
      <c r="S2201" s="30" t="n">
        <f aca="false">ROUND(O2201*Q2201,2)</f>
        <v>257.46</v>
      </c>
      <c r="T2201" s="30" t="n">
        <f aca="false">ROUND(R2201*SUMIFS(Parametros!$E$23:$E$38,Parametros!$B$23:$B$38,J2201,Parametros!$C$23:$C$38,C2201,Parametros!$D$23:$D$38,D2201),2)</f>
        <v>25.58</v>
      </c>
      <c r="U2201" s="30" t="n">
        <f aca="false">R2201-S2201-T2201</f>
        <v>208.92</v>
      </c>
    </row>
    <row r="2202" customFormat="false" ht="15" hidden="false" customHeight="false" outlineLevel="0" collapsed="false">
      <c r="A2202" s="0" t="n">
        <v>2201</v>
      </c>
      <c r="B2202" s="27" t="n">
        <v>45979</v>
      </c>
      <c r="C2202" s="0" t="n">
        <v>2025</v>
      </c>
      <c r="D2202" s="28" t="s">
        <v>122</v>
      </c>
      <c r="E2202" s="0" t="n">
        <v>11</v>
      </c>
      <c r="F2202" s="28" t="s">
        <v>125</v>
      </c>
      <c r="G2202" s="28" t="s">
        <v>153</v>
      </c>
      <c r="H2202" s="28" t="s">
        <v>64</v>
      </c>
      <c r="I2202" s="28" t="s">
        <v>65</v>
      </c>
      <c r="J2202" s="28" t="s">
        <v>66</v>
      </c>
      <c r="K2202" s="28" t="s">
        <v>67</v>
      </c>
      <c r="L2202" s="28" t="s">
        <v>130</v>
      </c>
      <c r="M2202" s="28" t="s">
        <v>69</v>
      </c>
      <c r="N2202" s="28" t="s">
        <v>131</v>
      </c>
      <c r="O2202" s="29" t="n">
        <v>28</v>
      </c>
      <c r="P2202" s="30" t="n">
        <v>1204.74</v>
      </c>
      <c r="Q2202" s="30" t="n">
        <v>766.32</v>
      </c>
      <c r="R2202" s="30" t="n">
        <f aca="false">ROUND(O2202*P2202,2)</f>
        <v>33732.72</v>
      </c>
      <c r="S2202" s="30" t="n">
        <f aca="false">ROUND(O2202*Q2202,2)</f>
        <v>21456.96</v>
      </c>
      <c r="T2202" s="30" t="n">
        <f aca="false">ROUND(R2202*SUMIFS(Parametros!$E$23:$E$38,Parametros!$B$23:$B$38,J2202,Parametros!$C$23:$C$38,C2202,Parametros!$D$23:$D$38,D2202),2)</f>
        <v>438.53</v>
      </c>
      <c r="U2202" s="30" t="n">
        <f aca="false">R2202-S2202-T2202</f>
        <v>11837.23</v>
      </c>
    </row>
    <row r="2203" customFormat="false" ht="15" hidden="false" customHeight="false" outlineLevel="0" collapsed="false">
      <c r="A2203" s="0" t="n">
        <v>2202</v>
      </c>
      <c r="B2203" s="27" t="n">
        <v>45986</v>
      </c>
      <c r="C2203" s="0" t="n">
        <v>2025</v>
      </c>
      <c r="D2203" s="28" t="s">
        <v>122</v>
      </c>
      <c r="E2203" s="0" t="n">
        <v>11</v>
      </c>
      <c r="F2203" s="28" t="s">
        <v>125</v>
      </c>
      <c r="G2203" s="28" t="s">
        <v>153</v>
      </c>
      <c r="H2203" s="28" t="s">
        <v>64</v>
      </c>
      <c r="I2203" s="28" t="s">
        <v>65</v>
      </c>
      <c r="J2203" s="28" t="s">
        <v>71</v>
      </c>
      <c r="K2203" s="28" t="s">
        <v>67</v>
      </c>
      <c r="L2203" s="28" t="s">
        <v>130</v>
      </c>
      <c r="M2203" s="28" t="s">
        <v>69</v>
      </c>
      <c r="N2203" s="28" t="s">
        <v>131</v>
      </c>
      <c r="O2203" s="29" t="n">
        <v>20</v>
      </c>
      <c r="P2203" s="30" t="n">
        <v>1204.74</v>
      </c>
      <c r="Q2203" s="30" t="n">
        <v>766.32</v>
      </c>
      <c r="R2203" s="30" t="n">
        <f aca="false">ROUND(O2203*P2203,2)</f>
        <v>24094.8</v>
      </c>
      <c r="S2203" s="30" t="n">
        <f aca="false">ROUND(O2203*Q2203,2)</f>
        <v>15326.4</v>
      </c>
      <c r="T2203" s="30" t="n">
        <f aca="false">ROUND(R2203*SUMIFS(Parametros!$E$23:$E$38,Parametros!$B$23:$B$38,J2203,Parametros!$C$23:$C$38,C2203,Parametros!$D$23:$D$38,D2203),2)</f>
        <v>1252.93</v>
      </c>
      <c r="U2203" s="30" t="n">
        <f aca="false">R2203-S2203-T2203</f>
        <v>7515.47</v>
      </c>
    </row>
    <row r="2204" customFormat="false" ht="15" hidden="false" customHeight="false" outlineLevel="0" collapsed="false">
      <c r="A2204" s="0" t="n">
        <v>2203</v>
      </c>
      <c r="B2204" s="27" t="n">
        <v>45966</v>
      </c>
      <c r="C2204" s="0" t="n">
        <v>2025</v>
      </c>
      <c r="D2204" s="28" t="s">
        <v>122</v>
      </c>
      <c r="E2204" s="0" t="n">
        <v>11</v>
      </c>
      <c r="F2204" s="28" t="s">
        <v>125</v>
      </c>
      <c r="G2204" s="28" t="s">
        <v>153</v>
      </c>
      <c r="H2204" s="28" t="s">
        <v>64</v>
      </c>
      <c r="I2204" s="28" t="s">
        <v>65</v>
      </c>
      <c r="J2204" s="28" t="s">
        <v>66</v>
      </c>
      <c r="K2204" s="28" t="s">
        <v>67</v>
      </c>
      <c r="L2204" s="28" t="s">
        <v>130</v>
      </c>
      <c r="M2204" s="28" t="s">
        <v>72</v>
      </c>
      <c r="N2204" s="28" t="s">
        <v>132</v>
      </c>
      <c r="O2204" s="29" t="n">
        <v>28</v>
      </c>
      <c r="P2204" s="30" t="n">
        <v>451.78</v>
      </c>
      <c r="Q2204" s="30" t="n">
        <v>280.42</v>
      </c>
      <c r="R2204" s="30" t="n">
        <f aca="false">ROUND(O2204*P2204,2)</f>
        <v>12649.84</v>
      </c>
      <c r="S2204" s="30" t="n">
        <f aca="false">ROUND(O2204*Q2204,2)</f>
        <v>7851.76</v>
      </c>
      <c r="T2204" s="30" t="n">
        <f aca="false">ROUND(R2204*SUMIFS(Parametros!$E$23:$E$38,Parametros!$B$23:$B$38,J2204,Parametros!$C$23:$C$38,C2204,Parametros!$D$23:$D$38,D2204),2)</f>
        <v>164.45</v>
      </c>
      <c r="U2204" s="30" t="n">
        <f aca="false">R2204-S2204-T2204</f>
        <v>4633.63</v>
      </c>
    </row>
    <row r="2205" customFormat="false" ht="15" hidden="false" customHeight="false" outlineLevel="0" collapsed="false">
      <c r="A2205" s="0" t="n">
        <v>2204</v>
      </c>
      <c r="B2205" s="27" t="n">
        <v>45973</v>
      </c>
      <c r="C2205" s="0" t="n">
        <v>2025</v>
      </c>
      <c r="D2205" s="28" t="s">
        <v>122</v>
      </c>
      <c r="E2205" s="0" t="n">
        <v>11</v>
      </c>
      <c r="F2205" s="28" t="s">
        <v>125</v>
      </c>
      <c r="G2205" s="28" t="s">
        <v>153</v>
      </c>
      <c r="H2205" s="28" t="s">
        <v>64</v>
      </c>
      <c r="I2205" s="28" t="s">
        <v>65</v>
      </c>
      <c r="J2205" s="28" t="s">
        <v>71</v>
      </c>
      <c r="K2205" s="28" t="s">
        <v>67</v>
      </c>
      <c r="L2205" s="28" t="s">
        <v>130</v>
      </c>
      <c r="M2205" s="28" t="s">
        <v>72</v>
      </c>
      <c r="N2205" s="28" t="s">
        <v>132</v>
      </c>
      <c r="O2205" s="29" t="n">
        <v>20</v>
      </c>
      <c r="P2205" s="30" t="n">
        <v>451.78</v>
      </c>
      <c r="Q2205" s="30" t="n">
        <v>280.42</v>
      </c>
      <c r="R2205" s="30" t="n">
        <f aca="false">ROUND(O2205*P2205,2)</f>
        <v>9035.6</v>
      </c>
      <c r="S2205" s="30" t="n">
        <f aca="false">ROUND(O2205*Q2205,2)</f>
        <v>5608.4</v>
      </c>
      <c r="T2205" s="30" t="n">
        <f aca="false">ROUND(R2205*SUMIFS(Parametros!$E$23:$E$38,Parametros!$B$23:$B$38,J2205,Parametros!$C$23:$C$38,C2205,Parametros!$D$23:$D$38,D2205),2)</f>
        <v>469.85</v>
      </c>
      <c r="U2205" s="30" t="n">
        <f aca="false">R2205-S2205-T2205</f>
        <v>2957.35</v>
      </c>
    </row>
    <row r="2206" customFormat="false" ht="15" hidden="false" customHeight="false" outlineLevel="0" collapsed="false">
      <c r="A2206" s="0" t="n">
        <v>2205</v>
      </c>
      <c r="B2206" s="27" t="n">
        <v>45980</v>
      </c>
      <c r="C2206" s="0" t="n">
        <v>2025</v>
      </c>
      <c r="D2206" s="28" t="s">
        <v>122</v>
      </c>
      <c r="E2206" s="0" t="n">
        <v>11</v>
      </c>
      <c r="F2206" s="28" t="s">
        <v>125</v>
      </c>
      <c r="G2206" s="28" t="s">
        <v>153</v>
      </c>
      <c r="H2206" s="28" t="s">
        <v>64</v>
      </c>
      <c r="I2206" s="28" t="s">
        <v>65</v>
      </c>
      <c r="J2206" s="28" t="s">
        <v>66</v>
      </c>
      <c r="K2206" s="28" t="s">
        <v>67</v>
      </c>
      <c r="L2206" s="28" t="s">
        <v>130</v>
      </c>
      <c r="M2206" s="28" t="s">
        <v>74</v>
      </c>
      <c r="N2206" s="28" t="s">
        <v>133</v>
      </c>
      <c r="O2206" s="29" t="n">
        <v>22</v>
      </c>
      <c r="P2206" s="30" t="n">
        <v>1656.52</v>
      </c>
      <c r="Q2206" s="30" t="n">
        <v>1155.66</v>
      </c>
      <c r="R2206" s="30" t="n">
        <f aca="false">ROUND(O2206*P2206,2)</f>
        <v>36443.44</v>
      </c>
      <c r="S2206" s="30" t="n">
        <f aca="false">ROUND(O2206*Q2206,2)</f>
        <v>25424.52</v>
      </c>
      <c r="T2206" s="30" t="n">
        <f aca="false">ROUND(R2206*SUMIFS(Parametros!$E$23:$E$38,Parametros!$B$23:$B$38,J2206,Parametros!$C$23:$C$38,C2206,Parametros!$D$23:$D$38,D2206),2)</f>
        <v>473.76</v>
      </c>
      <c r="U2206" s="30" t="n">
        <f aca="false">R2206-S2206-T2206</f>
        <v>10545.16</v>
      </c>
    </row>
    <row r="2207" customFormat="false" ht="15" hidden="false" customHeight="false" outlineLevel="0" collapsed="false">
      <c r="A2207" s="0" t="n">
        <v>2206</v>
      </c>
      <c r="B2207" s="27" t="n">
        <v>45987</v>
      </c>
      <c r="C2207" s="0" t="n">
        <v>2025</v>
      </c>
      <c r="D2207" s="28" t="s">
        <v>122</v>
      </c>
      <c r="E2207" s="0" t="n">
        <v>11</v>
      </c>
      <c r="F2207" s="28" t="s">
        <v>125</v>
      </c>
      <c r="G2207" s="28" t="s">
        <v>153</v>
      </c>
      <c r="H2207" s="28" t="s">
        <v>64</v>
      </c>
      <c r="I2207" s="28" t="s">
        <v>65</v>
      </c>
      <c r="J2207" s="28" t="s">
        <v>71</v>
      </c>
      <c r="K2207" s="28" t="s">
        <v>67</v>
      </c>
      <c r="L2207" s="28" t="s">
        <v>130</v>
      </c>
      <c r="M2207" s="28" t="s">
        <v>74</v>
      </c>
      <c r="N2207" s="28" t="s">
        <v>133</v>
      </c>
      <c r="O2207" s="29" t="n">
        <v>16</v>
      </c>
      <c r="P2207" s="30" t="n">
        <v>1656.52</v>
      </c>
      <c r="Q2207" s="30" t="n">
        <v>1155.66</v>
      </c>
      <c r="R2207" s="30" t="n">
        <f aca="false">ROUND(O2207*P2207,2)</f>
        <v>26504.32</v>
      </c>
      <c r="S2207" s="30" t="n">
        <f aca="false">ROUND(O2207*Q2207,2)</f>
        <v>18490.56</v>
      </c>
      <c r="T2207" s="30" t="n">
        <f aca="false">ROUND(R2207*SUMIFS(Parametros!$E$23:$E$38,Parametros!$B$23:$B$38,J2207,Parametros!$C$23:$C$38,C2207,Parametros!$D$23:$D$38,D2207),2)</f>
        <v>1378.22</v>
      </c>
      <c r="U2207" s="30" t="n">
        <f aca="false">R2207-S2207-T2207</f>
        <v>6635.54</v>
      </c>
    </row>
    <row r="2208" customFormat="false" ht="15" hidden="false" customHeight="false" outlineLevel="0" collapsed="false">
      <c r="A2208" s="0" t="n">
        <v>2207</v>
      </c>
      <c r="B2208" s="27" t="n">
        <v>45967</v>
      </c>
      <c r="C2208" s="0" t="n">
        <v>2025</v>
      </c>
      <c r="D2208" s="28" t="s">
        <v>122</v>
      </c>
      <c r="E2208" s="0" t="n">
        <v>11</v>
      </c>
      <c r="F2208" s="28" t="s">
        <v>125</v>
      </c>
      <c r="G2208" s="28" t="s">
        <v>153</v>
      </c>
      <c r="H2208" s="28" t="s">
        <v>64</v>
      </c>
      <c r="I2208" s="28" t="s">
        <v>65</v>
      </c>
      <c r="J2208" s="28" t="s">
        <v>66</v>
      </c>
      <c r="K2208" s="28" t="s">
        <v>76</v>
      </c>
      <c r="L2208" s="28" t="s">
        <v>134</v>
      </c>
      <c r="M2208" s="28" t="s">
        <v>78</v>
      </c>
      <c r="N2208" s="28" t="s">
        <v>135</v>
      </c>
      <c r="O2208" s="29" t="n">
        <v>118</v>
      </c>
      <c r="P2208" s="30" t="n">
        <v>28.11</v>
      </c>
      <c r="Q2208" s="30" t="n">
        <v>13.84</v>
      </c>
      <c r="R2208" s="30" t="n">
        <f aca="false">ROUND(O2208*P2208,2)</f>
        <v>3316.98</v>
      </c>
      <c r="S2208" s="30" t="n">
        <f aca="false">ROUND(O2208*Q2208,2)</f>
        <v>1633.12</v>
      </c>
      <c r="T2208" s="30" t="n">
        <f aca="false">ROUND(R2208*SUMIFS(Parametros!$E$23:$E$38,Parametros!$B$23:$B$38,J2208,Parametros!$C$23:$C$38,C2208,Parametros!$D$23:$D$38,D2208),2)</f>
        <v>43.12</v>
      </c>
      <c r="U2208" s="30" t="n">
        <f aca="false">R2208-S2208-T2208</f>
        <v>1640.74</v>
      </c>
    </row>
    <row r="2209" customFormat="false" ht="15" hidden="false" customHeight="false" outlineLevel="0" collapsed="false">
      <c r="A2209" s="0" t="n">
        <v>2208</v>
      </c>
      <c r="B2209" s="27" t="n">
        <v>45974</v>
      </c>
      <c r="C2209" s="0" t="n">
        <v>2025</v>
      </c>
      <c r="D2209" s="28" t="s">
        <v>122</v>
      </c>
      <c r="E2209" s="0" t="n">
        <v>11</v>
      </c>
      <c r="F2209" s="28" t="s">
        <v>125</v>
      </c>
      <c r="G2209" s="28" t="s">
        <v>153</v>
      </c>
      <c r="H2209" s="28" t="s">
        <v>64</v>
      </c>
      <c r="I2209" s="28" t="s">
        <v>65</v>
      </c>
      <c r="J2209" s="28" t="s">
        <v>71</v>
      </c>
      <c r="K2209" s="28" t="s">
        <v>76</v>
      </c>
      <c r="L2209" s="28" t="s">
        <v>134</v>
      </c>
      <c r="M2209" s="28" t="s">
        <v>78</v>
      </c>
      <c r="N2209" s="28" t="s">
        <v>135</v>
      </c>
      <c r="O2209" s="29" t="n">
        <v>72</v>
      </c>
      <c r="P2209" s="30" t="n">
        <v>28.11</v>
      </c>
      <c r="Q2209" s="30" t="n">
        <v>13.84</v>
      </c>
      <c r="R2209" s="30" t="n">
        <f aca="false">ROUND(O2209*P2209,2)</f>
        <v>2023.92</v>
      </c>
      <c r="S2209" s="30" t="n">
        <f aca="false">ROUND(O2209*Q2209,2)</f>
        <v>996.48</v>
      </c>
      <c r="T2209" s="30" t="n">
        <f aca="false">ROUND(R2209*SUMIFS(Parametros!$E$23:$E$38,Parametros!$B$23:$B$38,J2209,Parametros!$C$23:$C$38,C2209,Parametros!$D$23:$D$38,D2209),2)</f>
        <v>105.24</v>
      </c>
      <c r="U2209" s="30" t="n">
        <f aca="false">R2209-S2209-T2209</f>
        <v>922.2</v>
      </c>
    </row>
    <row r="2210" customFormat="false" ht="15" hidden="false" customHeight="false" outlineLevel="0" collapsed="false">
      <c r="A2210" s="0" t="n">
        <v>2209</v>
      </c>
      <c r="B2210" s="27" t="n">
        <v>45981</v>
      </c>
      <c r="C2210" s="0" t="n">
        <v>2025</v>
      </c>
      <c r="D2210" s="28" t="s">
        <v>122</v>
      </c>
      <c r="E2210" s="0" t="n">
        <v>11</v>
      </c>
      <c r="F2210" s="28" t="s">
        <v>125</v>
      </c>
      <c r="G2210" s="28" t="s">
        <v>153</v>
      </c>
      <c r="H2210" s="28" t="s">
        <v>64</v>
      </c>
      <c r="I2210" s="28" t="s">
        <v>65</v>
      </c>
      <c r="J2210" s="28" t="s">
        <v>66</v>
      </c>
      <c r="K2210" s="28" t="s">
        <v>76</v>
      </c>
      <c r="L2210" s="28" t="s">
        <v>134</v>
      </c>
      <c r="M2210" s="28" t="s">
        <v>80</v>
      </c>
      <c r="N2210" s="28" t="s">
        <v>136</v>
      </c>
      <c r="O2210" s="29" t="n">
        <v>122</v>
      </c>
      <c r="P2210" s="30" t="n">
        <v>95.38</v>
      </c>
      <c r="Q2210" s="30" t="n">
        <v>49.41</v>
      </c>
      <c r="R2210" s="30" t="n">
        <f aca="false">ROUND(O2210*P2210,2)</f>
        <v>11636.36</v>
      </c>
      <c r="S2210" s="30" t="n">
        <f aca="false">ROUND(O2210*Q2210,2)</f>
        <v>6028.02</v>
      </c>
      <c r="T2210" s="30" t="n">
        <f aca="false">ROUND(R2210*SUMIFS(Parametros!$E$23:$E$38,Parametros!$B$23:$B$38,J2210,Parametros!$C$23:$C$38,C2210,Parametros!$D$23:$D$38,D2210),2)</f>
        <v>151.27</v>
      </c>
      <c r="U2210" s="30" t="n">
        <f aca="false">R2210-S2210-T2210</f>
        <v>5457.07</v>
      </c>
    </row>
    <row r="2211" customFormat="false" ht="15" hidden="false" customHeight="false" outlineLevel="0" collapsed="false">
      <c r="A2211" s="0" t="n">
        <v>2210</v>
      </c>
      <c r="B2211" s="27" t="n">
        <v>45988</v>
      </c>
      <c r="C2211" s="0" t="n">
        <v>2025</v>
      </c>
      <c r="D2211" s="28" t="s">
        <v>122</v>
      </c>
      <c r="E2211" s="0" t="n">
        <v>11</v>
      </c>
      <c r="F2211" s="28" t="s">
        <v>125</v>
      </c>
      <c r="G2211" s="28" t="s">
        <v>153</v>
      </c>
      <c r="H2211" s="28" t="s">
        <v>64</v>
      </c>
      <c r="I2211" s="28" t="s">
        <v>65</v>
      </c>
      <c r="J2211" s="28" t="s">
        <v>71</v>
      </c>
      <c r="K2211" s="28" t="s">
        <v>76</v>
      </c>
      <c r="L2211" s="28" t="s">
        <v>134</v>
      </c>
      <c r="M2211" s="28" t="s">
        <v>80</v>
      </c>
      <c r="N2211" s="28" t="s">
        <v>136</v>
      </c>
      <c r="O2211" s="29" t="n">
        <v>78</v>
      </c>
      <c r="P2211" s="30" t="n">
        <v>95.38</v>
      </c>
      <c r="Q2211" s="30" t="n">
        <v>49.41</v>
      </c>
      <c r="R2211" s="30" t="n">
        <f aca="false">ROUND(O2211*P2211,2)</f>
        <v>7439.64</v>
      </c>
      <c r="S2211" s="30" t="n">
        <f aca="false">ROUND(O2211*Q2211,2)</f>
        <v>3853.98</v>
      </c>
      <c r="T2211" s="30" t="n">
        <f aca="false">ROUND(R2211*SUMIFS(Parametros!$E$23:$E$38,Parametros!$B$23:$B$38,J2211,Parametros!$C$23:$C$38,C2211,Parametros!$D$23:$D$38,D2211),2)</f>
        <v>386.86</v>
      </c>
      <c r="U2211" s="30" t="n">
        <f aca="false">R2211-S2211-T2211</f>
        <v>3198.8</v>
      </c>
    </row>
    <row r="2212" customFormat="false" ht="15" hidden="false" customHeight="false" outlineLevel="0" collapsed="false">
      <c r="A2212" s="0" t="n">
        <v>2211</v>
      </c>
      <c r="B2212" s="27" t="n">
        <v>45968</v>
      </c>
      <c r="C2212" s="0" t="n">
        <v>2025</v>
      </c>
      <c r="D2212" s="28" t="s">
        <v>122</v>
      </c>
      <c r="E2212" s="0" t="n">
        <v>11</v>
      </c>
      <c r="F2212" s="28" t="s">
        <v>125</v>
      </c>
      <c r="G2212" s="28" t="s">
        <v>153</v>
      </c>
      <c r="H2212" s="28" t="s">
        <v>64</v>
      </c>
      <c r="I2212" s="28" t="s">
        <v>65</v>
      </c>
      <c r="J2212" s="28" t="s">
        <v>66</v>
      </c>
      <c r="K2212" s="28" t="s">
        <v>76</v>
      </c>
      <c r="L2212" s="28" t="s">
        <v>134</v>
      </c>
      <c r="M2212" s="28" t="s">
        <v>82</v>
      </c>
      <c r="N2212" s="28" t="s">
        <v>137</v>
      </c>
      <c r="O2212" s="29" t="n">
        <v>96</v>
      </c>
      <c r="P2212" s="30" t="n">
        <v>65.26</v>
      </c>
      <c r="Q2212" s="30" t="n">
        <v>36.49</v>
      </c>
      <c r="R2212" s="30" t="n">
        <f aca="false">ROUND(O2212*P2212,2)</f>
        <v>6264.96</v>
      </c>
      <c r="S2212" s="30" t="n">
        <f aca="false">ROUND(O2212*Q2212,2)</f>
        <v>3503.04</v>
      </c>
      <c r="T2212" s="30" t="n">
        <f aca="false">ROUND(R2212*SUMIFS(Parametros!$E$23:$E$38,Parametros!$B$23:$B$38,J2212,Parametros!$C$23:$C$38,C2212,Parametros!$D$23:$D$38,D2212),2)</f>
        <v>81.44</v>
      </c>
      <c r="U2212" s="30" t="n">
        <f aca="false">R2212-S2212-T2212</f>
        <v>2680.48</v>
      </c>
    </row>
    <row r="2213" customFormat="false" ht="15" hidden="false" customHeight="false" outlineLevel="0" collapsed="false">
      <c r="A2213" s="0" t="n">
        <v>2212</v>
      </c>
      <c r="B2213" s="27" t="n">
        <v>45975</v>
      </c>
      <c r="C2213" s="0" t="n">
        <v>2025</v>
      </c>
      <c r="D2213" s="28" t="s">
        <v>122</v>
      </c>
      <c r="E2213" s="0" t="n">
        <v>11</v>
      </c>
      <c r="F2213" s="28" t="s">
        <v>125</v>
      </c>
      <c r="G2213" s="28" t="s">
        <v>153</v>
      </c>
      <c r="H2213" s="28" t="s">
        <v>64</v>
      </c>
      <c r="I2213" s="28" t="s">
        <v>65</v>
      </c>
      <c r="J2213" s="28" t="s">
        <v>71</v>
      </c>
      <c r="K2213" s="28" t="s">
        <v>76</v>
      </c>
      <c r="L2213" s="28" t="s">
        <v>134</v>
      </c>
      <c r="M2213" s="28" t="s">
        <v>82</v>
      </c>
      <c r="N2213" s="28" t="s">
        <v>137</v>
      </c>
      <c r="O2213" s="29" t="n">
        <v>80</v>
      </c>
      <c r="P2213" s="30" t="n">
        <v>65.26</v>
      </c>
      <c r="Q2213" s="30" t="n">
        <v>36.49</v>
      </c>
      <c r="R2213" s="30" t="n">
        <f aca="false">ROUND(O2213*P2213,2)</f>
        <v>5220.8</v>
      </c>
      <c r="S2213" s="30" t="n">
        <f aca="false">ROUND(O2213*Q2213,2)</f>
        <v>2919.2</v>
      </c>
      <c r="T2213" s="30" t="n">
        <f aca="false">ROUND(R2213*SUMIFS(Parametros!$E$23:$E$38,Parametros!$B$23:$B$38,J2213,Parametros!$C$23:$C$38,C2213,Parametros!$D$23:$D$38,D2213),2)</f>
        <v>271.48</v>
      </c>
      <c r="U2213" s="30" t="n">
        <f aca="false">R2213-S2213-T2213</f>
        <v>2030.12</v>
      </c>
    </row>
    <row r="2214" customFormat="false" ht="15" hidden="false" customHeight="false" outlineLevel="0" collapsed="false">
      <c r="A2214" s="0" t="n">
        <v>2213</v>
      </c>
      <c r="B2214" s="27" t="n">
        <v>45982</v>
      </c>
      <c r="C2214" s="0" t="n">
        <v>2025</v>
      </c>
      <c r="D2214" s="28" t="s">
        <v>122</v>
      </c>
      <c r="E2214" s="0" t="n">
        <v>11</v>
      </c>
      <c r="F2214" s="28" t="s">
        <v>125</v>
      </c>
      <c r="G2214" s="28" t="s">
        <v>153</v>
      </c>
      <c r="H2214" s="28" t="s">
        <v>64</v>
      </c>
      <c r="I2214" s="28" t="s">
        <v>65</v>
      </c>
      <c r="J2214" s="28" t="s">
        <v>66</v>
      </c>
      <c r="K2214" s="28" t="s">
        <v>84</v>
      </c>
      <c r="L2214" s="28" t="s">
        <v>138</v>
      </c>
      <c r="M2214" s="28" t="s">
        <v>86</v>
      </c>
      <c r="N2214" s="28" t="s">
        <v>139</v>
      </c>
      <c r="O2214" s="29" t="n">
        <v>58</v>
      </c>
      <c r="P2214" s="30" t="n">
        <v>120.47</v>
      </c>
      <c r="Q2214" s="30" t="n">
        <v>65.51</v>
      </c>
      <c r="R2214" s="30" t="n">
        <f aca="false">ROUND(O2214*P2214,2)</f>
        <v>6987.26</v>
      </c>
      <c r="S2214" s="30" t="n">
        <f aca="false">ROUND(O2214*Q2214,2)</f>
        <v>3799.58</v>
      </c>
      <c r="T2214" s="30" t="n">
        <f aca="false">ROUND(R2214*SUMIFS(Parametros!$E$23:$E$38,Parametros!$B$23:$B$38,J2214,Parametros!$C$23:$C$38,C2214,Parametros!$D$23:$D$38,D2214),2)</f>
        <v>90.83</v>
      </c>
      <c r="U2214" s="30" t="n">
        <f aca="false">R2214-S2214-T2214</f>
        <v>3096.85</v>
      </c>
    </row>
    <row r="2215" customFormat="false" ht="15" hidden="false" customHeight="false" outlineLevel="0" collapsed="false">
      <c r="A2215" s="0" t="n">
        <v>2214</v>
      </c>
      <c r="B2215" s="27" t="n">
        <v>45962</v>
      </c>
      <c r="C2215" s="0" t="n">
        <v>2025</v>
      </c>
      <c r="D2215" s="28" t="s">
        <v>122</v>
      </c>
      <c r="E2215" s="0" t="n">
        <v>11</v>
      </c>
      <c r="F2215" s="28" t="s">
        <v>125</v>
      </c>
      <c r="G2215" s="28" t="s">
        <v>153</v>
      </c>
      <c r="H2215" s="28" t="s">
        <v>64</v>
      </c>
      <c r="I2215" s="28" t="s">
        <v>65</v>
      </c>
      <c r="J2215" s="28" t="s">
        <v>71</v>
      </c>
      <c r="K2215" s="28" t="s">
        <v>84</v>
      </c>
      <c r="L2215" s="28" t="s">
        <v>138</v>
      </c>
      <c r="M2215" s="28" t="s">
        <v>86</v>
      </c>
      <c r="N2215" s="28" t="s">
        <v>139</v>
      </c>
      <c r="O2215" s="29" t="n">
        <v>31</v>
      </c>
      <c r="P2215" s="30" t="n">
        <v>120.47</v>
      </c>
      <c r="Q2215" s="30" t="n">
        <v>65.51</v>
      </c>
      <c r="R2215" s="30" t="n">
        <f aca="false">ROUND(O2215*P2215,2)</f>
        <v>3734.57</v>
      </c>
      <c r="S2215" s="30" t="n">
        <f aca="false">ROUND(O2215*Q2215,2)</f>
        <v>2030.81</v>
      </c>
      <c r="T2215" s="30" t="n">
        <f aca="false">ROUND(R2215*SUMIFS(Parametros!$E$23:$E$38,Parametros!$B$23:$B$38,J2215,Parametros!$C$23:$C$38,C2215,Parametros!$D$23:$D$38,D2215),2)</f>
        <v>194.2</v>
      </c>
      <c r="U2215" s="30" t="n">
        <f aca="false">R2215-S2215-T2215</f>
        <v>1509.56</v>
      </c>
    </row>
    <row r="2216" customFormat="false" ht="15" hidden="false" customHeight="false" outlineLevel="0" collapsed="false">
      <c r="A2216" s="0" t="n">
        <v>2215</v>
      </c>
      <c r="B2216" s="27" t="n">
        <v>45969</v>
      </c>
      <c r="C2216" s="0" t="n">
        <v>2025</v>
      </c>
      <c r="D2216" s="28" t="s">
        <v>122</v>
      </c>
      <c r="E2216" s="0" t="n">
        <v>11</v>
      </c>
      <c r="F2216" s="28" t="s">
        <v>125</v>
      </c>
      <c r="G2216" s="28" t="s">
        <v>153</v>
      </c>
      <c r="H2216" s="28" t="s">
        <v>64</v>
      </c>
      <c r="I2216" s="28" t="s">
        <v>65</v>
      </c>
      <c r="J2216" s="28" t="s">
        <v>66</v>
      </c>
      <c r="K2216" s="28" t="s">
        <v>84</v>
      </c>
      <c r="L2216" s="28" t="s">
        <v>138</v>
      </c>
      <c r="M2216" s="28" t="s">
        <v>88</v>
      </c>
      <c r="N2216" s="28" t="s">
        <v>140</v>
      </c>
      <c r="O2216" s="29" t="n">
        <v>48</v>
      </c>
      <c r="P2216" s="30" t="n">
        <v>85.34</v>
      </c>
      <c r="Q2216" s="30" t="n">
        <v>49.47</v>
      </c>
      <c r="R2216" s="30" t="n">
        <f aca="false">ROUND(O2216*P2216,2)</f>
        <v>4096.32</v>
      </c>
      <c r="S2216" s="30" t="n">
        <f aca="false">ROUND(O2216*Q2216,2)</f>
        <v>2374.56</v>
      </c>
      <c r="T2216" s="30" t="n">
        <f aca="false">ROUND(R2216*SUMIFS(Parametros!$E$23:$E$38,Parametros!$B$23:$B$38,J2216,Parametros!$C$23:$C$38,C2216,Parametros!$D$23:$D$38,D2216),2)</f>
        <v>53.25</v>
      </c>
      <c r="U2216" s="30" t="n">
        <f aca="false">R2216-S2216-T2216</f>
        <v>1668.51</v>
      </c>
    </row>
    <row r="2217" customFormat="false" ht="15" hidden="false" customHeight="false" outlineLevel="0" collapsed="false">
      <c r="A2217" s="0" t="n">
        <v>2216</v>
      </c>
      <c r="B2217" s="27" t="n">
        <v>45976</v>
      </c>
      <c r="C2217" s="0" t="n">
        <v>2025</v>
      </c>
      <c r="D2217" s="28" t="s">
        <v>122</v>
      </c>
      <c r="E2217" s="0" t="n">
        <v>11</v>
      </c>
      <c r="F2217" s="28" t="s">
        <v>125</v>
      </c>
      <c r="G2217" s="28" t="s">
        <v>153</v>
      </c>
      <c r="H2217" s="28" t="s">
        <v>64</v>
      </c>
      <c r="I2217" s="28" t="s">
        <v>65</v>
      </c>
      <c r="J2217" s="28" t="s">
        <v>71</v>
      </c>
      <c r="K2217" s="28" t="s">
        <v>84</v>
      </c>
      <c r="L2217" s="28" t="s">
        <v>138</v>
      </c>
      <c r="M2217" s="28" t="s">
        <v>88</v>
      </c>
      <c r="N2217" s="28" t="s">
        <v>140</v>
      </c>
      <c r="O2217" s="29" t="n">
        <v>39</v>
      </c>
      <c r="P2217" s="30" t="n">
        <v>85.34</v>
      </c>
      <c r="Q2217" s="30" t="n">
        <v>49.47</v>
      </c>
      <c r="R2217" s="30" t="n">
        <f aca="false">ROUND(O2217*P2217,2)</f>
        <v>3328.26</v>
      </c>
      <c r="S2217" s="30" t="n">
        <f aca="false">ROUND(O2217*Q2217,2)</f>
        <v>1929.33</v>
      </c>
      <c r="T2217" s="30" t="n">
        <f aca="false">ROUND(R2217*SUMIFS(Parametros!$E$23:$E$38,Parametros!$B$23:$B$38,J2217,Parametros!$C$23:$C$38,C2217,Parametros!$D$23:$D$38,D2217),2)</f>
        <v>173.07</v>
      </c>
      <c r="U2217" s="30" t="n">
        <f aca="false">R2217-S2217-T2217</f>
        <v>1225.86</v>
      </c>
    </row>
    <row r="2218" customFormat="false" ht="15" hidden="false" customHeight="false" outlineLevel="0" collapsed="false">
      <c r="A2218" s="0" t="n">
        <v>2217</v>
      </c>
      <c r="B2218" s="27" t="n">
        <v>45983</v>
      </c>
      <c r="C2218" s="0" t="n">
        <v>2025</v>
      </c>
      <c r="D2218" s="28" t="s">
        <v>122</v>
      </c>
      <c r="E2218" s="0" t="n">
        <v>11</v>
      </c>
      <c r="F2218" s="28" t="s">
        <v>125</v>
      </c>
      <c r="G2218" s="28" t="s">
        <v>153</v>
      </c>
      <c r="H2218" s="28" t="s">
        <v>64</v>
      </c>
      <c r="I2218" s="28" t="s">
        <v>65</v>
      </c>
      <c r="J2218" s="28" t="s">
        <v>66</v>
      </c>
      <c r="K2218" s="28" t="s">
        <v>90</v>
      </c>
      <c r="L2218" s="28" t="s">
        <v>141</v>
      </c>
      <c r="M2218" s="28" t="s">
        <v>92</v>
      </c>
      <c r="N2218" s="28" t="s">
        <v>142</v>
      </c>
      <c r="O2218" s="29" t="n">
        <v>71</v>
      </c>
      <c r="P2218" s="30" t="n">
        <v>130.51</v>
      </c>
      <c r="Q2218" s="30" t="n">
        <v>78.33</v>
      </c>
      <c r="R2218" s="30" t="n">
        <f aca="false">ROUND(O2218*P2218,2)</f>
        <v>9266.21</v>
      </c>
      <c r="S2218" s="30" t="n">
        <f aca="false">ROUND(O2218*Q2218,2)</f>
        <v>5561.43</v>
      </c>
      <c r="T2218" s="30" t="n">
        <f aca="false">ROUND(R2218*SUMIFS(Parametros!$E$23:$E$38,Parametros!$B$23:$B$38,J2218,Parametros!$C$23:$C$38,C2218,Parametros!$D$23:$D$38,D2218),2)</f>
        <v>120.46</v>
      </c>
      <c r="U2218" s="30" t="n">
        <f aca="false">R2218-S2218-T2218</f>
        <v>3584.32</v>
      </c>
    </row>
    <row r="2219" customFormat="false" ht="15" hidden="false" customHeight="false" outlineLevel="0" collapsed="false">
      <c r="A2219" s="0" t="n">
        <v>2218</v>
      </c>
      <c r="B2219" s="27" t="n">
        <v>45963</v>
      </c>
      <c r="C2219" s="0" t="n">
        <v>2025</v>
      </c>
      <c r="D2219" s="28" t="s">
        <v>122</v>
      </c>
      <c r="E2219" s="0" t="n">
        <v>11</v>
      </c>
      <c r="F2219" s="28" t="s">
        <v>125</v>
      </c>
      <c r="G2219" s="28" t="s">
        <v>153</v>
      </c>
      <c r="H2219" s="28" t="s">
        <v>64</v>
      </c>
      <c r="I2219" s="28" t="s">
        <v>65</v>
      </c>
      <c r="J2219" s="28" t="s">
        <v>71</v>
      </c>
      <c r="K2219" s="28" t="s">
        <v>90</v>
      </c>
      <c r="L2219" s="28" t="s">
        <v>141</v>
      </c>
      <c r="M2219" s="28" t="s">
        <v>92</v>
      </c>
      <c r="N2219" s="28" t="s">
        <v>142</v>
      </c>
      <c r="O2219" s="29" t="n">
        <v>42</v>
      </c>
      <c r="P2219" s="30" t="n">
        <v>130.51</v>
      </c>
      <c r="Q2219" s="30" t="n">
        <v>78.33</v>
      </c>
      <c r="R2219" s="30" t="n">
        <f aca="false">ROUND(O2219*P2219,2)</f>
        <v>5481.42</v>
      </c>
      <c r="S2219" s="30" t="n">
        <f aca="false">ROUND(O2219*Q2219,2)</f>
        <v>3289.86</v>
      </c>
      <c r="T2219" s="30" t="n">
        <f aca="false">ROUND(R2219*SUMIFS(Parametros!$E$23:$E$38,Parametros!$B$23:$B$38,J2219,Parametros!$C$23:$C$38,C2219,Parametros!$D$23:$D$38,D2219),2)</f>
        <v>285.03</v>
      </c>
      <c r="U2219" s="30" t="n">
        <f aca="false">R2219-S2219-T2219</f>
        <v>1906.53</v>
      </c>
    </row>
    <row r="2220" customFormat="false" ht="15" hidden="false" customHeight="false" outlineLevel="0" collapsed="false">
      <c r="A2220" s="0" t="n">
        <v>2219</v>
      </c>
      <c r="B2220" s="27" t="n">
        <v>45970</v>
      </c>
      <c r="C2220" s="0" t="n">
        <v>2025</v>
      </c>
      <c r="D2220" s="28" t="s">
        <v>122</v>
      </c>
      <c r="E2220" s="0" t="n">
        <v>11</v>
      </c>
      <c r="F2220" s="28" t="s">
        <v>125</v>
      </c>
      <c r="G2220" s="28" t="s">
        <v>153</v>
      </c>
      <c r="H2220" s="28" t="s">
        <v>64</v>
      </c>
      <c r="I2220" s="28" t="s">
        <v>65</v>
      </c>
      <c r="J2220" s="28" t="s">
        <v>66</v>
      </c>
      <c r="K2220" s="28" t="s">
        <v>90</v>
      </c>
      <c r="L2220" s="28" t="s">
        <v>141</v>
      </c>
      <c r="M2220" s="28" t="s">
        <v>94</v>
      </c>
      <c r="N2220" s="28" t="s">
        <v>143</v>
      </c>
      <c r="O2220" s="29" t="n">
        <v>57</v>
      </c>
      <c r="P2220" s="30" t="n">
        <v>35.14</v>
      </c>
      <c r="Q2220" s="30" t="n">
        <v>18.39</v>
      </c>
      <c r="R2220" s="30" t="n">
        <f aca="false">ROUND(O2220*P2220,2)</f>
        <v>2002.98</v>
      </c>
      <c r="S2220" s="30" t="n">
        <f aca="false">ROUND(O2220*Q2220,2)</f>
        <v>1048.23</v>
      </c>
      <c r="T2220" s="30" t="n">
        <f aca="false">ROUND(R2220*SUMIFS(Parametros!$E$23:$E$38,Parametros!$B$23:$B$38,J2220,Parametros!$C$23:$C$38,C2220,Parametros!$D$23:$D$38,D2220),2)</f>
        <v>26.04</v>
      </c>
      <c r="U2220" s="30" t="n">
        <f aca="false">R2220-S2220-T2220</f>
        <v>928.71</v>
      </c>
    </row>
    <row r="2221" customFormat="false" ht="15" hidden="false" customHeight="false" outlineLevel="0" collapsed="false">
      <c r="A2221" s="0" t="n">
        <v>2220</v>
      </c>
      <c r="B2221" s="27" t="n">
        <v>45977</v>
      </c>
      <c r="C2221" s="0" t="n">
        <v>2025</v>
      </c>
      <c r="D2221" s="28" t="s">
        <v>122</v>
      </c>
      <c r="E2221" s="0" t="n">
        <v>11</v>
      </c>
      <c r="F2221" s="28" t="s">
        <v>125</v>
      </c>
      <c r="G2221" s="28" t="s">
        <v>153</v>
      </c>
      <c r="H2221" s="28" t="s">
        <v>64</v>
      </c>
      <c r="I2221" s="28" t="s">
        <v>65</v>
      </c>
      <c r="J2221" s="28" t="s">
        <v>71</v>
      </c>
      <c r="K2221" s="28" t="s">
        <v>90</v>
      </c>
      <c r="L2221" s="28" t="s">
        <v>141</v>
      </c>
      <c r="M2221" s="28" t="s">
        <v>94</v>
      </c>
      <c r="N2221" s="28" t="s">
        <v>143</v>
      </c>
      <c r="O2221" s="29" t="n">
        <v>39</v>
      </c>
      <c r="P2221" s="30" t="n">
        <v>35.14</v>
      </c>
      <c r="Q2221" s="30" t="n">
        <v>18.39</v>
      </c>
      <c r="R2221" s="30" t="n">
        <f aca="false">ROUND(O2221*P2221,2)</f>
        <v>1370.46</v>
      </c>
      <c r="S2221" s="30" t="n">
        <f aca="false">ROUND(O2221*Q2221,2)</f>
        <v>717.21</v>
      </c>
      <c r="T2221" s="30" t="n">
        <f aca="false">ROUND(R2221*SUMIFS(Parametros!$E$23:$E$38,Parametros!$B$23:$B$38,J2221,Parametros!$C$23:$C$38,C2221,Parametros!$D$23:$D$38,D2221),2)</f>
        <v>71.26</v>
      </c>
      <c r="U2221" s="30" t="n">
        <f aca="false">R2221-S2221-T2221</f>
        <v>581.99</v>
      </c>
    </row>
    <row r="2222" customFormat="false" ht="15" hidden="false" customHeight="false" outlineLevel="0" collapsed="false">
      <c r="A2222" s="0" t="n">
        <v>2221</v>
      </c>
      <c r="B2222" s="27" t="n">
        <v>45984</v>
      </c>
      <c r="C2222" s="0" t="n">
        <v>2025</v>
      </c>
      <c r="D2222" s="28" t="s">
        <v>122</v>
      </c>
      <c r="E2222" s="0" t="n">
        <v>11</v>
      </c>
      <c r="F2222" s="28" t="s">
        <v>125</v>
      </c>
      <c r="G2222" s="28" t="s">
        <v>153</v>
      </c>
      <c r="H2222" s="28" t="s">
        <v>96</v>
      </c>
      <c r="I2222" s="28" t="s">
        <v>97</v>
      </c>
      <c r="J2222" s="28" t="s">
        <v>66</v>
      </c>
      <c r="K2222" s="28" t="s">
        <v>67</v>
      </c>
      <c r="L2222" s="28" t="s">
        <v>130</v>
      </c>
      <c r="M2222" s="28" t="s">
        <v>69</v>
      </c>
      <c r="N2222" s="28" t="s">
        <v>131</v>
      </c>
      <c r="O2222" s="29" t="n">
        <v>17</v>
      </c>
      <c r="P2222" s="30" t="n">
        <v>1204.74</v>
      </c>
      <c r="Q2222" s="30" t="n">
        <v>766.32</v>
      </c>
      <c r="R2222" s="30" t="n">
        <f aca="false">ROUND(O2222*P2222,2)</f>
        <v>20480.58</v>
      </c>
      <c r="S2222" s="30" t="n">
        <f aca="false">ROUND(O2222*Q2222,2)</f>
        <v>13027.44</v>
      </c>
      <c r="T2222" s="30" t="n">
        <f aca="false">ROUND(R2222*SUMIFS(Parametros!$E$23:$E$38,Parametros!$B$23:$B$38,J2222,Parametros!$C$23:$C$38,C2222,Parametros!$D$23:$D$38,D2222),2)</f>
        <v>266.25</v>
      </c>
      <c r="U2222" s="30" t="n">
        <f aca="false">R2222-S2222-T2222</f>
        <v>7186.89</v>
      </c>
    </row>
    <row r="2223" customFormat="false" ht="15" hidden="false" customHeight="false" outlineLevel="0" collapsed="false">
      <c r="A2223" s="0" t="n">
        <v>2222</v>
      </c>
      <c r="B2223" s="27" t="n">
        <v>45964</v>
      </c>
      <c r="C2223" s="0" t="n">
        <v>2025</v>
      </c>
      <c r="D2223" s="28" t="s">
        <v>122</v>
      </c>
      <c r="E2223" s="0" t="n">
        <v>11</v>
      </c>
      <c r="F2223" s="28" t="s">
        <v>125</v>
      </c>
      <c r="G2223" s="28" t="s">
        <v>153</v>
      </c>
      <c r="H2223" s="28" t="s">
        <v>96</v>
      </c>
      <c r="I2223" s="28" t="s">
        <v>97</v>
      </c>
      <c r="J2223" s="28" t="s">
        <v>71</v>
      </c>
      <c r="K2223" s="28" t="s">
        <v>67</v>
      </c>
      <c r="L2223" s="28" t="s">
        <v>130</v>
      </c>
      <c r="M2223" s="28" t="s">
        <v>69</v>
      </c>
      <c r="N2223" s="28" t="s">
        <v>131</v>
      </c>
      <c r="O2223" s="29" t="n">
        <v>10</v>
      </c>
      <c r="P2223" s="30" t="n">
        <v>1204.74</v>
      </c>
      <c r="Q2223" s="30" t="n">
        <v>766.32</v>
      </c>
      <c r="R2223" s="30" t="n">
        <f aca="false">ROUND(O2223*P2223,2)</f>
        <v>12047.4</v>
      </c>
      <c r="S2223" s="30" t="n">
        <f aca="false">ROUND(O2223*Q2223,2)</f>
        <v>7663.2</v>
      </c>
      <c r="T2223" s="30" t="n">
        <f aca="false">ROUND(R2223*SUMIFS(Parametros!$E$23:$E$38,Parametros!$B$23:$B$38,J2223,Parametros!$C$23:$C$38,C2223,Parametros!$D$23:$D$38,D2223),2)</f>
        <v>626.46</v>
      </c>
      <c r="U2223" s="30" t="n">
        <f aca="false">R2223-S2223-T2223</f>
        <v>3757.74</v>
      </c>
    </row>
    <row r="2224" customFormat="false" ht="15" hidden="false" customHeight="false" outlineLevel="0" collapsed="false">
      <c r="A2224" s="0" t="n">
        <v>2223</v>
      </c>
      <c r="B2224" s="27" t="n">
        <v>45971</v>
      </c>
      <c r="C2224" s="0" t="n">
        <v>2025</v>
      </c>
      <c r="D2224" s="28" t="s">
        <v>122</v>
      </c>
      <c r="E2224" s="0" t="n">
        <v>11</v>
      </c>
      <c r="F2224" s="28" t="s">
        <v>125</v>
      </c>
      <c r="G2224" s="28" t="s">
        <v>153</v>
      </c>
      <c r="H2224" s="28" t="s">
        <v>96</v>
      </c>
      <c r="I2224" s="28" t="s">
        <v>97</v>
      </c>
      <c r="J2224" s="28" t="s">
        <v>66</v>
      </c>
      <c r="K2224" s="28" t="s">
        <v>67</v>
      </c>
      <c r="L2224" s="28" t="s">
        <v>130</v>
      </c>
      <c r="M2224" s="28" t="s">
        <v>72</v>
      </c>
      <c r="N2224" s="28" t="s">
        <v>132</v>
      </c>
      <c r="O2224" s="29" t="n">
        <v>14</v>
      </c>
      <c r="P2224" s="30" t="n">
        <v>451.78</v>
      </c>
      <c r="Q2224" s="30" t="n">
        <v>280.42</v>
      </c>
      <c r="R2224" s="30" t="n">
        <f aca="false">ROUND(O2224*P2224,2)</f>
        <v>6324.92</v>
      </c>
      <c r="S2224" s="30" t="n">
        <f aca="false">ROUND(O2224*Q2224,2)</f>
        <v>3925.88</v>
      </c>
      <c r="T2224" s="30" t="n">
        <f aca="false">ROUND(R2224*SUMIFS(Parametros!$E$23:$E$38,Parametros!$B$23:$B$38,J2224,Parametros!$C$23:$C$38,C2224,Parametros!$D$23:$D$38,D2224),2)</f>
        <v>82.22</v>
      </c>
      <c r="U2224" s="30" t="n">
        <f aca="false">R2224-S2224-T2224</f>
        <v>2316.82</v>
      </c>
    </row>
    <row r="2225" customFormat="false" ht="15" hidden="false" customHeight="false" outlineLevel="0" collapsed="false">
      <c r="A2225" s="0" t="n">
        <v>2224</v>
      </c>
      <c r="B2225" s="27" t="n">
        <v>45978</v>
      </c>
      <c r="C2225" s="0" t="n">
        <v>2025</v>
      </c>
      <c r="D2225" s="28" t="s">
        <v>122</v>
      </c>
      <c r="E2225" s="0" t="n">
        <v>11</v>
      </c>
      <c r="F2225" s="28" t="s">
        <v>125</v>
      </c>
      <c r="G2225" s="28" t="s">
        <v>153</v>
      </c>
      <c r="H2225" s="28" t="s">
        <v>96</v>
      </c>
      <c r="I2225" s="28" t="s">
        <v>97</v>
      </c>
      <c r="J2225" s="28" t="s">
        <v>71</v>
      </c>
      <c r="K2225" s="28" t="s">
        <v>67</v>
      </c>
      <c r="L2225" s="28" t="s">
        <v>130</v>
      </c>
      <c r="M2225" s="28" t="s">
        <v>72</v>
      </c>
      <c r="N2225" s="28" t="s">
        <v>132</v>
      </c>
      <c r="O2225" s="29" t="n">
        <v>12</v>
      </c>
      <c r="P2225" s="30" t="n">
        <v>451.78</v>
      </c>
      <c r="Q2225" s="30" t="n">
        <v>280.42</v>
      </c>
      <c r="R2225" s="30" t="n">
        <f aca="false">ROUND(O2225*P2225,2)</f>
        <v>5421.36</v>
      </c>
      <c r="S2225" s="30" t="n">
        <f aca="false">ROUND(O2225*Q2225,2)</f>
        <v>3365.04</v>
      </c>
      <c r="T2225" s="30" t="n">
        <f aca="false">ROUND(R2225*SUMIFS(Parametros!$E$23:$E$38,Parametros!$B$23:$B$38,J2225,Parametros!$C$23:$C$38,C2225,Parametros!$D$23:$D$38,D2225),2)</f>
        <v>281.91</v>
      </c>
      <c r="U2225" s="30" t="n">
        <f aca="false">R2225-S2225-T2225</f>
        <v>1774.41</v>
      </c>
    </row>
    <row r="2226" customFormat="false" ht="15" hidden="false" customHeight="false" outlineLevel="0" collapsed="false">
      <c r="A2226" s="0" t="n">
        <v>2225</v>
      </c>
      <c r="B2226" s="27" t="n">
        <v>45985</v>
      </c>
      <c r="C2226" s="0" t="n">
        <v>2025</v>
      </c>
      <c r="D2226" s="28" t="s">
        <v>122</v>
      </c>
      <c r="E2226" s="0" t="n">
        <v>11</v>
      </c>
      <c r="F2226" s="28" t="s">
        <v>125</v>
      </c>
      <c r="G2226" s="28" t="s">
        <v>153</v>
      </c>
      <c r="H2226" s="28" t="s">
        <v>96</v>
      </c>
      <c r="I2226" s="28" t="s">
        <v>97</v>
      </c>
      <c r="J2226" s="28" t="s">
        <v>66</v>
      </c>
      <c r="K2226" s="28" t="s">
        <v>67</v>
      </c>
      <c r="L2226" s="28" t="s">
        <v>130</v>
      </c>
      <c r="M2226" s="28" t="s">
        <v>74</v>
      </c>
      <c r="N2226" s="28" t="s">
        <v>133</v>
      </c>
      <c r="O2226" s="29" t="n">
        <v>16</v>
      </c>
      <c r="P2226" s="30" t="n">
        <v>1656.52</v>
      </c>
      <c r="Q2226" s="30" t="n">
        <v>1155.66</v>
      </c>
      <c r="R2226" s="30" t="n">
        <f aca="false">ROUND(O2226*P2226,2)</f>
        <v>26504.32</v>
      </c>
      <c r="S2226" s="30" t="n">
        <f aca="false">ROUND(O2226*Q2226,2)</f>
        <v>18490.56</v>
      </c>
      <c r="T2226" s="30" t="n">
        <f aca="false">ROUND(R2226*SUMIFS(Parametros!$E$23:$E$38,Parametros!$B$23:$B$38,J2226,Parametros!$C$23:$C$38,C2226,Parametros!$D$23:$D$38,D2226),2)</f>
        <v>344.56</v>
      </c>
      <c r="U2226" s="30" t="n">
        <f aca="false">R2226-S2226-T2226</f>
        <v>7669.2</v>
      </c>
    </row>
    <row r="2227" customFormat="false" ht="15" hidden="false" customHeight="false" outlineLevel="0" collapsed="false">
      <c r="A2227" s="0" t="n">
        <v>2226</v>
      </c>
      <c r="B2227" s="27" t="n">
        <v>45965</v>
      </c>
      <c r="C2227" s="0" t="n">
        <v>2025</v>
      </c>
      <c r="D2227" s="28" t="s">
        <v>122</v>
      </c>
      <c r="E2227" s="0" t="n">
        <v>11</v>
      </c>
      <c r="F2227" s="28" t="s">
        <v>125</v>
      </c>
      <c r="G2227" s="28" t="s">
        <v>153</v>
      </c>
      <c r="H2227" s="28" t="s">
        <v>96</v>
      </c>
      <c r="I2227" s="28" t="s">
        <v>97</v>
      </c>
      <c r="J2227" s="28" t="s">
        <v>71</v>
      </c>
      <c r="K2227" s="28" t="s">
        <v>67</v>
      </c>
      <c r="L2227" s="28" t="s">
        <v>130</v>
      </c>
      <c r="M2227" s="28" t="s">
        <v>74</v>
      </c>
      <c r="N2227" s="28" t="s">
        <v>133</v>
      </c>
      <c r="O2227" s="29" t="n">
        <v>9</v>
      </c>
      <c r="P2227" s="30" t="n">
        <v>1656.52</v>
      </c>
      <c r="Q2227" s="30" t="n">
        <v>1155.66</v>
      </c>
      <c r="R2227" s="30" t="n">
        <f aca="false">ROUND(O2227*P2227,2)</f>
        <v>14908.68</v>
      </c>
      <c r="S2227" s="30" t="n">
        <f aca="false">ROUND(O2227*Q2227,2)</f>
        <v>10400.94</v>
      </c>
      <c r="T2227" s="30" t="n">
        <f aca="false">ROUND(R2227*SUMIFS(Parametros!$E$23:$E$38,Parametros!$B$23:$B$38,J2227,Parametros!$C$23:$C$38,C2227,Parametros!$D$23:$D$38,D2227),2)</f>
        <v>775.25</v>
      </c>
      <c r="U2227" s="30" t="n">
        <f aca="false">R2227-S2227-T2227</f>
        <v>3732.49</v>
      </c>
    </row>
    <row r="2228" customFormat="false" ht="15" hidden="false" customHeight="false" outlineLevel="0" collapsed="false">
      <c r="A2228" s="0" t="n">
        <v>2227</v>
      </c>
      <c r="B2228" s="27" t="n">
        <v>45972</v>
      </c>
      <c r="C2228" s="0" t="n">
        <v>2025</v>
      </c>
      <c r="D2228" s="28" t="s">
        <v>122</v>
      </c>
      <c r="E2228" s="0" t="n">
        <v>11</v>
      </c>
      <c r="F2228" s="28" t="s">
        <v>125</v>
      </c>
      <c r="G2228" s="28" t="s">
        <v>153</v>
      </c>
      <c r="H2228" s="28" t="s">
        <v>96</v>
      </c>
      <c r="I2228" s="28" t="s">
        <v>97</v>
      </c>
      <c r="J2228" s="28" t="s">
        <v>66</v>
      </c>
      <c r="K2228" s="28" t="s">
        <v>76</v>
      </c>
      <c r="L2228" s="28" t="s">
        <v>134</v>
      </c>
      <c r="M2228" s="28" t="s">
        <v>78</v>
      </c>
      <c r="N2228" s="28" t="s">
        <v>135</v>
      </c>
      <c r="O2228" s="29" t="n">
        <v>57</v>
      </c>
      <c r="P2228" s="30" t="n">
        <v>28.11</v>
      </c>
      <c r="Q2228" s="30" t="n">
        <v>13.84</v>
      </c>
      <c r="R2228" s="30" t="n">
        <f aca="false">ROUND(O2228*P2228,2)</f>
        <v>1602.27</v>
      </c>
      <c r="S2228" s="30" t="n">
        <f aca="false">ROUND(O2228*Q2228,2)</f>
        <v>788.88</v>
      </c>
      <c r="T2228" s="30" t="n">
        <f aca="false">ROUND(R2228*SUMIFS(Parametros!$E$23:$E$38,Parametros!$B$23:$B$38,J2228,Parametros!$C$23:$C$38,C2228,Parametros!$D$23:$D$38,D2228),2)</f>
        <v>20.83</v>
      </c>
      <c r="U2228" s="30" t="n">
        <f aca="false">R2228-S2228-T2228</f>
        <v>792.56</v>
      </c>
    </row>
    <row r="2229" customFormat="false" ht="15" hidden="false" customHeight="false" outlineLevel="0" collapsed="false">
      <c r="A2229" s="0" t="n">
        <v>2228</v>
      </c>
      <c r="B2229" s="27" t="n">
        <v>45979</v>
      </c>
      <c r="C2229" s="0" t="n">
        <v>2025</v>
      </c>
      <c r="D2229" s="28" t="s">
        <v>122</v>
      </c>
      <c r="E2229" s="0" t="n">
        <v>11</v>
      </c>
      <c r="F2229" s="28" t="s">
        <v>125</v>
      </c>
      <c r="G2229" s="28" t="s">
        <v>153</v>
      </c>
      <c r="H2229" s="28" t="s">
        <v>96</v>
      </c>
      <c r="I2229" s="28" t="s">
        <v>97</v>
      </c>
      <c r="J2229" s="28" t="s">
        <v>71</v>
      </c>
      <c r="K2229" s="28" t="s">
        <v>76</v>
      </c>
      <c r="L2229" s="28" t="s">
        <v>134</v>
      </c>
      <c r="M2229" s="28" t="s">
        <v>78</v>
      </c>
      <c r="N2229" s="28" t="s">
        <v>135</v>
      </c>
      <c r="O2229" s="29" t="n">
        <v>49</v>
      </c>
      <c r="P2229" s="30" t="n">
        <v>28.11</v>
      </c>
      <c r="Q2229" s="30" t="n">
        <v>13.84</v>
      </c>
      <c r="R2229" s="30" t="n">
        <f aca="false">ROUND(O2229*P2229,2)</f>
        <v>1377.39</v>
      </c>
      <c r="S2229" s="30" t="n">
        <f aca="false">ROUND(O2229*Q2229,2)</f>
        <v>678.16</v>
      </c>
      <c r="T2229" s="30" t="n">
        <f aca="false">ROUND(R2229*SUMIFS(Parametros!$E$23:$E$38,Parametros!$B$23:$B$38,J2229,Parametros!$C$23:$C$38,C2229,Parametros!$D$23:$D$38,D2229),2)</f>
        <v>71.62</v>
      </c>
      <c r="U2229" s="30" t="n">
        <f aca="false">R2229-S2229-T2229</f>
        <v>627.61</v>
      </c>
    </row>
    <row r="2230" customFormat="false" ht="15" hidden="false" customHeight="false" outlineLevel="0" collapsed="false">
      <c r="A2230" s="0" t="n">
        <v>2229</v>
      </c>
      <c r="B2230" s="27" t="n">
        <v>45986</v>
      </c>
      <c r="C2230" s="0" t="n">
        <v>2025</v>
      </c>
      <c r="D2230" s="28" t="s">
        <v>122</v>
      </c>
      <c r="E2230" s="0" t="n">
        <v>11</v>
      </c>
      <c r="F2230" s="28" t="s">
        <v>125</v>
      </c>
      <c r="G2230" s="28" t="s">
        <v>153</v>
      </c>
      <c r="H2230" s="28" t="s">
        <v>96</v>
      </c>
      <c r="I2230" s="28" t="s">
        <v>97</v>
      </c>
      <c r="J2230" s="28" t="s">
        <v>66</v>
      </c>
      <c r="K2230" s="28" t="s">
        <v>76</v>
      </c>
      <c r="L2230" s="28" t="s">
        <v>134</v>
      </c>
      <c r="M2230" s="28" t="s">
        <v>80</v>
      </c>
      <c r="N2230" s="28" t="s">
        <v>136</v>
      </c>
      <c r="O2230" s="29" t="n">
        <v>61</v>
      </c>
      <c r="P2230" s="30" t="n">
        <v>95.38</v>
      </c>
      <c r="Q2230" s="30" t="n">
        <v>49.41</v>
      </c>
      <c r="R2230" s="30" t="n">
        <f aca="false">ROUND(O2230*P2230,2)</f>
        <v>5818.18</v>
      </c>
      <c r="S2230" s="30" t="n">
        <f aca="false">ROUND(O2230*Q2230,2)</f>
        <v>3014.01</v>
      </c>
      <c r="T2230" s="30" t="n">
        <f aca="false">ROUND(R2230*SUMIFS(Parametros!$E$23:$E$38,Parametros!$B$23:$B$38,J2230,Parametros!$C$23:$C$38,C2230,Parametros!$D$23:$D$38,D2230),2)</f>
        <v>75.64</v>
      </c>
      <c r="U2230" s="30" t="n">
        <f aca="false">R2230-S2230-T2230</f>
        <v>2728.53</v>
      </c>
    </row>
    <row r="2231" customFormat="false" ht="15" hidden="false" customHeight="false" outlineLevel="0" collapsed="false">
      <c r="A2231" s="0" t="n">
        <v>2230</v>
      </c>
      <c r="B2231" s="27" t="n">
        <v>45966</v>
      </c>
      <c r="C2231" s="0" t="n">
        <v>2025</v>
      </c>
      <c r="D2231" s="28" t="s">
        <v>122</v>
      </c>
      <c r="E2231" s="0" t="n">
        <v>11</v>
      </c>
      <c r="F2231" s="28" t="s">
        <v>125</v>
      </c>
      <c r="G2231" s="28" t="s">
        <v>153</v>
      </c>
      <c r="H2231" s="28" t="s">
        <v>96</v>
      </c>
      <c r="I2231" s="28" t="s">
        <v>97</v>
      </c>
      <c r="J2231" s="28" t="s">
        <v>71</v>
      </c>
      <c r="K2231" s="28" t="s">
        <v>76</v>
      </c>
      <c r="L2231" s="28" t="s">
        <v>134</v>
      </c>
      <c r="M2231" s="28" t="s">
        <v>80</v>
      </c>
      <c r="N2231" s="28" t="s">
        <v>136</v>
      </c>
      <c r="O2231" s="29" t="n">
        <v>49</v>
      </c>
      <c r="P2231" s="30" t="n">
        <v>95.38</v>
      </c>
      <c r="Q2231" s="30" t="n">
        <v>49.41</v>
      </c>
      <c r="R2231" s="30" t="n">
        <f aca="false">ROUND(O2231*P2231,2)</f>
        <v>4673.62</v>
      </c>
      <c r="S2231" s="30" t="n">
        <f aca="false">ROUND(O2231*Q2231,2)</f>
        <v>2421.09</v>
      </c>
      <c r="T2231" s="30" t="n">
        <f aca="false">ROUND(R2231*SUMIFS(Parametros!$E$23:$E$38,Parametros!$B$23:$B$38,J2231,Parametros!$C$23:$C$38,C2231,Parametros!$D$23:$D$38,D2231),2)</f>
        <v>243.03</v>
      </c>
      <c r="U2231" s="30" t="n">
        <f aca="false">R2231-S2231-T2231</f>
        <v>2009.5</v>
      </c>
    </row>
    <row r="2232" customFormat="false" ht="15" hidden="false" customHeight="false" outlineLevel="0" collapsed="false">
      <c r="A2232" s="0" t="n">
        <v>2231</v>
      </c>
      <c r="B2232" s="27" t="n">
        <v>45973</v>
      </c>
      <c r="C2232" s="0" t="n">
        <v>2025</v>
      </c>
      <c r="D2232" s="28" t="s">
        <v>122</v>
      </c>
      <c r="E2232" s="0" t="n">
        <v>11</v>
      </c>
      <c r="F2232" s="28" t="s">
        <v>125</v>
      </c>
      <c r="G2232" s="28" t="s">
        <v>153</v>
      </c>
      <c r="H2232" s="28" t="s">
        <v>96</v>
      </c>
      <c r="I2232" s="28" t="s">
        <v>97</v>
      </c>
      <c r="J2232" s="28" t="s">
        <v>66</v>
      </c>
      <c r="K2232" s="28" t="s">
        <v>76</v>
      </c>
      <c r="L2232" s="28" t="s">
        <v>134</v>
      </c>
      <c r="M2232" s="28" t="s">
        <v>82</v>
      </c>
      <c r="N2232" s="28" t="s">
        <v>137</v>
      </c>
      <c r="O2232" s="29" t="n">
        <v>62</v>
      </c>
      <c r="P2232" s="30" t="n">
        <v>65.26</v>
      </c>
      <c r="Q2232" s="30" t="n">
        <v>36.49</v>
      </c>
      <c r="R2232" s="30" t="n">
        <f aca="false">ROUND(O2232*P2232,2)</f>
        <v>4046.12</v>
      </c>
      <c r="S2232" s="30" t="n">
        <f aca="false">ROUND(O2232*Q2232,2)</f>
        <v>2262.38</v>
      </c>
      <c r="T2232" s="30" t="n">
        <f aca="false">ROUND(R2232*SUMIFS(Parametros!$E$23:$E$38,Parametros!$B$23:$B$38,J2232,Parametros!$C$23:$C$38,C2232,Parametros!$D$23:$D$38,D2232),2)</f>
        <v>52.6</v>
      </c>
      <c r="U2232" s="30" t="n">
        <f aca="false">R2232-S2232-T2232</f>
        <v>1731.14</v>
      </c>
    </row>
    <row r="2233" customFormat="false" ht="15" hidden="false" customHeight="false" outlineLevel="0" collapsed="false">
      <c r="A2233" s="0" t="n">
        <v>2232</v>
      </c>
      <c r="B2233" s="27" t="n">
        <v>45980</v>
      </c>
      <c r="C2233" s="0" t="n">
        <v>2025</v>
      </c>
      <c r="D2233" s="28" t="s">
        <v>122</v>
      </c>
      <c r="E2233" s="0" t="n">
        <v>11</v>
      </c>
      <c r="F2233" s="28" t="s">
        <v>125</v>
      </c>
      <c r="G2233" s="28" t="s">
        <v>153</v>
      </c>
      <c r="H2233" s="28" t="s">
        <v>96</v>
      </c>
      <c r="I2233" s="28" t="s">
        <v>97</v>
      </c>
      <c r="J2233" s="28" t="s">
        <v>71</v>
      </c>
      <c r="K2233" s="28" t="s">
        <v>76</v>
      </c>
      <c r="L2233" s="28" t="s">
        <v>134</v>
      </c>
      <c r="M2233" s="28" t="s">
        <v>82</v>
      </c>
      <c r="N2233" s="28" t="s">
        <v>137</v>
      </c>
      <c r="O2233" s="29" t="n">
        <v>55</v>
      </c>
      <c r="P2233" s="30" t="n">
        <v>65.26</v>
      </c>
      <c r="Q2233" s="30" t="n">
        <v>36.49</v>
      </c>
      <c r="R2233" s="30" t="n">
        <f aca="false">ROUND(O2233*P2233,2)</f>
        <v>3589.3</v>
      </c>
      <c r="S2233" s="30" t="n">
        <f aca="false">ROUND(O2233*Q2233,2)</f>
        <v>2006.95</v>
      </c>
      <c r="T2233" s="30" t="n">
        <f aca="false">ROUND(R2233*SUMIFS(Parametros!$E$23:$E$38,Parametros!$B$23:$B$38,J2233,Parametros!$C$23:$C$38,C2233,Parametros!$D$23:$D$38,D2233),2)</f>
        <v>186.64</v>
      </c>
      <c r="U2233" s="30" t="n">
        <f aca="false">R2233-S2233-T2233</f>
        <v>1395.71</v>
      </c>
    </row>
    <row r="2234" customFormat="false" ht="15" hidden="false" customHeight="false" outlineLevel="0" collapsed="false">
      <c r="A2234" s="0" t="n">
        <v>2233</v>
      </c>
      <c r="B2234" s="27" t="n">
        <v>45987</v>
      </c>
      <c r="C2234" s="0" t="n">
        <v>2025</v>
      </c>
      <c r="D2234" s="28" t="s">
        <v>122</v>
      </c>
      <c r="E2234" s="0" t="n">
        <v>11</v>
      </c>
      <c r="F2234" s="28" t="s">
        <v>125</v>
      </c>
      <c r="G2234" s="28" t="s">
        <v>153</v>
      </c>
      <c r="H2234" s="28" t="s">
        <v>96</v>
      </c>
      <c r="I2234" s="28" t="s">
        <v>97</v>
      </c>
      <c r="J2234" s="28" t="s">
        <v>66</v>
      </c>
      <c r="K2234" s="28" t="s">
        <v>84</v>
      </c>
      <c r="L2234" s="28" t="s">
        <v>138</v>
      </c>
      <c r="M2234" s="28" t="s">
        <v>86</v>
      </c>
      <c r="N2234" s="28" t="s">
        <v>139</v>
      </c>
      <c r="O2234" s="29" t="n">
        <v>27</v>
      </c>
      <c r="P2234" s="30" t="n">
        <v>120.47</v>
      </c>
      <c r="Q2234" s="30" t="n">
        <v>65.51</v>
      </c>
      <c r="R2234" s="30" t="n">
        <f aca="false">ROUND(O2234*P2234,2)</f>
        <v>3252.69</v>
      </c>
      <c r="S2234" s="30" t="n">
        <f aca="false">ROUND(O2234*Q2234,2)</f>
        <v>1768.77</v>
      </c>
      <c r="T2234" s="30" t="n">
        <f aca="false">ROUND(R2234*SUMIFS(Parametros!$E$23:$E$38,Parametros!$B$23:$B$38,J2234,Parametros!$C$23:$C$38,C2234,Parametros!$D$23:$D$38,D2234),2)</f>
        <v>42.28</v>
      </c>
      <c r="U2234" s="30" t="n">
        <f aca="false">R2234-S2234-T2234</f>
        <v>1441.64</v>
      </c>
    </row>
    <row r="2235" customFormat="false" ht="15" hidden="false" customHeight="false" outlineLevel="0" collapsed="false">
      <c r="A2235" s="0" t="n">
        <v>2234</v>
      </c>
      <c r="B2235" s="27" t="n">
        <v>45967</v>
      </c>
      <c r="C2235" s="0" t="n">
        <v>2025</v>
      </c>
      <c r="D2235" s="28" t="s">
        <v>122</v>
      </c>
      <c r="E2235" s="0" t="n">
        <v>11</v>
      </c>
      <c r="F2235" s="28" t="s">
        <v>125</v>
      </c>
      <c r="G2235" s="28" t="s">
        <v>153</v>
      </c>
      <c r="H2235" s="28" t="s">
        <v>96</v>
      </c>
      <c r="I2235" s="28" t="s">
        <v>97</v>
      </c>
      <c r="J2235" s="28" t="s">
        <v>71</v>
      </c>
      <c r="K2235" s="28" t="s">
        <v>84</v>
      </c>
      <c r="L2235" s="28" t="s">
        <v>138</v>
      </c>
      <c r="M2235" s="28" t="s">
        <v>86</v>
      </c>
      <c r="N2235" s="28" t="s">
        <v>139</v>
      </c>
      <c r="O2235" s="29" t="n">
        <v>19</v>
      </c>
      <c r="P2235" s="30" t="n">
        <v>120.47</v>
      </c>
      <c r="Q2235" s="30" t="n">
        <v>65.51</v>
      </c>
      <c r="R2235" s="30" t="n">
        <f aca="false">ROUND(O2235*P2235,2)</f>
        <v>2288.93</v>
      </c>
      <c r="S2235" s="30" t="n">
        <f aca="false">ROUND(O2235*Q2235,2)</f>
        <v>1244.69</v>
      </c>
      <c r="T2235" s="30" t="n">
        <f aca="false">ROUND(R2235*SUMIFS(Parametros!$E$23:$E$38,Parametros!$B$23:$B$38,J2235,Parametros!$C$23:$C$38,C2235,Parametros!$D$23:$D$38,D2235),2)</f>
        <v>119.02</v>
      </c>
      <c r="U2235" s="30" t="n">
        <f aca="false">R2235-S2235-T2235</f>
        <v>925.22</v>
      </c>
    </row>
    <row r="2236" customFormat="false" ht="15" hidden="false" customHeight="false" outlineLevel="0" collapsed="false">
      <c r="A2236" s="0" t="n">
        <v>2235</v>
      </c>
      <c r="B2236" s="27" t="n">
        <v>45974</v>
      </c>
      <c r="C2236" s="0" t="n">
        <v>2025</v>
      </c>
      <c r="D2236" s="28" t="s">
        <v>122</v>
      </c>
      <c r="E2236" s="0" t="n">
        <v>11</v>
      </c>
      <c r="F2236" s="28" t="s">
        <v>125</v>
      </c>
      <c r="G2236" s="28" t="s">
        <v>153</v>
      </c>
      <c r="H2236" s="28" t="s">
        <v>96</v>
      </c>
      <c r="I2236" s="28" t="s">
        <v>97</v>
      </c>
      <c r="J2236" s="28" t="s">
        <v>66</v>
      </c>
      <c r="K2236" s="28" t="s">
        <v>84</v>
      </c>
      <c r="L2236" s="28" t="s">
        <v>138</v>
      </c>
      <c r="M2236" s="28" t="s">
        <v>88</v>
      </c>
      <c r="N2236" s="28" t="s">
        <v>140</v>
      </c>
      <c r="O2236" s="29" t="n">
        <v>27</v>
      </c>
      <c r="P2236" s="30" t="n">
        <v>85.34</v>
      </c>
      <c r="Q2236" s="30" t="n">
        <v>49.47</v>
      </c>
      <c r="R2236" s="30" t="n">
        <f aca="false">ROUND(O2236*P2236,2)</f>
        <v>2304.18</v>
      </c>
      <c r="S2236" s="30" t="n">
        <f aca="false">ROUND(O2236*Q2236,2)</f>
        <v>1335.69</v>
      </c>
      <c r="T2236" s="30" t="n">
        <f aca="false">ROUND(R2236*SUMIFS(Parametros!$E$23:$E$38,Parametros!$B$23:$B$38,J2236,Parametros!$C$23:$C$38,C2236,Parametros!$D$23:$D$38,D2236),2)</f>
        <v>29.95</v>
      </c>
      <c r="U2236" s="30" t="n">
        <f aca="false">R2236-S2236-T2236</f>
        <v>938.54</v>
      </c>
    </row>
    <row r="2237" customFormat="false" ht="15" hidden="false" customHeight="false" outlineLevel="0" collapsed="false">
      <c r="A2237" s="0" t="n">
        <v>2236</v>
      </c>
      <c r="B2237" s="27" t="n">
        <v>45981</v>
      </c>
      <c r="C2237" s="0" t="n">
        <v>2025</v>
      </c>
      <c r="D2237" s="28" t="s">
        <v>122</v>
      </c>
      <c r="E2237" s="0" t="n">
        <v>11</v>
      </c>
      <c r="F2237" s="28" t="s">
        <v>125</v>
      </c>
      <c r="G2237" s="28" t="s">
        <v>153</v>
      </c>
      <c r="H2237" s="28" t="s">
        <v>96</v>
      </c>
      <c r="I2237" s="28" t="s">
        <v>97</v>
      </c>
      <c r="J2237" s="28" t="s">
        <v>71</v>
      </c>
      <c r="K2237" s="28" t="s">
        <v>84</v>
      </c>
      <c r="L2237" s="28" t="s">
        <v>138</v>
      </c>
      <c r="M2237" s="28" t="s">
        <v>88</v>
      </c>
      <c r="N2237" s="28" t="s">
        <v>140</v>
      </c>
      <c r="O2237" s="29" t="n">
        <v>22</v>
      </c>
      <c r="P2237" s="30" t="n">
        <v>85.34</v>
      </c>
      <c r="Q2237" s="30" t="n">
        <v>49.47</v>
      </c>
      <c r="R2237" s="30" t="n">
        <f aca="false">ROUND(O2237*P2237,2)</f>
        <v>1877.48</v>
      </c>
      <c r="S2237" s="30" t="n">
        <f aca="false">ROUND(O2237*Q2237,2)</f>
        <v>1088.34</v>
      </c>
      <c r="T2237" s="30" t="n">
        <f aca="false">ROUND(R2237*SUMIFS(Parametros!$E$23:$E$38,Parametros!$B$23:$B$38,J2237,Parametros!$C$23:$C$38,C2237,Parametros!$D$23:$D$38,D2237),2)</f>
        <v>97.63</v>
      </c>
      <c r="U2237" s="30" t="n">
        <f aca="false">R2237-S2237-T2237</f>
        <v>691.51</v>
      </c>
    </row>
    <row r="2238" customFormat="false" ht="15" hidden="false" customHeight="false" outlineLevel="0" collapsed="false">
      <c r="A2238" s="0" t="n">
        <v>2237</v>
      </c>
      <c r="B2238" s="27" t="n">
        <v>45988</v>
      </c>
      <c r="C2238" s="0" t="n">
        <v>2025</v>
      </c>
      <c r="D2238" s="28" t="s">
        <v>122</v>
      </c>
      <c r="E2238" s="0" t="n">
        <v>11</v>
      </c>
      <c r="F2238" s="28" t="s">
        <v>125</v>
      </c>
      <c r="G2238" s="28" t="s">
        <v>153</v>
      </c>
      <c r="H2238" s="28" t="s">
        <v>96</v>
      </c>
      <c r="I2238" s="28" t="s">
        <v>97</v>
      </c>
      <c r="J2238" s="28" t="s">
        <v>66</v>
      </c>
      <c r="K2238" s="28" t="s">
        <v>90</v>
      </c>
      <c r="L2238" s="28" t="s">
        <v>141</v>
      </c>
      <c r="M2238" s="28" t="s">
        <v>92</v>
      </c>
      <c r="N2238" s="28" t="s">
        <v>142</v>
      </c>
      <c r="O2238" s="29" t="n">
        <v>41</v>
      </c>
      <c r="P2238" s="30" t="n">
        <v>130.51</v>
      </c>
      <c r="Q2238" s="30" t="n">
        <v>78.33</v>
      </c>
      <c r="R2238" s="30" t="n">
        <f aca="false">ROUND(O2238*P2238,2)</f>
        <v>5350.91</v>
      </c>
      <c r="S2238" s="30" t="n">
        <f aca="false">ROUND(O2238*Q2238,2)</f>
        <v>3211.53</v>
      </c>
      <c r="T2238" s="30" t="n">
        <f aca="false">ROUND(R2238*SUMIFS(Parametros!$E$23:$E$38,Parametros!$B$23:$B$38,J2238,Parametros!$C$23:$C$38,C2238,Parametros!$D$23:$D$38,D2238),2)</f>
        <v>69.56</v>
      </c>
      <c r="U2238" s="30" t="n">
        <f aca="false">R2238-S2238-T2238</f>
        <v>2069.82</v>
      </c>
    </row>
    <row r="2239" customFormat="false" ht="15" hidden="false" customHeight="false" outlineLevel="0" collapsed="false">
      <c r="A2239" s="0" t="n">
        <v>2238</v>
      </c>
      <c r="B2239" s="27" t="n">
        <v>45968</v>
      </c>
      <c r="C2239" s="0" t="n">
        <v>2025</v>
      </c>
      <c r="D2239" s="28" t="s">
        <v>122</v>
      </c>
      <c r="E2239" s="0" t="n">
        <v>11</v>
      </c>
      <c r="F2239" s="28" t="s">
        <v>125</v>
      </c>
      <c r="G2239" s="28" t="s">
        <v>153</v>
      </c>
      <c r="H2239" s="28" t="s">
        <v>96</v>
      </c>
      <c r="I2239" s="28" t="s">
        <v>97</v>
      </c>
      <c r="J2239" s="28" t="s">
        <v>71</v>
      </c>
      <c r="K2239" s="28" t="s">
        <v>90</v>
      </c>
      <c r="L2239" s="28" t="s">
        <v>141</v>
      </c>
      <c r="M2239" s="28" t="s">
        <v>92</v>
      </c>
      <c r="N2239" s="28" t="s">
        <v>142</v>
      </c>
      <c r="O2239" s="29" t="n">
        <v>30</v>
      </c>
      <c r="P2239" s="30" t="n">
        <v>130.51</v>
      </c>
      <c r="Q2239" s="30" t="n">
        <v>78.33</v>
      </c>
      <c r="R2239" s="30" t="n">
        <f aca="false">ROUND(O2239*P2239,2)</f>
        <v>3915.3</v>
      </c>
      <c r="S2239" s="30" t="n">
        <f aca="false">ROUND(O2239*Q2239,2)</f>
        <v>2349.9</v>
      </c>
      <c r="T2239" s="30" t="n">
        <f aca="false">ROUND(R2239*SUMIFS(Parametros!$E$23:$E$38,Parametros!$B$23:$B$38,J2239,Parametros!$C$23:$C$38,C2239,Parametros!$D$23:$D$38,D2239),2)</f>
        <v>203.6</v>
      </c>
      <c r="U2239" s="30" t="n">
        <f aca="false">R2239-S2239-T2239</f>
        <v>1361.8</v>
      </c>
    </row>
    <row r="2240" customFormat="false" ht="15" hidden="false" customHeight="false" outlineLevel="0" collapsed="false">
      <c r="A2240" s="0" t="n">
        <v>2239</v>
      </c>
      <c r="B2240" s="27" t="n">
        <v>45975</v>
      </c>
      <c r="C2240" s="0" t="n">
        <v>2025</v>
      </c>
      <c r="D2240" s="28" t="s">
        <v>122</v>
      </c>
      <c r="E2240" s="0" t="n">
        <v>11</v>
      </c>
      <c r="F2240" s="28" t="s">
        <v>125</v>
      </c>
      <c r="G2240" s="28" t="s">
        <v>153</v>
      </c>
      <c r="H2240" s="28" t="s">
        <v>96</v>
      </c>
      <c r="I2240" s="28" t="s">
        <v>97</v>
      </c>
      <c r="J2240" s="28" t="s">
        <v>66</v>
      </c>
      <c r="K2240" s="28" t="s">
        <v>90</v>
      </c>
      <c r="L2240" s="28" t="s">
        <v>141</v>
      </c>
      <c r="M2240" s="28" t="s">
        <v>94</v>
      </c>
      <c r="N2240" s="28" t="s">
        <v>143</v>
      </c>
      <c r="O2240" s="29" t="n">
        <v>36</v>
      </c>
      <c r="P2240" s="30" t="n">
        <v>35.14</v>
      </c>
      <c r="Q2240" s="30" t="n">
        <v>18.39</v>
      </c>
      <c r="R2240" s="30" t="n">
        <f aca="false">ROUND(O2240*P2240,2)</f>
        <v>1265.04</v>
      </c>
      <c r="S2240" s="30" t="n">
        <f aca="false">ROUND(O2240*Q2240,2)</f>
        <v>662.04</v>
      </c>
      <c r="T2240" s="30" t="n">
        <f aca="false">ROUND(R2240*SUMIFS(Parametros!$E$23:$E$38,Parametros!$B$23:$B$38,J2240,Parametros!$C$23:$C$38,C2240,Parametros!$D$23:$D$38,D2240),2)</f>
        <v>16.45</v>
      </c>
      <c r="U2240" s="30" t="n">
        <f aca="false">R2240-S2240-T2240</f>
        <v>586.55</v>
      </c>
    </row>
    <row r="2241" customFormat="false" ht="15" hidden="false" customHeight="false" outlineLevel="0" collapsed="false">
      <c r="A2241" s="0" t="n">
        <v>2240</v>
      </c>
      <c r="B2241" s="27" t="n">
        <v>45982</v>
      </c>
      <c r="C2241" s="0" t="n">
        <v>2025</v>
      </c>
      <c r="D2241" s="28" t="s">
        <v>122</v>
      </c>
      <c r="E2241" s="0" t="n">
        <v>11</v>
      </c>
      <c r="F2241" s="28" t="s">
        <v>125</v>
      </c>
      <c r="G2241" s="28" t="s">
        <v>153</v>
      </c>
      <c r="H2241" s="28" t="s">
        <v>96</v>
      </c>
      <c r="I2241" s="28" t="s">
        <v>97</v>
      </c>
      <c r="J2241" s="28" t="s">
        <v>71</v>
      </c>
      <c r="K2241" s="28" t="s">
        <v>90</v>
      </c>
      <c r="L2241" s="28" t="s">
        <v>141</v>
      </c>
      <c r="M2241" s="28" t="s">
        <v>94</v>
      </c>
      <c r="N2241" s="28" t="s">
        <v>143</v>
      </c>
      <c r="O2241" s="29" t="n">
        <v>24</v>
      </c>
      <c r="P2241" s="30" t="n">
        <v>35.14</v>
      </c>
      <c r="Q2241" s="30" t="n">
        <v>18.39</v>
      </c>
      <c r="R2241" s="30" t="n">
        <f aca="false">ROUND(O2241*P2241,2)</f>
        <v>843.36</v>
      </c>
      <c r="S2241" s="30" t="n">
        <f aca="false">ROUND(O2241*Q2241,2)</f>
        <v>441.36</v>
      </c>
      <c r="T2241" s="30" t="n">
        <f aca="false">ROUND(R2241*SUMIFS(Parametros!$E$23:$E$38,Parametros!$B$23:$B$38,J2241,Parametros!$C$23:$C$38,C2241,Parametros!$D$23:$D$38,D2241),2)</f>
        <v>43.85</v>
      </c>
      <c r="U2241" s="30" t="n">
        <f aca="false">R2241-S2241-T2241</f>
        <v>358.15</v>
      </c>
    </row>
    <row r="2242" customFormat="false" ht="15" hidden="false" customHeight="false" outlineLevel="0" collapsed="false">
      <c r="A2242" s="0" t="n">
        <v>2241</v>
      </c>
      <c r="B2242" s="27" t="n">
        <v>45962</v>
      </c>
      <c r="C2242" s="0" t="n">
        <v>2025</v>
      </c>
      <c r="D2242" s="28" t="s">
        <v>122</v>
      </c>
      <c r="E2242" s="0" t="n">
        <v>11</v>
      </c>
      <c r="F2242" s="28" t="s">
        <v>125</v>
      </c>
      <c r="G2242" s="28" t="s">
        <v>153</v>
      </c>
      <c r="H2242" s="28" t="s">
        <v>98</v>
      </c>
      <c r="I2242" s="28" t="s">
        <v>99</v>
      </c>
      <c r="J2242" s="28" t="s">
        <v>66</v>
      </c>
      <c r="K2242" s="28" t="s">
        <v>67</v>
      </c>
      <c r="L2242" s="28" t="s">
        <v>130</v>
      </c>
      <c r="M2242" s="28" t="s">
        <v>69</v>
      </c>
      <c r="N2242" s="28" t="s">
        <v>131</v>
      </c>
      <c r="O2242" s="29" t="n">
        <v>9</v>
      </c>
      <c r="P2242" s="30" t="n">
        <v>1204.74</v>
      </c>
      <c r="Q2242" s="30" t="n">
        <v>766.32</v>
      </c>
      <c r="R2242" s="30" t="n">
        <f aca="false">ROUND(O2242*P2242,2)</f>
        <v>10842.66</v>
      </c>
      <c r="S2242" s="30" t="n">
        <f aca="false">ROUND(O2242*Q2242,2)</f>
        <v>6896.88</v>
      </c>
      <c r="T2242" s="30" t="n">
        <f aca="false">ROUND(R2242*SUMIFS(Parametros!$E$23:$E$38,Parametros!$B$23:$B$38,J2242,Parametros!$C$23:$C$38,C2242,Parametros!$D$23:$D$38,D2242),2)</f>
        <v>140.95</v>
      </c>
      <c r="U2242" s="30" t="n">
        <f aca="false">R2242-S2242-T2242</f>
        <v>3804.83</v>
      </c>
    </row>
    <row r="2243" customFormat="false" ht="15" hidden="false" customHeight="false" outlineLevel="0" collapsed="false">
      <c r="A2243" s="0" t="n">
        <v>2242</v>
      </c>
      <c r="B2243" s="27" t="n">
        <v>45969</v>
      </c>
      <c r="C2243" s="0" t="n">
        <v>2025</v>
      </c>
      <c r="D2243" s="28" t="s">
        <v>122</v>
      </c>
      <c r="E2243" s="0" t="n">
        <v>11</v>
      </c>
      <c r="F2243" s="28" t="s">
        <v>125</v>
      </c>
      <c r="G2243" s="28" t="s">
        <v>153</v>
      </c>
      <c r="H2243" s="28" t="s">
        <v>98</v>
      </c>
      <c r="I2243" s="28" t="s">
        <v>99</v>
      </c>
      <c r="J2243" s="28" t="s">
        <v>71</v>
      </c>
      <c r="K2243" s="28" t="s">
        <v>67</v>
      </c>
      <c r="L2243" s="28" t="s">
        <v>130</v>
      </c>
      <c r="M2243" s="28" t="s">
        <v>69</v>
      </c>
      <c r="N2243" s="28" t="s">
        <v>131</v>
      </c>
      <c r="O2243" s="29" t="n">
        <v>7</v>
      </c>
      <c r="P2243" s="30" t="n">
        <v>1204.74</v>
      </c>
      <c r="Q2243" s="30" t="n">
        <v>766.32</v>
      </c>
      <c r="R2243" s="30" t="n">
        <f aca="false">ROUND(O2243*P2243,2)</f>
        <v>8433.18</v>
      </c>
      <c r="S2243" s="30" t="n">
        <f aca="false">ROUND(O2243*Q2243,2)</f>
        <v>5364.24</v>
      </c>
      <c r="T2243" s="30" t="n">
        <f aca="false">ROUND(R2243*SUMIFS(Parametros!$E$23:$E$38,Parametros!$B$23:$B$38,J2243,Parametros!$C$23:$C$38,C2243,Parametros!$D$23:$D$38,D2243),2)</f>
        <v>438.53</v>
      </c>
      <c r="U2243" s="30" t="n">
        <f aca="false">R2243-S2243-T2243</f>
        <v>2630.41</v>
      </c>
    </row>
    <row r="2244" customFormat="false" ht="15" hidden="false" customHeight="false" outlineLevel="0" collapsed="false">
      <c r="A2244" s="0" t="n">
        <v>2243</v>
      </c>
      <c r="B2244" s="27" t="n">
        <v>45976</v>
      </c>
      <c r="C2244" s="0" t="n">
        <v>2025</v>
      </c>
      <c r="D2244" s="28" t="s">
        <v>122</v>
      </c>
      <c r="E2244" s="0" t="n">
        <v>11</v>
      </c>
      <c r="F2244" s="28" t="s">
        <v>125</v>
      </c>
      <c r="G2244" s="28" t="s">
        <v>153</v>
      </c>
      <c r="H2244" s="28" t="s">
        <v>98</v>
      </c>
      <c r="I2244" s="28" t="s">
        <v>99</v>
      </c>
      <c r="J2244" s="28" t="s">
        <v>66</v>
      </c>
      <c r="K2244" s="28" t="s">
        <v>67</v>
      </c>
      <c r="L2244" s="28" t="s">
        <v>130</v>
      </c>
      <c r="M2244" s="28" t="s">
        <v>72</v>
      </c>
      <c r="N2244" s="28" t="s">
        <v>132</v>
      </c>
      <c r="O2244" s="29" t="n">
        <v>11</v>
      </c>
      <c r="P2244" s="30" t="n">
        <v>451.78</v>
      </c>
      <c r="Q2244" s="30" t="n">
        <v>280.42</v>
      </c>
      <c r="R2244" s="30" t="n">
        <f aca="false">ROUND(O2244*P2244,2)</f>
        <v>4969.58</v>
      </c>
      <c r="S2244" s="30" t="n">
        <f aca="false">ROUND(O2244*Q2244,2)</f>
        <v>3084.62</v>
      </c>
      <c r="T2244" s="30" t="n">
        <f aca="false">ROUND(R2244*SUMIFS(Parametros!$E$23:$E$38,Parametros!$B$23:$B$38,J2244,Parametros!$C$23:$C$38,C2244,Parametros!$D$23:$D$38,D2244),2)</f>
        <v>64.6</v>
      </c>
      <c r="U2244" s="30" t="n">
        <f aca="false">R2244-S2244-T2244</f>
        <v>1820.36</v>
      </c>
    </row>
    <row r="2245" customFormat="false" ht="15" hidden="false" customHeight="false" outlineLevel="0" collapsed="false">
      <c r="A2245" s="0" t="n">
        <v>2244</v>
      </c>
      <c r="B2245" s="27" t="n">
        <v>45983</v>
      </c>
      <c r="C2245" s="0" t="n">
        <v>2025</v>
      </c>
      <c r="D2245" s="28" t="s">
        <v>122</v>
      </c>
      <c r="E2245" s="0" t="n">
        <v>11</v>
      </c>
      <c r="F2245" s="28" t="s">
        <v>125</v>
      </c>
      <c r="G2245" s="28" t="s">
        <v>153</v>
      </c>
      <c r="H2245" s="28" t="s">
        <v>98</v>
      </c>
      <c r="I2245" s="28" t="s">
        <v>99</v>
      </c>
      <c r="J2245" s="28" t="s">
        <v>71</v>
      </c>
      <c r="K2245" s="28" t="s">
        <v>67</v>
      </c>
      <c r="L2245" s="28" t="s">
        <v>130</v>
      </c>
      <c r="M2245" s="28" t="s">
        <v>72</v>
      </c>
      <c r="N2245" s="28" t="s">
        <v>132</v>
      </c>
      <c r="O2245" s="29" t="n">
        <v>8</v>
      </c>
      <c r="P2245" s="30" t="n">
        <v>451.78</v>
      </c>
      <c r="Q2245" s="30" t="n">
        <v>280.42</v>
      </c>
      <c r="R2245" s="30" t="n">
        <f aca="false">ROUND(O2245*P2245,2)</f>
        <v>3614.24</v>
      </c>
      <c r="S2245" s="30" t="n">
        <f aca="false">ROUND(O2245*Q2245,2)</f>
        <v>2243.36</v>
      </c>
      <c r="T2245" s="30" t="n">
        <f aca="false">ROUND(R2245*SUMIFS(Parametros!$E$23:$E$38,Parametros!$B$23:$B$38,J2245,Parametros!$C$23:$C$38,C2245,Parametros!$D$23:$D$38,D2245),2)</f>
        <v>187.94</v>
      </c>
      <c r="U2245" s="30" t="n">
        <f aca="false">R2245-S2245-T2245</f>
        <v>1182.94</v>
      </c>
    </row>
    <row r="2246" customFormat="false" ht="15" hidden="false" customHeight="false" outlineLevel="0" collapsed="false">
      <c r="A2246" s="0" t="n">
        <v>2245</v>
      </c>
      <c r="B2246" s="27" t="n">
        <v>45963</v>
      </c>
      <c r="C2246" s="0" t="n">
        <v>2025</v>
      </c>
      <c r="D2246" s="28" t="s">
        <v>122</v>
      </c>
      <c r="E2246" s="0" t="n">
        <v>11</v>
      </c>
      <c r="F2246" s="28" t="s">
        <v>125</v>
      </c>
      <c r="G2246" s="28" t="s">
        <v>153</v>
      </c>
      <c r="H2246" s="28" t="s">
        <v>98</v>
      </c>
      <c r="I2246" s="28" t="s">
        <v>99</v>
      </c>
      <c r="J2246" s="28" t="s">
        <v>66</v>
      </c>
      <c r="K2246" s="28" t="s">
        <v>67</v>
      </c>
      <c r="L2246" s="28" t="s">
        <v>130</v>
      </c>
      <c r="M2246" s="28" t="s">
        <v>74</v>
      </c>
      <c r="N2246" s="28" t="s">
        <v>133</v>
      </c>
      <c r="O2246" s="29" t="n">
        <v>11</v>
      </c>
      <c r="P2246" s="30" t="n">
        <v>1656.52</v>
      </c>
      <c r="Q2246" s="30" t="n">
        <v>1155.66</v>
      </c>
      <c r="R2246" s="30" t="n">
        <f aca="false">ROUND(O2246*P2246,2)</f>
        <v>18221.72</v>
      </c>
      <c r="S2246" s="30" t="n">
        <f aca="false">ROUND(O2246*Q2246,2)</f>
        <v>12712.26</v>
      </c>
      <c r="T2246" s="30" t="n">
        <f aca="false">ROUND(R2246*SUMIFS(Parametros!$E$23:$E$38,Parametros!$B$23:$B$38,J2246,Parametros!$C$23:$C$38,C2246,Parametros!$D$23:$D$38,D2246),2)</f>
        <v>236.88</v>
      </c>
      <c r="U2246" s="30" t="n">
        <f aca="false">R2246-S2246-T2246</f>
        <v>5272.58</v>
      </c>
    </row>
    <row r="2247" customFormat="false" ht="15" hidden="false" customHeight="false" outlineLevel="0" collapsed="false">
      <c r="A2247" s="0" t="n">
        <v>2246</v>
      </c>
      <c r="B2247" s="27" t="n">
        <v>45970</v>
      </c>
      <c r="C2247" s="0" t="n">
        <v>2025</v>
      </c>
      <c r="D2247" s="28" t="s">
        <v>122</v>
      </c>
      <c r="E2247" s="0" t="n">
        <v>11</v>
      </c>
      <c r="F2247" s="28" t="s">
        <v>125</v>
      </c>
      <c r="G2247" s="28" t="s">
        <v>153</v>
      </c>
      <c r="H2247" s="28" t="s">
        <v>98</v>
      </c>
      <c r="I2247" s="28" t="s">
        <v>99</v>
      </c>
      <c r="J2247" s="28" t="s">
        <v>71</v>
      </c>
      <c r="K2247" s="28" t="s">
        <v>67</v>
      </c>
      <c r="L2247" s="28" t="s">
        <v>130</v>
      </c>
      <c r="M2247" s="28" t="s">
        <v>74</v>
      </c>
      <c r="N2247" s="28" t="s">
        <v>133</v>
      </c>
      <c r="O2247" s="29" t="n">
        <v>6</v>
      </c>
      <c r="P2247" s="30" t="n">
        <v>1656.52</v>
      </c>
      <c r="Q2247" s="30" t="n">
        <v>1155.66</v>
      </c>
      <c r="R2247" s="30" t="n">
        <f aca="false">ROUND(O2247*P2247,2)</f>
        <v>9939.12</v>
      </c>
      <c r="S2247" s="30" t="n">
        <f aca="false">ROUND(O2247*Q2247,2)</f>
        <v>6933.96</v>
      </c>
      <c r="T2247" s="30" t="n">
        <f aca="false">ROUND(R2247*SUMIFS(Parametros!$E$23:$E$38,Parametros!$B$23:$B$38,J2247,Parametros!$C$23:$C$38,C2247,Parametros!$D$23:$D$38,D2247),2)</f>
        <v>516.83</v>
      </c>
      <c r="U2247" s="30" t="n">
        <f aca="false">R2247-S2247-T2247</f>
        <v>2488.33</v>
      </c>
    </row>
    <row r="2248" customFormat="false" ht="15" hidden="false" customHeight="false" outlineLevel="0" collapsed="false">
      <c r="A2248" s="0" t="n">
        <v>2247</v>
      </c>
      <c r="B2248" s="27" t="n">
        <v>45977</v>
      </c>
      <c r="C2248" s="0" t="n">
        <v>2025</v>
      </c>
      <c r="D2248" s="28" t="s">
        <v>122</v>
      </c>
      <c r="E2248" s="0" t="n">
        <v>11</v>
      </c>
      <c r="F2248" s="28" t="s">
        <v>125</v>
      </c>
      <c r="G2248" s="28" t="s">
        <v>153</v>
      </c>
      <c r="H2248" s="28" t="s">
        <v>98</v>
      </c>
      <c r="I2248" s="28" t="s">
        <v>99</v>
      </c>
      <c r="J2248" s="28" t="s">
        <v>66</v>
      </c>
      <c r="K2248" s="28" t="s">
        <v>76</v>
      </c>
      <c r="L2248" s="28" t="s">
        <v>134</v>
      </c>
      <c r="M2248" s="28" t="s">
        <v>78</v>
      </c>
      <c r="N2248" s="28" t="s">
        <v>135</v>
      </c>
      <c r="O2248" s="29" t="n">
        <v>42</v>
      </c>
      <c r="P2248" s="30" t="n">
        <v>28.11</v>
      </c>
      <c r="Q2248" s="30" t="n">
        <v>13.84</v>
      </c>
      <c r="R2248" s="30" t="n">
        <f aca="false">ROUND(O2248*P2248,2)</f>
        <v>1180.62</v>
      </c>
      <c r="S2248" s="30" t="n">
        <f aca="false">ROUND(O2248*Q2248,2)</f>
        <v>581.28</v>
      </c>
      <c r="T2248" s="30" t="n">
        <f aca="false">ROUND(R2248*SUMIFS(Parametros!$E$23:$E$38,Parametros!$B$23:$B$38,J2248,Parametros!$C$23:$C$38,C2248,Parametros!$D$23:$D$38,D2248),2)</f>
        <v>15.35</v>
      </c>
      <c r="U2248" s="30" t="n">
        <f aca="false">R2248-S2248-T2248</f>
        <v>583.99</v>
      </c>
    </row>
    <row r="2249" customFormat="false" ht="15" hidden="false" customHeight="false" outlineLevel="0" collapsed="false">
      <c r="A2249" s="0" t="n">
        <v>2248</v>
      </c>
      <c r="B2249" s="27" t="n">
        <v>45984</v>
      </c>
      <c r="C2249" s="0" t="n">
        <v>2025</v>
      </c>
      <c r="D2249" s="28" t="s">
        <v>122</v>
      </c>
      <c r="E2249" s="0" t="n">
        <v>11</v>
      </c>
      <c r="F2249" s="28" t="s">
        <v>125</v>
      </c>
      <c r="G2249" s="28" t="s">
        <v>153</v>
      </c>
      <c r="H2249" s="28" t="s">
        <v>98</v>
      </c>
      <c r="I2249" s="28" t="s">
        <v>99</v>
      </c>
      <c r="J2249" s="28" t="s">
        <v>71</v>
      </c>
      <c r="K2249" s="28" t="s">
        <v>76</v>
      </c>
      <c r="L2249" s="28" t="s">
        <v>134</v>
      </c>
      <c r="M2249" s="28" t="s">
        <v>78</v>
      </c>
      <c r="N2249" s="28" t="s">
        <v>135</v>
      </c>
      <c r="O2249" s="29" t="n">
        <v>30</v>
      </c>
      <c r="P2249" s="30" t="n">
        <v>28.11</v>
      </c>
      <c r="Q2249" s="30" t="n">
        <v>13.84</v>
      </c>
      <c r="R2249" s="30" t="n">
        <f aca="false">ROUND(O2249*P2249,2)</f>
        <v>843.3</v>
      </c>
      <c r="S2249" s="30" t="n">
        <f aca="false">ROUND(O2249*Q2249,2)</f>
        <v>415.2</v>
      </c>
      <c r="T2249" s="30" t="n">
        <f aca="false">ROUND(R2249*SUMIFS(Parametros!$E$23:$E$38,Parametros!$B$23:$B$38,J2249,Parametros!$C$23:$C$38,C2249,Parametros!$D$23:$D$38,D2249),2)</f>
        <v>43.85</v>
      </c>
      <c r="U2249" s="30" t="n">
        <f aca="false">R2249-S2249-T2249</f>
        <v>384.25</v>
      </c>
    </row>
    <row r="2250" customFormat="false" ht="15" hidden="false" customHeight="false" outlineLevel="0" collapsed="false">
      <c r="A2250" s="0" t="n">
        <v>2249</v>
      </c>
      <c r="B2250" s="27" t="n">
        <v>45964</v>
      </c>
      <c r="C2250" s="0" t="n">
        <v>2025</v>
      </c>
      <c r="D2250" s="28" t="s">
        <v>122</v>
      </c>
      <c r="E2250" s="0" t="n">
        <v>11</v>
      </c>
      <c r="F2250" s="28" t="s">
        <v>125</v>
      </c>
      <c r="G2250" s="28" t="s">
        <v>153</v>
      </c>
      <c r="H2250" s="28" t="s">
        <v>98</v>
      </c>
      <c r="I2250" s="28" t="s">
        <v>99</v>
      </c>
      <c r="J2250" s="28" t="s">
        <v>66</v>
      </c>
      <c r="K2250" s="28" t="s">
        <v>76</v>
      </c>
      <c r="L2250" s="28" t="s">
        <v>134</v>
      </c>
      <c r="M2250" s="28" t="s">
        <v>80</v>
      </c>
      <c r="N2250" s="28" t="s">
        <v>136</v>
      </c>
      <c r="O2250" s="29" t="n">
        <v>45</v>
      </c>
      <c r="P2250" s="30" t="n">
        <v>95.38</v>
      </c>
      <c r="Q2250" s="30" t="n">
        <v>49.41</v>
      </c>
      <c r="R2250" s="30" t="n">
        <f aca="false">ROUND(O2250*P2250,2)</f>
        <v>4292.1</v>
      </c>
      <c r="S2250" s="30" t="n">
        <f aca="false">ROUND(O2250*Q2250,2)</f>
        <v>2223.45</v>
      </c>
      <c r="T2250" s="30" t="n">
        <f aca="false">ROUND(R2250*SUMIFS(Parametros!$E$23:$E$38,Parametros!$B$23:$B$38,J2250,Parametros!$C$23:$C$38,C2250,Parametros!$D$23:$D$38,D2250),2)</f>
        <v>55.8</v>
      </c>
      <c r="U2250" s="30" t="n">
        <f aca="false">R2250-S2250-T2250</f>
        <v>2012.85</v>
      </c>
    </row>
    <row r="2251" customFormat="false" ht="15" hidden="false" customHeight="false" outlineLevel="0" collapsed="false">
      <c r="A2251" s="0" t="n">
        <v>2250</v>
      </c>
      <c r="B2251" s="27" t="n">
        <v>45971</v>
      </c>
      <c r="C2251" s="0" t="n">
        <v>2025</v>
      </c>
      <c r="D2251" s="28" t="s">
        <v>122</v>
      </c>
      <c r="E2251" s="0" t="n">
        <v>11</v>
      </c>
      <c r="F2251" s="28" t="s">
        <v>125</v>
      </c>
      <c r="G2251" s="28" t="s">
        <v>153</v>
      </c>
      <c r="H2251" s="28" t="s">
        <v>98</v>
      </c>
      <c r="I2251" s="28" t="s">
        <v>99</v>
      </c>
      <c r="J2251" s="28" t="s">
        <v>71</v>
      </c>
      <c r="K2251" s="28" t="s">
        <v>76</v>
      </c>
      <c r="L2251" s="28" t="s">
        <v>134</v>
      </c>
      <c r="M2251" s="28" t="s">
        <v>80</v>
      </c>
      <c r="N2251" s="28" t="s">
        <v>136</v>
      </c>
      <c r="O2251" s="29" t="n">
        <v>31</v>
      </c>
      <c r="P2251" s="30" t="n">
        <v>95.38</v>
      </c>
      <c r="Q2251" s="30" t="n">
        <v>49.41</v>
      </c>
      <c r="R2251" s="30" t="n">
        <f aca="false">ROUND(O2251*P2251,2)</f>
        <v>2956.78</v>
      </c>
      <c r="S2251" s="30" t="n">
        <f aca="false">ROUND(O2251*Q2251,2)</f>
        <v>1531.71</v>
      </c>
      <c r="T2251" s="30" t="n">
        <f aca="false">ROUND(R2251*SUMIFS(Parametros!$E$23:$E$38,Parametros!$B$23:$B$38,J2251,Parametros!$C$23:$C$38,C2251,Parametros!$D$23:$D$38,D2251),2)</f>
        <v>153.75</v>
      </c>
      <c r="U2251" s="30" t="n">
        <f aca="false">R2251-S2251-T2251</f>
        <v>1271.32</v>
      </c>
    </row>
    <row r="2252" customFormat="false" ht="15" hidden="false" customHeight="false" outlineLevel="0" collapsed="false">
      <c r="A2252" s="0" t="n">
        <v>2251</v>
      </c>
      <c r="B2252" s="27" t="n">
        <v>45978</v>
      </c>
      <c r="C2252" s="0" t="n">
        <v>2025</v>
      </c>
      <c r="D2252" s="28" t="s">
        <v>122</v>
      </c>
      <c r="E2252" s="0" t="n">
        <v>11</v>
      </c>
      <c r="F2252" s="28" t="s">
        <v>125</v>
      </c>
      <c r="G2252" s="28" t="s">
        <v>153</v>
      </c>
      <c r="H2252" s="28" t="s">
        <v>98</v>
      </c>
      <c r="I2252" s="28" t="s">
        <v>99</v>
      </c>
      <c r="J2252" s="28" t="s">
        <v>66</v>
      </c>
      <c r="K2252" s="28" t="s">
        <v>76</v>
      </c>
      <c r="L2252" s="28" t="s">
        <v>134</v>
      </c>
      <c r="M2252" s="28" t="s">
        <v>82</v>
      </c>
      <c r="N2252" s="28" t="s">
        <v>137</v>
      </c>
      <c r="O2252" s="29" t="n">
        <v>51</v>
      </c>
      <c r="P2252" s="30" t="n">
        <v>65.26</v>
      </c>
      <c r="Q2252" s="30" t="n">
        <v>36.49</v>
      </c>
      <c r="R2252" s="30" t="n">
        <f aca="false">ROUND(O2252*P2252,2)</f>
        <v>3328.26</v>
      </c>
      <c r="S2252" s="30" t="n">
        <f aca="false">ROUND(O2252*Q2252,2)</f>
        <v>1860.99</v>
      </c>
      <c r="T2252" s="30" t="n">
        <f aca="false">ROUND(R2252*SUMIFS(Parametros!$E$23:$E$38,Parametros!$B$23:$B$38,J2252,Parametros!$C$23:$C$38,C2252,Parametros!$D$23:$D$38,D2252),2)</f>
        <v>43.27</v>
      </c>
      <c r="U2252" s="30" t="n">
        <f aca="false">R2252-S2252-T2252</f>
        <v>1424</v>
      </c>
    </row>
    <row r="2253" customFormat="false" ht="15" hidden="false" customHeight="false" outlineLevel="0" collapsed="false">
      <c r="A2253" s="0" t="n">
        <v>2252</v>
      </c>
      <c r="B2253" s="27" t="n">
        <v>45985</v>
      </c>
      <c r="C2253" s="0" t="n">
        <v>2025</v>
      </c>
      <c r="D2253" s="28" t="s">
        <v>122</v>
      </c>
      <c r="E2253" s="0" t="n">
        <v>11</v>
      </c>
      <c r="F2253" s="28" t="s">
        <v>125</v>
      </c>
      <c r="G2253" s="28" t="s">
        <v>153</v>
      </c>
      <c r="H2253" s="28" t="s">
        <v>98</v>
      </c>
      <c r="I2253" s="28" t="s">
        <v>99</v>
      </c>
      <c r="J2253" s="28" t="s">
        <v>71</v>
      </c>
      <c r="K2253" s="28" t="s">
        <v>76</v>
      </c>
      <c r="L2253" s="28" t="s">
        <v>134</v>
      </c>
      <c r="M2253" s="28" t="s">
        <v>82</v>
      </c>
      <c r="N2253" s="28" t="s">
        <v>137</v>
      </c>
      <c r="O2253" s="29" t="n">
        <v>40</v>
      </c>
      <c r="P2253" s="30" t="n">
        <v>65.26</v>
      </c>
      <c r="Q2253" s="30" t="n">
        <v>36.49</v>
      </c>
      <c r="R2253" s="30" t="n">
        <f aca="false">ROUND(O2253*P2253,2)</f>
        <v>2610.4</v>
      </c>
      <c r="S2253" s="30" t="n">
        <f aca="false">ROUND(O2253*Q2253,2)</f>
        <v>1459.6</v>
      </c>
      <c r="T2253" s="30" t="n">
        <f aca="false">ROUND(R2253*SUMIFS(Parametros!$E$23:$E$38,Parametros!$B$23:$B$38,J2253,Parametros!$C$23:$C$38,C2253,Parametros!$D$23:$D$38,D2253),2)</f>
        <v>135.74</v>
      </c>
      <c r="U2253" s="30" t="n">
        <f aca="false">R2253-S2253-T2253</f>
        <v>1015.06</v>
      </c>
    </row>
    <row r="2254" customFormat="false" ht="15" hidden="false" customHeight="false" outlineLevel="0" collapsed="false">
      <c r="A2254" s="0" t="n">
        <v>2253</v>
      </c>
      <c r="B2254" s="27" t="n">
        <v>45965</v>
      </c>
      <c r="C2254" s="0" t="n">
        <v>2025</v>
      </c>
      <c r="D2254" s="28" t="s">
        <v>122</v>
      </c>
      <c r="E2254" s="0" t="n">
        <v>11</v>
      </c>
      <c r="F2254" s="28" t="s">
        <v>125</v>
      </c>
      <c r="G2254" s="28" t="s">
        <v>153</v>
      </c>
      <c r="H2254" s="28" t="s">
        <v>98</v>
      </c>
      <c r="I2254" s="28" t="s">
        <v>99</v>
      </c>
      <c r="J2254" s="28" t="s">
        <v>66</v>
      </c>
      <c r="K2254" s="28" t="s">
        <v>84</v>
      </c>
      <c r="L2254" s="28" t="s">
        <v>138</v>
      </c>
      <c r="M2254" s="28" t="s">
        <v>86</v>
      </c>
      <c r="N2254" s="28" t="s">
        <v>139</v>
      </c>
      <c r="O2254" s="29" t="n">
        <v>22</v>
      </c>
      <c r="P2254" s="30" t="n">
        <v>120.47</v>
      </c>
      <c r="Q2254" s="30" t="n">
        <v>65.51</v>
      </c>
      <c r="R2254" s="30" t="n">
        <f aca="false">ROUND(O2254*P2254,2)</f>
        <v>2650.34</v>
      </c>
      <c r="S2254" s="30" t="n">
        <f aca="false">ROUND(O2254*Q2254,2)</f>
        <v>1441.22</v>
      </c>
      <c r="T2254" s="30" t="n">
        <f aca="false">ROUND(R2254*SUMIFS(Parametros!$E$23:$E$38,Parametros!$B$23:$B$38,J2254,Parametros!$C$23:$C$38,C2254,Parametros!$D$23:$D$38,D2254),2)</f>
        <v>34.45</v>
      </c>
      <c r="U2254" s="30" t="n">
        <f aca="false">R2254-S2254-T2254</f>
        <v>1174.67</v>
      </c>
    </row>
    <row r="2255" customFormat="false" ht="15" hidden="false" customHeight="false" outlineLevel="0" collapsed="false">
      <c r="A2255" s="0" t="n">
        <v>2254</v>
      </c>
      <c r="B2255" s="27" t="n">
        <v>45972</v>
      </c>
      <c r="C2255" s="0" t="n">
        <v>2025</v>
      </c>
      <c r="D2255" s="28" t="s">
        <v>122</v>
      </c>
      <c r="E2255" s="0" t="n">
        <v>11</v>
      </c>
      <c r="F2255" s="28" t="s">
        <v>125</v>
      </c>
      <c r="G2255" s="28" t="s">
        <v>153</v>
      </c>
      <c r="H2255" s="28" t="s">
        <v>98</v>
      </c>
      <c r="I2255" s="28" t="s">
        <v>99</v>
      </c>
      <c r="J2255" s="28" t="s">
        <v>71</v>
      </c>
      <c r="K2255" s="28" t="s">
        <v>84</v>
      </c>
      <c r="L2255" s="28" t="s">
        <v>138</v>
      </c>
      <c r="M2255" s="28" t="s">
        <v>86</v>
      </c>
      <c r="N2255" s="28" t="s">
        <v>139</v>
      </c>
      <c r="O2255" s="29" t="n">
        <v>13</v>
      </c>
      <c r="P2255" s="30" t="n">
        <v>120.47</v>
      </c>
      <c r="Q2255" s="30" t="n">
        <v>65.51</v>
      </c>
      <c r="R2255" s="30" t="n">
        <f aca="false">ROUND(O2255*P2255,2)</f>
        <v>1566.11</v>
      </c>
      <c r="S2255" s="30" t="n">
        <f aca="false">ROUND(O2255*Q2255,2)</f>
        <v>851.63</v>
      </c>
      <c r="T2255" s="30" t="n">
        <f aca="false">ROUND(R2255*SUMIFS(Parametros!$E$23:$E$38,Parametros!$B$23:$B$38,J2255,Parametros!$C$23:$C$38,C2255,Parametros!$D$23:$D$38,D2255),2)</f>
        <v>81.44</v>
      </c>
      <c r="U2255" s="30" t="n">
        <f aca="false">R2255-S2255-T2255</f>
        <v>633.04</v>
      </c>
    </row>
    <row r="2256" customFormat="false" ht="15" hidden="false" customHeight="false" outlineLevel="0" collapsed="false">
      <c r="A2256" s="0" t="n">
        <v>2255</v>
      </c>
      <c r="B2256" s="27" t="n">
        <v>45979</v>
      </c>
      <c r="C2256" s="0" t="n">
        <v>2025</v>
      </c>
      <c r="D2256" s="28" t="s">
        <v>122</v>
      </c>
      <c r="E2256" s="0" t="n">
        <v>11</v>
      </c>
      <c r="F2256" s="28" t="s">
        <v>125</v>
      </c>
      <c r="G2256" s="28" t="s">
        <v>153</v>
      </c>
      <c r="H2256" s="28" t="s">
        <v>98</v>
      </c>
      <c r="I2256" s="28" t="s">
        <v>99</v>
      </c>
      <c r="J2256" s="28" t="s">
        <v>66</v>
      </c>
      <c r="K2256" s="28" t="s">
        <v>84</v>
      </c>
      <c r="L2256" s="28" t="s">
        <v>138</v>
      </c>
      <c r="M2256" s="28" t="s">
        <v>88</v>
      </c>
      <c r="N2256" s="28" t="s">
        <v>140</v>
      </c>
      <c r="O2256" s="29" t="n">
        <v>21</v>
      </c>
      <c r="P2256" s="30" t="n">
        <v>85.34</v>
      </c>
      <c r="Q2256" s="30" t="n">
        <v>49.47</v>
      </c>
      <c r="R2256" s="30" t="n">
        <f aca="false">ROUND(O2256*P2256,2)</f>
        <v>1792.14</v>
      </c>
      <c r="S2256" s="30" t="n">
        <f aca="false">ROUND(O2256*Q2256,2)</f>
        <v>1038.87</v>
      </c>
      <c r="T2256" s="30" t="n">
        <f aca="false">ROUND(R2256*SUMIFS(Parametros!$E$23:$E$38,Parametros!$B$23:$B$38,J2256,Parametros!$C$23:$C$38,C2256,Parametros!$D$23:$D$38,D2256),2)</f>
        <v>23.3</v>
      </c>
      <c r="U2256" s="30" t="n">
        <f aca="false">R2256-S2256-T2256</f>
        <v>729.97</v>
      </c>
    </row>
    <row r="2257" customFormat="false" ht="15" hidden="false" customHeight="false" outlineLevel="0" collapsed="false">
      <c r="A2257" s="0" t="n">
        <v>2256</v>
      </c>
      <c r="B2257" s="27" t="n">
        <v>45986</v>
      </c>
      <c r="C2257" s="0" t="n">
        <v>2025</v>
      </c>
      <c r="D2257" s="28" t="s">
        <v>122</v>
      </c>
      <c r="E2257" s="0" t="n">
        <v>11</v>
      </c>
      <c r="F2257" s="28" t="s">
        <v>125</v>
      </c>
      <c r="G2257" s="28" t="s">
        <v>153</v>
      </c>
      <c r="H2257" s="28" t="s">
        <v>98</v>
      </c>
      <c r="I2257" s="28" t="s">
        <v>99</v>
      </c>
      <c r="J2257" s="28" t="s">
        <v>71</v>
      </c>
      <c r="K2257" s="28" t="s">
        <v>84</v>
      </c>
      <c r="L2257" s="28" t="s">
        <v>138</v>
      </c>
      <c r="M2257" s="28" t="s">
        <v>88</v>
      </c>
      <c r="N2257" s="28" t="s">
        <v>140</v>
      </c>
      <c r="O2257" s="29" t="n">
        <v>18</v>
      </c>
      <c r="P2257" s="30" t="n">
        <v>85.34</v>
      </c>
      <c r="Q2257" s="30" t="n">
        <v>49.47</v>
      </c>
      <c r="R2257" s="30" t="n">
        <f aca="false">ROUND(O2257*P2257,2)</f>
        <v>1536.12</v>
      </c>
      <c r="S2257" s="30" t="n">
        <f aca="false">ROUND(O2257*Q2257,2)</f>
        <v>890.46</v>
      </c>
      <c r="T2257" s="30" t="n">
        <f aca="false">ROUND(R2257*SUMIFS(Parametros!$E$23:$E$38,Parametros!$B$23:$B$38,J2257,Parametros!$C$23:$C$38,C2257,Parametros!$D$23:$D$38,D2257),2)</f>
        <v>79.88</v>
      </c>
      <c r="U2257" s="30" t="n">
        <f aca="false">R2257-S2257-T2257</f>
        <v>565.78</v>
      </c>
    </row>
    <row r="2258" customFormat="false" ht="15" hidden="false" customHeight="false" outlineLevel="0" collapsed="false">
      <c r="A2258" s="0" t="n">
        <v>2257</v>
      </c>
      <c r="B2258" s="27" t="n">
        <v>45966</v>
      </c>
      <c r="C2258" s="0" t="n">
        <v>2025</v>
      </c>
      <c r="D2258" s="28" t="s">
        <v>122</v>
      </c>
      <c r="E2258" s="0" t="n">
        <v>11</v>
      </c>
      <c r="F2258" s="28" t="s">
        <v>125</v>
      </c>
      <c r="G2258" s="28" t="s">
        <v>153</v>
      </c>
      <c r="H2258" s="28" t="s">
        <v>98</v>
      </c>
      <c r="I2258" s="28" t="s">
        <v>99</v>
      </c>
      <c r="J2258" s="28" t="s">
        <v>66</v>
      </c>
      <c r="K2258" s="28" t="s">
        <v>90</v>
      </c>
      <c r="L2258" s="28" t="s">
        <v>141</v>
      </c>
      <c r="M2258" s="28" t="s">
        <v>92</v>
      </c>
      <c r="N2258" s="28" t="s">
        <v>142</v>
      </c>
      <c r="O2258" s="29" t="n">
        <v>27</v>
      </c>
      <c r="P2258" s="30" t="n">
        <v>130.51</v>
      </c>
      <c r="Q2258" s="30" t="n">
        <v>78.33</v>
      </c>
      <c r="R2258" s="30" t="n">
        <f aca="false">ROUND(O2258*P2258,2)</f>
        <v>3523.77</v>
      </c>
      <c r="S2258" s="30" t="n">
        <f aca="false">ROUND(O2258*Q2258,2)</f>
        <v>2114.91</v>
      </c>
      <c r="T2258" s="30" t="n">
        <f aca="false">ROUND(R2258*SUMIFS(Parametros!$E$23:$E$38,Parametros!$B$23:$B$38,J2258,Parametros!$C$23:$C$38,C2258,Parametros!$D$23:$D$38,D2258),2)</f>
        <v>45.81</v>
      </c>
      <c r="U2258" s="30" t="n">
        <f aca="false">R2258-S2258-T2258</f>
        <v>1363.05</v>
      </c>
    </row>
    <row r="2259" customFormat="false" ht="15" hidden="false" customHeight="false" outlineLevel="0" collapsed="false">
      <c r="A2259" s="0" t="n">
        <v>2258</v>
      </c>
      <c r="B2259" s="27" t="n">
        <v>45973</v>
      </c>
      <c r="C2259" s="0" t="n">
        <v>2025</v>
      </c>
      <c r="D2259" s="28" t="s">
        <v>122</v>
      </c>
      <c r="E2259" s="0" t="n">
        <v>11</v>
      </c>
      <c r="F2259" s="28" t="s">
        <v>125</v>
      </c>
      <c r="G2259" s="28" t="s">
        <v>153</v>
      </c>
      <c r="H2259" s="28" t="s">
        <v>98</v>
      </c>
      <c r="I2259" s="28" t="s">
        <v>99</v>
      </c>
      <c r="J2259" s="28" t="s">
        <v>71</v>
      </c>
      <c r="K2259" s="28" t="s">
        <v>90</v>
      </c>
      <c r="L2259" s="28" t="s">
        <v>141</v>
      </c>
      <c r="M2259" s="28" t="s">
        <v>92</v>
      </c>
      <c r="N2259" s="28" t="s">
        <v>142</v>
      </c>
      <c r="O2259" s="29" t="n">
        <v>18</v>
      </c>
      <c r="P2259" s="30" t="n">
        <v>130.51</v>
      </c>
      <c r="Q2259" s="30" t="n">
        <v>78.33</v>
      </c>
      <c r="R2259" s="30" t="n">
        <f aca="false">ROUND(O2259*P2259,2)</f>
        <v>2349.18</v>
      </c>
      <c r="S2259" s="30" t="n">
        <f aca="false">ROUND(O2259*Q2259,2)</f>
        <v>1409.94</v>
      </c>
      <c r="T2259" s="30" t="n">
        <f aca="false">ROUND(R2259*SUMIFS(Parametros!$E$23:$E$38,Parametros!$B$23:$B$38,J2259,Parametros!$C$23:$C$38,C2259,Parametros!$D$23:$D$38,D2259),2)</f>
        <v>122.16</v>
      </c>
      <c r="U2259" s="30" t="n">
        <f aca="false">R2259-S2259-T2259</f>
        <v>817.08</v>
      </c>
    </row>
    <row r="2260" customFormat="false" ht="15" hidden="false" customHeight="false" outlineLevel="0" collapsed="false">
      <c r="A2260" s="0" t="n">
        <v>2259</v>
      </c>
      <c r="B2260" s="27" t="n">
        <v>45980</v>
      </c>
      <c r="C2260" s="0" t="n">
        <v>2025</v>
      </c>
      <c r="D2260" s="28" t="s">
        <v>122</v>
      </c>
      <c r="E2260" s="0" t="n">
        <v>11</v>
      </c>
      <c r="F2260" s="28" t="s">
        <v>125</v>
      </c>
      <c r="G2260" s="28" t="s">
        <v>153</v>
      </c>
      <c r="H2260" s="28" t="s">
        <v>98</v>
      </c>
      <c r="I2260" s="28" t="s">
        <v>99</v>
      </c>
      <c r="J2260" s="28" t="s">
        <v>66</v>
      </c>
      <c r="K2260" s="28" t="s">
        <v>90</v>
      </c>
      <c r="L2260" s="28" t="s">
        <v>141</v>
      </c>
      <c r="M2260" s="28" t="s">
        <v>94</v>
      </c>
      <c r="N2260" s="28" t="s">
        <v>143</v>
      </c>
      <c r="O2260" s="29" t="n">
        <v>27</v>
      </c>
      <c r="P2260" s="30" t="n">
        <v>35.14</v>
      </c>
      <c r="Q2260" s="30" t="n">
        <v>18.39</v>
      </c>
      <c r="R2260" s="30" t="n">
        <f aca="false">ROUND(O2260*P2260,2)</f>
        <v>948.78</v>
      </c>
      <c r="S2260" s="30" t="n">
        <f aca="false">ROUND(O2260*Q2260,2)</f>
        <v>496.53</v>
      </c>
      <c r="T2260" s="30" t="n">
        <f aca="false">ROUND(R2260*SUMIFS(Parametros!$E$23:$E$38,Parametros!$B$23:$B$38,J2260,Parametros!$C$23:$C$38,C2260,Parametros!$D$23:$D$38,D2260),2)</f>
        <v>12.33</v>
      </c>
      <c r="U2260" s="30" t="n">
        <f aca="false">R2260-S2260-T2260</f>
        <v>439.92</v>
      </c>
    </row>
    <row r="2261" customFormat="false" ht="15" hidden="false" customHeight="false" outlineLevel="0" collapsed="false">
      <c r="A2261" s="0" t="n">
        <v>2260</v>
      </c>
      <c r="B2261" s="27" t="n">
        <v>45987</v>
      </c>
      <c r="C2261" s="0" t="n">
        <v>2025</v>
      </c>
      <c r="D2261" s="28" t="s">
        <v>122</v>
      </c>
      <c r="E2261" s="0" t="n">
        <v>11</v>
      </c>
      <c r="F2261" s="28" t="s">
        <v>125</v>
      </c>
      <c r="G2261" s="28" t="s">
        <v>153</v>
      </c>
      <c r="H2261" s="28" t="s">
        <v>98</v>
      </c>
      <c r="I2261" s="28" t="s">
        <v>99</v>
      </c>
      <c r="J2261" s="28" t="s">
        <v>71</v>
      </c>
      <c r="K2261" s="28" t="s">
        <v>90</v>
      </c>
      <c r="L2261" s="28" t="s">
        <v>141</v>
      </c>
      <c r="M2261" s="28" t="s">
        <v>94</v>
      </c>
      <c r="N2261" s="28" t="s">
        <v>143</v>
      </c>
      <c r="O2261" s="29" t="n">
        <v>21</v>
      </c>
      <c r="P2261" s="30" t="n">
        <v>35.14</v>
      </c>
      <c r="Q2261" s="30" t="n">
        <v>18.39</v>
      </c>
      <c r="R2261" s="30" t="n">
        <f aca="false">ROUND(O2261*P2261,2)</f>
        <v>737.94</v>
      </c>
      <c r="S2261" s="30" t="n">
        <f aca="false">ROUND(O2261*Q2261,2)</f>
        <v>386.19</v>
      </c>
      <c r="T2261" s="30" t="n">
        <f aca="false">ROUND(R2261*SUMIFS(Parametros!$E$23:$E$38,Parametros!$B$23:$B$38,J2261,Parametros!$C$23:$C$38,C2261,Parametros!$D$23:$D$38,D2261),2)</f>
        <v>38.37</v>
      </c>
      <c r="U2261" s="30" t="n">
        <f aca="false">R2261-S2261-T2261</f>
        <v>313.38</v>
      </c>
    </row>
    <row r="2262" customFormat="false" ht="15" hidden="false" customHeight="false" outlineLevel="0" collapsed="false">
      <c r="A2262" s="0" t="n">
        <v>2261</v>
      </c>
      <c r="B2262" s="27" t="n">
        <v>45967</v>
      </c>
      <c r="C2262" s="0" t="n">
        <v>2025</v>
      </c>
      <c r="D2262" s="28" t="s">
        <v>122</v>
      </c>
      <c r="E2262" s="0" t="n">
        <v>11</v>
      </c>
      <c r="F2262" s="28" t="s">
        <v>125</v>
      </c>
      <c r="G2262" s="28" t="s">
        <v>153</v>
      </c>
      <c r="H2262" s="28" t="s">
        <v>100</v>
      </c>
      <c r="I2262" s="28" t="s">
        <v>101</v>
      </c>
      <c r="J2262" s="28" t="s">
        <v>66</v>
      </c>
      <c r="K2262" s="28" t="s">
        <v>67</v>
      </c>
      <c r="L2262" s="28" t="s">
        <v>130</v>
      </c>
      <c r="M2262" s="28" t="s">
        <v>69</v>
      </c>
      <c r="N2262" s="28" t="s">
        <v>131</v>
      </c>
      <c r="O2262" s="29" t="n">
        <v>7</v>
      </c>
      <c r="P2262" s="30" t="n">
        <v>1204.74</v>
      </c>
      <c r="Q2262" s="30" t="n">
        <v>766.32</v>
      </c>
      <c r="R2262" s="30" t="n">
        <f aca="false">ROUND(O2262*P2262,2)</f>
        <v>8433.18</v>
      </c>
      <c r="S2262" s="30" t="n">
        <f aca="false">ROUND(O2262*Q2262,2)</f>
        <v>5364.24</v>
      </c>
      <c r="T2262" s="30" t="n">
        <f aca="false">ROUND(R2262*SUMIFS(Parametros!$E$23:$E$38,Parametros!$B$23:$B$38,J2262,Parametros!$C$23:$C$38,C2262,Parametros!$D$23:$D$38,D2262),2)</f>
        <v>109.63</v>
      </c>
      <c r="U2262" s="30" t="n">
        <f aca="false">R2262-S2262-T2262</f>
        <v>2959.31</v>
      </c>
    </row>
    <row r="2263" customFormat="false" ht="15" hidden="false" customHeight="false" outlineLevel="0" collapsed="false">
      <c r="A2263" s="0" t="n">
        <v>2262</v>
      </c>
      <c r="B2263" s="27" t="n">
        <v>45974</v>
      </c>
      <c r="C2263" s="0" t="n">
        <v>2025</v>
      </c>
      <c r="D2263" s="28" t="s">
        <v>122</v>
      </c>
      <c r="E2263" s="0" t="n">
        <v>11</v>
      </c>
      <c r="F2263" s="28" t="s">
        <v>125</v>
      </c>
      <c r="G2263" s="28" t="s">
        <v>153</v>
      </c>
      <c r="H2263" s="28" t="s">
        <v>100</v>
      </c>
      <c r="I2263" s="28" t="s">
        <v>101</v>
      </c>
      <c r="J2263" s="28" t="s">
        <v>71</v>
      </c>
      <c r="K2263" s="28" t="s">
        <v>67</v>
      </c>
      <c r="L2263" s="28" t="s">
        <v>130</v>
      </c>
      <c r="M2263" s="28" t="s">
        <v>69</v>
      </c>
      <c r="N2263" s="28" t="s">
        <v>131</v>
      </c>
      <c r="O2263" s="29" t="n">
        <v>6</v>
      </c>
      <c r="P2263" s="30" t="n">
        <v>1204.74</v>
      </c>
      <c r="Q2263" s="30" t="n">
        <v>766.32</v>
      </c>
      <c r="R2263" s="30" t="n">
        <f aca="false">ROUND(O2263*P2263,2)</f>
        <v>7228.44</v>
      </c>
      <c r="S2263" s="30" t="n">
        <f aca="false">ROUND(O2263*Q2263,2)</f>
        <v>4597.92</v>
      </c>
      <c r="T2263" s="30" t="n">
        <f aca="false">ROUND(R2263*SUMIFS(Parametros!$E$23:$E$38,Parametros!$B$23:$B$38,J2263,Parametros!$C$23:$C$38,C2263,Parametros!$D$23:$D$38,D2263),2)</f>
        <v>375.88</v>
      </c>
      <c r="U2263" s="30" t="n">
        <f aca="false">R2263-S2263-T2263</f>
        <v>2254.64</v>
      </c>
    </row>
    <row r="2264" customFormat="false" ht="15" hidden="false" customHeight="false" outlineLevel="0" collapsed="false">
      <c r="A2264" s="0" t="n">
        <v>2263</v>
      </c>
      <c r="B2264" s="27" t="n">
        <v>45981</v>
      </c>
      <c r="C2264" s="0" t="n">
        <v>2025</v>
      </c>
      <c r="D2264" s="28" t="s">
        <v>122</v>
      </c>
      <c r="E2264" s="0" t="n">
        <v>11</v>
      </c>
      <c r="F2264" s="28" t="s">
        <v>125</v>
      </c>
      <c r="G2264" s="28" t="s">
        <v>153</v>
      </c>
      <c r="H2264" s="28" t="s">
        <v>100</v>
      </c>
      <c r="I2264" s="28" t="s">
        <v>101</v>
      </c>
      <c r="J2264" s="28" t="s">
        <v>66</v>
      </c>
      <c r="K2264" s="28" t="s">
        <v>67</v>
      </c>
      <c r="L2264" s="28" t="s">
        <v>130</v>
      </c>
      <c r="M2264" s="28" t="s">
        <v>72</v>
      </c>
      <c r="N2264" s="28" t="s">
        <v>132</v>
      </c>
      <c r="O2264" s="29" t="n">
        <v>9</v>
      </c>
      <c r="P2264" s="30" t="n">
        <v>451.78</v>
      </c>
      <c r="Q2264" s="30" t="n">
        <v>280.42</v>
      </c>
      <c r="R2264" s="30" t="n">
        <f aca="false">ROUND(O2264*P2264,2)</f>
        <v>4066.02</v>
      </c>
      <c r="S2264" s="30" t="n">
        <f aca="false">ROUND(O2264*Q2264,2)</f>
        <v>2523.78</v>
      </c>
      <c r="T2264" s="30" t="n">
        <f aca="false">ROUND(R2264*SUMIFS(Parametros!$E$23:$E$38,Parametros!$B$23:$B$38,J2264,Parametros!$C$23:$C$38,C2264,Parametros!$D$23:$D$38,D2264),2)</f>
        <v>52.86</v>
      </c>
      <c r="U2264" s="30" t="n">
        <f aca="false">R2264-S2264-T2264</f>
        <v>1489.38</v>
      </c>
    </row>
    <row r="2265" customFormat="false" ht="15" hidden="false" customHeight="false" outlineLevel="0" collapsed="false">
      <c r="A2265" s="0" t="n">
        <v>2264</v>
      </c>
      <c r="B2265" s="27" t="n">
        <v>45988</v>
      </c>
      <c r="C2265" s="0" t="n">
        <v>2025</v>
      </c>
      <c r="D2265" s="28" t="s">
        <v>122</v>
      </c>
      <c r="E2265" s="0" t="n">
        <v>11</v>
      </c>
      <c r="F2265" s="28" t="s">
        <v>125</v>
      </c>
      <c r="G2265" s="28" t="s">
        <v>153</v>
      </c>
      <c r="H2265" s="28" t="s">
        <v>100</v>
      </c>
      <c r="I2265" s="28" t="s">
        <v>101</v>
      </c>
      <c r="J2265" s="28" t="s">
        <v>71</v>
      </c>
      <c r="K2265" s="28" t="s">
        <v>67</v>
      </c>
      <c r="L2265" s="28" t="s">
        <v>130</v>
      </c>
      <c r="M2265" s="28" t="s">
        <v>72</v>
      </c>
      <c r="N2265" s="28" t="s">
        <v>132</v>
      </c>
      <c r="O2265" s="29" t="n">
        <v>6</v>
      </c>
      <c r="P2265" s="30" t="n">
        <v>451.78</v>
      </c>
      <c r="Q2265" s="30" t="n">
        <v>280.42</v>
      </c>
      <c r="R2265" s="30" t="n">
        <f aca="false">ROUND(O2265*P2265,2)</f>
        <v>2710.68</v>
      </c>
      <c r="S2265" s="30" t="n">
        <f aca="false">ROUND(O2265*Q2265,2)</f>
        <v>1682.52</v>
      </c>
      <c r="T2265" s="30" t="n">
        <f aca="false">ROUND(R2265*SUMIFS(Parametros!$E$23:$E$38,Parametros!$B$23:$B$38,J2265,Parametros!$C$23:$C$38,C2265,Parametros!$D$23:$D$38,D2265),2)</f>
        <v>140.96</v>
      </c>
      <c r="U2265" s="30" t="n">
        <f aca="false">R2265-S2265-T2265</f>
        <v>887.2</v>
      </c>
    </row>
    <row r="2266" customFormat="false" ht="15" hidden="false" customHeight="false" outlineLevel="0" collapsed="false">
      <c r="A2266" s="0" t="n">
        <v>2265</v>
      </c>
      <c r="B2266" s="27" t="n">
        <v>45968</v>
      </c>
      <c r="C2266" s="0" t="n">
        <v>2025</v>
      </c>
      <c r="D2266" s="28" t="s">
        <v>122</v>
      </c>
      <c r="E2266" s="0" t="n">
        <v>11</v>
      </c>
      <c r="F2266" s="28" t="s">
        <v>125</v>
      </c>
      <c r="G2266" s="28" t="s">
        <v>153</v>
      </c>
      <c r="H2266" s="28" t="s">
        <v>100</v>
      </c>
      <c r="I2266" s="28" t="s">
        <v>101</v>
      </c>
      <c r="J2266" s="28" t="s">
        <v>66</v>
      </c>
      <c r="K2266" s="28" t="s">
        <v>67</v>
      </c>
      <c r="L2266" s="28" t="s">
        <v>130</v>
      </c>
      <c r="M2266" s="28" t="s">
        <v>74</v>
      </c>
      <c r="N2266" s="28" t="s">
        <v>133</v>
      </c>
      <c r="O2266" s="29" t="n">
        <v>9</v>
      </c>
      <c r="P2266" s="30" t="n">
        <v>1656.52</v>
      </c>
      <c r="Q2266" s="30" t="n">
        <v>1155.66</v>
      </c>
      <c r="R2266" s="30" t="n">
        <f aca="false">ROUND(O2266*P2266,2)</f>
        <v>14908.68</v>
      </c>
      <c r="S2266" s="30" t="n">
        <f aca="false">ROUND(O2266*Q2266,2)</f>
        <v>10400.94</v>
      </c>
      <c r="T2266" s="30" t="n">
        <f aca="false">ROUND(R2266*SUMIFS(Parametros!$E$23:$E$38,Parametros!$B$23:$B$38,J2266,Parametros!$C$23:$C$38,C2266,Parametros!$D$23:$D$38,D2266),2)</f>
        <v>193.81</v>
      </c>
      <c r="U2266" s="30" t="n">
        <f aca="false">R2266-S2266-T2266</f>
        <v>4313.93</v>
      </c>
    </row>
    <row r="2267" customFormat="false" ht="15" hidden="false" customHeight="false" outlineLevel="0" collapsed="false">
      <c r="A2267" s="0" t="n">
        <v>2266</v>
      </c>
      <c r="B2267" s="27" t="n">
        <v>45975</v>
      </c>
      <c r="C2267" s="0" t="n">
        <v>2025</v>
      </c>
      <c r="D2267" s="28" t="s">
        <v>122</v>
      </c>
      <c r="E2267" s="0" t="n">
        <v>11</v>
      </c>
      <c r="F2267" s="28" t="s">
        <v>125</v>
      </c>
      <c r="G2267" s="28" t="s">
        <v>153</v>
      </c>
      <c r="H2267" s="28" t="s">
        <v>100</v>
      </c>
      <c r="I2267" s="28" t="s">
        <v>101</v>
      </c>
      <c r="J2267" s="28" t="s">
        <v>71</v>
      </c>
      <c r="K2267" s="28" t="s">
        <v>67</v>
      </c>
      <c r="L2267" s="28" t="s">
        <v>130</v>
      </c>
      <c r="M2267" s="28" t="s">
        <v>74</v>
      </c>
      <c r="N2267" s="28" t="s">
        <v>133</v>
      </c>
      <c r="O2267" s="29" t="n">
        <v>6</v>
      </c>
      <c r="P2267" s="30" t="n">
        <v>1656.52</v>
      </c>
      <c r="Q2267" s="30" t="n">
        <v>1155.66</v>
      </c>
      <c r="R2267" s="30" t="n">
        <f aca="false">ROUND(O2267*P2267,2)</f>
        <v>9939.12</v>
      </c>
      <c r="S2267" s="30" t="n">
        <f aca="false">ROUND(O2267*Q2267,2)</f>
        <v>6933.96</v>
      </c>
      <c r="T2267" s="30" t="n">
        <f aca="false">ROUND(R2267*SUMIFS(Parametros!$E$23:$E$38,Parametros!$B$23:$B$38,J2267,Parametros!$C$23:$C$38,C2267,Parametros!$D$23:$D$38,D2267),2)</f>
        <v>516.83</v>
      </c>
      <c r="U2267" s="30" t="n">
        <f aca="false">R2267-S2267-T2267</f>
        <v>2488.33</v>
      </c>
    </row>
    <row r="2268" customFormat="false" ht="15" hidden="false" customHeight="false" outlineLevel="0" collapsed="false">
      <c r="A2268" s="0" t="n">
        <v>2267</v>
      </c>
      <c r="B2268" s="27" t="n">
        <v>45982</v>
      </c>
      <c r="C2268" s="0" t="n">
        <v>2025</v>
      </c>
      <c r="D2268" s="28" t="s">
        <v>122</v>
      </c>
      <c r="E2268" s="0" t="n">
        <v>11</v>
      </c>
      <c r="F2268" s="28" t="s">
        <v>125</v>
      </c>
      <c r="G2268" s="28" t="s">
        <v>153</v>
      </c>
      <c r="H2268" s="28" t="s">
        <v>100</v>
      </c>
      <c r="I2268" s="28" t="s">
        <v>101</v>
      </c>
      <c r="J2268" s="28" t="s">
        <v>66</v>
      </c>
      <c r="K2268" s="28" t="s">
        <v>76</v>
      </c>
      <c r="L2268" s="28" t="s">
        <v>134</v>
      </c>
      <c r="M2268" s="28" t="s">
        <v>78</v>
      </c>
      <c r="N2268" s="28" t="s">
        <v>135</v>
      </c>
      <c r="O2268" s="29" t="n">
        <v>41</v>
      </c>
      <c r="P2268" s="30" t="n">
        <v>28.11</v>
      </c>
      <c r="Q2268" s="30" t="n">
        <v>13.84</v>
      </c>
      <c r="R2268" s="30" t="n">
        <f aca="false">ROUND(O2268*P2268,2)</f>
        <v>1152.51</v>
      </c>
      <c r="S2268" s="30" t="n">
        <f aca="false">ROUND(O2268*Q2268,2)</f>
        <v>567.44</v>
      </c>
      <c r="T2268" s="30" t="n">
        <f aca="false">ROUND(R2268*SUMIFS(Parametros!$E$23:$E$38,Parametros!$B$23:$B$38,J2268,Parametros!$C$23:$C$38,C2268,Parametros!$D$23:$D$38,D2268),2)</f>
        <v>14.98</v>
      </c>
      <c r="U2268" s="30" t="n">
        <f aca="false">R2268-S2268-T2268</f>
        <v>570.09</v>
      </c>
    </row>
    <row r="2269" customFormat="false" ht="15" hidden="false" customHeight="false" outlineLevel="0" collapsed="false">
      <c r="A2269" s="0" t="n">
        <v>2268</v>
      </c>
      <c r="B2269" s="27" t="n">
        <v>45962</v>
      </c>
      <c r="C2269" s="0" t="n">
        <v>2025</v>
      </c>
      <c r="D2269" s="28" t="s">
        <v>122</v>
      </c>
      <c r="E2269" s="0" t="n">
        <v>11</v>
      </c>
      <c r="F2269" s="28" t="s">
        <v>125</v>
      </c>
      <c r="G2269" s="28" t="s">
        <v>153</v>
      </c>
      <c r="H2269" s="28" t="s">
        <v>100</v>
      </c>
      <c r="I2269" s="28" t="s">
        <v>101</v>
      </c>
      <c r="J2269" s="28" t="s">
        <v>71</v>
      </c>
      <c r="K2269" s="28" t="s">
        <v>76</v>
      </c>
      <c r="L2269" s="28" t="s">
        <v>134</v>
      </c>
      <c r="M2269" s="28" t="s">
        <v>78</v>
      </c>
      <c r="N2269" s="28" t="s">
        <v>135</v>
      </c>
      <c r="O2269" s="29" t="n">
        <v>21</v>
      </c>
      <c r="P2269" s="30" t="n">
        <v>28.11</v>
      </c>
      <c r="Q2269" s="30" t="n">
        <v>13.84</v>
      </c>
      <c r="R2269" s="30" t="n">
        <f aca="false">ROUND(O2269*P2269,2)</f>
        <v>590.31</v>
      </c>
      <c r="S2269" s="30" t="n">
        <f aca="false">ROUND(O2269*Q2269,2)</f>
        <v>290.64</v>
      </c>
      <c r="T2269" s="30" t="n">
        <f aca="false">ROUND(R2269*SUMIFS(Parametros!$E$23:$E$38,Parametros!$B$23:$B$38,J2269,Parametros!$C$23:$C$38,C2269,Parametros!$D$23:$D$38,D2269),2)</f>
        <v>30.7</v>
      </c>
      <c r="U2269" s="30" t="n">
        <f aca="false">R2269-S2269-T2269</f>
        <v>268.97</v>
      </c>
    </row>
    <row r="2270" customFormat="false" ht="15" hidden="false" customHeight="false" outlineLevel="0" collapsed="false">
      <c r="A2270" s="0" t="n">
        <v>2269</v>
      </c>
      <c r="B2270" s="27" t="n">
        <v>45969</v>
      </c>
      <c r="C2270" s="0" t="n">
        <v>2025</v>
      </c>
      <c r="D2270" s="28" t="s">
        <v>122</v>
      </c>
      <c r="E2270" s="0" t="n">
        <v>11</v>
      </c>
      <c r="F2270" s="28" t="s">
        <v>125</v>
      </c>
      <c r="G2270" s="28" t="s">
        <v>153</v>
      </c>
      <c r="H2270" s="28" t="s">
        <v>100</v>
      </c>
      <c r="I2270" s="28" t="s">
        <v>101</v>
      </c>
      <c r="J2270" s="28" t="s">
        <v>66</v>
      </c>
      <c r="K2270" s="28" t="s">
        <v>76</v>
      </c>
      <c r="L2270" s="28" t="s">
        <v>134</v>
      </c>
      <c r="M2270" s="28" t="s">
        <v>80</v>
      </c>
      <c r="N2270" s="28" t="s">
        <v>136</v>
      </c>
      <c r="O2270" s="29" t="n">
        <v>37</v>
      </c>
      <c r="P2270" s="30" t="n">
        <v>95.38</v>
      </c>
      <c r="Q2270" s="30" t="n">
        <v>49.41</v>
      </c>
      <c r="R2270" s="30" t="n">
        <f aca="false">ROUND(O2270*P2270,2)</f>
        <v>3529.06</v>
      </c>
      <c r="S2270" s="30" t="n">
        <f aca="false">ROUND(O2270*Q2270,2)</f>
        <v>1828.17</v>
      </c>
      <c r="T2270" s="30" t="n">
        <f aca="false">ROUND(R2270*SUMIFS(Parametros!$E$23:$E$38,Parametros!$B$23:$B$38,J2270,Parametros!$C$23:$C$38,C2270,Parametros!$D$23:$D$38,D2270),2)</f>
        <v>45.88</v>
      </c>
      <c r="U2270" s="30" t="n">
        <f aca="false">R2270-S2270-T2270</f>
        <v>1655.01</v>
      </c>
    </row>
    <row r="2271" customFormat="false" ht="15" hidden="false" customHeight="false" outlineLevel="0" collapsed="false">
      <c r="A2271" s="0" t="n">
        <v>2270</v>
      </c>
      <c r="B2271" s="27" t="n">
        <v>45976</v>
      </c>
      <c r="C2271" s="0" t="n">
        <v>2025</v>
      </c>
      <c r="D2271" s="28" t="s">
        <v>122</v>
      </c>
      <c r="E2271" s="0" t="n">
        <v>11</v>
      </c>
      <c r="F2271" s="28" t="s">
        <v>125</v>
      </c>
      <c r="G2271" s="28" t="s">
        <v>153</v>
      </c>
      <c r="H2271" s="28" t="s">
        <v>100</v>
      </c>
      <c r="I2271" s="28" t="s">
        <v>101</v>
      </c>
      <c r="J2271" s="28" t="s">
        <v>71</v>
      </c>
      <c r="K2271" s="28" t="s">
        <v>76</v>
      </c>
      <c r="L2271" s="28" t="s">
        <v>134</v>
      </c>
      <c r="M2271" s="28" t="s">
        <v>80</v>
      </c>
      <c r="N2271" s="28" t="s">
        <v>136</v>
      </c>
      <c r="O2271" s="29" t="n">
        <v>23</v>
      </c>
      <c r="P2271" s="30" t="n">
        <v>95.38</v>
      </c>
      <c r="Q2271" s="30" t="n">
        <v>49.41</v>
      </c>
      <c r="R2271" s="30" t="n">
        <f aca="false">ROUND(O2271*P2271,2)</f>
        <v>2193.74</v>
      </c>
      <c r="S2271" s="30" t="n">
        <f aca="false">ROUND(O2271*Q2271,2)</f>
        <v>1136.43</v>
      </c>
      <c r="T2271" s="30" t="n">
        <f aca="false">ROUND(R2271*SUMIFS(Parametros!$E$23:$E$38,Parametros!$B$23:$B$38,J2271,Parametros!$C$23:$C$38,C2271,Parametros!$D$23:$D$38,D2271),2)</f>
        <v>114.07</v>
      </c>
      <c r="U2271" s="30" t="n">
        <f aca="false">R2271-S2271-T2271</f>
        <v>943.24</v>
      </c>
    </row>
    <row r="2272" customFormat="false" ht="15" hidden="false" customHeight="false" outlineLevel="0" collapsed="false">
      <c r="A2272" s="0" t="n">
        <v>2271</v>
      </c>
      <c r="B2272" s="27" t="n">
        <v>45983</v>
      </c>
      <c r="C2272" s="0" t="n">
        <v>2025</v>
      </c>
      <c r="D2272" s="28" t="s">
        <v>122</v>
      </c>
      <c r="E2272" s="0" t="n">
        <v>11</v>
      </c>
      <c r="F2272" s="28" t="s">
        <v>125</v>
      </c>
      <c r="G2272" s="28" t="s">
        <v>153</v>
      </c>
      <c r="H2272" s="28" t="s">
        <v>100</v>
      </c>
      <c r="I2272" s="28" t="s">
        <v>101</v>
      </c>
      <c r="J2272" s="28" t="s">
        <v>66</v>
      </c>
      <c r="K2272" s="28" t="s">
        <v>76</v>
      </c>
      <c r="L2272" s="28" t="s">
        <v>134</v>
      </c>
      <c r="M2272" s="28" t="s">
        <v>82</v>
      </c>
      <c r="N2272" s="28" t="s">
        <v>137</v>
      </c>
      <c r="O2272" s="29" t="n">
        <v>31</v>
      </c>
      <c r="P2272" s="30" t="n">
        <v>65.26</v>
      </c>
      <c r="Q2272" s="30" t="n">
        <v>36.49</v>
      </c>
      <c r="R2272" s="30" t="n">
        <f aca="false">ROUND(O2272*P2272,2)</f>
        <v>2023.06</v>
      </c>
      <c r="S2272" s="30" t="n">
        <f aca="false">ROUND(O2272*Q2272,2)</f>
        <v>1131.19</v>
      </c>
      <c r="T2272" s="30" t="n">
        <f aca="false">ROUND(R2272*SUMIFS(Parametros!$E$23:$E$38,Parametros!$B$23:$B$38,J2272,Parametros!$C$23:$C$38,C2272,Parametros!$D$23:$D$38,D2272),2)</f>
        <v>26.3</v>
      </c>
      <c r="U2272" s="30" t="n">
        <f aca="false">R2272-S2272-T2272</f>
        <v>865.57</v>
      </c>
    </row>
    <row r="2273" customFormat="false" ht="15" hidden="false" customHeight="false" outlineLevel="0" collapsed="false">
      <c r="A2273" s="0" t="n">
        <v>2272</v>
      </c>
      <c r="B2273" s="27" t="n">
        <v>45963</v>
      </c>
      <c r="C2273" s="0" t="n">
        <v>2025</v>
      </c>
      <c r="D2273" s="28" t="s">
        <v>122</v>
      </c>
      <c r="E2273" s="0" t="n">
        <v>11</v>
      </c>
      <c r="F2273" s="28" t="s">
        <v>125</v>
      </c>
      <c r="G2273" s="28" t="s">
        <v>153</v>
      </c>
      <c r="H2273" s="28" t="s">
        <v>100</v>
      </c>
      <c r="I2273" s="28" t="s">
        <v>101</v>
      </c>
      <c r="J2273" s="28" t="s">
        <v>71</v>
      </c>
      <c r="K2273" s="28" t="s">
        <v>76</v>
      </c>
      <c r="L2273" s="28" t="s">
        <v>134</v>
      </c>
      <c r="M2273" s="28" t="s">
        <v>82</v>
      </c>
      <c r="N2273" s="28" t="s">
        <v>137</v>
      </c>
      <c r="O2273" s="29" t="n">
        <v>28</v>
      </c>
      <c r="P2273" s="30" t="n">
        <v>65.26</v>
      </c>
      <c r="Q2273" s="30" t="n">
        <v>36.49</v>
      </c>
      <c r="R2273" s="30" t="n">
        <f aca="false">ROUND(O2273*P2273,2)</f>
        <v>1827.28</v>
      </c>
      <c r="S2273" s="30" t="n">
        <f aca="false">ROUND(O2273*Q2273,2)</f>
        <v>1021.72</v>
      </c>
      <c r="T2273" s="30" t="n">
        <f aca="false">ROUND(R2273*SUMIFS(Parametros!$E$23:$E$38,Parametros!$B$23:$B$38,J2273,Parametros!$C$23:$C$38,C2273,Parametros!$D$23:$D$38,D2273),2)</f>
        <v>95.02</v>
      </c>
      <c r="U2273" s="30" t="n">
        <f aca="false">R2273-S2273-T2273</f>
        <v>710.54</v>
      </c>
    </row>
    <row r="2274" customFormat="false" ht="15" hidden="false" customHeight="false" outlineLevel="0" collapsed="false">
      <c r="A2274" s="0" t="n">
        <v>2273</v>
      </c>
      <c r="B2274" s="27" t="n">
        <v>45970</v>
      </c>
      <c r="C2274" s="0" t="n">
        <v>2025</v>
      </c>
      <c r="D2274" s="28" t="s">
        <v>122</v>
      </c>
      <c r="E2274" s="0" t="n">
        <v>11</v>
      </c>
      <c r="F2274" s="28" t="s">
        <v>125</v>
      </c>
      <c r="G2274" s="28" t="s">
        <v>153</v>
      </c>
      <c r="H2274" s="28" t="s">
        <v>100</v>
      </c>
      <c r="I2274" s="28" t="s">
        <v>101</v>
      </c>
      <c r="J2274" s="28" t="s">
        <v>66</v>
      </c>
      <c r="K2274" s="28" t="s">
        <v>84</v>
      </c>
      <c r="L2274" s="28" t="s">
        <v>138</v>
      </c>
      <c r="M2274" s="28" t="s">
        <v>86</v>
      </c>
      <c r="N2274" s="28" t="s">
        <v>139</v>
      </c>
      <c r="O2274" s="29" t="n">
        <v>15</v>
      </c>
      <c r="P2274" s="30" t="n">
        <v>120.47</v>
      </c>
      <c r="Q2274" s="30" t="n">
        <v>65.51</v>
      </c>
      <c r="R2274" s="30" t="n">
        <f aca="false">ROUND(O2274*P2274,2)</f>
        <v>1807.05</v>
      </c>
      <c r="S2274" s="30" t="n">
        <f aca="false">ROUND(O2274*Q2274,2)</f>
        <v>982.65</v>
      </c>
      <c r="T2274" s="30" t="n">
        <f aca="false">ROUND(R2274*SUMIFS(Parametros!$E$23:$E$38,Parametros!$B$23:$B$38,J2274,Parametros!$C$23:$C$38,C2274,Parametros!$D$23:$D$38,D2274),2)</f>
        <v>23.49</v>
      </c>
      <c r="U2274" s="30" t="n">
        <f aca="false">R2274-S2274-T2274</f>
        <v>800.91</v>
      </c>
    </row>
    <row r="2275" customFormat="false" ht="15" hidden="false" customHeight="false" outlineLevel="0" collapsed="false">
      <c r="A2275" s="0" t="n">
        <v>2274</v>
      </c>
      <c r="B2275" s="27" t="n">
        <v>45977</v>
      </c>
      <c r="C2275" s="0" t="n">
        <v>2025</v>
      </c>
      <c r="D2275" s="28" t="s">
        <v>122</v>
      </c>
      <c r="E2275" s="0" t="n">
        <v>11</v>
      </c>
      <c r="F2275" s="28" t="s">
        <v>125</v>
      </c>
      <c r="G2275" s="28" t="s">
        <v>153</v>
      </c>
      <c r="H2275" s="28" t="s">
        <v>100</v>
      </c>
      <c r="I2275" s="28" t="s">
        <v>101</v>
      </c>
      <c r="J2275" s="28" t="s">
        <v>71</v>
      </c>
      <c r="K2275" s="28" t="s">
        <v>84</v>
      </c>
      <c r="L2275" s="28" t="s">
        <v>138</v>
      </c>
      <c r="M2275" s="28" t="s">
        <v>86</v>
      </c>
      <c r="N2275" s="28" t="s">
        <v>139</v>
      </c>
      <c r="O2275" s="29" t="n">
        <v>13</v>
      </c>
      <c r="P2275" s="30" t="n">
        <v>120.47</v>
      </c>
      <c r="Q2275" s="30" t="n">
        <v>65.51</v>
      </c>
      <c r="R2275" s="30" t="n">
        <f aca="false">ROUND(O2275*P2275,2)</f>
        <v>1566.11</v>
      </c>
      <c r="S2275" s="30" t="n">
        <f aca="false">ROUND(O2275*Q2275,2)</f>
        <v>851.63</v>
      </c>
      <c r="T2275" s="30" t="n">
        <f aca="false">ROUND(R2275*SUMIFS(Parametros!$E$23:$E$38,Parametros!$B$23:$B$38,J2275,Parametros!$C$23:$C$38,C2275,Parametros!$D$23:$D$38,D2275),2)</f>
        <v>81.44</v>
      </c>
      <c r="U2275" s="30" t="n">
        <f aca="false">R2275-S2275-T2275</f>
        <v>633.04</v>
      </c>
    </row>
    <row r="2276" customFormat="false" ht="15" hidden="false" customHeight="false" outlineLevel="0" collapsed="false">
      <c r="A2276" s="0" t="n">
        <v>2275</v>
      </c>
      <c r="B2276" s="27" t="n">
        <v>45984</v>
      </c>
      <c r="C2276" s="0" t="n">
        <v>2025</v>
      </c>
      <c r="D2276" s="28" t="s">
        <v>122</v>
      </c>
      <c r="E2276" s="0" t="n">
        <v>11</v>
      </c>
      <c r="F2276" s="28" t="s">
        <v>125</v>
      </c>
      <c r="G2276" s="28" t="s">
        <v>153</v>
      </c>
      <c r="H2276" s="28" t="s">
        <v>100</v>
      </c>
      <c r="I2276" s="28" t="s">
        <v>101</v>
      </c>
      <c r="J2276" s="28" t="s">
        <v>66</v>
      </c>
      <c r="K2276" s="28" t="s">
        <v>84</v>
      </c>
      <c r="L2276" s="28" t="s">
        <v>138</v>
      </c>
      <c r="M2276" s="28" t="s">
        <v>88</v>
      </c>
      <c r="N2276" s="28" t="s">
        <v>140</v>
      </c>
      <c r="O2276" s="29" t="n">
        <v>18</v>
      </c>
      <c r="P2276" s="30" t="n">
        <v>85.34</v>
      </c>
      <c r="Q2276" s="30" t="n">
        <v>49.47</v>
      </c>
      <c r="R2276" s="30" t="n">
        <f aca="false">ROUND(O2276*P2276,2)</f>
        <v>1536.12</v>
      </c>
      <c r="S2276" s="30" t="n">
        <f aca="false">ROUND(O2276*Q2276,2)</f>
        <v>890.46</v>
      </c>
      <c r="T2276" s="30" t="n">
        <f aca="false">ROUND(R2276*SUMIFS(Parametros!$E$23:$E$38,Parametros!$B$23:$B$38,J2276,Parametros!$C$23:$C$38,C2276,Parametros!$D$23:$D$38,D2276),2)</f>
        <v>19.97</v>
      </c>
      <c r="U2276" s="30" t="n">
        <f aca="false">R2276-S2276-T2276</f>
        <v>625.69</v>
      </c>
    </row>
    <row r="2277" customFormat="false" ht="15" hidden="false" customHeight="false" outlineLevel="0" collapsed="false">
      <c r="A2277" s="0" t="n">
        <v>2276</v>
      </c>
      <c r="B2277" s="27" t="n">
        <v>45964</v>
      </c>
      <c r="C2277" s="0" t="n">
        <v>2025</v>
      </c>
      <c r="D2277" s="28" t="s">
        <v>122</v>
      </c>
      <c r="E2277" s="0" t="n">
        <v>11</v>
      </c>
      <c r="F2277" s="28" t="s">
        <v>125</v>
      </c>
      <c r="G2277" s="28" t="s">
        <v>153</v>
      </c>
      <c r="H2277" s="28" t="s">
        <v>100</v>
      </c>
      <c r="I2277" s="28" t="s">
        <v>101</v>
      </c>
      <c r="J2277" s="28" t="s">
        <v>71</v>
      </c>
      <c r="K2277" s="28" t="s">
        <v>84</v>
      </c>
      <c r="L2277" s="28" t="s">
        <v>138</v>
      </c>
      <c r="M2277" s="28" t="s">
        <v>88</v>
      </c>
      <c r="N2277" s="28" t="s">
        <v>140</v>
      </c>
      <c r="O2277" s="29" t="n">
        <v>11</v>
      </c>
      <c r="P2277" s="30" t="n">
        <v>85.34</v>
      </c>
      <c r="Q2277" s="30" t="n">
        <v>49.47</v>
      </c>
      <c r="R2277" s="30" t="n">
        <f aca="false">ROUND(O2277*P2277,2)</f>
        <v>938.74</v>
      </c>
      <c r="S2277" s="30" t="n">
        <f aca="false">ROUND(O2277*Q2277,2)</f>
        <v>544.17</v>
      </c>
      <c r="T2277" s="30" t="n">
        <f aca="false">ROUND(R2277*SUMIFS(Parametros!$E$23:$E$38,Parametros!$B$23:$B$38,J2277,Parametros!$C$23:$C$38,C2277,Parametros!$D$23:$D$38,D2277),2)</f>
        <v>48.81</v>
      </c>
      <c r="U2277" s="30" t="n">
        <f aca="false">R2277-S2277-T2277</f>
        <v>345.76</v>
      </c>
    </row>
    <row r="2278" customFormat="false" ht="15" hidden="false" customHeight="false" outlineLevel="0" collapsed="false">
      <c r="A2278" s="0" t="n">
        <v>2277</v>
      </c>
      <c r="B2278" s="27" t="n">
        <v>45971</v>
      </c>
      <c r="C2278" s="0" t="n">
        <v>2025</v>
      </c>
      <c r="D2278" s="28" t="s">
        <v>122</v>
      </c>
      <c r="E2278" s="0" t="n">
        <v>11</v>
      </c>
      <c r="F2278" s="28" t="s">
        <v>125</v>
      </c>
      <c r="G2278" s="28" t="s">
        <v>153</v>
      </c>
      <c r="H2278" s="28" t="s">
        <v>100</v>
      </c>
      <c r="I2278" s="28" t="s">
        <v>101</v>
      </c>
      <c r="J2278" s="28" t="s">
        <v>66</v>
      </c>
      <c r="K2278" s="28" t="s">
        <v>90</v>
      </c>
      <c r="L2278" s="28" t="s">
        <v>141</v>
      </c>
      <c r="M2278" s="28" t="s">
        <v>92</v>
      </c>
      <c r="N2278" s="28" t="s">
        <v>142</v>
      </c>
      <c r="O2278" s="29" t="n">
        <v>21</v>
      </c>
      <c r="P2278" s="30" t="n">
        <v>130.51</v>
      </c>
      <c r="Q2278" s="30" t="n">
        <v>78.33</v>
      </c>
      <c r="R2278" s="30" t="n">
        <f aca="false">ROUND(O2278*P2278,2)</f>
        <v>2740.71</v>
      </c>
      <c r="S2278" s="30" t="n">
        <f aca="false">ROUND(O2278*Q2278,2)</f>
        <v>1644.93</v>
      </c>
      <c r="T2278" s="30" t="n">
        <f aca="false">ROUND(R2278*SUMIFS(Parametros!$E$23:$E$38,Parametros!$B$23:$B$38,J2278,Parametros!$C$23:$C$38,C2278,Parametros!$D$23:$D$38,D2278),2)</f>
        <v>35.63</v>
      </c>
      <c r="U2278" s="30" t="n">
        <f aca="false">R2278-S2278-T2278</f>
        <v>1060.15</v>
      </c>
    </row>
    <row r="2279" customFormat="false" ht="15" hidden="false" customHeight="false" outlineLevel="0" collapsed="false">
      <c r="A2279" s="0" t="n">
        <v>2278</v>
      </c>
      <c r="B2279" s="27" t="n">
        <v>45978</v>
      </c>
      <c r="C2279" s="0" t="n">
        <v>2025</v>
      </c>
      <c r="D2279" s="28" t="s">
        <v>122</v>
      </c>
      <c r="E2279" s="0" t="n">
        <v>11</v>
      </c>
      <c r="F2279" s="28" t="s">
        <v>125</v>
      </c>
      <c r="G2279" s="28" t="s">
        <v>153</v>
      </c>
      <c r="H2279" s="28" t="s">
        <v>100</v>
      </c>
      <c r="I2279" s="28" t="s">
        <v>101</v>
      </c>
      <c r="J2279" s="28" t="s">
        <v>71</v>
      </c>
      <c r="K2279" s="28" t="s">
        <v>90</v>
      </c>
      <c r="L2279" s="28" t="s">
        <v>141</v>
      </c>
      <c r="M2279" s="28" t="s">
        <v>92</v>
      </c>
      <c r="N2279" s="28" t="s">
        <v>142</v>
      </c>
      <c r="O2279" s="29" t="n">
        <v>14</v>
      </c>
      <c r="P2279" s="30" t="n">
        <v>130.51</v>
      </c>
      <c r="Q2279" s="30" t="n">
        <v>78.33</v>
      </c>
      <c r="R2279" s="30" t="n">
        <f aca="false">ROUND(O2279*P2279,2)</f>
        <v>1827.14</v>
      </c>
      <c r="S2279" s="30" t="n">
        <f aca="false">ROUND(O2279*Q2279,2)</f>
        <v>1096.62</v>
      </c>
      <c r="T2279" s="30" t="n">
        <f aca="false">ROUND(R2279*SUMIFS(Parametros!$E$23:$E$38,Parametros!$B$23:$B$38,J2279,Parametros!$C$23:$C$38,C2279,Parametros!$D$23:$D$38,D2279),2)</f>
        <v>95.01</v>
      </c>
      <c r="U2279" s="30" t="n">
        <f aca="false">R2279-S2279-T2279</f>
        <v>635.51</v>
      </c>
    </row>
    <row r="2280" customFormat="false" ht="15" hidden="false" customHeight="false" outlineLevel="0" collapsed="false">
      <c r="A2280" s="0" t="n">
        <v>2279</v>
      </c>
      <c r="B2280" s="27" t="n">
        <v>45985</v>
      </c>
      <c r="C2280" s="0" t="n">
        <v>2025</v>
      </c>
      <c r="D2280" s="28" t="s">
        <v>122</v>
      </c>
      <c r="E2280" s="0" t="n">
        <v>11</v>
      </c>
      <c r="F2280" s="28" t="s">
        <v>125</v>
      </c>
      <c r="G2280" s="28" t="s">
        <v>153</v>
      </c>
      <c r="H2280" s="28" t="s">
        <v>100</v>
      </c>
      <c r="I2280" s="28" t="s">
        <v>101</v>
      </c>
      <c r="J2280" s="28" t="s">
        <v>66</v>
      </c>
      <c r="K2280" s="28" t="s">
        <v>90</v>
      </c>
      <c r="L2280" s="28" t="s">
        <v>141</v>
      </c>
      <c r="M2280" s="28" t="s">
        <v>94</v>
      </c>
      <c r="N2280" s="28" t="s">
        <v>143</v>
      </c>
      <c r="O2280" s="29" t="n">
        <v>25</v>
      </c>
      <c r="P2280" s="30" t="n">
        <v>35.14</v>
      </c>
      <c r="Q2280" s="30" t="n">
        <v>18.39</v>
      </c>
      <c r="R2280" s="30" t="n">
        <f aca="false">ROUND(O2280*P2280,2)</f>
        <v>878.5</v>
      </c>
      <c r="S2280" s="30" t="n">
        <f aca="false">ROUND(O2280*Q2280,2)</f>
        <v>459.75</v>
      </c>
      <c r="T2280" s="30" t="n">
        <f aca="false">ROUND(R2280*SUMIFS(Parametros!$E$23:$E$38,Parametros!$B$23:$B$38,J2280,Parametros!$C$23:$C$38,C2280,Parametros!$D$23:$D$38,D2280),2)</f>
        <v>11.42</v>
      </c>
      <c r="U2280" s="30" t="n">
        <f aca="false">R2280-S2280-T2280</f>
        <v>407.33</v>
      </c>
    </row>
    <row r="2281" customFormat="false" ht="15" hidden="false" customHeight="false" outlineLevel="0" collapsed="false">
      <c r="A2281" s="0" t="n">
        <v>2280</v>
      </c>
      <c r="B2281" s="27" t="n">
        <v>45965</v>
      </c>
      <c r="C2281" s="0" t="n">
        <v>2025</v>
      </c>
      <c r="D2281" s="28" t="s">
        <v>122</v>
      </c>
      <c r="E2281" s="0" t="n">
        <v>11</v>
      </c>
      <c r="F2281" s="28" t="s">
        <v>125</v>
      </c>
      <c r="G2281" s="28" t="s">
        <v>153</v>
      </c>
      <c r="H2281" s="28" t="s">
        <v>100</v>
      </c>
      <c r="I2281" s="28" t="s">
        <v>101</v>
      </c>
      <c r="J2281" s="28" t="s">
        <v>71</v>
      </c>
      <c r="K2281" s="28" t="s">
        <v>90</v>
      </c>
      <c r="L2281" s="28" t="s">
        <v>141</v>
      </c>
      <c r="M2281" s="28" t="s">
        <v>94</v>
      </c>
      <c r="N2281" s="28" t="s">
        <v>143</v>
      </c>
      <c r="O2281" s="29" t="n">
        <v>13</v>
      </c>
      <c r="P2281" s="30" t="n">
        <v>35.14</v>
      </c>
      <c r="Q2281" s="30" t="n">
        <v>18.39</v>
      </c>
      <c r="R2281" s="30" t="n">
        <f aca="false">ROUND(O2281*P2281,2)</f>
        <v>456.82</v>
      </c>
      <c r="S2281" s="30" t="n">
        <f aca="false">ROUND(O2281*Q2281,2)</f>
        <v>239.07</v>
      </c>
      <c r="T2281" s="30" t="n">
        <f aca="false">ROUND(R2281*SUMIFS(Parametros!$E$23:$E$38,Parametros!$B$23:$B$38,J2281,Parametros!$C$23:$C$38,C2281,Parametros!$D$23:$D$38,D2281),2)</f>
        <v>23.75</v>
      </c>
      <c r="U2281" s="30" t="n">
        <f aca="false">R2281-S2281-T2281</f>
        <v>194</v>
      </c>
    </row>
    <row r="2282" customFormat="false" ht="15" hidden="false" customHeight="false" outlineLevel="0" collapsed="false">
      <c r="A2282" s="0" t="n">
        <v>2281</v>
      </c>
      <c r="B2282" s="27" t="n">
        <v>45972</v>
      </c>
      <c r="C2282" s="0" t="n">
        <v>2025</v>
      </c>
      <c r="D2282" s="28" t="s">
        <v>122</v>
      </c>
      <c r="E2282" s="0" t="n">
        <v>11</v>
      </c>
      <c r="F2282" s="28" t="s">
        <v>125</v>
      </c>
      <c r="G2282" s="28" t="s">
        <v>153</v>
      </c>
      <c r="H2282" s="28" t="s">
        <v>102</v>
      </c>
      <c r="I2282" s="28" t="s">
        <v>103</v>
      </c>
      <c r="J2282" s="28" t="s">
        <v>66</v>
      </c>
      <c r="K2282" s="28" t="s">
        <v>67</v>
      </c>
      <c r="L2282" s="28" t="s">
        <v>130</v>
      </c>
      <c r="M2282" s="28" t="s">
        <v>69</v>
      </c>
      <c r="N2282" s="28" t="s">
        <v>131</v>
      </c>
      <c r="O2282" s="29" t="n">
        <v>9</v>
      </c>
      <c r="P2282" s="30" t="n">
        <v>1204.74</v>
      </c>
      <c r="Q2282" s="30" t="n">
        <v>766.32</v>
      </c>
      <c r="R2282" s="30" t="n">
        <f aca="false">ROUND(O2282*P2282,2)</f>
        <v>10842.66</v>
      </c>
      <c r="S2282" s="30" t="n">
        <f aca="false">ROUND(O2282*Q2282,2)</f>
        <v>6896.88</v>
      </c>
      <c r="T2282" s="30" t="n">
        <f aca="false">ROUND(R2282*SUMIFS(Parametros!$E$23:$E$38,Parametros!$B$23:$B$38,J2282,Parametros!$C$23:$C$38,C2282,Parametros!$D$23:$D$38,D2282),2)</f>
        <v>140.95</v>
      </c>
      <c r="U2282" s="30" t="n">
        <f aca="false">R2282-S2282-T2282</f>
        <v>3804.83</v>
      </c>
    </row>
    <row r="2283" customFormat="false" ht="15" hidden="false" customHeight="false" outlineLevel="0" collapsed="false">
      <c r="A2283" s="0" t="n">
        <v>2282</v>
      </c>
      <c r="B2283" s="27" t="n">
        <v>45979</v>
      </c>
      <c r="C2283" s="0" t="n">
        <v>2025</v>
      </c>
      <c r="D2283" s="28" t="s">
        <v>122</v>
      </c>
      <c r="E2283" s="0" t="n">
        <v>11</v>
      </c>
      <c r="F2283" s="28" t="s">
        <v>125</v>
      </c>
      <c r="G2283" s="28" t="s">
        <v>153</v>
      </c>
      <c r="H2283" s="28" t="s">
        <v>102</v>
      </c>
      <c r="I2283" s="28" t="s">
        <v>103</v>
      </c>
      <c r="J2283" s="28" t="s">
        <v>71</v>
      </c>
      <c r="K2283" s="28" t="s">
        <v>67</v>
      </c>
      <c r="L2283" s="28" t="s">
        <v>130</v>
      </c>
      <c r="M2283" s="28" t="s">
        <v>69</v>
      </c>
      <c r="N2283" s="28" t="s">
        <v>131</v>
      </c>
      <c r="O2283" s="29" t="n">
        <v>6</v>
      </c>
      <c r="P2283" s="30" t="n">
        <v>1204.74</v>
      </c>
      <c r="Q2283" s="30" t="n">
        <v>766.32</v>
      </c>
      <c r="R2283" s="30" t="n">
        <f aca="false">ROUND(O2283*P2283,2)</f>
        <v>7228.44</v>
      </c>
      <c r="S2283" s="30" t="n">
        <f aca="false">ROUND(O2283*Q2283,2)</f>
        <v>4597.92</v>
      </c>
      <c r="T2283" s="30" t="n">
        <f aca="false">ROUND(R2283*SUMIFS(Parametros!$E$23:$E$38,Parametros!$B$23:$B$38,J2283,Parametros!$C$23:$C$38,C2283,Parametros!$D$23:$D$38,D2283),2)</f>
        <v>375.88</v>
      </c>
      <c r="U2283" s="30" t="n">
        <f aca="false">R2283-S2283-T2283</f>
        <v>2254.64</v>
      </c>
    </row>
    <row r="2284" customFormat="false" ht="15" hidden="false" customHeight="false" outlineLevel="0" collapsed="false">
      <c r="A2284" s="0" t="n">
        <v>2283</v>
      </c>
      <c r="B2284" s="27" t="n">
        <v>45986</v>
      </c>
      <c r="C2284" s="0" t="n">
        <v>2025</v>
      </c>
      <c r="D2284" s="28" t="s">
        <v>122</v>
      </c>
      <c r="E2284" s="0" t="n">
        <v>11</v>
      </c>
      <c r="F2284" s="28" t="s">
        <v>125</v>
      </c>
      <c r="G2284" s="28" t="s">
        <v>153</v>
      </c>
      <c r="H2284" s="28" t="s">
        <v>102</v>
      </c>
      <c r="I2284" s="28" t="s">
        <v>103</v>
      </c>
      <c r="J2284" s="28" t="s">
        <v>66</v>
      </c>
      <c r="K2284" s="28" t="s">
        <v>67</v>
      </c>
      <c r="L2284" s="28" t="s">
        <v>130</v>
      </c>
      <c r="M2284" s="28" t="s">
        <v>72</v>
      </c>
      <c r="N2284" s="28" t="s">
        <v>132</v>
      </c>
      <c r="O2284" s="29" t="n">
        <v>8</v>
      </c>
      <c r="P2284" s="30" t="n">
        <v>451.78</v>
      </c>
      <c r="Q2284" s="30" t="n">
        <v>280.42</v>
      </c>
      <c r="R2284" s="30" t="n">
        <f aca="false">ROUND(O2284*P2284,2)</f>
        <v>3614.24</v>
      </c>
      <c r="S2284" s="30" t="n">
        <f aca="false">ROUND(O2284*Q2284,2)</f>
        <v>2243.36</v>
      </c>
      <c r="T2284" s="30" t="n">
        <f aca="false">ROUND(R2284*SUMIFS(Parametros!$E$23:$E$38,Parametros!$B$23:$B$38,J2284,Parametros!$C$23:$C$38,C2284,Parametros!$D$23:$D$38,D2284),2)</f>
        <v>46.99</v>
      </c>
      <c r="U2284" s="30" t="n">
        <f aca="false">R2284-S2284-T2284</f>
        <v>1323.89</v>
      </c>
    </row>
    <row r="2285" customFormat="false" ht="15" hidden="false" customHeight="false" outlineLevel="0" collapsed="false">
      <c r="A2285" s="0" t="n">
        <v>2284</v>
      </c>
      <c r="B2285" s="27" t="n">
        <v>45966</v>
      </c>
      <c r="C2285" s="0" t="n">
        <v>2025</v>
      </c>
      <c r="D2285" s="28" t="s">
        <v>122</v>
      </c>
      <c r="E2285" s="0" t="n">
        <v>11</v>
      </c>
      <c r="F2285" s="28" t="s">
        <v>125</v>
      </c>
      <c r="G2285" s="28" t="s">
        <v>153</v>
      </c>
      <c r="H2285" s="28" t="s">
        <v>102</v>
      </c>
      <c r="I2285" s="28" t="s">
        <v>103</v>
      </c>
      <c r="J2285" s="28" t="s">
        <v>71</v>
      </c>
      <c r="K2285" s="28" t="s">
        <v>67</v>
      </c>
      <c r="L2285" s="28" t="s">
        <v>130</v>
      </c>
      <c r="M2285" s="28" t="s">
        <v>72</v>
      </c>
      <c r="N2285" s="28" t="s">
        <v>132</v>
      </c>
      <c r="O2285" s="29" t="n">
        <v>5</v>
      </c>
      <c r="P2285" s="30" t="n">
        <v>451.78</v>
      </c>
      <c r="Q2285" s="30" t="n">
        <v>280.42</v>
      </c>
      <c r="R2285" s="30" t="n">
        <f aca="false">ROUND(O2285*P2285,2)</f>
        <v>2258.9</v>
      </c>
      <c r="S2285" s="30" t="n">
        <f aca="false">ROUND(O2285*Q2285,2)</f>
        <v>1402.1</v>
      </c>
      <c r="T2285" s="30" t="n">
        <f aca="false">ROUND(R2285*SUMIFS(Parametros!$E$23:$E$38,Parametros!$B$23:$B$38,J2285,Parametros!$C$23:$C$38,C2285,Parametros!$D$23:$D$38,D2285),2)</f>
        <v>117.46</v>
      </c>
      <c r="U2285" s="30" t="n">
        <f aca="false">R2285-S2285-T2285</f>
        <v>739.34</v>
      </c>
    </row>
    <row r="2286" customFormat="false" ht="15" hidden="false" customHeight="false" outlineLevel="0" collapsed="false">
      <c r="A2286" s="0" t="n">
        <v>2285</v>
      </c>
      <c r="B2286" s="27" t="n">
        <v>45973</v>
      </c>
      <c r="C2286" s="0" t="n">
        <v>2025</v>
      </c>
      <c r="D2286" s="28" t="s">
        <v>122</v>
      </c>
      <c r="E2286" s="0" t="n">
        <v>11</v>
      </c>
      <c r="F2286" s="28" t="s">
        <v>125</v>
      </c>
      <c r="G2286" s="28" t="s">
        <v>153</v>
      </c>
      <c r="H2286" s="28" t="s">
        <v>102</v>
      </c>
      <c r="I2286" s="28" t="s">
        <v>103</v>
      </c>
      <c r="J2286" s="28" t="s">
        <v>66</v>
      </c>
      <c r="K2286" s="28" t="s">
        <v>67</v>
      </c>
      <c r="L2286" s="28" t="s">
        <v>130</v>
      </c>
      <c r="M2286" s="28" t="s">
        <v>74</v>
      </c>
      <c r="N2286" s="28" t="s">
        <v>133</v>
      </c>
      <c r="O2286" s="29" t="n">
        <v>7</v>
      </c>
      <c r="P2286" s="30" t="n">
        <v>1656.52</v>
      </c>
      <c r="Q2286" s="30" t="n">
        <v>1155.66</v>
      </c>
      <c r="R2286" s="30" t="n">
        <f aca="false">ROUND(O2286*P2286,2)</f>
        <v>11595.64</v>
      </c>
      <c r="S2286" s="30" t="n">
        <f aca="false">ROUND(O2286*Q2286,2)</f>
        <v>8089.62</v>
      </c>
      <c r="T2286" s="30" t="n">
        <f aca="false">ROUND(R2286*SUMIFS(Parametros!$E$23:$E$38,Parametros!$B$23:$B$38,J2286,Parametros!$C$23:$C$38,C2286,Parametros!$D$23:$D$38,D2286),2)</f>
        <v>150.74</v>
      </c>
      <c r="U2286" s="30" t="n">
        <f aca="false">R2286-S2286-T2286</f>
        <v>3355.28</v>
      </c>
    </row>
    <row r="2287" customFormat="false" ht="15" hidden="false" customHeight="false" outlineLevel="0" collapsed="false">
      <c r="A2287" s="0" t="n">
        <v>2286</v>
      </c>
      <c r="B2287" s="27" t="n">
        <v>45980</v>
      </c>
      <c r="C2287" s="0" t="n">
        <v>2025</v>
      </c>
      <c r="D2287" s="28" t="s">
        <v>122</v>
      </c>
      <c r="E2287" s="0" t="n">
        <v>11</v>
      </c>
      <c r="F2287" s="28" t="s">
        <v>125</v>
      </c>
      <c r="G2287" s="28" t="s">
        <v>153</v>
      </c>
      <c r="H2287" s="28" t="s">
        <v>102</v>
      </c>
      <c r="I2287" s="28" t="s">
        <v>103</v>
      </c>
      <c r="J2287" s="28" t="s">
        <v>71</v>
      </c>
      <c r="K2287" s="28" t="s">
        <v>67</v>
      </c>
      <c r="L2287" s="28" t="s">
        <v>130</v>
      </c>
      <c r="M2287" s="28" t="s">
        <v>74</v>
      </c>
      <c r="N2287" s="28" t="s">
        <v>133</v>
      </c>
      <c r="O2287" s="29" t="n">
        <v>6</v>
      </c>
      <c r="P2287" s="30" t="n">
        <v>1656.52</v>
      </c>
      <c r="Q2287" s="30" t="n">
        <v>1155.66</v>
      </c>
      <c r="R2287" s="30" t="n">
        <f aca="false">ROUND(O2287*P2287,2)</f>
        <v>9939.12</v>
      </c>
      <c r="S2287" s="30" t="n">
        <f aca="false">ROUND(O2287*Q2287,2)</f>
        <v>6933.96</v>
      </c>
      <c r="T2287" s="30" t="n">
        <f aca="false">ROUND(R2287*SUMIFS(Parametros!$E$23:$E$38,Parametros!$B$23:$B$38,J2287,Parametros!$C$23:$C$38,C2287,Parametros!$D$23:$D$38,D2287),2)</f>
        <v>516.83</v>
      </c>
      <c r="U2287" s="30" t="n">
        <f aca="false">R2287-S2287-T2287</f>
        <v>2488.33</v>
      </c>
    </row>
    <row r="2288" customFormat="false" ht="15" hidden="false" customHeight="false" outlineLevel="0" collapsed="false">
      <c r="A2288" s="0" t="n">
        <v>2287</v>
      </c>
      <c r="B2288" s="27" t="n">
        <v>45987</v>
      </c>
      <c r="C2288" s="0" t="n">
        <v>2025</v>
      </c>
      <c r="D2288" s="28" t="s">
        <v>122</v>
      </c>
      <c r="E2288" s="0" t="n">
        <v>11</v>
      </c>
      <c r="F2288" s="28" t="s">
        <v>125</v>
      </c>
      <c r="G2288" s="28" t="s">
        <v>153</v>
      </c>
      <c r="H2288" s="28" t="s">
        <v>102</v>
      </c>
      <c r="I2288" s="28" t="s">
        <v>103</v>
      </c>
      <c r="J2288" s="28" t="s">
        <v>66</v>
      </c>
      <c r="K2288" s="28" t="s">
        <v>76</v>
      </c>
      <c r="L2288" s="28" t="s">
        <v>134</v>
      </c>
      <c r="M2288" s="28" t="s">
        <v>78</v>
      </c>
      <c r="N2288" s="28" t="s">
        <v>135</v>
      </c>
      <c r="O2288" s="29" t="n">
        <v>38</v>
      </c>
      <c r="P2288" s="30" t="n">
        <v>28.11</v>
      </c>
      <c r="Q2288" s="30" t="n">
        <v>13.84</v>
      </c>
      <c r="R2288" s="30" t="n">
        <f aca="false">ROUND(O2288*P2288,2)</f>
        <v>1068.18</v>
      </c>
      <c r="S2288" s="30" t="n">
        <f aca="false">ROUND(O2288*Q2288,2)</f>
        <v>525.92</v>
      </c>
      <c r="T2288" s="30" t="n">
        <f aca="false">ROUND(R2288*SUMIFS(Parametros!$E$23:$E$38,Parametros!$B$23:$B$38,J2288,Parametros!$C$23:$C$38,C2288,Parametros!$D$23:$D$38,D2288),2)</f>
        <v>13.89</v>
      </c>
      <c r="U2288" s="30" t="n">
        <f aca="false">R2288-S2288-T2288</f>
        <v>528.37</v>
      </c>
    </row>
    <row r="2289" customFormat="false" ht="15" hidden="false" customHeight="false" outlineLevel="0" collapsed="false">
      <c r="A2289" s="0" t="n">
        <v>2288</v>
      </c>
      <c r="B2289" s="27" t="n">
        <v>45967</v>
      </c>
      <c r="C2289" s="0" t="n">
        <v>2025</v>
      </c>
      <c r="D2289" s="28" t="s">
        <v>122</v>
      </c>
      <c r="E2289" s="0" t="n">
        <v>11</v>
      </c>
      <c r="F2289" s="28" t="s">
        <v>125</v>
      </c>
      <c r="G2289" s="28" t="s">
        <v>153</v>
      </c>
      <c r="H2289" s="28" t="s">
        <v>102</v>
      </c>
      <c r="I2289" s="28" t="s">
        <v>103</v>
      </c>
      <c r="J2289" s="28" t="s">
        <v>71</v>
      </c>
      <c r="K2289" s="28" t="s">
        <v>76</v>
      </c>
      <c r="L2289" s="28" t="s">
        <v>134</v>
      </c>
      <c r="M2289" s="28" t="s">
        <v>78</v>
      </c>
      <c r="N2289" s="28" t="s">
        <v>135</v>
      </c>
      <c r="O2289" s="29" t="n">
        <v>26</v>
      </c>
      <c r="P2289" s="30" t="n">
        <v>28.11</v>
      </c>
      <c r="Q2289" s="30" t="n">
        <v>13.84</v>
      </c>
      <c r="R2289" s="30" t="n">
        <f aca="false">ROUND(O2289*P2289,2)</f>
        <v>730.86</v>
      </c>
      <c r="S2289" s="30" t="n">
        <f aca="false">ROUND(O2289*Q2289,2)</f>
        <v>359.84</v>
      </c>
      <c r="T2289" s="30" t="n">
        <f aca="false">ROUND(R2289*SUMIFS(Parametros!$E$23:$E$38,Parametros!$B$23:$B$38,J2289,Parametros!$C$23:$C$38,C2289,Parametros!$D$23:$D$38,D2289),2)</f>
        <v>38</v>
      </c>
      <c r="U2289" s="30" t="n">
        <f aca="false">R2289-S2289-T2289</f>
        <v>333.02</v>
      </c>
    </row>
    <row r="2290" customFormat="false" ht="15" hidden="false" customHeight="false" outlineLevel="0" collapsed="false">
      <c r="A2290" s="0" t="n">
        <v>2289</v>
      </c>
      <c r="B2290" s="27" t="n">
        <v>45974</v>
      </c>
      <c r="C2290" s="0" t="n">
        <v>2025</v>
      </c>
      <c r="D2290" s="28" t="s">
        <v>122</v>
      </c>
      <c r="E2290" s="0" t="n">
        <v>11</v>
      </c>
      <c r="F2290" s="28" t="s">
        <v>125</v>
      </c>
      <c r="G2290" s="28" t="s">
        <v>153</v>
      </c>
      <c r="H2290" s="28" t="s">
        <v>102</v>
      </c>
      <c r="I2290" s="28" t="s">
        <v>103</v>
      </c>
      <c r="J2290" s="28" t="s">
        <v>66</v>
      </c>
      <c r="K2290" s="28" t="s">
        <v>76</v>
      </c>
      <c r="L2290" s="28" t="s">
        <v>134</v>
      </c>
      <c r="M2290" s="28" t="s">
        <v>80</v>
      </c>
      <c r="N2290" s="28" t="s">
        <v>136</v>
      </c>
      <c r="O2290" s="29" t="n">
        <v>32</v>
      </c>
      <c r="P2290" s="30" t="n">
        <v>95.38</v>
      </c>
      <c r="Q2290" s="30" t="n">
        <v>49.41</v>
      </c>
      <c r="R2290" s="30" t="n">
        <f aca="false">ROUND(O2290*P2290,2)</f>
        <v>3052.16</v>
      </c>
      <c r="S2290" s="30" t="n">
        <f aca="false">ROUND(O2290*Q2290,2)</f>
        <v>1581.12</v>
      </c>
      <c r="T2290" s="30" t="n">
        <f aca="false">ROUND(R2290*SUMIFS(Parametros!$E$23:$E$38,Parametros!$B$23:$B$38,J2290,Parametros!$C$23:$C$38,C2290,Parametros!$D$23:$D$38,D2290),2)</f>
        <v>39.68</v>
      </c>
      <c r="U2290" s="30" t="n">
        <f aca="false">R2290-S2290-T2290</f>
        <v>1431.36</v>
      </c>
    </row>
    <row r="2291" customFormat="false" ht="15" hidden="false" customHeight="false" outlineLevel="0" collapsed="false">
      <c r="A2291" s="0" t="n">
        <v>2290</v>
      </c>
      <c r="B2291" s="27" t="n">
        <v>45981</v>
      </c>
      <c r="C2291" s="0" t="n">
        <v>2025</v>
      </c>
      <c r="D2291" s="28" t="s">
        <v>122</v>
      </c>
      <c r="E2291" s="0" t="n">
        <v>11</v>
      </c>
      <c r="F2291" s="28" t="s">
        <v>125</v>
      </c>
      <c r="G2291" s="28" t="s">
        <v>153</v>
      </c>
      <c r="H2291" s="28" t="s">
        <v>102</v>
      </c>
      <c r="I2291" s="28" t="s">
        <v>103</v>
      </c>
      <c r="J2291" s="28" t="s">
        <v>71</v>
      </c>
      <c r="K2291" s="28" t="s">
        <v>76</v>
      </c>
      <c r="L2291" s="28" t="s">
        <v>134</v>
      </c>
      <c r="M2291" s="28" t="s">
        <v>80</v>
      </c>
      <c r="N2291" s="28" t="s">
        <v>136</v>
      </c>
      <c r="O2291" s="29" t="n">
        <v>23</v>
      </c>
      <c r="P2291" s="30" t="n">
        <v>95.38</v>
      </c>
      <c r="Q2291" s="30" t="n">
        <v>49.41</v>
      </c>
      <c r="R2291" s="30" t="n">
        <f aca="false">ROUND(O2291*P2291,2)</f>
        <v>2193.74</v>
      </c>
      <c r="S2291" s="30" t="n">
        <f aca="false">ROUND(O2291*Q2291,2)</f>
        <v>1136.43</v>
      </c>
      <c r="T2291" s="30" t="n">
        <f aca="false">ROUND(R2291*SUMIFS(Parametros!$E$23:$E$38,Parametros!$B$23:$B$38,J2291,Parametros!$C$23:$C$38,C2291,Parametros!$D$23:$D$38,D2291),2)</f>
        <v>114.07</v>
      </c>
      <c r="U2291" s="30" t="n">
        <f aca="false">R2291-S2291-T2291</f>
        <v>943.24</v>
      </c>
    </row>
    <row r="2292" customFormat="false" ht="15" hidden="false" customHeight="false" outlineLevel="0" collapsed="false">
      <c r="A2292" s="0" t="n">
        <v>2291</v>
      </c>
      <c r="B2292" s="27" t="n">
        <v>45988</v>
      </c>
      <c r="C2292" s="0" t="n">
        <v>2025</v>
      </c>
      <c r="D2292" s="28" t="s">
        <v>122</v>
      </c>
      <c r="E2292" s="0" t="n">
        <v>11</v>
      </c>
      <c r="F2292" s="28" t="s">
        <v>125</v>
      </c>
      <c r="G2292" s="28" t="s">
        <v>153</v>
      </c>
      <c r="H2292" s="28" t="s">
        <v>102</v>
      </c>
      <c r="I2292" s="28" t="s">
        <v>103</v>
      </c>
      <c r="J2292" s="28" t="s">
        <v>66</v>
      </c>
      <c r="K2292" s="28" t="s">
        <v>76</v>
      </c>
      <c r="L2292" s="28" t="s">
        <v>134</v>
      </c>
      <c r="M2292" s="28" t="s">
        <v>82</v>
      </c>
      <c r="N2292" s="28" t="s">
        <v>137</v>
      </c>
      <c r="O2292" s="29" t="n">
        <v>41</v>
      </c>
      <c r="P2292" s="30" t="n">
        <v>65.26</v>
      </c>
      <c r="Q2292" s="30" t="n">
        <v>36.49</v>
      </c>
      <c r="R2292" s="30" t="n">
        <f aca="false">ROUND(O2292*P2292,2)</f>
        <v>2675.66</v>
      </c>
      <c r="S2292" s="30" t="n">
        <f aca="false">ROUND(O2292*Q2292,2)</f>
        <v>1496.09</v>
      </c>
      <c r="T2292" s="30" t="n">
        <f aca="false">ROUND(R2292*SUMIFS(Parametros!$E$23:$E$38,Parametros!$B$23:$B$38,J2292,Parametros!$C$23:$C$38,C2292,Parametros!$D$23:$D$38,D2292),2)</f>
        <v>34.78</v>
      </c>
      <c r="U2292" s="30" t="n">
        <f aca="false">R2292-S2292-T2292</f>
        <v>1144.79</v>
      </c>
    </row>
    <row r="2293" customFormat="false" ht="15" hidden="false" customHeight="false" outlineLevel="0" collapsed="false">
      <c r="A2293" s="0" t="n">
        <v>2292</v>
      </c>
      <c r="B2293" s="27" t="n">
        <v>45968</v>
      </c>
      <c r="C2293" s="0" t="n">
        <v>2025</v>
      </c>
      <c r="D2293" s="28" t="s">
        <v>122</v>
      </c>
      <c r="E2293" s="0" t="n">
        <v>11</v>
      </c>
      <c r="F2293" s="28" t="s">
        <v>125</v>
      </c>
      <c r="G2293" s="28" t="s">
        <v>153</v>
      </c>
      <c r="H2293" s="28" t="s">
        <v>102</v>
      </c>
      <c r="I2293" s="28" t="s">
        <v>103</v>
      </c>
      <c r="J2293" s="28" t="s">
        <v>71</v>
      </c>
      <c r="K2293" s="28" t="s">
        <v>76</v>
      </c>
      <c r="L2293" s="28" t="s">
        <v>134</v>
      </c>
      <c r="M2293" s="28" t="s">
        <v>82</v>
      </c>
      <c r="N2293" s="28" t="s">
        <v>137</v>
      </c>
      <c r="O2293" s="29" t="n">
        <v>24</v>
      </c>
      <c r="P2293" s="30" t="n">
        <v>65.26</v>
      </c>
      <c r="Q2293" s="30" t="n">
        <v>36.49</v>
      </c>
      <c r="R2293" s="30" t="n">
        <f aca="false">ROUND(O2293*P2293,2)</f>
        <v>1566.24</v>
      </c>
      <c r="S2293" s="30" t="n">
        <f aca="false">ROUND(O2293*Q2293,2)</f>
        <v>875.76</v>
      </c>
      <c r="T2293" s="30" t="n">
        <f aca="false">ROUND(R2293*SUMIFS(Parametros!$E$23:$E$38,Parametros!$B$23:$B$38,J2293,Parametros!$C$23:$C$38,C2293,Parametros!$D$23:$D$38,D2293),2)</f>
        <v>81.44</v>
      </c>
      <c r="U2293" s="30" t="n">
        <f aca="false">R2293-S2293-T2293</f>
        <v>609.04</v>
      </c>
    </row>
    <row r="2294" customFormat="false" ht="15" hidden="false" customHeight="false" outlineLevel="0" collapsed="false">
      <c r="A2294" s="0" t="n">
        <v>2293</v>
      </c>
      <c r="B2294" s="27" t="n">
        <v>45975</v>
      </c>
      <c r="C2294" s="0" t="n">
        <v>2025</v>
      </c>
      <c r="D2294" s="28" t="s">
        <v>122</v>
      </c>
      <c r="E2294" s="0" t="n">
        <v>11</v>
      </c>
      <c r="F2294" s="28" t="s">
        <v>125</v>
      </c>
      <c r="G2294" s="28" t="s">
        <v>153</v>
      </c>
      <c r="H2294" s="28" t="s">
        <v>102</v>
      </c>
      <c r="I2294" s="28" t="s">
        <v>103</v>
      </c>
      <c r="J2294" s="28" t="s">
        <v>66</v>
      </c>
      <c r="K2294" s="28" t="s">
        <v>84</v>
      </c>
      <c r="L2294" s="28" t="s">
        <v>138</v>
      </c>
      <c r="M2294" s="28" t="s">
        <v>86</v>
      </c>
      <c r="N2294" s="28" t="s">
        <v>139</v>
      </c>
      <c r="O2294" s="29" t="n">
        <v>18</v>
      </c>
      <c r="P2294" s="30" t="n">
        <v>120.47</v>
      </c>
      <c r="Q2294" s="30" t="n">
        <v>65.51</v>
      </c>
      <c r="R2294" s="30" t="n">
        <f aca="false">ROUND(O2294*P2294,2)</f>
        <v>2168.46</v>
      </c>
      <c r="S2294" s="30" t="n">
        <f aca="false">ROUND(O2294*Q2294,2)</f>
        <v>1179.18</v>
      </c>
      <c r="T2294" s="30" t="n">
        <f aca="false">ROUND(R2294*SUMIFS(Parametros!$E$23:$E$38,Parametros!$B$23:$B$38,J2294,Parametros!$C$23:$C$38,C2294,Parametros!$D$23:$D$38,D2294),2)</f>
        <v>28.19</v>
      </c>
      <c r="U2294" s="30" t="n">
        <f aca="false">R2294-S2294-T2294</f>
        <v>961.09</v>
      </c>
    </row>
    <row r="2295" customFormat="false" ht="15" hidden="false" customHeight="false" outlineLevel="0" collapsed="false">
      <c r="A2295" s="0" t="n">
        <v>2294</v>
      </c>
      <c r="B2295" s="27" t="n">
        <v>45982</v>
      </c>
      <c r="C2295" s="0" t="n">
        <v>2025</v>
      </c>
      <c r="D2295" s="28" t="s">
        <v>122</v>
      </c>
      <c r="E2295" s="0" t="n">
        <v>11</v>
      </c>
      <c r="F2295" s="28" t="s">
        <v>125</v>
      </c>
      <c r="G2295" s="28" t="s">
        <v>153</v>
      </c>
      <c r="H2295" s="28" t="s">
        <v>102</v>
      </c>
      <c r="I2295" s="28" t="s">
        <v>103</v>
      </c>
      <c r="J2295" s="28" t="s">
        <v>71</v>
      </c>
      <c r="K2295" s="28" t="s">
        <v>84</v>
      </c>
      <c r="L2295" s="28" t="s">
        <v>138</v>
      </c>
      <c r="M2295" s="28" t="s">
        <v>86</v>
      </c>
      <c r="N2295" s="28" t="s">
        <v>139</v>
      </c>
      <c r="O2295" s="29" t="n">
        <v>11</v>
      </c>
      <c r="P2295" s="30" t="n">
        <v>120.47</v>
      </c>
      <c r="Q2295" s="30" t="n">
        <v>65.51</v>
      </c>
      <c r="R2295" s="30" t="n">
        <f aca="false">ROUND(O2295*P2295,2)</f>
        <v>1325.17</v>
      </c>
      <c r="S2295" s="30" t="n">
        <f aca="false">ROUND(O2295*Q2295,2)</f>
        <v>720.61</v>
      </c>
      <c r="T2295" s="30" t="n">
        <f aca="false">ROUND(R2295*SUMIFS(Parametros!$E$23:$E$38,Parametros!$B$23:$B$38,J2295,Parametros!$C$23:$C$38,C2295,Parametros!$D$23:$D$38,D2295),2)</f>
        <v>68.91</v>
      </c>
      <c r="U2295" s="30" t="n">
        <f aca="false">R2295-S2295-T2295</f>
        <v>535.65</v>
      </c>
    </row>
    <row r="2296" customFormat="false" ht="15" hidden="false" customHeight="false" outlineLevel="0" collapsed="false">
      <c r="A2296" s="0" t="n">
        <v>2295</v>
      </c>
      <c r="B2296" s="27" t="n">
        <v>45962</v>
      </c>
      <c r="C2296" s="0" t="n">
        <v>2025</v>
      </c>
      <c r="D2296" s="28" t="s">
        <v>122</v>
      </c>
      <c r="E2296" s="0" t="n">
        <v>11</v>
      </c>
      <c r="F2296" s="28" t="s">
        <v>125</v>
      </c>
      <c r="G2296" s="28" t="s">
        <v>153</v>
      </c>
      <c r="H2296" s="28" t="s">
        <v>102</v>
      </c>
      <c r="I2296" s="28" t="s">
        <v>103</v>
      </c>
      <c r="J2296" s="28" t="s">
        <v>66</v>
      </c>
      <c r="K2296" s="28" t="s">
        <v>84</v>
      </c>
      <c r="L2296" s="28" t="s">
        <v>138</v>
      </c>
      <c r="M2296" s="28" t="s">
        <v>88</v>
      </c>
      <c r="N2296" s="28" t="s">
        <v>140</v>
      </c>
      <c r="O2296" s="29" t="n">
        <v>17</v>
      </c>
      <c r="P2296" s="30" t="n">
        <v>85.34</v>
      </c>
      <c r="Q2296" s="30" t="n">
        <v>49.47</v>
      </c>
      <c r="R2296" s="30" t="n">
        <f aca="false">ROUND(O2296*P2296,2)</f>
        <v>1450.78</v>
      </c>
      <c r="S2296" s="30" t="n">
        <f aca="false">ROUND(O2296*Q2296,2)</f>
        <v>840.99</v>
      </c>
      <c r="T2296" s="30" t="n">
        <f aca="false">ROUND(R2296*SUMIFS(Parametros!$E$23:$E$38,Parametros!$B$23:$B$38,J2296,Parametros!$C$23:$C$38,C2296,Parametros!$D$23:$D$38,D2296),2)</f>
        <v>18.86</v>
      </c>
      <c r="U2296" s="30" t="n">
        <f aca="false">R2296-S2296-T2296</f>
        <v>590.93</v>
      </c>
    </row>
    <row r="2297" customFormat="false" ht="15" hidden="false" customHeight="false" outlineLevel="0" collapsed="false">
      <c r="A2297" s="0" t="n">
        <v>2296</v>
      </c>
      <c r="B2297" s="27" t="n">
        <v>45969</v>
      </c>
      <c r="C2297" s="0" t="n">
        <v>2025</v>
      </c>
      <c r="D2297" s="28" t="s">
        <v>122</v>
      </c>
      <c r="E2297" s="0" t="n">
        <v>11</v>
      </c>
      <c r="F2297" s="28" t="s">
        <v>125</v>
      </c>
      <c r="G2297" s="28" t="s">
        <v>153</v>
      </c>
      <c r="H2297" s="28" t="s">
        <v>102</v>
      </c>
      <c r="I2297" s="28" t="s">
        <v>103</v>
      </c>
      <c r="J2297" s="28" t="s">
        <v>71</v>
      </c>
      <c r="K2297" s="28" t="s">
        <v>84</v>
      </c>
      <c r="L2297" s="28" t="s">
        <v>138</v>
      </c>
      <c r="M2297" s="28" t="s">
        <v>88</v>
      </c>
      <c r="N2297" s="28" t="s">
        <v>140</v>
      </c>
      <c r="O2297" s="29" t="n">
        <v>12</v>
      </c>
      <c r="P2297" s="30" t="n">
        <v>85.34</v>
      </c>
      <c r="Q2297" s="30" t="n">
        <v>49.47</v>
      </c>
      <c r="R2297" s="30" t="n">
        <f aca="false">ROUND(O2297*P2297,2)</f>
        <v>1024.08</v>
      </c>
      <c r="S2297" s="30" t="n">
        <f aca="false">ROUND(O2297*Q2297,2)</f>
        <v>593.64</v>
      </c>
      <c r="T2297" s="30" t="n">
        <f aca="false">ROUND(R2297*SUMIFS(Parametros!$E$23:$E$38,Parametros!$B$23:$B$38,J2297,Parametros!$C$23:$C$38,C2297,Parametros!$D$23:$D$38,D2297),2)</f>
        <v>53.25</v>
      </c>
      <c r="U2297" s="30" t="n">
        <f aca="false">R2297-S2297-T2297</f>
        <v>377.19</v>
      </c>
    </row>
    <row r="2298" customFormat="false" ht="15" hidden="false" customHeight="false" outlineLevel="0" collapsed="false">
      <c r="A2298" s="0" t="n">
        <v>2297</v>
      </c>
      <c r="B2298" s="27" t="n">
        <v>45976</v>
      </c>
      <c r="C2298" s="0" t="n">
        <v>2025</v>
      </c>
      <c r="D2298" s="28" t="s">
        <v>122</v>
      </c>
      <c r="E2298" s="0" t="n">
        <v>11</v>
      </c>
      <c r="F2298" s="28" t="s">
        <v>125</v>
      </c>
      <c r="G2298" s="28" t="s">
        <v>153</v>
      </c>
      <c r="H2298" s="28" t="s">
        <v>102</v>
      </c>
      <c r="I2298" s="28" t="s">
        <v>103</v>
      </c>
      <c r="J2298" s="28" t="s">
        <v>66</v>
      </c>
      <c r="K2298" s="28" t="s">
        <v>90</v>
      </c>
      <c r="L2298" s="28" t="s">
        <v>141</v>
      </c>
      <c r="M2298" s="28" t="s">
        <v>92</v>
      </c>
      <c r="N2298" s="28" t="s">
        <v>142</v>
      </c>
      <c r="O2298" s="29" t="n">
        <v>24</v>
      </c>
      <c r="P2298" s="30" t="n">
        <v>130.51</v>
      </c>
      <c r="Q2298" s="30" t="n">
        <v>78.33</v>
      </c>
      <c r="R2298" s="30" t="n">
        <f aca="false">ROUND(O2298*P2298,2)</f>
        <v>3132.24</v>
      </c>
      <c r="S2298" s="30" t="n">
        <f aca="false">ROUND(O2298*Q2298,2)</f>
        <v>1879.92</v>
      </c>
      <c r="T2298" s="30" t="n">
        <f aca="false">ROUND(R2298*SUMIFS(Parametros!$E$23:$E$38,Parametros!$B$23:$B$38,J2298,Parametros!$C$23:$C$38,C2298,Parametros!$D$23:$D$38,D2298),2)</f>
        <v>40.72</v>
      </c>
      <c r="U2298" s="30" t="n">
        <f aca="false">R2298-S2298-T2298</f>
        <v>1211.6</v>
      </c>
    </row>
    <row r="2299" customFormat="false" ht="15" hidden="false" customHeight="false" outlineLevel="0" collapsed="false">
      <c r="A2299" s="0" t="n">
        <v>2298</v>
      </c>
      <c r="B2299" s="27" t="n">
        <v>45983</v>
      </c>
      <c r="C2299" s="0" t="n">
        <v>2025</v>
      </c>
      <c r="D2299" s="28" t="s">
        <v>122</v>
      </c>
      <c r="E2299" s="0" t="n">
        <v>11</v>
      </c>
      <c r="F2299" s="28" t="s">
        <v>125</v>
      </c>
      <c r="G2299" s="28" t="s">
        <v>153</v>
      </c>
      <c r="H2299" s="28" t="s">
        <v>102</v>
      </c>
      <c r="I2299" s="28" t="s">
        <v>103</v>
      </c>
      <c r="J2299" s="28" t="s">
        <v>71</v>
      </c>
      <c r="K2299" s="28" t="s">
        <v>90</v>
      </c>
      <c r="L2299" s="28" t="s">
        <v>141</v>
      </c>
      <c r="M2299" s="28" t="s">
        <v>92</v>
      </c>
      <c r="N2299" s="28" t="s">
        <v>142</v>
      </c>
      <c r="O2299" s="29" t="n">
        <v>12</v>
      </c>
      <c r="P2299" s="30" t="n">
        <v>130.51</v>
      </c>
      <c r="Q2299" s="30" t="n">
        <v>78.33</v>
      </c>
      <c r="R2299" s="30" t="n">
        <f aca="false">ROUND(O2299*P2299,2)</f>
        <v>1566.12</v>
      </c>
      <c r="S2299" s="30" t="n">
        <f aca="false">ROUND(O2299*Q2299,2)</f>
        <v>939.96</v>
      </c>
      <c r="T2299" s="30" t="n">
        <f aca="false">ROUND(R2299*SUMIFS(Parametros!$E$23:$E$38,Parametros!$B$23:$B$38,J2299,Parametros!$C$23:$C$38,C2299,Parametros!$D$23:$D$38,D2299),2)</f>
        <v>81.44</v>
      </c>
      <c r="U2299" s="30" t="n">
        <f aca="false">R2299-S2299-T2299</f>
        <v>544.72</v>
      </c>
    </row>
    <row r="2300" customFormat="false" ht="15" hidden="false" customHeight="false" outlineLevel="0" collapsed="false">
      <c r="A2300" s="0" t="n">
        <v>2299</v>
      </c>
      <c r="B2300" s="27" t="n">
        <v>45963</v>
      </c>
      <c r="C2300" s="0" t="n">
        <v>2025</v>
      </c>
      <c r="D2300" s="28" t="s">
        <v>122</v>
      </c>
      <c r="E2300" s="0" t="n">
        <v>11</v>
      </c>
      <c r="F2300" s="28" t="s">
        <v>125</v>
      </c>
      <c r="G2300" s="28" t="s">
        <v>153</v>
      </c>
      <c r="H2300" s="28" t="s">
        <v>102</v>
      </c>
      <c r="I2300" s="28" t="s">
        <v>103</v>
      </c>
      <c r="J2300" s="28" t="s">
        <v>66</v>
      </c>
      <c r="K2300" s="28" t="s">
        <v>90</v>
      </c>
      <c r="L2300" s="28" t="s">
        <v>141</v>
      </c>
      <c r="M2300" s="28" t="s">
        <v>94</v>
      </c>
      <c r="N2300" s="28" t="s">
        <v>143</v>
      </c>
      <c r="O2300" s="29" t="n">
        <v>19</v>
      </c>
      <c r="P2300" s="30" t="n">
        <v>35.14</v>
      </c>
      <c r="Q2300" s="30" t="n">
        <v>18.39</v>
      </c>
      <c r="R2300" s="30" t="n">
        <f aca="false">ROUND(O2300*P2300,2)</f>
        <v>667.66</v>
      </c>
      <c r="S2300" s="30" t="n">
        <f aca="false">ROUND(O2300*Q2300,2)</f>
        <v>349.41</v>
      </c>
      <c r="T2300" s="30" t="n">
        <f aca="false">ROUND(R2300*SUMIFS(Parametros!$E$23:$E$38,Parametros!$B$23:$B$38,J2300,Parametros!$C$23:$C$38,C2300,Parametros!$D$23:$D$38,D2300),2)</f>
        <v>8.68</v>
      </c>
      <c r="U2300" s="30" t="n">
        <f aca="false">R2300-S2300-T2300</f>
        <v>309.57</v>
      </c>
    </row>
    <row r="2301" customFormat="false" ht="15" hidden="false" customHeight="false" outlineLevel="0" collapsed="false">
      <c r="A2301" s="0" t="n">
        <v>2300</v>
      </c>
      <c r="B2301" s="27" t="n">
        <v>45970</v>
      </c>
      <c r="C2301" s="0" t="n">
        <v>2025</v>
      </c>
      <c r="D2301" s="28" t="s">
        <v>122</v>
      </c>
      <c r="E2301" s="0" t="n">
        <v>11</v>
      </c>
      <c r="F2301" s="28" t="s">
        <v>125</v>
      </c>
      <c r="G2301" s="28" t="s">
        <v>153</v>
      </c>
      <c r="H2301" s="28" t="s">
        <v>102</v>
      </c>
      <c r="I2301" s="28" t="s">
        <v>103</v>
      </c>
      <c r="J2301" s="28" t="s">
        <v>71</v>
      </c>
      <c r="K2301" s="28" t="s">
        <v>90</v>
      </c>
      <c r="L2301" s="28" t="s">
        <v>141</v>
      </c>
      <c r="M2301" s="28" t="s">
        <v>94</v>
      </c>
      <c r="N2301" s="28" t="s">
        <v>143</v>
      </c>
      <c r="O2301" s="29" t="n">
        <v>14</v>
      </c>
      <c r="P2301" s="30" t="n">
        <v>35.14</v>
      </c>
      <c r="Q2301" s="30" t="n">
        <v>18.39</v>
      </c>
      <c r="R2301" s="30" t="n">
        <f aca="false">ROUND(O2301*P2301,2)</f>
        <v>491.96</v>
      </c>
      <c r="S2301" s="30" t="n">
        <f aca="false">ROUND(O2301*Q2301,2)</f>
        <v>257.46</v>
      </c>
      <c r="T2301" s="30" t="n">
        <f aca="false">ROUND(R2301*SUMIFS(Parametros!$E$23:$E$38,Parametros!$B$23:$B$38,J2301,Parametros!$C$23:$C$38,C2301,Parametros!$D$23:$D$38,D2301),2)</f>
        <v>25.58</v>
      </c>
      <c r="U2301" s="30" t="n">
        <f aca="false">R2301-S2301-T2301</f>
        <v>208.92</v>
      </c>
    </row>
    <row r="2302" customFormat="false" ht="15" hidden="false" customHeight="false" outlineLevel="0" collapsed="false">
      <c r="A2302" s="0" t="n">
        <v>2301</v>
      </c>
      <c r="B2302" s="27" t="n">
        <v>46007</v>
      </c>
      <c r="C2302" s="0" t="n">
        <v>2025</v>
      </c>
      <c r="D2302" s="28" t="s">
        <v>122</v>
      </c>
      <c r="E2302" s="0" t="n">
        <v>12</v>
      </c>
      <c r="F2302" s="28" t="s">
        <v>127</v>
      </c>
      <c r="G2302" s="28" t="s">
        <v>154</v>
      </c>
      <c r="H2302" s="28" t="s">
        <v>64</v>
      </c>
      <c r="I2302" s="28" t="s">
        <v>65</v>
      </c>
      <c r="J2302" s="28" t="s">
        <v>66</v>
      </c>
      <c r="K2302" s="28" t="s">
        <v>67</v>
      </c>
      <c r="L2302" s="28" t="s">
        <v>130</v>
      </c>
      <c r="M2302" s="28" t="s">
        <v>69</v>
      </c>
      <c r="N2302" s="28" t="s">
        <v>131</v>
      </c>
      <c r="O2302" s="29" t="n">
        <v>31</v>
      </c>
      <c r="P2302" s="30" t="n">
        <v>1204.74</v>
      </c>
      <c r="Q2302" s="30" t="n">
        <v>766.32</v>
      </c>
      <c r="R2302" s="30" t="n">
        <f aca="false">ROUND(O2302*P2302,2)</f>
        <v>37346.94</v>
      </c>
      <c r="S2302" s="30" t="n">
        <f aca="false">ROUND(O2302*Q2302,2)</f>
        <v>23755.92</v>
      </c>
      <c r="T2302" s="30" t="n">
        <f aca="false">ROUND(R2302*SUMIFS(Parametros!$E$23:$E$38,Parametros!$B$23:$B$38,J2302,Parametros!$C$23:$C$38,C2302,Parametros!$D$23:$D$38,D2302),2)</f>
        <v>485.51</v>
      </c>
      <c r="U2302" s="30" t="n">
        <f aca="false">R2302-S2302-T2302</f>
        <v>13105.51</v>
      </c>
    </row>
    <row r="2303" customFormat="false" ht="15" hidden="false" customHeight="false" outlineLevel="0" collapsed="false">
      <c r="A2303" s="0" t="n">
        <v>2302</v>
      </c>
      <c r="B2303" s="27" t="n">
        <v>46014</v>
      </c>
      <c r="C2303" s="0" t="n">
        <v>2025</v>
      </c>
      <c r="D2303" s="28" t="s">
        <v>122</v>
      </c>
      <c r="E2303" s="0" t="n">
        <v>12</v>
      </c>
      <c r="F2303" s="28" t="s">
        <v>127</v>
      </c>
      <c r="G2303" s="28" t="s">
        <v>154</v>
      </c>
      <c r="H2303" s="28" t="s">
        <v>64</v>
      </c>
      <c r="I2303" s="28" t="s">
        <v>65</v>
      </c>
      <c r="J2303" s="28" t="s">
        <v>71</v>
      </c>
      <c r="K2303" s="28" t="s">
        <v>67</v>
      </c>
      <c r="L2303" s="28" t="s">
        <v>130</v>
      </c>
      <c r="M2303" s="28" t="s">
        <v>69</v>
      </c>
      <c r="N2303" s="28" t="s">
        <v>131</v>
      </c>
      <c r="O2303" s="29" t="n">
        <v>19</v>
      </c>
      <c r="P2303" s="30" t="n">
        <v>1204.74</v>
      </c>
      <c r="Q2303" s="30" t="n">
        <v>766.32</v>
      </c>
      <c r="R2303" s="30" t="n">
        <f aca="false">ROUND(O2303*P2303,2)</f>
        <v>22890.06</v>
      </c>
      <c r="S2303" s="30" t="n">
        <f aca="false">ROUND(O2303*Q2303,2)</f>
        <v>14560.08</v>
      </c>
      <c r="T2303" s="30" t="n">
        <f aca="false">ROUND(R2303*SUMIFS(Parametros!$E$23:$E$38,Parametros!$B$23:$B$38,J2303,Parametros!$C$23:$C$38,C2303,Parametros!$D$23:$D$38,D2303),2)</f>
        <v>1190.28</v>
      </c>
      <c r="U2303" s="30" t="n">
        <f aca="false">R2303-S2303-T2303</f>
        <v>7139.7</v>
      </c>
    </row>
    <row r="2304" customFormat="false" ht="15" hidden="false" customHeight="false" outlineLevel="0" collapsed="false">
      <c r="A2304" s="0" t="n">
        <v>2303</v>
      </c>
      <c r="B2304" s="27" t="n">
        <v>45994</v>
      </c>
      <c r="C2304" s="0" t="n">
        <v>2025</v>
      </c>
      <c r="D2304" s="28" t="s">
        <v>122</v>
      </c>
      <c r="E2304" s="0" t="n">
        <v>12</v>
      </c>
      <c r="F2304" s="28" t="s">
        <v>127</v>
      </c>
      <c r="G2304" s="28" t="s">
        <v>154</v>
      </c>
      <c r="H2304" s="28" t="s">
        <v>64</v>
      </c>
      <c r="I2304" s="28" t="s">
        <v>65</v>
      </c>
      <c r="J2304" s="28" t="s">
        <v>66</v>
      </c>
      <c r="K2304" s="28" t="s">
        <v>67</v>
      </c>
      <c r="L2304" s="28" t="s">
        <v>130</v>
      </c>
      <c r="M2304" s="28" t="s">
        <v>72</v>
      </c>
      <c r="N2304" s="28" t="s">
        <v>132</v>
      </c>
      <c r="O2304" s="29" t="n">
        <v>31</v>
      </c>
      <c r="P2304" s="30" t="n">
        <v>451.78</v>
      </c>
      <c r="Q2304" s="30" t="n">
        <v>280.42</v>
      </c>
      <c r="R2304" s="30" t="n">
        <f aca="false">ROUND(O2304*P2304,2)</f>
        <v>14005.18</v>
      </c>
      <c r="S2304" s="30" t="n">
        <f aca="false">ROUND(O2304*Q2304,2)</f>
        <v>8693.02</v>
      </c>
      <c r="T2304" s="30" t="n">
        <f aca="false">ROUND(R2304*SUMIFS(Parametros!$E$23:$E$38,Parametros!$B$23:$B$38,J2304,Parametros!$C$23:$C$38,C2304,Parametros!$D$23:$D$38,D2304),2)</f>
        <v>182.07</v>
      </c>
      <c r="U2304" s="30" t="n">
        <f aca="false">R2304-S2304-T2304</f>
        <v>5130.09</v>
      </c>
    </row>
    <row r="2305" customFormat="false" ht="15" hidden="false" customHeight="false" outlineLevel="0" collapsed="false">
      <c r="A2305" s="0" t="n">
        <v>2304</v>
      </c>
      <c r="B2305" s="27" t="n">
        <v>46001</v>
      </c>
      <c r="C2305" s="0" t="n">
        <v>2025</v>
      </c>
      <c r="D2305" s="28" t="s">
        <v>122</v>
      </c>
      <c r="E2305" s="0" t="n">
        <v>12</v>
      </c>
      <c r="F2305" s="28" t="s">
        <v>127</v>
      </c>
      <c r="G2305" s="28" t="s">
        <v>154</v>
      </c>
      <c r="H2305" s="28" t="s">
        <v>64</v>
      </c>
      <c r="I2305" s="28" t="s">
        <v>65</v>
      </c>
      <c r="J2305" s="28" t="s">
        <v>71</v>
      </c>
      <c r="K2305" s="28" t="s">
        <v>67</v>
      </c>
      <c r="L2305" s="28" t="s">
        <v>130</v>
      </c>
      <c r="M2305" s="28" t="s">
        <v>72</v>
      </c>
      <c r="N2305" s="28" t="s">
        <v>132</v>
      </c>
      <c r="O2305" s="29" t="n">
        <v>24</v>
      </c>
      <c r="P2305" s="30" t="n">
        <v>451.78</v>
      </c>
      <c r="Q2305" s="30" t="n">
        <v>280.42</v>
      </c>
      <c r="R2305" s="30" t="n">
        <f aca="false">ROUND(O2305*P2305,2)</f>
        <v>10842.72</v>
      </c>
      <c r="S2305" s="30" t="n">
        <f aca="false">ROUND(O2305*Q2305,2)</f>
        <v>6730.08</v>
      </c>
      <c r="T2305" s="30" t="n">
        <f aca="false">ROUND(R2305*SUMIFS(Parametros!$E$23:$E$38,Parametros!$B$23:$B$38,J2305,Parametros!$C$23:$C$38,C2305,Parametros!$D$23:$D$38,D2305),2)</f>
        <v>563.82</v>
      </c>
      <c r="U2305" s="30" t="n">
        <f aca="false">R2305-S2305-T2305</f>
        <v>3548.82</v>
      </c>
    </row>
    <row r="2306" customFormat="false" ht="15" hidden="false" customHeight="false" outlineLevel="0" collapsed="false">
      <c r="A2306" s="0" t="n">
        <v>2305</v>
      </c>
      <c r="B2306" s="27" t="n">
        <v>46008</v>
      </c>
      <c r="C2306" s="0" t="n">
        <v>2025</v>
      </c>
      <c r="D2306" s="28" t="s">
        <v>122</v>
      </c>
      <c r="E2306" s="0" t="n">
        <v>12</v>
      </c>
      <c r="F2306" s="28" t="s">
        <v>127</v>
      </c>
      <c r="G2306" s="28" t="s">
        <v>154</v>
      </c>
      <c r="H2306" s="28" t="s">
        <v>64</v>
      </c>
      <c r="I2306" s="28" t="s">
        <v>65</v>
      </c>
      <c r="J2306" s="28" t="s">
        <v>66</v>
      </c>
      <c r="K2306" s="28" t="s">
        <v>67</v>
      </c>
      <c r="L2306" s="28" t="s">
        <v>130</v>
      </c>
      <c r="M2306" s="28" t="s">
        <v>74</v>
      </c>
      <c r="N2306" s="28" t="s">
        <v>133</v>
      </c>
      <c r="O2306" s="29" t="n">
        <v>34</v>
      </c>
      <c r="P2306" s="30" t="n">
        <v>1656.52</v>
      </c>
      <c r="Q2306" s="30" t="n">
        <v>1155.66</v>
      </c>
      <c r="R2306" s="30" t="n">
        <f aca="false">ROUND(O2306*P2306,2)</f>
        <v>56321.68</v>
      </c>
      <c r="S2306" s="30" t="n">
        <f aca="false">ROUND(O2306*Q2306,2)</f>
        <v>39292.44</v>
      </c>
      <c r="T2306" s="30" t="n">
        <f aca="false">ROUND(R2306*SUMIFS(Parametros!$E$23:$E$38,Parametros!$B$23:$B$38,J2306,Parametros!$C$23:$C$38,C2306,Parametros!$D$23:$D$38,D2306),2)</f>
        <v>732.18</v>
      </c>
      <c r="U2306" s="30" t="n">
        <f aca="false">R2306-S2306-T2306</f>
        <v>16297.06</v>
      </c>
    </row>
    <row r="2307" customFormat="false" ht="15" hidden="false" customHeight="false" outlineLevel="0" collapsed="false">
      <c r="A2307" s="0" t="n">
        <v>2306</v>
      </c>
      <c r="B2307" s="27" t="n">
        <v>46015</v>
      </c>
      <c r="C2307" s="0" t="n">
        <v>2025</v>
      </c>
      <c r="D2307" s="28" t="s">
        <v>122</v>
      </c>
      <c r="E2307" s="0" t="n">
        <v>12</v>
      </c>
      <c r="F2307" s="28" t="s">
        <v>127</v>
      </c>
      <c r="G2307" s="28" t="s">
        <v>154</v>
      </c>
      <c r="H2307" s="28" t="s">
        <v>64</v>
      </c>
      <c r="I2307" s="28" t="s">
        <v>65</v>
      </c>
      <c r="J2307" s="28" t="s">
        <v>71</v>
      </c>
      <c r="K2307" s="28" t="s">
        <v>67</v>
      </c>
      <c r="L2307" s="28" t="s">
        <v>130</v>
      </c>
      <c r="M2307" s="28" t="s">
        <v>74</v>
      </c>
      <c r="N2307" s="28" t="s">
        <v>133</v>
      </c>
      <c r="O2307" s="29" t="n">
        <v>21</v>
      </c>
      <c r="P2307" s="30" t="n">
        <v>1656.52</v>
      </c>
      <c r="Q2307" s="30" t="n">
        <v>1155.66</v>
      </c>
      <c r="R2307" s="30" t="n">
        <f aca="false">ROUND(O2307*P2307,2)</f>
        <v>34786.92</v>
      </c>
      <c r="S2307" s="30" t="n">
        <f aca="false">ROUND(O2307*Q2307,2)</f>
        <v>24268.86</v>
      </c>
      <c r="T2307" s="30" t="n">
        <f aca="false">ROUND(R2307*SUMIFS(Parametros!$E$23:$E$38,Parametros!$B$23:$B$38,J2307,Parametros!$C$23:$C$38,C2307,Parametros!$D$23:$D$38,D2307),2)</f>
        <v>1808.92</v>
      </c>
      <c r="U2307" s="30" t="n">
        <f aca="false">R2307-S2307-T2307</f>
        <v>8709.14</v>
      </c>
    </row>
    <row r="2308" customFormat="false" ht="15" hidden="false" customHeight="false" outlineLevel="0" collapsed="false">
      <c r="A2308" s="0" t="n">
        <v>2307</v>
      </c>
      <c r="B2308" s="27" t="n">
        <v>45995</v>
      </c>
      <c r="C2308" s="0" t="n">
        <v>2025</v>
      </c>
      <c r="D2308" s="28" t="s">
        <v>122</v>
      </c>
      <c r="E2308" s="0" t="n">
        <v>12</v>
      </c>
      <c r="F2308" s="28" t="s">
        <v>127</v>
      </c>
      <c r="G2308" s="28" t="s">
        <v>154</v>
      </c>
      <c r="H2308" s="28" t="s">
        <v>64</v>
      </c>
      <c r="I2308" s="28" t="s">
        <v>65</v>
      </c>
      <c r="J2308" s="28" t="s">
        <v>66</v>
      </c>
      <c r="K2308" s="28" t="s">
        <v>76</v>
      </c>
      <c r="L2308" s="28" t="s">
        <v>134</v>
      </c>
      <c r="M2308" s="28" t="s">
        <v>78</v>
      </c>
      <c r="N2308" s="28" t="s">
        <v>135</v>
      </c>
      <c r="O2308" s="29" t="n">
        <v>119</v>
      </c>
      <c r="P2308" s="30" t="n">
        <v>28.11</v>
      </c>
      <c r="Q2308" s="30" t="n">
        <v>13.84</v>
      </c>
      <c r="R2308" s="30" t="n">
        <f aca="false">ROUND(O2308*P2308,2)</f>
        <v>3345.09</v>
      </c>
      <c r="S2308" s="30" t="n">
        <f aca="false">ROUND(O2308*Q2308,2)</f>
        <v>1646.96</v>
      </c>
      <c r="T2308" s="30" t="n">
        <f aca="false">ROUND(R2308*SUMIFS(Parametros!$E$23:$E$38,Parametros!$B$23:$B$38,J2308,Parametros!$C$23:$C$38,C2308,Parametros!$D$23:$D$38,D2308),2)</f>
        <v>43.49</v>
      </c>
      <c r="U2308" s="30" t="n">
        <f aca="false">R2308-S2308-T2308</f>
        <v>1654.64</v>
      </c>
    </row>
    <row r="2309" customFormat="false" ht="15" hidden="false" customHeight="false" outlineLevel="0" collapsed="false">
      <c r="A2309" s="0" t="n">
        <v>2308</v>
      </c>
      <c r="B2309" s="27" t="n">
        <v>46002</v>
      </c>
      <c r="C2309" s="0" t="n">
        <v>2025</v>
      </c>
      <c r="D2309" s="28" t="s">
        <v>122</v>
      </c>
      <c r="E2309" s="0" t="n">
        <v>12</v>
      </c>
      <c r="F2309" s="28" t="s">
        <v>127</v>
      </c>
      <c r="G2309" s="28" t="s">
        <v>154</v>
      </c>
      <c r="H2309" s="28" t="s">
        <v>64</v>
      </c>
      <c r="I2309" s="28" t="s">
        <v>65</v>
      </c>
      <c r="J2309" s="28" t="s">
        <v>71</v>
      </c>
      <c r="K2309" s="28" t="s">
        <v>76</v>
      </c>
      <c r="L2309" s="28" t="s">
        <v>134</v>
      </c>
      <c r="M2309" s="28" t="s">
        <v>78</v>
      </c>
      <c r="N2309" s="28" t="s">
        <v>135</v>
      </c>
      <c r="O2309" s="29" t="n">
        <v>93</v>
      </c>
      <c r="P2309" s="30" t="n">
        <v>28.11</v>
      </c>
      <c r="Q2309" s="30" t="n">
        <v>13.84</v>
      </c>
      <c r="R2309" s="30" t="n">
        <f aca="false">ROUND(O2309*P2309,2)</f>
        <v>2614.23</v>
      </c>
      <c r="S2309" s="30" t="n">
        <f aca="false">ROUND(O2309*Q2309,2)</f>
        <v>1287.12</v>
      </c>
      <c r="T2309" s="30" t="n">
        <f aca="false">ROUND(R2309*SUMIFS(Parametros!$E$23:$E$38,Parametros!$B$23:$B$38,J2309,Parametros!$C$23:$C$38,C2309,Parametros!$D$23:$D$38,D2309),2)</f>
        <v>135.94</v>
      </c>
      <c r="U2309" s="30" t="n">
        <f aca="false">R2309-S2309-T2309</f>
        <v>1191.17</v>
      </c>
    </row>
    <row r="2310" customFormat="false" ht="15" hidden="false" customHeight="false" outlineLevel="0" collapsed="false">
      <c r="A2310" s="0" t="n">
        <v>2309</v>
      </c>
      <c r="B2310" s="27" t="n">
        <v>46009</v>
      </c>
      <c r="C2310" s="0" t="n">
        <v>2025</v>
      </c>
      <c r="D2310" s="28" t="s">
        <v>122</v>
      </c>
      <c r="E2310" s="0" t="n">
        <v>12</v>
      </c>
      <c r="F2310" s="28" t="s">
        <v>127</v>
      </c>
      <c r="G2310" s="28" t="s">
        <v>154</v>
      </c>
      <c r="H2310" s="28" t="s">
        <v>64</v>
      </c>
      <c r="I2310" s="28" t="s">
        <v>65</v>
      </c>
      <c r="J2310" s="28" t="s">
        <v>66</v>
      </c>
      <c r="K2310" s="28" t="s">
        <v>76</v>
      </c>
      <c r="L2310" s="28" t="s">
        <v>134</v>
      </c>
      <c r="M2310" s="28" t="s">
        <v>80</v>
      </c>
      <c r="N2310" s="28" t="s">
        <v>136</v>
      </c>
      <c r="O2310" s="29" t="n">
        <v>136</v>
      </c>
      <c r="P2310" s="30" t="n">
        <v>95.38</v>
      </c>
      <c r="Q2310" s="30" t="n">
        <v>49.41</v>
      </c>
      <c r="R2310" s="30" t="n">
        <f aca="false">ROUND(O2310*P2310,2)</f>
        <v>12971.68</v>
      </c>
      <c r="S2310" s="30" t="n">
        <f aca="false">ROUND(O2310*Q2310,2)</f>
        <v>6719.76</v>
      </c>
      <c r="T2310" s="30" t="n">
        <f aca="false">ROUND(R2310*SUMIFS(Parametros!$E$23:$E$38,Parametros!$B$23:$B$38,J2310,Parametros!$C$23:$C$38,C2310,Parametros!$D$23:$D$38,D2310),2)</f>
        <v>168.63</v>
      </c>
      <c r="U2310" s="30" t="n">
        <f aca="false">R2310-S2310-T2310</f>
        <v>6083.29</v>
      </c>
    </row>
    <row r="2311" customFormat="false" ht="15" hidden="false" customHeight="false" outlineLevel="0" collapsed="false">
      <c r="A2311" s="0" t="n">
        <v>2310</v>
      </c>
      <c r="B2311" s="27" t="n">
        <v>46016</v>
      </c>
      <c r="C2311" s="0" t="n">
        <v>2025</v>
      </c>
      <c r="D2311" s="28" t="s">
        <v>122</v>
      </c>
      <c r="E2311" s="0" t="n">
        <v>12</v>
      </c>
      <c r="F2311" s="28" t="s">
        <v>127</v>
      </c>
      <c r="G2311" s="28" t="s">
        <v>154</v>
      </c>
      <c r="H2311" s="28" t="s">
        <v>64</v>
      </c>
      <c r="I2311" s="28" t="s">
        <v>65</v>
      </c>
      <c r="J2311" s="28" t="s">
        <v>71</v>
      </c>
      <c r="K2311" s="28" t="s">
        <v>76</v>
      </c>
      <c r="L2311" s="28" t="s">
        <v>134</v>
      </c>
      <c r="M2311" s="28" t="s">
        <v>80</v>
      </c>
      <c r="N2311" s="28" t="s">
        <v>136</v>
      </c>
      <c r="O2311" s="29" t="n">
        <v>103</v>
      </c>
      <c r="P2311" s="30" t="n">
        <v>95.38</v>
      </c>
      <c r="Q2311" s="30" t="n">
        <v>49.41</v>
      </c>
      <c r="R2311" s="30" t="n">
        <f aca="false">ROUND(O2311*P2311,2)</f>
        <v>9824.14</v>
      </c>
      <c r="S2311" s="30" t="n">
        <f aca="false">ROUND(O2311*Q2311,2)</f>
        <v>5089.23</v>
      </c>
      <c r="T2311" s="30" t="n">
        <f aca="false">ROUND(R2311*SUMIFS(Parametros!$E$23:$E$38,Parametros!$B$23:$B$38,J2311,Parametros!$C$23:$C$38,C2311,Parametros!$D$23:$D$38,D2311),2)</f>
        <v>510.86</v>
      </c>
      <c r="U2311" s="30" t="n">
        <f aca="false">R2311-S2311-T2311</f>
        <v>4224.05</v>
      </c>
    </row>
    <row r="2312" customFormat="false" ht="15" hidden="false" customHeight="false" outlineLevel="0" collapsed="false">
      <c r="A2312" s="0" t="n">
        <v>2311</v>
      </c>
      <c r="B2312" s="27" t="n">
        <v>45996</v>
      </c>
      <c r="C2312" s="0" t="n">
        <v>2025</v>
      </c>
      <c r="D2312" s="28" t="s">
        <v>122</v>
      </c>
      <c r="E2312" s="0" t="n">
        <v>12</v>
      </c>
      <c r="F2312" s="28" t="s">
        <v>127</v>
      </c>
      <c r="G2312" s="28" t="s">
        <v>154</v>
      </c>
      <c r="H2312" s="28" t="s">
        <v>64</v>
      </c>
      <c r="I2312" s="28" t="s">
        <v>65</v>
      </c>
      <c r="J2312" s="28" t="s">
        <v>66</v>
      </c>
      <c r="K2312" s="28" t="s">
        <v>76</v>
      </c>
      <c r="L2312" s="28" t="s">
        <v>134</v>
      </c>
      <c r="M2312" s="28" t="s">
        <v>82</v>
      </c>
      <c r="N2312" s="28" t="s">
        <v>137</v>
      </c>
      <c r="O2312" s="29" t="n">
        <v>132</v>
      </c>
      <c r="P2312" s="30" t="n">
        <v>65.26</v>
      </c>
      <c r="Q2312" s="30" t="n">
        <v>36.49</v>
      </c>
      <c r="R2312" s="30" t="n">
        <f aca="false">ROUND(O2312*P2312,2)</f>
        <v>8614.32</v>
      </c>
      <c r="S2312" s="30" t="n">
        <f aca="false">ROUND(O2312*Q2312,2)</f>
        <v>4816.68</v>
      </c>
      <c r="T2312" s="30" t="n">
        <f aca="false">ROUND(R2312*SUMIFS(Parametros!$E$23:$E$38,Parametros!$B$23:$B$38,J2312,Parametros!$C$23:$C$38,C2312,Parametros!$D$23:$D$38,D2312),2)</f>
        <v>111.99</v>
      </c>
      <c r="U2312" s="30" t="n">
        <f aca="false">R2312-S2312-T2312</f>
        <v>3685.65</v>
      </c>
    </row>
    <row r="2313" customFormat="false" ht="15" hidden="false" customHeight="false" outlineLevel="0" collapsed="false">
      <c r="A2313" s="0" t="n">
        <v>2312</v>
      </c>
      <c r="B2313" s="27" t="n">
        <v>46003</v>
      </c>
      <c r="C2313" s="0" t="n">
        <v>2025</v>
      </c>
      <c r="D2313" s="28" t="s">
        <v>122</v>
      </c>
      <c r="E2313" s="0" t="n">
        <v>12</v>
      </c>
      <c r="F2313" s="28" t="s">
        <v>127</v>
      </c>
      <c r="G2313" s="28" t="s">
        <v>154</v>
      </c>
      <c r="H2313" s="28" t="s">
        <v>64</v>
      </c>
      <c r="I2313" s="28" t="s">
        <v>65</v>
      </c>
      <c r="J2313" s="28" t="s">
        <v>71</v>
      </c>
      <c r="K2313" s="28" t="s">
        <v>76</v>
      </c>
      <c r="L2313" s="28" t="s">
        <v>134</v>
      </c>
      <c r="M2313" s="28" t="s">
        <v>82</v>
      </c>
      <c r="N2313" s="28" t="s">
        <v>137</v>
      </c>
      <c r="O2313" s="29" t="n">
        <v>83</v>
      </c>
      <c r="P2313" s="30" t="n">
        <v>65.26</v>
      </c>
      <c r="Q2313" s="30" t="n">
        <v>36.49</v>
      </c>
      <c r="R2313" s="30" t="n">
        <f aca="false">ROUND(O2313*P2313,2)</f>
        <v>5416.58</v>
      </c>
      <c r="S2313" s="30" t="n">
        <f aca="false">ROUND(O2313*Q2313,2)</f>
        <v>3028.67</v>
      </c>
      <c r="T2313" s="30" t="n">
        <f aca="false">ROUND(R2313*SUMIFS(Parametros!$E$23:$E$38,Parametros!$B$23:$B$38,J2313,Parametros!$C$23:$C$38,C2313,Parametros!$D$23:$D$38,D2313),2)</f>
        <v>281.66</v>
      </c>
      <c r="U2313" s="30" t="n">
        <f aca="false">R2313-S2313-T2313</f>
        <v>2106.25</v>
      </c>
    </row>
    <row r="2314" customFormat="false" ht="15" hidden="false" customHeight="false" outlineLevel="0" collapsed="false">
      <c r="A2314" s="0" t="n">
        <v>2313</v>
      </c>
      <c r="B2314" s="27" t="n">
        <v>46010</v>
      </c>
      <c r="C2314" s="0" t="n">
        <v>2025</v>
      </c>
      <c r="D2314" s="28" t="s">
        <v>122</v>
      </c>
      <c r="E2314" s="0" t="n">
        <v>12</v>
      </c>
      <c r="F2314" s="28" t="s">
        <v>127</v>
      </c>
      <c r="G2314" s="28" t="s">
        <v>154</v>
      </c>
      <c r="H2314" s="28" t="s">
        <v>64</v>
      </c>
      <c r="I2314" s="28" t="s">
        <v>65</v>
      </c>
      <c r="J2314" s="28" t="s">
        <v>66</v>
      </c>
      <c r="K2314" s="28" t="s">
        <v>84</v>
      </c>
      <c r="L2314" s="28" t="s">
        <v>138</v>
      </c>
      <c r="M2314" s="28" t="s">
        <v>86</v>
      </c>
      <c r="N2314" s="28" t="s">
        <v>139</v>
      </c>
      <c r="O2314" s="29" t="n">
        <v>56</v>
      </c>
      <c r="P2314" s="30" t="n">
        <v>120.47</v>
      </c>
      <c r="Q2314" s="30" t="n">
        <v>65.51</v>
      </c>
      <c r="R2314" s="30" t="n">
        <f aca="false">ROUND(O2314*P2314,2)</f>
        <v>6746.32</v>
      </c>
      <c r="S2314" s="30" t="n">
        <f aca="false">ROUND(O2314*Q2314,2)</f>
        <v>3668.56</v>
      </c>
      <c r="T2314" s="30" t="n">
        <f aca="false">ROUND(R2314*SUMIFS(Parametros!$E$23:$E$38,Parametros!$B$23:$B$38,J2314,Parametros!$C$23:$C$38,C2314,Parametros!$D$23:$D$38,D2314),2)</f>
        <v>87.7</v>
      </c>
      <c r="U2314" s="30" t="n">
        <f aca="false">R2314-S2314-T2314</f>
        <v>2990.06</v>
      </c>
    </row>
    <row r="2315" customFormat="false" ht="15" hidden="false" customHeight="false" outlineLevel="0" collapsed="false">
      <c r="A2315" s="0" t="n">
        <v>2314</v>
      </c>
      <c r="B2315" s="27" t="n">
        <v>46017</v>
      </c>
      <c r="C2315" s="0" t="n">
        <v>2025</v>
      </c>
      <c r="D2315" s="28" t="s">
        <v>122</v>
      </c>
      <c r="E2315" s="0" t="n">
        <v>12</v>
      </c>
      <c r="F2315" s="28" t="s">
        <v>127</v>
      </c>
      <c r="G2315" s="28" t="s">
        <v>154</v>
      </c>
      <c r="H2315" s="28" t="s">
        <v>64</v>
      </c>
      <c r="I2315" s="28" t="s">
        <v>65</v>
      </c>
      <c r="J2315" s="28" t="s">
        <v>71</v>
      </c>
      <c r="K2315" s="28" t="s">
        <v>84</v>
      </c>
      <c r="L2315" s="28" t="s">
        <v>138</v>
      </c>
      <c r="M2315" s="28" t="s">
        <v>86</v>
      </c>
      <c r="N2315" s="28" t="s">
        <v>139</v>
      </c>
      <c r="O2315" s="29" t="n">
        <v>47</v>
      </c>
      <c r="P2315" s="30" t="n">
        <v>120.47</v>
      </c>
      <c r="Q2315" s="30" t="n">
        <v>65.51</v>
      </c>
      <c r="R2315" s="30" t="n">
        <f aca="false">ROUND(O2315*P2315,2)</f>
        <v>5662.09</v>
      </c>
      <c r="S2315" s="30" t="n">
        <f aca="false">ROUND(O2315*Q2315,2)</f>
        <v>3078.97</v>
      </c>
      <c r="T2315" s="30" t="n">
        <f aca="false">ROUND(R2315*SUMIFS(Parametros!$E$23:$E$38,Parametros!$B$23:$B$38,J2315,Parametros!$C$23:$C$38,C2315,Parametros!$D$23:$D$38,D2315),2)</f>
        <v>294.43</v>
      </c>
      <c r="U2315" s="30" t="n">
        <f aca="false">R2315-S2315-T2315</f>
        <v>2288.69</v>
      </c>
    </row>
    <row r="2316" customFormat="false" ht="15" hidden="false" customHeight="false" outlineLevel="0" collapsed="false">
      <c r="A2316" s="0" t="n">
        <v>2315</v>
      </c>
      <c r="B2316" s="27" t="n">
        <v>45997</v>
      </c>
      <c r="C2316" s="0" t="n">
        <v>2025</v>
      </c>
      <c r="D2316" s="28" t="s">
        <v>122</v>
      </c>
      <c r="E2316" s="0" t="n">
        <v>12</v>
      </c>
      <c r="F2316" s="28" t="s">
        <v>127</v>
      </c>
      <c r="G2316" s="28" t="s">
        <v>154</v>
      </c>
      <c r="H2316" s="28" t="s">
        <v>64</v>
      </c>
      <c r="I2316" s="28" t="s">
        <v>65</v>
      </c>
      <c r="J2316" s="28" t="s">
        <v>66</v>
      </c>
      <c r="K2316" s="28" t="s">
        <v>84</v>
      </c>
      <c r="L2316" s="28" t="s">
        <v>138</v>
      </c>
      <c r="M2316" s="28" t="s">
        <v>88</v>
      </c>
      <c r="N2316" s="28" t="s">
        <v>140</v>
      </c>
      <c r="O2316" s="29" t="n">
        <v>68</v>
      </c>
      <c r="P2316" s="30" t="n">
        <v>85.34</v>
      </c>
      <c r="Q2316" s="30" t="n">
        <v>49.47</v>
      </c>
      <c r="R2316" s="30" t="n">
        <f aca="false">ROUND(O2316*P2316,2)</f>
        <v>5803.12</v>
      </c>
      <c r="S2316" s="30" t="n">
        <f aca="false">ROUND(O2316*Q2316,2)</f>
        <v>3363.96</v>
      </c>
      <c r="T2316" s="30" t="n">
        <f aca="false">ROUND(R2316*SUMIFS(Parametros!$E$23:$E$38,Parametros!$B$23:$B$38,J2316,Parametros!$C$23:$C$38,C2316,Parametros!$D$23:$D$38,D2316),2)</f>
        <v>75.44</v>
      </c>
      <c r="U2316" s="30" t="n">
        <f aca="false">R2316-S2316-T2316</f>
        <v>2363.72</v>
      </c>
    </row>
    <row r="2317" customFormat="false" ht="15" hidden="false" customHeight="false" outlineLevel="0" collapsed="false">
      <c r="A2317" s="0" t="n">
        <v>2316</v>
      </c>
      <c r="B2317" s="27" t="n">
        <v>46004</v>
      </c>
      <c r="C2317" s="0" t="n">
        <v>2025</v>
      </c>
      <c r="D2317" s="28" t="s">
        <v>122</v>
      </c>
      <c r="E2317" s="0" t="n">
        <v>12</v>
      </c>
      <c r="F2317" s="28" t="s">
        <v>127</v>
      </c>
      <c r="G2317" s="28" t="s">
        <v>154</v>
      </c>
      <c r="H2317" s="28" t="s">
        <v>64</v>
      </c>
      <c r="I2317" s="28" t="s">
        <v>65</v>
      </c>
      <c r="J2317" s="28" t="s">
        <v>71</v>
      </c>
      <c r="K2317" s="28" t="s">
        <v>84</v>
      </c>
      <c r="L2317" s="28" t="s">
        <v>138</v>
      </c>
      <c r="M2317" s="28" t="s">
        <v>88</v>
      </c>
      <c r="N2317" s="28" t="s">
        <v>140</v>
      </c>
      <c r="O2317" s="29" t="n">
        <v>50</v>
      </c>
      <c r="P2317" s="30" t="n">
        <v>85.34</v>
      </c>
      <c r="Q2317" s="30" t="n">
        <v>49.47</v>
      </c>
      <c r="R2317" s="30" t="n">
        <f aca="false">ROUND(O2317*P2317,2)</f>
        <v>4267</v>
      </c>
      <c r="S2317" s="30" t="n">
        <f aca="false">ROUND(O2317*Q2317,2)</f>
        <v>2473.5</v>
      </c>
      <c r="T2317" s="30" t="n">
        <f aca="false">ROUND(R2317*SUMIFS(Parametros!$E$23:$E$38,Parametros!$B$23:$B$38,J2317,Parametros!$C$23:$C$38,C2317,Parametros!$D$23:$D$38,D2317),2)</f>
        <v>221.88</v>
      </c>
      <c r="U2317" s="30" t="n">
        <f aca="false">R2317-S2317-T2317</f>
        <v>1571.62</v>
      </c>
    </row>
    <row r="2318" customFormat="false" ht="15" hidden="false" customHeight="false" outlineLevel="0" collapsed="false">
      <c r="A2318" s="0" t="n">
        <v>2317</v>
      </c>
      <c r="B2318" s="27" t="n">
        <v>46011</v>
      </c>
      <c r="C2318" s="0" t="n">
        <v>2025</v>
      </c>
      <c r="D2318" s="28" t="s">
        <v>122</v>
      </c>
      <c r="E2318" s="0" t="n">
        <v>12</v>
      </c>
      <c r="F2318" s="28" t="s">
        <v>127</v>
      </c>
      <c r="G2318" s="28" t="s">
        <v>154</v>
      </c>
      <c r="H2318" s="28" t="s">
        <v>64</v>
      </c>
      <c r="I2318" s="28" t="s">
        <v>65</v>
      </c>
      <c r="J2318" s="28" t="s">
        <v>66</v>
      </c>
      <c r="K2318" s="28" t="s">
        <v>90</v>
      </c>
      <c r="L2318" s="28" t="s">
        <v>141</v>
      </c>
      <c r="M2318" s="28" t="s">
        <v>92</v>
      </c>
      <c r="N2318" s="28" t="s">
        <v>142</v>
      </c>
      <c r="O2318" s="29" t="n">
        <v>71</v>
      </c>
      <c r="P2318" s="30" t="n">
        <v>130.51</v>
      </c>
      <c r="Q2318" s="30" t="n">
        <v>78.33</v>
      </c>
      <c r="R2318" s="30" t="n">
        <f aca="false">ROUND(O2318*P2318,2)</f>
        <v>9266.21</v>
      </c>
      <c r="S2318" s="30" t="n">
        <f aca="false">ROUND(O2318*Q2318,2)</f>
        <v>5561.43</v>
      </c>
      <c r="T2318" s="30" t="n">
        <f aca="false">ROUND(R2318*SUMIFS(Parametros!$E$23:$E$38,Parametros!$B$23:$B$38,J2318,Parametros!$C$23:$C$38,C2318,Parametros!$D$23:$D$38,D2318),2)</f>
        <v>120.46</v>
      </c>
      <c r="U2318" s="30" t="n">
        <f aca="false">R2318-S2318-T2318</f>
        <v>3584.32</v>
      </c>
    </row>
    <row r="2319" customFormat="false" ht="15" hidden="false" customHeight="false" outlineLevel="0" collapsed="false">
      <c r="A2319" s="0" t="n">
        <v>2318</v>
      </c>
      <c r="B2319" s="27" t="n">
        <v>46018</v>
      </c>
      <c r="C2319" s="0" t="n">
        <v>2025</v>
      </c>
      <c r="D2319" s="28" t="s">
        <v>122</v>
      </c>
      <c r="E2319" s="0" t="n">
        <v>12</v>
      </c>
      <c r="F2319" s="28" t="s">
        <v>127</v>
      </c>
      <c r="G2319" s="28" t="s">
        <v>154</v>
      </c>
      <c r="H2319" s="28" t="s">
        <v>64</v>
      </c>
      <c r="I2319" s="28" t="s">
        <v>65</v>
      </c>
      <c r="J2319" s="28" t="s">
        <v>71</v>
      </c>
      <c r="K2319" s="28" t="s">
        <v>90</v>
      </c>
      <c r="L2319" s="28" t="s">
        <v>141</v>
      </c>
      <c r="M2319" s="28" t="s">
        <v>92</v>
      </c>
      <c r="N2319" s="28" t="s">
        <v>142</v>
      </c>
      <c r="O2319" s="29" t="n">
        <v>59</v>
      </c>
      <c r="P2319" s="30" t="n">
        <v>130.51</v>
      </c>
      <c r="Q2319" s="30" t="n">
        <v>78.33</v>
      </c>
      <c r="R2319" s="30" t="n">
        <f aca="false">ROUND(O2319*P2319,2)</f>
        <v>7700.09</v>
      </c>
      <c r="S2319" s="30" t="n">
        <f aca="false">ROUND(O2319*Q2319,2)</f>
        <v>4621.47</v>
      </c>
      <c r="T2319" s="30" t="n">
        <f aca="false">ROUND(R2319*SUMIFS(Parametros!$E$23:$E$38,Parametros!$B$23:$B$38,J2319,Parametros!$C$23:$C$38,C2319,Parametros!$D$23:$D$38,D2319),2)</f>
        <v>400.4</v>
      </c>
      <c r="U2319" s="30" t="n">
        <f aca="false">R2319-S2319-T2319</f>
        <v>2678.22</v>
      </c>
    </row>
    <row r="2320" customFormat="false" ht="15" hidden="false" customHeight="false" outlineLevel="0" collapsed="false">
      <c r="A2320" s="0" t="n">
        <v>2319</v>
      </c>
      <c r="B2320" s="27" t="n">
        <v>45998</v>
      </c>
      <c r="C2320" s="0" t="n">
        <v>2025</v>
      </c>
      <c r="D2320" s="28" t="s">
        <v>122</v>
      </c>
      <c r="E2320" s="0" t="n">
        <v>12</v>
      </c>
      <c r="F2320" s="28" t="s">
        <v>127</v>
      </c>
      <c r="G2320" s="28" t="s">
        <v>154</v>
      </c>
      <c r="H2320" s="28" t="s">
        <v>64</v>
      </c>
      <c r="I2320" s="28" t="s">
        <v>65</v>
      </c>
      <c r="J2320" s="28" t="s">
        <v>66</v>
      </c>
      <c r="K2320" s="28" t="s">
        <v>90</v>
      </c>
      <c r="L2320" s="28" t="s">
        <v>141</v>
      </c>
      <c r="M2320" s="28" t="s">
        <v>94</v>
      </c>
      <c r="N2320" s="28" t="s">
        <v>143</v>
      </c>
      <c r="O2320" s="29" t="n">
        <v>88</v>
      </c>
      <c r="P2320" s="30" t="n">
        <v>35.14</v>
      </c>
      <c r="Q2320" s="30" t="n">
        <v>18.39</v>
      </c>
      <c r="R2320" s="30" t="n">
        <f aca="false">ROUND(O2320*P2320,2)</f>
        <v>3092.32</v>
      </c>
      <c r="S2320" s="30" t="n">
        <f aca="false">ROUND(O2320*Q2320,2)</f>
        <v>1618.32</v>
      </c>
      <c r="T2320" s="30" t="n">
        <f aca="false">ROUND(R2320*SUMIFS(Parametros!$E$23:$E$38,Parametros!$B$23:$B$38,J2320,Parametros!$C$23:$C$38,C2320,Parametros!$D$23:$D$38,D2320),2)</f>
        <v>40.2</v>
      </c>
      <c r="U2320" s="30" t="n">
        <f aca="false">R2320-S2320-T2320</f>
        <v>1433.8</v>
      </c>
    </row>
    <row r="2321" customFormat="false" ht="15" hidden="false" customHeight="false" outlineLevel="0" collapsed="false">
      <c r="A2321" s="0" t="n">
        <v>2320</v>
      </c>
      <c r="B2321" s="27" t="n">
        <v>46005</v>
      </c>
      <c r="C2321" s="0" t="n">
        <v>2025</v>
      </c>
      <c r="D2321" s="28" t="s">
        <v>122</v>
      </c>
      <c r="E2321" s="0" t="n">
        <v>12</v>
      </c>
      <c r="F2321" s="28" t="s">
        <v>127</v>
      </c>
      <c r="G2321" s="28" t="s">
        <v>154</v>
      </c>
      <c r="H2321" s="28" t="s">
        <v>64</v>
      </c>
      <c r="I2321" s="28" t="s">
        <v>65</v>
      </c>
      <c r="J2321" s="28" t="s">
        <v>71</v>
      </c>
      <c r="K2321" s="28" t="s">
        <v>90</v>
      </c>
      <c r="L2321" s="28" t="s">
        <v>141</v>
      </c>
      <c r="M2321" s="28" t="s">
        <v>94</v>
      </c>
      <c r="N2321" s="28" t="s">
        <v>143</v>
      </c>
      <c r="O2321" s="29" t="n">
        <v>47</v>
      </c>
      <c r="P2321" s="30" t="n">
        <v>35.14</v>
      </c>
      <c r="Q2321" s="30" t="n">
        <v>18.39</v>
      </c>
      <c r="R2321" s="30" t="n">
        <f aca="false">ROUND(O2321*P2321,2)</f>
        <v>1651.58</v>
      </c>
      <c r="S2321" s="30" t="n">
        <f aca="false">ROUND(O2321*Q2321,2)</f>
        <v>864.33</v>
      </c>
      <c r="T2321" s="30" t="n">
        <f aca="false">ROUND(R2321*SUMIFS(Parametros!$E$23:$E$38,Parametros!$B$23:$B$38,J2321,Parametros!$C$23:$C$38,C2321,Parametros!$D$23:$D$38,D2321),2)</f>
        <v>85.88</v>
      </c>
      <c r="U2321" s="30" t="n">
        <f aca="false">R2321-S2321-T2321</f>
        <v>701.37</v>
      </c>
    </row>
    <row r="2322" customFormat="false" ht="15" hidden="false" customHeight="false" outlineLevel="0" collapsed="false">
      <c r="A2322" s="0" t="n">
        <v>2321</v>
      </c>
      <c r="B2322" s="27" t="n">
        <v>46012</v>
      </c>
      <c r="C2322" s="0" t="n">
        <v>2025</v>
      </c>
      <c r="D2322" s="28" t="s">
        <v>122</v>
      </c>
      <c r="E2322" s="0" t="n">
        <v>12</v>
      </c>
      <c r="F2322" s="28" t="s">
        <v>127</v>
      </c>
      <c r="G2322" s="28" t="s">
        <v>154</v>
      </c>
      <c r="H2322" s="28" t="s">
        <v>96</v>
      </c>
      <c r="I2322" s="28" t="s">
        <v>97</v>
      </c>
      <c r="J2322" s="28" t="s">
        <v>66</v>
      </c>
      <c r="K2322" s="28" t="s">
        <v>67</v>
      </c>
      <c r="L2322" s="28" t="s">
        <v>130</v>
      </c>
      <c r="M2322" s="28" t="s">
        <v>69</v>
      </c>
      <c r="N2322" s="28" t="s">
        <v>131</v>
      </c>
      <c r="O2322" s="29" t="n">
        <v>15</v>
      </c>
      <c r="P2322" s="30" t="n">
        <v>1204.74</v>
      </c>
      <c r="Q2322" s="30" t="n">
        <v>766.32</v>
      </c>
      <c r="R2322" s="30" t="n">
        <f aca="false">ROUND(O2322*P2322,2)</f>
        <v>18071.1</v>
      </c>
      <c r="S2322" s="30" t="n">
        <f aca="false">ROUND(O2322*Q2322,2)</f>
        <v>11494.8</v>
      </c>
      <c r="T2322" s="30" t="n">
        <f aca="false">ROUND(R2322*SUMIFS(Parametros!$E$23:$E$38,Parametros!$B$23:$B$38,J2322,Parametros!$C$23:$C$38,C2322,Parametros!$D$23:$D$38,D2322),2)</f>
        <v>234.92</v>
      </c>
      <c r="U2322" s="30" t="n">
        <f aca="false">R2322-S2322-T2322</f>
        <v>6341.38</v>
      </c>
    </row>
    <row r="2323" customFormat="false" ht="15" hidden="false" customHeight="false" outlineLevel="0" collapsed="false">
      <c r="A2323" s="0" t="n">
        <v>2322</v>
      </c>
      <c r="B2323" s="27" t="n">
        <v>45992</v>
      </c>
      <c r="C2323" s="0" t="n">
        <v>2025</v>
      </c>
      <c r="D2323" s="28" t="s">
        <v>122</v>
      </c>
      <c r="E2323" s="0" t="n">
        <v>12</v>
      </c>
      <c r="F2323" s="28" t="s">
        <v>127</v>
      </c>
      <c r="G2323" s="28" t="s">
        <v>154</v>
      </c>
      <c r="H2323" s="28" t="s">
        <v>96</v>
      </c>
      <c r="I2323" s="28" t="s">
        <v>97</v>
      </c>
      <c r="J2323" s="28" t="s">
        <v>71</v>
      </c>
      <c r="K2323" s="28" t="s">
        <v>67</v>
      </c>
      <c r="L2323" s="28" t="s">
        <v>130</v>
      </c>
      <c r="M2323" s="28" t="s">
        <v>69</v>
      </c>
      <c r="N2323" s="28" t="s">
        <v>131</v>
      </c>
      <c r="O2323" s="29" t="n">
        <v>12</v>
      </c>
      <c r="P2323" s="30" t="n">
        <v>1204.74</v>
      </c>
      <c r="Q2323" s="30" t="n">
        <v>766.32</v>
      </c>
      <c r="R2323" s="30" t="n">
        <f aca="false">ROUND(O2323*P2323,2)</f>
        <v>14456.88</v>
      </c>
      <c r="S2323" s="30" t="n">
        <f aca="false">ROUND(O2323*Q2323,2)</f>
        <v>9195.84</v>
      </c>
      <c r="T2323" s="30" t="n">
        <f aca="false">ROUND(R2323*SUMIFS(Parametros!$E$23:$E$38,Parametros!$B$23:$B$38,J2323,Parametros!$C$23:$C$38,C2323,Parametros!$D$23:$D$38,D2323),2)</f>
        <v>751.76</v>
      </c>
      <c r="U2323" s="30" t="n">
        <f aca="false">R2323-S2323-T2323</f>
        <v>4509.28</v>
      </c>
    </row>
    <row r="2324" customFormat="false" ht="15" hidden="false" customHeight="false" outlineLevel="0" collapsed="false">
      <c r="A2324" s="0" t="n">
        <v>2323</v>
      </c>
      <c r="B2324" s="27" t="n">
        <v>45999</v>
      </c>
      <c r="C2324" s="0" t="n">
        <v>2025</v>
      </c>
      <c r="D2324" s="28" t="s">
        <v>122</v>
      </c>
      <c r="E2324" s="0" t="n">
        <v>12</v>
      </c>
      <c r="F2324" s="28" t="s">
        <v>127</v>
      </c>
      <c r="G2324" s="28" t="s">
        <v>154</v>
      </c>
      <c r="H2324" s="28" t="s">
        <v>96</v>
      </c>
      <c r="I2324" s="28" t="s">
        <v>97</v>
      </c>
      <c r="J2324" s="28" t="s">
        <v>66</v>
      </c>
      <c r="K2324" s="28" t="s">
        <v>67</v>
      </c>
      <c r="L2324" s="28" t="s">
        <v>130</v>
      </c>
      <c r="M2324" s="28" t="s">
        <v>72</v>
      </c>
      <c r="N2324" s="28" t="s">
        <v>132</v>
      </c>
      <c r="O2324" s="29" t="n">
        <v>18</v>
      </c>
      <c r="P2324" s="30" t="n">
        <v>451.78</v>
      </c>
      <c r="Q2324" s="30" t="n">
        <v>280.42</v>
      </c>
      <c r="R2324" s="30" t="n">
        <f aca="false">ROUND(O2324*P2324,2)</f>
        <v>8132.04</v>
      </c>
      <c r="S2324" s="30" t="n">
        <f aca="false">ROUND(O2324*Q2324,2)</f>
        <v>5047.56</v>
      </c>
      <c r="T2324" s="30" t="n">
        <f aca="false">ROUND(R2324*SUMIFS(Parametros!$E$23:$E$38,Parametros!$B$23:$B$38,J2324,Parametros!$C$23:$C$38,C2324,Parametros!$D$23:$D$38,D2324),2)</f>
        <v>105.72</v>
      </c>
      <c r="U2324" s="30" t="n">
        <f aca="false">R2324-S2324-T2324</f>
        <v>2978.76</v>
      </c>
    </row>
    <row r="2325" customFormat="false" ht="15" hidden="false" customHeight="false" outlineLevel="0" collapsed="false">
      <c r="A2325" s="0" t="n">
        <v>2324</v>
      </c>
      <c r="B2325" s="27" t="n">
        <v>46006</v>
      </c>
      <c r="C2325" s="0" t="n">
        <v>2025</v>
      </c>
      <c r="D2325" s="28" t="s">
        <v>122</v>
      </c>
      <c r="E2325" s="0" t="n">
        <v>12</v>
      </c>
      <c r="F2325" s="28" t="s">
        <v>127</v>
      </c>
      <c r="G2325" s="28" t="s">
        <v>154</v>
      </c>
      <c r="H2325" s="28" t="s">
        <v>96</v>
      </c>
      <c r="I2325" s="28" t="s">
        <v>97</v>
      </c>
      <c r="J2325" s="28" t="s">
        <v>71</v>
      </c>
      <c r="K2325" s="28" t="s">
        <v>67</v>
      </c>
      <c r="L2325" s="28" t="s">
        <v>130</v>
      </c>
      <c r="M2325" s="28" t="s">
        <v>72</v>
      </c>
      <c r="N2325" s="28" t="s">
        <v>132</v>
      </c>
      <c r="O2325" s="29" t="n">
        <v>12</v>
      </c>
      <c r="P2325" s="30" t="n">
        <v>451.78</v>
      </c>
      <c r="Q2325" s="30" t="n">
        <v>280.42</v>
      </c>
      <c r="R2325" s="30" t="n">
        <f aca="false">ROUND(O2325*P2325,2)</f>
        <v>5421.36</v>
      </c>
      <c r="S2325" s="30" t="n">
        <f aca="false">ROUND(O2325*Q2325,2)</f>
        <v>3365.04</v>
      </c>
      <c r="T2325" s="30" t="n">
        <f aca="false">ROUND(R2325*SUMIFS(Parametros!$E$23:$E$38,Parametros!$B$23:$B$38,J2325,Parametros!$C$23:$C$38,C2325,Parametros!$D$23:$D$38,D2325),2)</f>
        <v>281.91</v>
      </c>
      <c r="U2325" s="30" t="n">
        <f aca="false">R2325-S2325-T2325</f>
        <v>1774.41</v>
      </c>
    </row>
    <row r="2326" customFormat="false" ht="15" hidden="false" customHeight="false" outlineLevel="0" collapsed="false">
      <c r="A2326" s="0" t="n">
        <v>2325</v>
      </c>
      <c r="B2326" s="27" t="n">
        <v>46013</v>
      </c>
      <c r="C2326" s="0" t="n">
        <v>2025</v>
      </c>
      <c r="D2326" s="28" t="s">
        <v>122</v>
      </c>
      <c r="E2326" s="0" t="n">
        <v>12</v>
      </c>
      <c r="F2326" s="28" t="s">
        <v>127</v>
      </c>
      <c r="G2326" s="28" t="s">
        <v>154</v>
      </c>
      <c r="H2326" s="28" t="s">
        <v>96</v>
      </c>
      <c r="I2326" s="28" t="s">
        <v>97</v>
      </c>
      <c r="J2326" s="28" t="s">
        <v>66</v>
      </c>
      <c r="K2326" s="28" t="s">
        <v>67</v>
      </c>
      <c r="L2326" s="28" t="s">
        <v>130</v>
      </c>
      <c r="M2326" s="28" t="s">
        <v>74</v>
      </c>
      <c r="N2326" s="28" t="s">
        <v>133</v>
      </c>
      <c r="O2326" s="29" t="n">
        <v>19</v>
      </c>
      <c r="P2326" s="30" t="n">
        <v>1656.52</v>
      </c>
      <c r="Q2326" s="30" t="n">
        <v>1155.66</v>
      </c>
      <c r="R2326" s="30" t="n">
        <f aca="false">ROUND(O2326*P2326,2)</f>
        <v>31473.88</v>
      </c>
      <c r="S2326" s="30" t="n">
        <f aca="false">ROUND(O2326*Q2326,2)</f>
        <v>21957.54</v>
      </c>
      <c r="T2326" s="30" t="n">
        <f aca="false">ROUND(R2326*SUMIFS(Parametros!$E$23:$E$38,Parametros!$B$23:$B$38,J2326,Parametros!$C$23:$C$38,C2326,Parametros!$D$23:$D$38,D2326),2)</f>
        <v>409.16</v>
      </c>
      <c r="U2326" s="30" t="n">
        <f aca="false">R2326-S2326-T2326</f>
        <v>9107.18</v>
      </c>
    </row>
    <row r="2327" customFormat="false" ht="15" hidden="false" customHeight="false" outlineLevel="0" collapsed="false">
      <c r="A2327" s="0" t="n">
        <v>2326</v>
      </c>
      <c r="B2327" s="27" t="n">
        <v>45993</v>
      </c>
      <c r="C2327" s="0" t="n">
        <v>2025</v>
      </c>
      <c r="D2327" s="28" t="s">
        <v>122</v>
      </c>
      <c r="E2327" s="0" t="n">
        <v>12</v>
      </c>
      <c r="F2327" s="28" t="s">
        <v>127</v>
      </c>
      <c r="G2327" s="28" t="s">
        <v>154</v>
      </c>
      <c r="H2327" s="28" t="s">
        <v>96</v>
      </c>
      <c r="I2327" s="28" t="s">
        <v>97</v>
      </c>
      <c r="J2327" s="28" t="s">
        <v>71</v>
      </c>
      <c r="K2327" s="28" t="s">
        <v>67</v>
      </c>
      <c r="L2327" s="28" t="s">
        <v>130</v>
      </c>
      <c r="M2327" s="28" t="s">
        <v>74</v>
      </c>
      <c r="N2327" s="28" t="s">
        <v>133</v>
      </c>
      <c r="O2327" s="29" t="n">
        <v>11</v>
      </c>
      <c r="P2327" s="30" t="n">
        <v>1656.52</v>
      </c>
      <c r="Q2327" s="30" t="n">
        <v>1155.66</v>
      </c>
      <c r="R2327" s="30" t="n">
        <f aca="false">ROUND(O2327*P2327,2)</f>
        <v>18221.72</v>
      </c>
      <c r="S2327" s="30" t="n">
        <f aca="false">ROUND(O2327*Q2327,2)</f>
        <v>12712.26</v>
      </c>
      <c r="T2327" s="30" t="n">
        <f aca="false">ROUND(R2327*SUMIFS(Parametros!$E$23:$E$38,Parametros!$B$23:$B$38,J2327,Parametros!$C$23:$C$38,C2327,Parametros!$D$23:$D$38,D2327),2)</f>
        <v>947.53</v>
      </c>
      <c r="U2327" s="30" t="n">
        <f aca="false">R2327-S2327-T2327</f>
        <v>4561.93</v>
      </c>
    </row>
    <row r="2328" customFormat="false" ht="15" hidden="false" customHeight="false" outlineLevel="0" collapsed="false">
      <c r="A2328" s="0" t="n">
        <v>2327</v>
      </c>
      <c r="B2328" s="27" t="n">
        <v>46000</v>
      </c>
      <c r="C2328" s="0" t="n">
        <v>2025</v>
      </c>
      <c r="D2328" s="28" t="s">
        <v>122</v>
      </c>
      <c r="E2328" s="0" t="n">
        <v>12</v>
      </c>
      <c r="F2328" s="28" t="s">
        <v>127</v>
      </c>
      <c r="G2328" s="28" t="s">
        <v>154</v>
      </c>
      <c r="H2328" s="28" t="s">
        <v>96</v>
      </c>
      <c r="I2328" s="28" t="s">
        <v>97</v>
      </c>
      <c r="J2328" s="28" t="s">
        <v>66</v>
      </c>
      <c r="K2328" s="28" t="s">
        <v>76</v>
      </c>
      <c r="L2328" s="28" t="s">
        <v>134</v>
      </c>
      <c r="M2328" s="28" t="s">
        <v>78</v>
      </c>
      <c r="N2328" s="28" t="s">
        <v>135</v>
      </c>
      <c r="O2328" s="29" t="n">
        <v>89</v>
      </c>
      <c r="P2328" s="30" t="n">
        <v>28.11</v>
      </c>
      <c r="Q2328" s="30" t="n">
        <v>13.84</v>
      </c>
      <c r="R2328" s="30" t="n">
        <f aca="false">ROUND(O2328*P2328,2)</f>
        <v>2501.79</v>
      </c>
      <c r="S2328" s="30" t="n">
        <f aca="false">ROUND(O2328*Q2328,2)</f>
        <v>1231.76</v>
      </c>
      <c r="T2328" s="30" t="n">
        <f aca="false">ROUND(R2328*SUMIFS(Parametros!$E$23:$E$38,Parametros!$B$23:$B$38,J2328,Parametros!$C$23:$C$38,C2328,Parametros!$D$23:$D$38,D2328),2)</f>
        <v>32.52</v>
      </c>
      <c r="U2328" s="30" t="n">
        <f aca="false">R2328-S2328-T2328</f>
        <v>1237.51</v>
      </c>
    </row>
    <row r="2329" customFormat="false" ht="15" hidden="false" customHeight="false" outlineLevel="0" collapsed="false">
      <c r="A2329" s="0" t="n">
        <v>2328</v>
      </c>
      <c r="B2329" s="27" t="n">
        <v>46007</v>
      </c>
      <c r="C2329" s="0" t="n">
        <v>2025</v>
      </c>
      <c r="D2329" s="28" t="s">
        <v>122</v>
      </c>
      <c r="E2329" s="0" t="n">
        <v>12</v>
      </c>
      <c r="F2329" s="28" t="s">
        <v>127</v>
      </c>
      <c r="G2329" s="28" t="s">
        <v>154</v>
      </c>
      <c r="H2329" s="28" t="s">
        <v>96</v>
      </c>
      <c r="I2329" s="28" t="s">
        <v>97</v>
      </c>
      <c r="J2329" s="28" t="s">
        <v>71</v>
      </c>
      <c r="K2329" s="28" t="s">
        <v>76</v>
      </c>
      <c r="L2329" s="28" t="s">
        <v>134</v>
      </c>
      <c r="M2329" s="28" t="s">
        <v>78</v>
      </c>
      <c r="N2329" s="28" t="s">
        <v>135</v>
      </c>
      <c r="O2329" s="29" t="n">
        <v>57</v>
      </c>
      <c r="P2329" s="30" t="n">
        <v>28.11</v>
      </c>
      <c r="Q2329" s="30" t="n">
        <v>13.84</v>
      </c>
      <c r="R2329" s="30" t="n">
        <f aca="false">ROUND(O2329*P2329,2)</f>
        <v>1602.27</v>
      </c>
      <c r="S2329" s="30" t="n">
        <f aca="false">ROUND(O2329*Q2329,2)</f>
        <v>788.88</v>
      </c>
      <c r="T2329" s="30" t="n">
        <f aca="false">ROUND(R2329*SUMIFS(Parametros!$E$23:$E$38,Parametros!$B$23:$B$38,J2329,Parametros!$C$23:$C$38,C2329,Parametros!$D$23:$D$38,D2329),2)</f>
        <v>83.32</v>
      </c>
      <c r="U2329" s="30" t="n">
        <f aca="false">R2329-S2329-T2329</f>
        <v>730.07</v>
      </c>
    </row>
    <row r="2330" customFormat="false" ht="15" hidden="false" customHeight="false" outlineLevel="0" collapsed="false">
      <c r="A2330" s="0" t="n">
        <v>2329</v>
      </c>
      <c r="B2330" s="27" t="n">
        <v>46014</v>
      </c>
      <c r="C2330" s="0" t="n">
        <v>2025</v>
      </c>
      <c r="D2330" s="28" t="s">
        <v>122</v>
      </c>
      <c r="E2330" s="0" t="n">
        <v>12</v>
      </c>
      <c r="F2330" s="28" t="s">
        <v>127</v>
      </c>
      <c r="G2330" s="28" t="s">
        <v>154</v>
      </c>
      <c r="H2330" s="28" t="s">
        <v>96</v>
      </c>
      <c r="I2330" s="28" t="s">
        <v>97</v>
      </c>
      <c r="J2330" s="28" t="s">
        <v>66</v>
      </c>
      <c r="K2330" s="28" t="s">
        <v>76</v>
      </c>
      <c r="L2330" s="28" t="s">
        <v>134</v>
      </c>
      <c r="M2330" s="28" t="s">
        <v>80</v>
      </c>
      <c r="N2330" s="28" t="s">
        <v>136</v>
      </c>
      <c r="O2330" s="29" t="n">
        <v>73</v>
      </c>
      <c r="P2330" s="30" t="n">
        <v>95.38</v>
      </c>
      <c r="Q2330" s="30" t="n">
        <v>49.41</v>
      </c>
      <c r="R2330" s="30" t="n">
        <f aca="false">ROUND(O2330*P2330,2)</f>
        <v>6962.74</v>
      </c>
      <c r="S2330" s="30" t="n">
        <f aca="false">ROUND(O2330*Q2330,2)</f>
        <v>3606.93</v>
      </c>
      <c r="T2330" s="30" t="n">
        <f aca="false">ROUND(R2330*SUMIFS(Parametros!$E$23:$E$38,Parametros!$B$23:$B$38,J2330,Parametros!$C$23:$C$38,C2330,Parametros!$D$23:$D$38,D2330),2)</f>
        <v>90.52</v>
      </c>
      <c r="U2330" s="30" t="n">
        <f aca="false">R2330-S2330-T2330</f>
        <v>3265.29</v>
      </c>
    </row>
    <row r="2331" customFormat="false" ht="15" hidden="false" customHeight="false" outlineLevel="0" collapsed="false">
      <c r="A2331" s="0" t="n">
        <v>2330</v>
      </c>
      <c r="B2331" s="27" t="n">
        <v>45994</v>
      </c>
      <c r="C2331" s="0" t="n">
        <v>2025</v>
      </c>
      <c r="D2331" s="28" t="s">
        <v>122</v>
      </c>
      <c r="E2331" s="0" t="n">
        <v>12</v>
      </c>
      <c r="F2331" s="28" t="s">
        <v>127</v>
      </c>
      <c r="G2331" s="28" t="s">
        <v>154</v>
      </c>
      <c r="H2331" s="28" t="s">
        <v>96</v>
      </c>
      <c r="I2331" s="28" t="s">
        <v>97</v>
      </c>
      <c r="J2331" s="28" t="s">
        <v>71</v>
      </c>
      <c r="K2331" s="28" t="s">
        <v>76</v>
      </c>
      <c r="L2331" s="28" t="s">
        <v>134</v>
      </c>
      <c r="M2331" s="28" t="s">
        <v>80</v>
      </c>
      <c r="N2331" s="28" t="s">
        <v>136</v>
      </c>
      <c r="O2331" s="29" t="n">
        <v>58</v>
      </c>
      <c r="P2331" s="30" t="n">
        <v>95.38</v>
      </c>
      <c r="Q2331" s="30" t="n">
        <v>49.41</v>
      </c>
      <c r="R2331" s="30" t="n">
        <f aca="false">ROUND(O2331*P2331,2)</f>
        <v>5532.04</v>
      </c>
      <c r="S2331" s="30" t="n">
        <f aca="false">ROUND(O2331*Q2331,2)</f>
        <v>2865.78</v>
      </c>
      <c r="T2331" s="30" t="n">
        <f aca="false">ROUND(R2331*SUMIFS(Parametros!$E$23:$E$38,Parametros!$B$23:$B$38,J2331,Parametros!$C$23:$C$38,C2331,Parametros!$D$23:$D$38,D2331),2)</f>
        <v>287.67</v>
      </c>
      <c r="U2331" s="30" t="n">
        <f aca="false">R2331-S2331-T2331</f>
        <v>2378.59</v>
      </c>
    </row>
    <row r="2332" customFormat="false" ht="15" hidden="false" customHeight="false" outlineLevel="0" collapsed="false">
      <c r="A2332" s="0" t="n">
        <v>2331</v>
      </c>
      <c r="B2332" s="27" t="n">
        <v>46001</v>
      </c>
      <c r="C2332" s="0" t="n">
        <v>2025</v>
      </c>
      <c r="D2332" s="28" t="s">
        <v>122</v>
      </c>
      <c r="E2332" s="0" t="n">
        <v>12</v>
      </c>
      <c r="F2332" s="28" t="s">
        <v>127</v>
      </c>
      <c r="G2332" s="28" t="s">
        <v>154</v>
      </c>
      <c r="H2332" s="28" t="s">
        <v>96</v>
      </c>
      <c r="I2332" s="28" t="s">
        <v>97</v>
      </c>
      <c r="J2332" s="28" t="s">
        <v>66</v>
      </c>
      <c r="K2332" s="28" t="s">
        <v>76</v>
      </c>
      <c r="L2332" s="28" t="s">
        <v>134</v>
      </c>
      <c r="M2332" s="28" t="s">
        <v>82</v>
      </c>
      <c r="N2332" s="28" t="s">
        <v>137</v>
      </c>
      <c r="O2332" s="29" t="n">
        <v>72</v>
      </c>
      <c r="P2332" s="30" t="n">
        <v>65.26</v>
      </c>
      <c r="Q2332" s="30" t="n">
        <v>36.49</v>
      </c>
      <c r="R2332" s="30" t="n">
        <f aca="false">ROUND(O2332*P2332,2)</f>
        <v>4698.72</v>
      </c>
      <c r="S2332" s="30" t="n">
        <f aca="false">ROUND(O2332*Q2332,2)</f>
        <v>2627.28</v>
      </c>
      <c r="T2332" s="30" t="n">
        <f aca="false">ROUND(R2332*SUMIFS(Parametros!$E$23:$E$38,Parametros!$B$23:$B$38,J2332,Parametros!$C$23:$C$38,C2332,Parametros!$D$23:$D$38,D2332),2)</f>
        <v>61.08</v>
      </c>
      <c r="U2332" s="30" t="n">
        <f aca="false">R2332-S2332-T2332</f>
        <v>2010.36</v>
      </c>
    </row>
    <row r="2333" customFormat="false" ht="15" hidden="false" customHeight="false" outlineLevel="0" collapsed="false">
      <c r="A2333" s="0" t="n">
        <v>2332</v>
      </c>
      <c r="B2333" s="27" t="n">
        <v>46008</v>
      </c>
      <c r="C2333" s="0" t="n">
        <v>2025</v>
      </c>
      <c r="D2333" s="28" t="s">
        <v>122</v>
      </c>
      <c r="E2333" s="0" t="n">
        <v>12</v>
      </c>
      <c r="F2333" s="28" t="s">
        <v>127</v>
      </c>
      <c r="G2333" s="28" t="s">
        <v>154</v>
      </c>
      <c r="H2333" s="28" t="s">
        <v>96</v>
      </c>
      <c r="I2333" s="28" t="s">
        <v>97</v>
      </c>
      <c r="J2333" s="28" t="s">
        <v>71</v>
      </c>
      <c r="K2333" s="28" t="s">
        <v>76</v>
      </c>
      <c r="L2333" s="28" t="s">
        <v>134</v>
      </c>
      <c r="M2333" s="28" t="s">
        <v>82</v>
      </c>
      <c r="N2333" s="28" t="s">
        <v>137</v>
      </c>
      <c r="O2333" s="29" t="n">
        <v>50</v>
      </c>
      <c r="P2333" s="30" t="n">
        <v>65.26</v>
      </c>
      <c r="Q2333" s="30" t="n">
        <v>36.49</v>
      </c>
      <c r="R2333" s="30" t="n">
        <f aca="false">ROUND(O2333*P2333,2)</f>
        <v>3263</v>
      </c>
      <c r="S2333" s="30" t="n">
        <f aca="false">ROUND(O2333*Q2333,2)</f>
        <v>1824.5</v>
      </c>
      <c r="T2333" s="30" t="n">
        <f aca="false">ROUND(R2333*SUMIFS(Parametros!$E$23:$E$38,Parametros!$B$23:$B$38,J2333,Parametros!$C$23:$C$38,C2333,Parametros!$D$23:$D$38,D2333),2)</f>
        <v>169.68</v>
      </c>
      <c r="U2333" s="30" t="n">
        <f aca="false">R2333-S2333-T2333</f>
        <v>1268.82</v>
      </c>
    </row>
    <row r="2334" customFormat="false" ht="15" hidden="false" customHeight="false" outlineLevel="0" collapsed="false">
      <c r="A2334" s="0" t="n">
        <v>2333</v>
      </c>
      <c r="B2334" s="27" t="n">
        <v>46015</v>
      </c>
      <c r="C2334" s="0" t="n">
        <v>2025</v>
      </c>
      <c r="D2334" s="28" t="s">
        <v>122</v>
      </c>
      <c r="E2334" s="0" t="n">
        <v>12</v>
      </c>
      <c r="F2334" s="28" t="s">
        <v>127</v>
      </c>
      <c r="G2334" s="28" t="s">
        <v>154</v>
      </c>
      <c r="H2334" s="28" t="s">
        <v>96</v>
      </c>
      <c r="I2334" s="28" t="s">
        <v>97</v>
      </c>
      <c r="J2334" s="28" t="s">
        <v>66</v>
      </c>
      <c r="K2334" s="28" t="s">
        <v>84</v>
      </c>
      <c r="L2334" s="28" t="s">
        <v>138</v>
      </c>
      <c r="M2334" s="28" t="s">
        <v>86</v>
      </c>
      <c r="N2334" s="28" t="s">
        <v>139</v>
      </c>
      <c r="O2334" s="29" t="n">
        <v>41</v>
      </c>
      <c r="P2334" s="30" t="n">
        <v>120.47</v>
      </c>
      <c r="Q2334" s="30" t="n">
        <v>65.51</v>
      </c>
      <c r="R2334" s="30" t="n">
        <f aca="false">ROUND(O2334*P2334,2)</f>
        <v>4939.27</v>
      </c>
      <c r="S2334" s="30" t="n">
        <f aca="false">ROUND(O2334*Q2334,2)</f>
        <v>2685.91</v>
      </c>
      <c r="T2334" s="30" t="n">
        <f aca="false">ROUND(R2334*SUMIFS(Parametros!$E$23:$E$38,Parametros!$B$23:$B$38,J2334,Parametros!$C$23:$C$38,C2334,Parametros!$D$23:$D$38,D2334),2)</f>
        <v>64.21</v>
      </c>
      <c r="U2334" s="30" t="n">
        <f aca="false">R2334-S2334-T2334</f>
        <v>2189.15</v>
      </c>
    </row>
    <row r="2335" customFormat="false" ht="15" hidden="false" customHeight="false" outlineLevel="0" collapsed="false">
      <c r="A2335" s="0" t="n">
        <v>2334</v>
      </c>
      <c r="B2335" s="27" t="n">
        <v>45995</v>
      </c>
      <c r="C2335" s="0" t="n">
        <v>2025</v>
      </c>
      <c r="D2335" s="28" t="s">
        <v>122</v>
      </c>
      <c r="E2335" s="0" t="n">
        <v>12</v>
      </c>
      <c r="F2335" s="28" t="s">
        <v>127</v>
      </c>
      <c r="G2335" s="28" t="s">
        <v>154</v>
      </c>
      <c r="H2335" s="28" t="s">
        <v>96</v>
      </c>
      <c r="I2335" s="28" t="s">
        <v>97</v>
      </c>
      <c r="J2335" s="28" t="s">
        <v>71</v>
      </c>
      <c r="K2335" s="28" t="s">
        <v>84</v>
      </c>
      <c r="L2335" s="28" t="s">
        <v>138</v>
      </c>
      <c r="M2335" s="28" t="s">
        <v>86</v>
      </c>
      <c r="N2335" s="28" t="s">
        <v>139</v>
      </c>
      <c r="O2335" s="29" t="n">
        <v>26</v>
      </c>
      <c r="P2335" s="30" t="n">
        <v>120.47</v>
      </c>
      <c r="Q2335" s="30" t="n">
        <v>65.51</v>
      </c>
      <c r="R2335" s="30" t="n">
        <f aca="false">ROUND(O2335*P2335,2)</f>
        <v>3132.22</v>
      </c>
      <c r="S2335" s="30" t="n">
        <f aca="false">ROUND(O2335*Q2335,2)</f>
        <v>1703.26</v>
      </c>
      <c r="T2335" s="30" t="n">
        <f aca="false">ROUND(R2335*SUMIFS(Parametros!$E$23:$E$38,Parametros!$B$23:$B$38,J2335,Parametros!$C$23:$C$38,C2335,Parametros!$D$23:$D$38,D2335),2)</f>
        <v>162.88</v>
      </c>
      <c r="U2335" s="30" t="n">
        <f aca="false">R2335-S2335-T2335</f>
        <v>1266.08</v>
      </c>
    </row>
    <row r="2336" customFormat="false" ht="15" hidden="false" customHeight="false" outlineLevel="0" collapsed="false">
      <c r="A2336" s="0" t="n">
        <v>2335</v>
      </c>
      <c r="B2336" s="27" t="n">
        <v>46002</v>
      </c>
      <c r="C2336" s="0" t="n">
        <v>2025</v>
      </c>
      <c r="D2336" s="28" t="s">
        <v>122</v>
      </c>
      <c r="E2336" s="0" t="n">
        <v>12</v>
      </c>
      <c r="F2336" s="28" t="s">
        <v>127</v>
      </c>
      <c r="G2336" s="28" t="s">
        <v>154</v>
      </c>
      <c r="H2336" s="28" t="s">
        <v>96</v>
      </c>
      <c r="I2336" s="28" t="s">
        <v>97</v>
      </c>
      <c r="J2336" s="28" t="s">
        <v>66</v>
      </c>
      <c r="K2336" s="28" t="s">
        <v>84</v>
      </c>
      <c r="L2336" s="28" t="s">
        <v>138</v>
      </c>
      <c r="M2336" s="28" t="s">
        <v>88</v>
      </c>
      <c r="N2336" s="28" t="s">
        <v>140</v>
      </c>
      <c r="O2336" s="29" t="n">
        <v>39</v>
      </c>
      <c r="P2336" s="30" t="n">
        <v>85.34</v>
      </c>
      <c r="Q2336" s="30" t="n">
        <v>49.47</v>
      </c>
      <c r="R2336" s="30" t="n">
        <f aca="false">ROUND(O2336*P2336,2)</f>
        <v>3328.26</v>
      </c>
      <c r="S2336" s="30" t="n">
        <f aca="false">ROUND(O2336*Q2336,2)</f>
        <v>1929.33</v>
      </c>
      <c r="T2336" s="30" t="n">
        <f aca="false">ROUND(R2336*SUMIFS(Parametros!$E$23:$E$38,Parametros!$B$23:$B$38,J2336,Parametros!$C$23:$C$38,C2336,Parametros!$D$23:$D$38,D2336),2)</f>
        <v>43.27</v>
      </c>
      <c r="U2336" s="30" t="n">
        <f aca="false">R2336-S2336-T2336</f>
        <v>1355.66</v>
      </c>
    </row>
    <row r="2337" customFormat="false" ht="15" hidden="false" customHeight="false" outlineLevel="0" collapsed="false">
      <c r="A2337" s="0" t="n">
        <v>2336</v>
      </c>
      <c r="B2337" s="27" t="n">
        <v>46009</v>
      </c>
      <c r="C2337" s="0" t="n">
        <v>2025</v>
      </c>
      <c r="D2337" s="28" t="s">
        <v>122</v>
      </c>
      <c r="E2337" s="0" t="n">
        <v>12</v>
      </c>
      <c r="F2337" s="28" t="s">
        <v>127</v>
      </c>
      <c r="G2337" s="28" t="s">
        <v>154</v>
      </c>
      <c r="H2337" s="28" t="s">
        <v>96</v>
      </c>
      <c r="I2337" s="28" t="s">
        <v>97</v>
      </c>
      <c r="J2337" s="28" t="s">
        <v>71</v>
      </c>
      <c r="K2337" s="28" t="s">
        <v>84</v>
      </c>
      <c r="L2337" s="28" t="s">
        <v>138</v>
      </c>
      <c r="M2337" s="28" t="s">
        <v>88</v>
      </c>
      <c r="N2337" s="28" t="s">
        <v>140</v>
      </c>
      <c r="O2337" s="29" t="n">
        <v>22</v>
      </c>
      <c r="P2337" s="30" t="n">
        <v>85.34</v>
      </c>
      <c r="Q2337" s="30" t="n">
        <v>49.47</v>
      </c>
      <c r="R2337" s="30" t="n">
        <f aca="false">ROUND(O2337*P2337,2)</f>
        <v>1877.48</v>
      </c>
      <c r="S2337" s="30" t="n">
        <f aca="false">ROUND(O2337*Q2337,2)</f>
        <v>1088.34</v>
      </c>
      <c r="T2337" s="30" t="n">
        <f aca="false">ROUND(R2337*SUMIFS(Parametros!$E$23:$E$38,Parametros!$B$23:$B$38,J2337,Parametros!$C$23:$C$38,C2337,Parametros!$D$23:$D$38,D2337),2)</f>
        <v>97.63</v>
      </c>
      <c r="U2337" s="30" t="n">
        <f aca="false">R2337-S2337-T2337</f>
        <v>691.51</v>
      </c>
    </row>
    <row r="2338" customFormat="false" ht="15" hidden="false" customHeight="false" outlineLevel="0" collapsed="false">
      <c r="A2338" s="0" t="n">
        <v>2337</v>
      </c>
      <c r="B2338" s="27" t="n">
        <v>46016</v>
      </c>
      <c r="C2338" s="0" t="n">
        <v>2025</v>
      </c>
      <c r="D2338" s="28" t="s">
        <v>122</v>
      </c>
      <c r="E2338" s="0" t="n">
        <v>12</v>
      </c>
      <c r="F2338" s="28" t="s">
        <v>127</v>
      </c>
      <c r="G2338" s="28" t="s">
        <v>154</v>
      </c>
      <c r="H2338" s="28" t="s">
        <v>96</v>
      </c>
      <c r="I2338" s="28" t="s">
        <v>97</v>
      </c>
      <c r="J2338" s="28" t="s">
        <v>66</v>
      </c>
      <c r="K2338" s="28" t="s">
        <v>90</v>
      </c>
      <c r="L2338" s="28" t="s">
        <v>141</v>
      </c>
      <c r="M2338" s="28" t="s">
        <v>92</v>
      </c>
      <c r="N2338" s="28" t="s">
        <v>142</v>
      </c>
      <c r="O2338" s="29" t="n">
        <v>49</v>
      </c>
      <c r="P2338" s="30" t="n">
        <v>130.51</v>
      </c>
      <c r="Q2338" s="30" t="n">
        <v>78.33</v>
      </c>
      <c r="R2338" s="30" t="n">
        <f aca="false">ROUND(O2338*P2338,2)</f>
        <v>6394.99</v>
      </c>
      <c r="S2338" s="30" t="n">
        <f aca="false">ROUND(O2338*Q2338,2)</f>
        <v>3838.17</v>
      </c>
      <c r="T2338" s="30" t="n">
        <f aca="false">ROUND(R2338*SUMIFS(Parametros!$E$23:$E$38,Parametros!$B$23:$B$38,J2338,Parametros!$C$23:$C$38,C2338,Parametros!$D$23:$D$38,D2338),2)</f>
        <v>83.13</v>
      </c>
      <c r="U2338" s="30" t="n">
        <f aca="false">R2338-S2338-T2338</f>
        <v>2473.69</v>
      </c>
    </row>
    <row r="2339" customFormat="false" ht="15" hidden="false" customHeight="false" outlineLevel="0" collapsed="false">
      <c r="A2339" s="0" t="n">
        <v>2338</v>
      </c>
      <c r="B2339" s="27" t="n">
        <v>45996</v>
      </c>
      <c r="C2339" s="0" t="n">
        <v>2025</v>
      </c>
      <c r="D2339" s="28" t="s">
        <v>122</v>
      </c>
      <c r="E2339" s="0" t="n">
        <v>12</v>
      </c>
      <c r="F2339" s="28" t="s">
        <v>127</v>
      </c>
      <c r="G2339" s="28" t="s">
        <v>154</v>
      </c>
      <c r="H2339" s="28" t="s">
        <v>96</v>
      </c>
      <c r="I2339" s="28" t="s">
        <v>97</v>
      </c>
      <c r="J2339" s="28" t="s">
        <v>71</v>
      </c>
      <c r="K2339" s="28" t="s">
        <v>90</v>
      </c>
      <c r="L2339" s="28" t="s">
        <v>141</v>
      </c>
      <c r="M2339" s="28" t="s">
        <v>92</v>
      </c>
      <c r="N2339" s="28" t="s">
        <v>142</v>
      </c>
      <c r="O2339" s="29" t="n">
        <v>32</v>
      </c>
      <c r="P2339" s="30" t="n">
        <v>130.51</v>
      </c>
      <c r="Q2339" s="30" t="n">
        <v>78.33</v>
      </c>
      <c r="R2339" s="30" t="n">
        <f aca="false">ROUND(O2339*P2339,2)</f>
        <v>4176.32</v>
      </c>
      <c r="S2339" s="30" t="n">
        <f aca="false">ROUND(O2339*Q2339,2)</f>
        <v>2506.56</v>
      </c>
      <c r="T2339" s="30" t="n">
        <f aca="false">ROUND(R2339*SUMIFS(Parametros!$E$23:$E$38,Parametros!$B$23:$B$38,J2339,Parametros!$C$23:$C$38,C2339,Parametros!$D$23:$D$38,D2339),2)</f>
        <v>217.17</v>
      </c>
      <c r="U2339" s="30" t="n">
        <f aca="false">R2339-S2339-T2339</f>
        <v>1452.59</v>
      </c>
    </row>
    <row r="2340" customFormat="false" ht="15" hidden="false" customHeight="false" outlineLevel="0" collapsed="false">
      <c r="A2340" s="0" t="n">
        <v>2339</v>
      </c>
      <c r="B2340" s="27" t="n">
        <v>46003</v>
      </c>
      <c r="C2340" s="0" t="n">
        <v>2025</v>
      </c>
      <c r="D2340" s="28" t="s">
        <v>122</v>
      </c>
      <c r="E2340" s="0" t="n">
        <v>12</v>
      </c>
      <c r="F2340" s="28" t="s">
        <v>127</v>
      </c>
      <c r="G2340" s="28" t="s">
        <v>154</v>
      </c>
      <c r="H2340" s="28" t="s">
        <v>96</v>
      </c>
      <c r="I2340" s="28" t="s">
        <v>97</v>
      </c>
      <c r="J2340" s="28" t="s">
        <v>66</v>
      </c>
      <c r="K2340" s="28" t="s">
        <v>90</v>
      </c>
      <c r="L2340" s="28" t="s">
        <v>141</v>
      </c>
      <c r="M2340" s="28" t="s">
        <v>94</v>
      </c>
      <c r="N2340" s="28" t="s">
        <v>143</v>
      </c>
      <c r="O2340" s="29" t="n">
        <v>42</v>
      </c>
      <c r="P2340" s="30" t="n">
        <v>35.14</v>
      </c>
      <c r="Q2340" s="30" t="n">
        <v>18.39</v>
      </c>
      <c r="R2340" s="30" t="n">
        <f aca="false">ROUND(O2340*P2340,2)</f>
        <v>1475.88</v>
      </c>
      <c r="S2340" s="30" t="n">
        <f aca="false">ROUND(O2340*Q2340,2)</f>
        <v>772.38</v>
      </c>
      <c r="T2340" s="30" t="n">
        <f aca="false">ROUND(R2340*SUMIFS(Parametros!$E$23:$E$38,Parametros!$B$23:$B$38,J2340,Parametros!$C$23:$C$38,C2340,Parametros!$D$23:$D$38,D2340),2)</f>
        <v>19.19</v>
      </c>
      <c r="U2340" s="30" t="n">
        <f aca="false">R2340-S2340-T2340</f>
        <v>684.31</v>
      </c>
    </row>
    <row r="2341" customFormat="false" ht="15" hidden="false" customHeight="false" outlineLevel="0" collapsed="false">
      <c r="A2341" s="0" t="n">
        <v>2340</v>
      </c>
      <c r="B2341" s="27" t="n">
        <v>46010</v>
      </c>
      <c r="C2341" s="0" t="n">
        <v>2025</v>
      </c>
      <c r="D2341" s="28" t="s">
        <v>122</v>
      </c>
      <c r="E2341" s="0" t="n">
        <v>12</v>
      </c>
      <c r="F2341" s="28" t="s">
        <v>127</v>
      </c>
      <c r="G2341" s="28" t="s">
        <v>154</v>
      </c>
      <c r="H2341" s="28" t="s">
        <v>96</v>
      </c>
      <c r="I2341" s="28" t="s">
        <v>97</v>
      </c>
      <c r="J2341" s="28" t="s">
        <v>71</v>
      </c>
      <c r="K2341" s="28" t="s">
        <v>90</v>
      </c>
      <c r="L2341" s="28" t="s">
        <v>141</v>
      </c>
      <c r="M2341" s="28" t="s">
        <v>94</v>
      </c>
      <c r="N2341" s="28" t="s">
        <v>143</v>
      </c>
      <c r="O2341" s="29" t="n">
        <v>33</v>
      </c>
      <c r="P2341" s="30" t="n">
        <v>35.14</v>
      </c>
      <c r="Q2341" s="30" t="n">
        <v>18.39</v>
      </c>
      <c r="R2341" s="30" t="n">
        <f aca="false">ROUND(O2341*P2341,2)</f>
        <v>1159.62</v>
      </c>
      <c r="S2341" s="30" t="n">
        <f aca="false">ROUND(O2341*Q2341,2)</f>
        <v>606.87</v>
      </c>
      <c r="T2341" s="30" t="n">
        <f aca="false">ROUND(R2341*SUMIFS(Parametros!$E$23:$E$38,Parametros!$B$23:$B$38,J2341,Parametros!$C$23:$C$38,C2341,Parametros!$D$23:$D$38,D2341),2)</f>
        <v>60.3</v>
      </c>
      <c r="U2341" s="30" t="n">
        <f aca="false">R2341-S2341-T2341</f>
        <v>492.45</v>
      </c>
    </row>
    <row r="2342" customFormat="false" ht="15" hidden="false" customHeight="false" outlineLevel="0" collapsed="false">
      <c r="A2342" s="0" t="n">
        <v>2341</v>
      </c>
      <c r="B2342" s="27" t="n">
        <v>46017</v>
      </c>
      <c r="C2342" s="0" t="n">
        <v>2025</v>
      </c>
      <c r="D2342" s="28" t="s">
        <v>122</v>
      </c>
      <c r="E2342" s="0" t="n">
        <v>12</v>
      </c>
      <c r="F2342" s="28" t="s">
        <v>127</v>
      </c>
      <c r="G2342" s="28" t="s">
        <v>154</v>
      </c>
      <c r="H2342" s="28" t="s">
        <v>98</v>
      </c>
      <c r="I2342" s="28" t="s">
        <v>99</v>
      </c>
      <c r="J2342" s="28" t="s">
        <v>66</v>
      </c>
      <c r="K2342" s="28" t="s">
        <v>67</v>
      </c>
      <c r="L2342" s="28" t="s">
        <v>130</v>
      </c>
      <c r="M2342" s="28" t="s">
        <v>69</v>
      </c>
      <c r="N2342" s="28" t="s">
        <v>131</v>
      </c>
      <c r="O2342" s="29" t="n">
        <v>14</v>
      </c>
      <c r="P2342" s="30" t="n">
        <v>1204.74</v>
      </c>
      <c r="Q2342" s="30" t="n">
        <v>766.32</v>
      </c>
      <c r="R2342" s="30" t="n">
        <f aca="false">ROUND(O2342*P2342,2)</f>
        <v>16866.36</v>
      </c>
      <c r="S2342" s="30" t="n">
        <f aca="false">ROUND(O2342*Q2342,2)</f>
        <v>10728.48</v>
      </c>
      <c r="T2342" s="30" t="n">
        <f aca="false">ROUND(R2342*SUMIFS(Parametros!$E$23:$E$38,Parametros!$B$23:$B$38,J2342,Parametros!$C$23:$C$38,C2342,Parametros!$D$23:$D$38,D2342),2)</f>
        <v>219.26</v>
      </c>
      <c r="U2342" s="30" t="n">
        <f aca="false">R2342-S2342-T2342</f>
        <v>5918.62</v>
      </c>
    </row>
    <row r="2343" customFormat="false" ht="15" hidden="false" customHeight="false" outlineLevel="0" collapsed="false">
      <c r="A2343" s="0" t="n">
        <v>2342</v>
      </c>
      <c r="B2343" s="27" t="n">
        <v>45997</v>
      </c>
      <c r="C2343" s="0" t="n">
        <v>2025</v>
      </c>
      <c r="D2343" s="28" t="s">
        <v>122</v>
      </c>
      <c r="E2343" s="0" t="n">
        <v>12</v>
      </c>
      <c r="F2343" s="28" t="s">
        <v>127</v>
      </c>
      <c r="G2343" s="28" t="s">
        <v>154</v>
      </c>
      <c r="H2343" s="28" t="s">
        <v>98</v>
      </c>
      <c r="I2343" s="28" t="s">
        <v>99</v>
      </c>
      <c r="J2343" s="28" t="s">
        <v>71</v>
      </c>
      <c r="K2343" s="28" t="s">
        <v>67</v>
      </c>
      <c r="L2343" s="28" t="s">
        <v>130</v>
      </c>
      <c r="M2343" s="28" t="s">
        <v>69</v>
      </c>
      <c r="N2343" s="28" t="s">
        <v>131</v>
      </c>
      <c r="O2343" s="29" t="n">
        <v>9</v>
      </c>
      <c r="P2343" s="30" t="n">
        <v>1204.74</v>
      </c>
      <c r="Q2343" s="30" t="n">
        <v>766.32</v>
      </c>
      <c r="R2343" s="30" t="n">
        <f aca="false">ROUND(O2343*P2343,2)</f>
        <v>10842.66</v>
      </c>
      <c r="S2343" s="30" t="n">
        <f aca="false">ROUND(O2343*Q2343,2)</f>
        <v>6896.88</v>
      </c>
      <c r="T2343" s="30" t="n">
        <f aca="false">ROUND(R2343*SUMIFS(Parametros!$E$23:$E$38,Parametros!$B$23:$B$38,J2343,Parametros!$C$23:$C$38,C2343,Parametros!$D$23:$D$38,D2343),2)</f>
        <v>563.82</v>
      </c>
      <c r="U2343" s="30" t="n">
        <f aca="false">R2343-S2343-T2343</f>
        <v>3381.96</v>
      </c>
    </row>
    <row r="2344" customFormat="false" ht="15" hidden="false" customHeight="false" outlineLevel="0" collapsed="false">
      <c r="A2344" s="0" t="n">
        <v>2343</v>
      </c>
      <c r="B2344" s="27" t="n">
        <v>46004</v>
      </c>
      <c r="C2344" s="0" t="n">
        <v>2025</v>
      </c>
      <c r="D2344" s="28" t="s">
        <v>122</v>
      </c>
      <c r="E2344" s="0" t="n">
        <v>12</v>
      </c>
      <c r="F2344" s="28" t="s">
        <v>127</v>
      </c>
      <c r="G2344" s="28" t="s">
        <v>154</v>
      </c>
      <c r="H2344" s="28" t="s">
        <v>98</v>
      </c>
      <c r="I2344" s="28" t="s">
        <v>99</v>
      </c>
      <c r="J2344" s="28" t="s">
        <v>66</v>
      </c>
      <c r="K2344" s="28" t="s">
        <v>67</v>
      </c>
      <c r="L2344" s="28" t="s">
        <v>130</v>
      </c>
      <c r="M2344" s="28" t="s">
        <v>72</v>
      </c>
      <c r="N2344" s="28" t="s">
        <v>132</v>
      </c>
      <c r="O2344" s="29" t="n">
        <v>11</v>
      </c>
      <c r="P2344" s="30" t="n">
        <v>451.78</v>
      </c>
      <c r="Q2344" s="30" t="n">
        <v>280.42</v>
      </c>
      <c r="R2344" s="30" t="n">
        <f aca="false">ROUND(O2344*P2344,2)</f>
        <v>4969.58</v>
      </c>
      <c r="S2344" s="30" t="n">
        <f aca="false">ROUND(O2344*Q2344,2)</f>
        <v>3084.62</v>
      </c>
      <c r="T2344" s="30" t="n">
        <f aca="false">ROUND(R2344*SUMIFS(Parametros!$E$23:$E$38,Parametros!$B$23:$B$38,J2344,Parametros!$C$23:$C$38,C2344,Parametros!$D$23:$D$38,D2344),2)</f>
        <v>64.6</v>
      </c>
      <c r="U2344" s="30" t="n">
        <f aca="false">R2344-S2344-T2344</f>
        <v>1820.36</v>
      </c>
    </row>
    <row r="2345" customFormat="false" ht="15" hidden="false" customHeight="false" outlineLevel="0" collapsed="false">
      <c r="A2345" s="0" t="n">
        <v>2344</v>
      </c>
      <c r="B2345" s="27" t="n">
        <v>46011</v>
      </c>
      <c r="C2345" s="0" t="n">
        <v>2025</v>
      </c>
      <c r="D2345" s="28" t="s">
        <v>122</v>
      </c>
      <c r="E2345" s="0" t="n">
        <v>12</v>
      </c>
      <c r="F2345" s="28" t="s">
        <v>127</v>
      </c>
      <c r="G2345" s="28" t="s">
        <v>154</v>
      </c>
      <c r="H2345" s="28" t="s">
        <v>98</v>
      </c>
      <c r="I2345" s="28" t="s">
        <v>99</v>
      </c>
      <c r="J2345" s="28" t="s">
        <v>71</v>
      </c>
      <c r="K2345" s="28" t="s">
        <v>67</v>
      </c>
      <c r="L2345" s="28" t="s">
        <v>130</v>
      </c>
      <c r="M2345" s="28" t="s">
        <v>72</v>
      </c>
      <c r="N2345" s="28" t="s">
        <v>132</v>
      </c>
      <c r="O2345" s="29" t="n">
        <v>8</v>
      </c>
      <c r="P2345" s="30" t="n">
        <v>451.78</v>
      </c>
      <c r="Q2345" s="30" t="n">
        <v>280.42</v>
      </c>
      <c r="R2345" s="30" t="n">
        <f aca="false">ROUND(O2345*P2345,2)</f>
        <v>3614.24</v>
      </c>
      <c r="S2345" s="30" t="n">
        <f aca="false">ROUND(O2345*Q2345,2)</f>
        <v>2243.36</v>
      </c>
      <c r="T2345" s="30" t="n">
        <f aca="false">ROUND(R2345*SUMIFS(Parametros!$E$23:$E$38,Parametros!$B$23:$B$38,J2345,Parametros!$C$23:$C$38,C2345,Parametros!$D$23:$D$38,D2345),2)</f>
        <v>187.94</v>
      </c>
      <c r="U2345" s="30" t="n">
        <f aca="false">R2345-S2345-T2345</f>
        <v>1182.94</v>
      </c>
    </row>
    <row r="2346" customFormat="false" ht="15" hidden="false" customHeight="false" outlineLevel="0" collapsed="false">
      <c r="A2346" s="0" t="n">
        <v>2345</v>
      </c>
      <c r="B2346" s="27" t="n">
        <v>46018</v>
      </c>
      <c r="C2346" s="0" t="n">
        <v>2025</v>
      </c>
      <c r="D2346" s="28" t="s">
        <v>122</v>
      </c>
      <c r="E2346" s="0" t="n">
        <v>12</v>
      </c>
      <c r="F2346" s="28" t="s">
        <v>127</v>
      </c>
      <c r="G2346" s="28" t="s">
        <v>154</v>
      </c>
      <c r="H2346" s="28" t="s">
        <v>98</v>
      </c>
      <c r="I2346" s="28" t="s">
        <v>99</v>
      </c>
      <c r="J2346" s="28" t="s">
        <v>66</v>
      </c>
      <c r="K2346" s="28" t="s">
        <v>67</v>
      </c>
      <c r="L2346" s="28" t="s">
        <v>130</v>
      </c>
      <c r="M2346" s="28" t="s">
        <v>74</v>
      </c>
      <c r="N2346" s="28" t="s">
        <v>133</v>
      </c>
      <c r="O2346" s="29" t="n">
        <v>10</v>
      </c>
      <c r="P2346" s="30" t="n">
        <v>1656.52</v>
      </c>
      <c r="Q2346" s="30" t="n">
        <v>1155.66</v>
      </c>
      <c r="R2346" s="30" t="n">
        <f aca="false">ROUND(O2346*P2346,2)</f>
        <v>16565.2</v>
      </c>
      <c r="S2346" s="30" t="n">
        <f aca="false">ROUND(O2346*Q2346,2)</f>
        <v>11556.6</v>
      </c>
      <c r="T2346" s="30" t="n">
        <f aca="false">ROUND(R2346*SUMIFS(Parametros!$E$23:$E$38,Parametros!$B$23:$B$38,J2346,Parametros!$C$23:$C$38,C2346,Parametros!$D$23:$D$38,D2346),2)</f>
        <v>215.35</v>
      </c>
      <c r="U2346" s="30" t="n">
        <f aca="false">R2346-S2346-T2346</f>
        <v>4793.25</v>
      </c>
    </row>
    <row r="2347" customFormat="false" ht="15" hidden="false" customHeight="false" outlineLevel="0" collapsed="false">
      <c r="A2347" s="0" t="n">
        <v>2346</v>
      </c>
      <c r="B2347" s="27" t="n">
        <v>45998</v>
      </c>
      <c r="C2347" s="0" t="n">
        <v>2025</v>
      </c>
      <c r="D2347" s="28" t="s">
        <v>122</v>
      </c>
      <c r="E2347" s="0" t="n">
        <v>12</v>
      </c>
      <c r="F2347" s="28" t="s">
        <v>127</v>
      </c>
      <c r="G2347" s="28" t="s">
        <v>154</v>
      </c>
      <c r="H2347" s="28" t="s">
        <v>98</v>
      </c>
      <c r="I2347" s="28" t="s">
        <v>99</v>
      </c>
      <c r="J2347" s="28" t="s">
        <v>71</v>
      </c>
      <c r="K2347" s="28" t="s">
        <v>67</v>
      </c>
      <c r="L2347" s="28" t="s">
        <v>130</v>
      </c>
      <c r="M2347" s="28" t="s">
        <v>74</v>
      </c>
      <c r="N2347" s="28" t="s">
        <v>133</v>
      </c>
      <c r="O2347" s="29" t="n">
        <v>8</v>
      </c>
      <c r="P2347" s="30" t="n">
        <v>1656.52</v>
      </c>
      <c r="Q2347" s="30" t="n">
        <v>1155.66</v>
      </c>
      <c r="R2347" s="30" t="n">
        <f aca="false">ROUND(O2347*P2347,2)</f>
        <v>13252.16</v>
      </c>
      <c r="S2347" s="30" t="n">
        <f aca="false">ROUND(O2347*Q2347,2)</f>
        <v>9245.28</v>
      </c>
      <c r="T2347" s="30" t="n">
        <f aca="false">ROUND(R2347*SUMIFS(Parametros!$E$23:$E$38,Parametros!$B$23:$B$38,J2347,Parametros!$C$23:$C$38,C2347,Parametros!$D$23:$D$38,D2347),2)</f>
        <v>689.11</v>
      </c>
      <c r="U2347" s="30" t="n">
        <f aca="false">R2347-S2347-T2347</f>
        <v>3317.77</v>
      </c>
    </row>
    <row r="2348" customFormat="false" ht="15" hidden="false" customHeight="false" outlineLevel="0" collapsed="false">
      <c r="A2348" s="0" t="n">
        <v>2347</v>
      </c>
      <c r="B2348" s="27" t="n">
        <v>46005</v>
      </c>
      <c r="C2348" s="0" t="n">
        <v>2025</v>
      </c>
      <c r="D2348" s="28" t="s">
        <v>122</v>
      </c>
      <c r="E2348" s="0" t="n">
        <v>12</v>
      </c>
      <c r="F2348" s="28" t="s">
        <v>127</v>
      </c>
      <c r="G2348" s="28" t="s">
        <v>154</v>
      </c>
      <c r="H2348" s="28" t="s">
        <v>98</v>
      </c>
      <c r="I2348" s="28" t="s">
        <v>99</v>
      </c>
      <c r="J2348" s="28" t="s">
        <v>66</v>
      </c>
      <c r="K2348" s="28" t="s">
        <v>76</v>
      </c>
      <c r="L2348" s="28" t="s">
        <v>134</v>
      </c>
      <c r="M2348" s="28" t="s">
        <v>78</v>
      </c>
      <c r="N2348" s="28" t="s">
        <v>135</v>
      </c>
      <c r="O2348" s="29" t="n">
        <v>50</v>
      </c>
      <c r="P2348" s="30" t="n">
        <v>28.11</v>
      </c>
      <c r="Q2348" s="30" t="n">
        <v>13.84</v>
      </c>
      <c r="R2348" s="30" t="n">
        <f aca="false">ROUND(O2348*P2348,2)</f>
        <v>1405.5</v>
      </c>
      <c r="S2348" s="30" t="n">
        <f aca="false">ROUND(O2348*Q2348,2)</f>
        <v>692</v>
      </c>
      <c r="T2348" s="30" t="n">
        <f aca="false">ROUND(R2348*SUMIFS(Parametros!$E$23:$E$38,Parametros!$B$23:$B$38,J2348,Parametros!$C$23:$C$38,C2348,Parametros!$D$23:$D$38,D2348),2)</f>
        <v>18.27</v>
      </c>
      <c r="U2348" s="30" t="n">
        <f aca="false">R2348-S2348-T2348</f>
        <v>695.23</v>
      </c>
    </row>
    <row r="2349" customFormat="false" ht="15" hidden="false" customHeight="false" outlineLevel="0" collapsed="false">
      <c r="A2349" s="0" t="n">
        <v>2348</v>
      </c>
      <c r="B2349" s="27" t="n">
        <v>46012</v>
      </c>
      <c r="C2349" s="0" t="n">
        <v>2025</v>
      </c>
      <c r="D2349" s="28" t="s">
        <v>122</v>
      </c>
      <c r="E2349" s="0" t="n">
        <v>12</v>
      </c>
      <c r="F2349" s="28" t="s">
        <v>127</v>
      </c>
      <c r="G2349" s="28" t="s">
        <v>154</v>
      </c>
      <c r="H2349" s="28" t="s">
        <v>98</v>
      </c>
      <c r="I2349" s="28" t="s">
        <v>99</v>
      </c>
      <c r="J2349" s="28" t="s">
        <v>71</v>
      </c>
      <c r="K2349" s="28" t="s">
        <v>76</v>
      </c>
      <c r="L2349" s="28" t="s">
        <v>134</v>
      </c>
      <c r="M2349" s="28" t="s">
        <v>78</v>
      </c>
      <c r="N2349" s="28" t="s">
        <v>135</v>
      </c>
      <c r="O2349" s="29" t="n">
        <v>38</v>
      </c>
      <c r="P2349" s="30" t="n">
        <v>28.11</v>
      </c>
      <c r="Q2349" s="30" t="n">
        <v>13.84</v>
      </c>
      <c r="R2349" s="30" t="n">
        <f aca="false">ROUND(O2349*P2349,2)</f>
        <v>1068.18</v>
      </c>
      <c r="S2349" s="30" t="n">
        <f aca="false">ROUND(O2349*Q2349,2)</f>
        <v>525.92</v>
      </c>
      <c r="T2349" s="30" t="n">
        <f aca="false">ROUND(R2349*SUMIFS(Parametros!$E$23:$E$38,Parametros!$B$23:$B$38,J2349,Parametros!$C$23:$C$38,C2349,Parametros!$D$23:$D$38,D2349),2)</f>
        <v>55.55</v>
      </c>
      <c r="U2349" s="30" t="n">
        <f aca="false">R2349-S2349-T2349</f>
        <v>486.71</v>
      </c>
    </row>
    <row r="2350" customFormat="false" ht="15" hidden="false" customHeight="false" outlineLevel="0" collapsed="false">
      <c r="A2350" s="0" t="n">
        <v>2349</v>
      </c>
      <c r="B2350" s="27" t="n">
        <v>45992</v>
      </c>
      <c r="C2350" s="0" t="n">
        <v>2025</v>
      </c>
      <c r="D2350" s="28" t="s">
        <v>122</v>
      </c>
      <c r="E2350" s="0" t="n">
        <v>12</v>
      </c>
      <c r="F2350" s="28" t="s">
        <v>127</v>
      </c>
      <c r="G2350" s="28" t="s">
        <v>154</v>
      </c>
      <c r="H2350" s="28" t="s">
        <v>98</v>
      </c>
      <c r="I2350" s="28" t="s">
        <v>99</v>
      </c>
      <c r="J2350" s="28" t="s">
        <v>66</v>
      </c>
      <c r="K2350" s="28" t="s">
        <v>76</v>
      </c>
      <c r="L2350" s="28" t="s">
        <v>134</v>
      </c>
      <c r="M2350" s="28" t="s">
        <v>80</v>
      </c>
      <c r="N2350" s="28" t="s">
        <v>136</v>
      </c>
      <c r="O2350" s="29" t="n">
        <v>58</v>
      </c>
      <c r="P2350" s="30" t="n">
        <v>95.38</v>
      </c>
      <c r="Q2350" s="30" t="n">
        <v>49.41</v>
      </c>
      <c r="R2350" s="30" t="n">
        <f aca="false">ROUND(O2350*P2350,2)</f>
        <v>5532.04</v>
      </c>
      <c r="S2350" s="30" t="n">
        <f aca="false">ROUND(O2350*Q2350,2)</f>
        <v>2865.78</v>
      </c>
      <c r="T2350" s="30" t="n">
        <f aca="false">ROUND(R2350*SUMIFS(Parametros!$E$23:$E$38,Parametros!$B$23:$B$38,J2350,Parametros!$C$23:$C$38,C2350,Parametros!$D$23:$D$38,D2350),2)</f>
        <v>71.92</v>
      </c>
      <c r="U2350" s="30" t="n">
        <f aca="false">R2350-S2350-T2350</f>
        <v>2594.34</v>
      </c>
    </row>
    <row r="2351" customFormat="false" ht="15" hidden="false" customHeight="false" outlineLevel="0" collapsed="false">
      <c r="A2351" s="0" t="n">
        <v>2350</v>
      </c>
      <c r="B2351" s="27" t="n">
        <v>45999</v>
      </c>
      <c r="C2351" s="0" t="n">
        <v>2025</v>
      </c>
      <c r="D2351" s="28" t="s">
        <v>122</v>
      </c>
      <c r="E2351" s="0" t="n">
        <v>12</v>
      </c>
      <c r="F2351" s="28" t="s">
        <v>127</v>
      </c>
      <c r="G2351" s="28" t="s">
        <v>154</v>
      </c>
      <c r="H2351" s="28" t="s">
        <v>98</v>
      </c>
      <c r="I2351" s="28" t="s">
        <v>99</v>
      </c>
      <c r="J2351" s="28" t="s">
        <v>71</v>
      </c>
      <c r="K2351" s="28" t="s">
        <v>76</v>
      </c>
      <c r="L2351" s="28" t="s">
        <v>134</v>
      </c>
      <c r="M2351" s="28" t="s">
        <v>80</v>
      </c>
      <c r="N2351" s="28" t="s">
        <v>136</v>
      </c>
      <c r="O2351" s="29" t="n">
        <v>34</v>
      </c>
      <c r="P2351" s="30" t="n">
        <v>95.38</v>
      </c>
      <c r="Q2351" s="30" t="n">
        <v>49.41</v>
      </c>
      <c r="R2351" s="30" t="n">
        <f aca="false">ROUND(O2351*P2351,2)</f>
        <v>3242.92</v>
      </c>
      <c r="S2351" s="30" t="n">
        <f aca="false">ROUND(O2351*Q2351,2)</f>
        <v>1679.94</v>
      </c>
      <c r="T2351" s="30" t="n">
        <f aca="false">ROUND(R2351*SUMIFS(Parametros!$E$23:$E$38,Parametros!$B$23:$B$38,J2351,Parametros!$C$23:$C$38,C2351,Parametros!$D$23:$D$38,D2351),2)</f>
        <v>168.63</v>
      </c>
      <c r="U2351" s="30" t="n">
        <f aca="false">R2351-S2351-T2351</f>
        <v>1394.35</v>
      </c>
    </row>
    <row r="2352" customFormat="false" ht="15" hidden="false" customHeight="false" outlineLevel="0" collapsed="false">
      <c r="A2352" s="0" t="n">
        <v>2351</v>
      </c>
      <c r="B2352" s="27" t="n">
        <v>46006</v>
      </c>
      <c r="C2352" s="0" t="n">
        <v>2025</v>
      </c>
      <c r="D2352" s="28" t="s">
        <v>122</v>
      </c>
      <c r="E2352" s="0" t="n">
        <v>12</v>
      </c>
      <c r="F2352" s="28" t="s">
        <v>127</v>
      </c>
      <c r="G2352" s="28" t="s">
        <v>154</v>
      </c>
      <c r="H2352" s="28" t="s">
        <v>98</v>
      </c>
      <c r="I2352" s="28" t="s">
        <v>99</v>
      </c>
      <c r="J2352" s="28" t="s">
        <v>66</v>
      </c>
      <c r="K2352" s="28" t="s">
        <v>76</v>
      </c>
      <c r="L2352" s="28" t="s">
        <v>134</v>
      </c>
      <c r="M2352" s="28" t="s">
        <v>82</v>
      </c>
      <c r="N2352" s="28" t="s">
        <v>137</v>
      </c>
      <c r="O2352" s="29" t="n">
        <v>57</v>
      </c>
      <c r="P2352" s="30" t="n">
        <v>65.26</v>
      </c>
      <c r="Q2352" s="30" t="n">
        <v>36.49</v>
      </c>
      <c r="R2352" s="30" t="n">
        <f aca="false">ROUND(O2352*P2352,2)</f>
        <v>3719.82</v>
      </c>
      <c r="S2352" s="30" t="n">
        <f aca="false">ROUND(O2352*Q2352,2)</f>
        <v>2079.93</v>
      </c>
      <c r="T2352" s="30" t="n">
        <f aca="false">ROUND(R2352*SUMIFS(Parametros!$E$23:$E$38,Parametros!$B$23:$B$38,J2352,Parametros!$C$23:$C$38,C2352,Parametros!$D$23:$D$38,D2352),2)</f>
        <v>48.36</v>
      </c>
      <c r="U2352" s="30" t="n">
        <f aca="false">R2352-S2352-T2352</f>
        <v>1591.53</v>
      </c>
    </row>
    <row r="2353" customFormat="false" ht="15" hidden="false" customHeight="false" outlineLevel="0" collapsed="false">
      <c r="A2353" s="0" t="n">
        <v>2352</v>
      </c>
      <c r="B2353" s="27" t="n">
        <v>46013</v>
      </c>
      <c r="C2353" s="0" t="n">
        <v>2025</v>
      </c>
      <c r="D2353" s="28" t="s">
        <v>122</v>
      </c>
      <c r="E2353" s="0" t="n">
        <v>12</v>
      </c>
      <c r="F2353" s="28" t="s">
        <v>127</v>
      </c>
      <c r="G2353" s="28" t="s">
        <v>154</v>
      </c>
      <c r="H2353" s="28" t="s">
        <v>98</v>
      </c>
      <c r="I2353" s="28" t="s">
        <v>99</v>
      </c>
      <c r="J2353" s="28" t="s">
        <v>71</v>
      </c>
      <c r="K2353" s="28" t="s">
        <v>76</v>
      </c>
      <c r="L2353" s="28" t="s">
        <v>134</v>
      </c>
      <c r="M2353" s="28" t="s">
        <v>82</v>
      </c>
      <c r="N2353" s="28" t="s">
        <v>137</v>
      </c>
      <c r="O2353" s="29" t="n">
        <v>44</v>
      </c>
      <c r="P2353" s="30" t="n">
        <v>65.26</v>
      </c>
      <c r="Q2353" s="30" t="n">
        <v>36.49</v>
      </c>
      <c r="R2353" s="30" t="n">
        <f aca="false">ROUND(O2353*P2353,2)</f>
        <v>2871.44</v>
      </c>
      <c r="S2353" s="30" t="n">
        <f aca="false">ROUND(O2353*Q2353,2)</f>
        <v>1605.56</v>
      </c>
      <c r="T2353" s="30" t="n">
        <f aca="false">ROUND(R2353*SUMIFS(Parametros!$E$23:$E$38,Parametros!$B$23:$B$38,J2353,Parametros!$C$23:$C$38,C2353,Parametros!$D$23:$D$38,D2353),2)</f>
        <v>149.31</v>
      </c>
      <c r="U2353" s="30" t="n">
        <f aca="false">R2353-S2353-T2353</f>
        <v>1116.57</v>
      </c>
    </row>
    <row r="2354" customFormat="false" ht="15" hidden="false" customHeight="false" outlineLevel="0" collapsed="false">
      <c r="A2354" s="0" t="n">
        <v>2353</v>
      </c>
      <c r="B2354" s="27" t="n">
        <v>45993</v>
      </c>
      <c r="C2354" s="0" t="n">
        <v>2025</v>
      </c>
      <c r="D2354" s="28" t="s">
        <v>122</v>
      </c>
      <c r="E2354" s="0" t="n">
        <v>12</v>
      </c>
      <c r="F2354" s="28" t="s">
        <v>127</v>
      </c>
      <c r="G2354" s="28" t="s">
        <v>154</v>
      </c>
      <c r="H2354" s="28" t="s">
        <v>98</v>
      </c>
      <c r="I2354" s="28" t="s">
        <v>99</v>
      </c>
      <c r="J2354" s="28" t="s">
        <v>66</v>
      </c>
      <c r="K2354" s="28" t="s">
        <v>84</v>
      </c>
      <c r="L2354" s="28" t="s">
        <v>138</v>
      </c>
      <c r="M2354" s="28" t="s">
        <v>86</v>
      </c>
      <c r="N2354" s="28" t="s">
        <v>139</v>
      </c>
      <c r="O2354" s="29" t="n">
        <v>22</v>
      </c>
      <c r="P2354" s="30" t="n">
        <v>120.47</v>
      </c>
      <c r="Q2354" s="30" t="n">
        <v>65.51</v>
      </c>
      <c r="R2354" s="30" t="n">
        <f aca="false">ROUND(O2354*P2354,2)</f>
        <v>2650.34</v>
      </c>
      <c r="S2354" s="30" t="n">
        <f aca="false">ROUND(O2354*Q2354,2)</f>
        <v>1441.22</v>
      </c>
      <c r="T2354" s="30" t="n">
        <f aca="false">ROUND(R2354*SUMIFS(Parametros!$E$23:$E$38,Parametros!$B$23:$B$38,J2354,Parametros!$C$23:$C$38,C2354,Parametros!$D$23:$D$38,D2354),2)</f>
        <v>34.45</v>
      </c>
      <c r="U2354" s="30" t="n">
        <f aca="false">R2354-S2354-T2354</f>
        <v>1174.67</v>
      </c>
    </row>
    <row r="2355" customFormat="false" ht="15" hidden="false" customHeight="false" outlineLevel="0" collapsed="false">
      <c r="A2355" s="0" t="n">
        <v>2354</v>
      </c>
      <c r="B2355" s="27" t="n">
        <v>46000</v>
      </c>
      <c r="C2355" s="0" t="n">
        <v>2025</v>
      </c>
      <c r="D2355" s="28" t="s">
        <v>122</v>
      </c>
      <c r="E2355" s="0" t="n">
        <v>12</v>
      </c>
      <c r="F2355" s="28" t="s">
        <v>127</v>
      </c>
      <c r="G2355" s="28" t="s">
        <v>154</v>
      </c>
      <c r="H2355" s="28" t="s">
        <v>98</v>
      </c>
      <c r="I2355" s="28" t="s">
        <v>99</v>
      </c>
      <c r="J2355" s="28" t="s">
        <v>71</v>
      </c>
      <c r="K2355" s="28" t="s">
        <v>84</v>
      </c>
      <c r="L2355" s="28" t="s">
        <v>138</v>
      </c>
      <c r="M2355" s="28" t="s">
        <v>86</v>
      </c>
      <c r="N2355" s="28" t="s">
        <v>139</v>
      </c>
      <c r="O2355" s="29" t="n">
        <v>19</v>
      </c>
      <c r="P2355" s="30" t="n">
        <v>120.47</v>
      </c>
      <c r="Q2355" s="30" t="n">
        <v>65.51</v>
      </c>
      <c r="R2355" s="30" t="n">
        <f aca="false">ROUND(O2355*P2355,2)</f>
        <v>2288.93</v>
      </c>
      <c r="S2355" s="30" t="n">
        <f aca="false">ROUND(O2355*Q2355,2)</f>
        <v>1244.69</v>
      </c>
      <c r="T2355" s="30" t="n">
        <f aca="false">ROUND(R2355*SUMIFS(Parametros!$E$23:$E$38,Parametros!$B$23:$B$38,J2355,Parametros!$C$23:$C$38,C2355,Parametros!$D$23:$D$38,D2355),2)</f>
        <v>119.02</v>
      </c>
      <c r="U2355" s="30" t="n">
        <f aca="false">R2355-S2355-T2355</f>
        <v>925.22</v>
      </c>
    </row>
    <row r="2356" customFormat="false" ht="15" hidden="false" customHeight="false" outlineLevel="0" collapsed="false">
      <c r="A2356" s="0" t="n">
        <v>2355</v>
      </c>
      <c r="B2356" s="27" t="n">
        <v>46007</v>
      </c>
      <c r="C2356" s="0" t="n">
        <v>2025</v>
      </c>
      <c r="D2356" s="28" t="s">
        <v>122</v>
      </c>
      <c r="E2356" s="0" t="n">
        <v>12</v>
      </c>
      <c r="F2356" s="28" t="s">
        <v>127</v>
      </c>
      <c r="G2356" s="28" t="s">
        <v>154</v>
      </c>
      <c r="H2356" s="28" t="s">
        <v>98</v>
      </c>
      <c r="I2356" s="28" t="s">
        <v>99</v>
      </c>
      <c r="J2356" s="28" t="s">
        <v>66</v>
      </c>
      <c r="K2356" s="28" t="s">
        <v>84</v>
      </c>
      <c r="L2356" s="28" t="s">
        <v>138</v>
      </c>
      <c r="M2356" s="28" t="s">
        <v>88</v>
      </c>
      <c r="N2356" s="28" t="s">
        <v>140</v>
      </c>
      <c r="O2356" s="29" t="n">
        <v>24</v>
      </c>
      <c r="P2356" s="30" t="n">
        <v>85.34</v>
      </c>
      <c r="Q2356" s="30" t="n">
        <v>49.47</v>
      </c>
      <c r="R2356" s="30" t="n">
        <f aca="false">ROUND(O2356*P2356,2)</f>
        <v>2048.16</v>
      </c>
      <c r="S2356" s="30" t="n">
        <f aca="false">ROUND(O2356*Q2356,2)</f>
        <v>1187.28</v>
      </c>
      <c r="T2356" s="30" t="n">
        <f aca="false">ROUND(R2356*SUMIFS(Parametros!$E$23:$E$38,Parametros!$B$23:$B$38,J2356,Parametros!$C$23:$C$38,C2356,Parametros!$D$23:$D$38,D2356),2)</f>
        <v>26.63</v>
      </c>
      <c r="U2356" s="30" t="n">
        <f aca="false">R2356-S2356-T2356</f>
        <v>834.25</v>
      </c>
    </row>
    <row r="2357" customFormat="false" ht="15" hidden="false" customHeight="false" outlineLevel="0" collapsed="false">
      <c r="A2357" s="0" t="n">
        <v>2356</v>
      </c>
      <c r="B2357" s="27" t="n">
        <v>46014</v>
      </c>
      <c r="C2357" s="0" t="n">
        <v>2025</v>
      </c>
      <c r="D2357" s="28" t="s">
        <v>122</v>
      </c>
      <c r="E2357" s="0" t="n">
        <v>12</v>
      </c>
      <c r="F2357" s="28" t="s">
        <v>127</v>
      </c>
      <c r="G2357" s="28" t="s">
        <v>154</v>
      </c>
      <c r="H2357" s="28" t="s">
        <v>98</v>
      </c>
      <c r="I2357" s="28" t="s">
        <v>99</v>
      </c>
      <c r="J2357" s="28" t="s">
        <v>71</v>
      </c>
      <c r="K2357" s="28" t="s">
        <v>84</v>
      </c>
      <c r="L2357" s="28" t="s">
        <v>138</v>
      </c>
      <c r="M2357" s="28" t="s">
        <v>88</v>
      </c>
      <c r="N2357" s="28" t="s">
        <v>140</v>
      </c>
      <c r="O2357" s="29" t="n">
        <v>16</v>
      </c>
      <c r="P2357" s="30" t="n">
        <v>85.34</v>
      </c>
      <c r="Q2357" s="30" t="n">
        <v>49.47</v>
      </c>
      <c r="R2357" s="30" t="n">
        <f aca="false">ROUND(O2357*P2357,2)</f>
        <v>1365.44</v>
      </c>
      <c r="S2357" s="30" t="n">
        <f aca="false">ROUND(O2357*Q2357,2)</f>
        <v>791.52</v>
      </c>
      <c r="T2357" s="30" t="n">
        <f aca="false">ROUND(R2357*SUMIFS(Parametros!$E$23:$E$38,Parametros!$B$23:$B$38,J2357,Parametros!$C$23:$C$38,C2357,Parametros!$D$23:$D$38,D2357),2)</f>
        <v>71</v>
      </c>
      <c r="U2357" s="30" t="n">
        <f aca="false">R2357-S2357-T2357</f>
        <v>502.92</v>
      </c>
    </row>
    <row r="2358" customFormat="false" ht="15" hidden="false" customHeight="false" outlineLevel="0" collapsed="false">
      <c r="A2358" s="0" t="n">
        <v>2357</v>
      </c>
      <c r="B2358" s="27" t="n">
        <v>45994</v>
      </c>
      <c r="C2358" s="0" t="n">
        <v>2025</v>
      </c>
      <c r="D2358" s="28" t="s">
        <v>122</v>
      </c>
      <c r="E2358" s="0" t="n">
        <v>12</v>
      </c>
      <c r="F2358" s="28" t="s">
        <v>127</v>
      </c>
      <c r="G2358" s="28" t="s">
        <v>154</v>
      </c>
      <c r="H2358" s="28" t="s">
        <v>98</v>
      </c>
      <c r="I2358" s="28" t="s">
        <v>99</v>
      </c>
      <c r="J2358" s="28" t="s">
        <v>66</v>
      </c>
      <c r="K2358" s="28" t="s">
        <v>90</v>
      </c>
      <c r="L2358" s="28" t="s">
        <v>141</v>
      </c>
      <c r="M2358" s="28" t="s">
        <v>92</v>
      </c>
      <c r="N2358" s="28" t="s">
        <v>142</v>
      </c>
      <c r="O2358" s="29" t="n">
        <v>29</v>
      </c>
      <c r="P2358" s="30" t="n">
        <v>130.51</v>
      </c>
      <c r="Q2358" s="30" t="n">
        <v>78.33</v>
      </c>
      <c r="R2358" s="30" t="n">
        <f aca="false">ROUND(O2358*P2358,2)</f>
        <v>3784.79</v>
      </c>
      <c r="S2358" s="30" t="n">
        <f aca="false">ROUND(O2358*Q2358,2)</f>
        <v>2271.57</v>
      </c>
      <c r="T2358" s="30" t="n">
        <f aca="false">ROUND(R2358*SUMIFS(Parametros!$E$23:$E$38,Parametros!$B$23:$B$38,J2358,Parametros!$C$23:$C$38,C2358,Parametros!$D$23:$D$38,D2358),2)</f>
        <v>49.2</v>
      </c>
      <c r="U2358" s="30" t="n">
        <f aca="false">R2358-S2358-T2358</f>
        <v>1464.02</v>
      </c>
    </row>
    <row r="2359" customFormat="false" ht="15" hidden="false" customHeight="false" outlineLevel="0" collapsed="false">
      <c r="A2359" s="0" t="n">
        <v>2358</v>
      </c>
      <c r="B2359" s="27" t="n">
        <v>46001</v>
      </c>
      <c r="C2359" s="0" t="n">
        <v>2025</v>
      </c>
      <c r="D2359" s="28" t="s">
        <v>122</v>
      </c>
      <c r="E2359" s="0" t="n">
        <v>12</v>
      </c>
      <c r="F2359" s="28" t="s">
        <v>127</v>
      </c>
      <c r="G2359" s="28" t="s">
        <v>154</v>
      </c>
      <c r="H2359" s="28" t="s">
        <v>98</v>
      </c>
      <c r="I2359" s="28" t="s">
        <v>99</v>
      </c>
      <c r="J2359" s="28" t="s">
        <v>71</v>
      </c>
      <c r="K2359" s="28" t="s">
        <v>90</v>
      </c>
      <c r="L2359" s="28" t="s">
        <v>141</v>
      </c>
      <c r="M2359" s="28" t="s">
        <v>92</v>
      </c>
      <c r="N2359" s="28" t="s">
        <v>142</v>
      </c>
      <c r="O2359" s="29" t="n">
        <v>22</v>
      </c>
      <c r="P2359" s="30" t="n">
        <v>130.51</v>
      </c>
      <c r="Q2359" s="30" t="n">
        <v>78.33</v>
      </c>
      <c r="R2359" s="30" t="n">
        <f aca="false">ROUND(O2359*P2359,2)</f>
        <v>2871.22</v>
      </c>
      <c r="S2359" s="30" t="n">
        <f aca="false">ROUND(O2359*Q2359,2)</f>
        <v>1723.26</v>
      </c>
      <c r="T2359" s="30" t="n">
        <f aca="false">ROUND(R2359*SUMIFS(Parametros!$E$23:$E$38,Parametros!$B$23:$B$38,J2359,Parametros!$C$23:$C$38,C2359,Parametros!$D$23:$D$38,D2359),2)</f>
        <v>149.3</v>
      </c>
      <c r="U2359" s="30" t="n">
        <f aca="false">R2359-S2359-T2359</f>
        <v>998.66</v>
      </c>
    </row>
    <row r="2360" customFormat="false" ht="15" hidden="false" customHeight="false" outlineLevel="0" collapsed="false">
      <c r="A2360" s="0" t="n">
        <v>2359</v>
      </c>
      <c r="B2360" s="27" t="n">
        <v>46008</v>
      </c>
      <c r="C2360" s="0" t="n">
        <v>2025</v>
      </c>
      <c r="D2360" s="28" t="s">
        <v>122</v>
      </c>
      <c r="E2360" s="0" t="n">
        <v>12</v>
      </c>
      <c r="F2360" s="28" t="s">
        <v>127</v>
      </c>
      <c r="G2360" s="28" t="s">
        <v>154</v>
      </c>
      <c r="H2360" s="28" t="s">
        <v>98</v>
      </c>
      <c r="I2360" s="28" t="s">
        <v>99</v>
      </c>
      <c r="J2360" s="28" t="s">
        <v>66</v>
      </c>
      <c r="K2360" s="28" t="s">
        <v>90</v>
      </c>
      <c r="L2360" s="28" t="s">
        <v>141</v>
      </c>
      <c r="M2360" s="28" t="s">
        <v>94</v>
      </c>
      <c r="N2360" s="28" t="s">
        <v>143</v>
      </c>
      <c r="O2360" s="29" t="n">
        <v>39</v>
      </c>
      <c r="P2360" s="30" t="n">
        <v>35.14</v>
      </c>
      <c r="Q2360" s="30" t="n">
        <v>18.39</v>
      </c>
      <c r="R2360" s="30" t="n">
        <f aca="false">ROUND(O2360*P2360,2)</f>
        <v>1370.46</v>
      </c>
      <c r="S2360" s="30" t="n">
        <f aca="false">ROUND(O2360*Q2360,2)</f>
        <v>717.21</v>
      </c>
      <c r="T2360" s="30" t="n">
        <f aca="false">ROUND(R2360*SUMIFS(Parametros!$E$23:$E$38,Parametros!$B$23:$B$38,J2360,Parametros!$C$23:$C$38,C2360,Parametros!$D$23:$D$38,D2360),2)</f>
        <v>17.82</v>
      </c>
      <c r="U2360" s="30" t="n">
        <f aca="false">R2360-S2360-T2360</f>
        <v>635.43</v>
      </c>
    </row>
    <row r="2361" customFormat="false" ht="15" hidden="false" customHeight="false" outlineLevel="0" collapsed="false">
      <c r="A2361" s="0" t="n">
        <v>2360</v>
      </c>
      <c r="B2361" s="27" t="n">
        <v>46015</v>
      </c>
      <c r="C2361" s="0" t="n">
        <v>2025</v>
      </c>
      <c r="D2361" s="28" t="s">
        <v>122</v>
      </c>
      <c r="E2361" s="0" t="n">
        <v>12</v>
      </c>
      <c r="F2361" s="28" t="s">
        <v>127</v>
      </c>
      <c r="G2361" s="28" t="s">
        <v>154</v>
      </c>
      <c r="H2361" s="28" t="s">
        <v>98</v>
      </c>
      <c r="I2361" s="28" t="s">
        <v>99</v>
      </c>
      <c r="J2361" s="28" t="s">
        <v>71</v>
      </c>
      <c r="K2361" s="28" t="s">
        <v>90</v>
      </c>
      <c r="L2361" s="28" t="s">
        <v>141</v>
      </c>
      <c r="M2361" s="28" t="s">
        <v>94</v>
      </c>
      <c r="N2361" s="28" t="s">
        <v>143</v>
      </c>
      <c r="O2361" s="29" t="n">
        <v>25</v>
      </c>
      <c r="P2361" s="30" t="n">
        <v>35.14</v>
      </c>
      <c r="Q2361" s="30" t="n">
        <v>18.39</v>
      </c>
      <c r="R2361" s="30" t="n">
        <f aca="false">ROUND(O2361*P2361,2)</f>
        <v>878.5</v>
      </c>
      <c r="S2361" s="30" t="n">
        <f aca="false">ROUND(O2361*Q2361,2)</f>
        <v>459.75</v>
      </c>
      <c r="T2361" s="30" t="n">
        <f aca="false">ROUND(R2361*SUMIFS(Parametros!$E$23:$E$38,Parametros!$B$23:$B$38,J2361,Parametros!$C$23:$C$38,C2361,Parametros!$D$23:$D$38,D2361),2)</f>
        <v>45.68</v>
      </c>
      <c r="U2361" s="30" t="n">
        <f aca="false">R2361-S2361-T2361</f>
        <v>373.07</v>
      </c>
    </row>
    <row r="2362" customFormat="false" ht="15" hidden="false" customHeight="false" outlineLevel="0" collapsed="false">
      <c r="A2362" s="0" t="n">
        <v>2361</v>
      </c>
      <c r="B2362" s="27" t="n">
        <v>45995</v>
      </c>
      <c r="C2362" s="0" t="n">
        <v>2025</v>
      </c>
      <c r="D2362" s="28" t="s">
        <v>122</v>
      </c>
      <c r="E2362" s="0" t="n">
        <v>12</v>
      </c>
      <c r="F2362" s="28" t="s">
        <v>127</v>
      </c>
      <c r="G2362" s="28" t="s">
        <v>154</v>
      </c>
      <c r="H2362" s="28" t="s">
        <v>100</v>
      </c>
      <c r="I2362" s="28" t="s">
        <v>101</v>
      </c>
      <c r="J2362" s="28" t="s">
        <v>66</v>
      </c>
      <c r="K2362" s="28" t="s">
        <v>67</v>
      </c>
      <c r="L2362" s="28" t="s">
        <v>130</v>
      </c>
      <c r="M2362" s="28" t="s">
        <v>69</v>
      </c>
      <c r="N2362" s="28" t="s">
        <v>131</v>
      </c>
      <c r="O2362" s="29" t="n">
        <v>9</v>
      </c>
      <c r="P2362" s="30" t="n">
        <v>1204.74</v>
      </c>
      <c r="Q2362" s="30" t="n">
        <v>766.32</v>
      </c>
      <c r="R2362" s="30" t="n">
        <f aca="false">ROUND(O2362*P2362,2)</f>
        <v>10842.66</v>
      </c>
      <c r="S2362" s="30" t="n">
        <f aca="false">ROUND(O2362*Q2362,2)</f>
        <v>6896.88</v>
      </c>
      <c r="T2362" s="30" t="n">
        <f aca="false">ROUND(R2362*SUMIFS(Parametros!$E$23:$E$38,Parametros!$B$23:$B$38,J2362,Parametros!$C$23:$C$38,C2362,Parametros!$D$23:$D$38,D2362),2)</f>
        <v>140.95</v>
      </c>
      <c r="U2362" s="30" t="n">
        <f aca="false">R2362-S2362-T2362</f>
        <v>3804.83</v>
      </c>
    </row>
    <row r="2363" customFormat="false" ht="15" hidden="false" customHeight="false" outlineLevel="0" collapsed="false">
      <c r="A2363" s="0" t="n">
        <v>2362</v>
      </c>
      <c r="B2363" s="27" t="n">
        <v>46002</v>
      </c>
      <c r="C2363" s="0" t="n">
        <v>2025</v>
      </c>
      <c r="D2363" s="28" t="s">
        <v>122</v>
      </c>
      <c r="E2363" s="0" t="n">
        <v>12</v>
      </c>
      <c r="F2363" s="28" t="s">
        <v>127</v>
      </c>
      <c r="G2363" s="28" t="s">
        <v>154</v>
      </c>
      <c r="H2363" s="28" t="s">
        <v>100</v>
      </c>
      <c r="I2363" s="28" t="s">
        <v>101</v>
      </c>
      <c r="J2363" s="28" t="s">
        <v>71</v>
      </c>
      <c r="K2363" s="28" t="s">
        <v>67</v>
      </c>
      <c r="L2363" s="28" t="s">
        <v>130</v>
      </c>
      <c r="M2363" s="28" t="s">
        <v>69</v>
      </c>
      <c r="N2363" s="28" t="s">
        <v>131</v>
      </c>
      <c r="O2363" s="29" t="n">
        <v>6</v>
      </c>
      <c r="P2363" s="30" t="n">
        <v>1204.74</v>
      </c>
      <c r="Q2363" s="30" t="n">
        <v>766.32</v>
      </c>
      <c r="R2363" s="30" t="n">
        <f aca="false">ROUND(O2363*P2363,2)</f>
        <v>7228.44</v>
      </c>
      <c r="S2363" s="30" t="n">
        <f aca="false">ROUND(O2363*Q2363,2)</f>
        <v>4597.92</v>
      </c>
      <c r="T2363" s="30" t="n">
        <f aca="false">ROUND(R2363*SUMIFS(Parametros!$E$23:$E$38,Parametros!$B$23:$B$38,J2363,Parametros!$C$23:$C$38,C2363,Parametros!$D$23:$D$38,D2363),2)</f>
        <v>375.88</v>
      </c>
      <c r="U2363" s="30" t="n">
        <f aca="false">R2363-S2363-T2363</f>
        <v>2254.64</v>
      </c>
    </row>
    <row r="2364" customFormat="false" ht="15" hidden="false" customHeight="false" outlineLevel="0" collapsed="false">
      <c r="A2364" s="0" t="n">
        <v>2363</v>
      </c>
      <c r="B2364" s="27" t="n">
        <v>46009</v>
      </c>
      <c r="C2364" s="0" t="n">
        <v>2025</v>
      </c>
      <c r="D2364" s="28" t="s">
        <v>122</v>
      </c>
      <c r="E2364" s="0" t="n">
        <v>12</v>
      </c>
      <c r="F2364" s="28" t="s">
        <v>127</v>
      </c>
      <c r="G2364" s="28" t="s">
        <v>154</v>
      </c>
      <c r="H2364" s="28" t="s">
        <v>100</v>
      </c>
      <c r="I2364" s="28" t="s">
        <v>101</v>
      </c>
      <c r="J2364" s="28" t="s">
        <v>66</v>
      </c>
      <c r="K2364" s="28" t="s">
        <v>67</v>
      </c>
      <c r="L2364" s="28" t="s">
        <v>130</v>
      </c>
      <c r="M2364" s="28" t="s">
        <v>72</v>
      </c>
      <c r="N2364" s="28" t="s">
        <v>132</v>
      </c>
      <c r="O2364" s="29" t="n">
        <v>9</v>
      </c>
      <c r="P2364" s="30" t="n">
        <v>451.78</v>
      </c>
      <c r="Q2364" s="30" t="n">
        <v>280.42</v>
      </c>
      <c r="R2364" s="30" t="n">
        <f aca="false">ROUND(O2364*P2364,2)</f>
        <v>4066.02</v>
      </c>
      <c r="S2364" s="30" t="n">
        <f aca="false">ROUND(O2364*Q2364,2)</f>
        <v>2523.78</v>
      </c>
      <c r="T2364" s="30" t="n">
        <f aca="false">ROUND(R2364*SUMIFS(Parametros!$E$23:$E$38,Parametros!$B$23:$B$38,J2364,Parametros!$C$23:$C$38,C2364,Parametros!$D$23:$D$38,D2364),2)</f>
        <v>52.86</v>
      </c>
      <c r="U2364" s="30" t="n">
        <f aca="false">R2364-S2364-T2364</f>
        <v>1489.38</v>
      </c>
    </row>
    <row r="2365" customFormat="false" ht="15" hidden="false" customHeight="false" outlineLevel="0" collapsed="false">
      <c r="A2365" s="0" t="n">
        <v>2364</v>
      </c>
      <c r="B2365" s="27" t="n">
        <v>46016</v>
      </c>
      <c r="C2365" s="0" t="n">
        <v>2025</v>
      </c>
      <c r="D2365" s="28" t="s">
        <v>122</v>
      </c>
      <c r="E2365" s="0" t="n">
        <v>12</v>
      </c>
      <c r="F2365" s="28" t="s">
        <v>127</v>
      </c>
      <c r="G2365" s="28" t="s">
        <v>154</v>
      </c>
      <c r="H2365" s="28" t="s">
        <v>100</v>
      </c>
      <c r="I2365" s="28" t="s">
        <v>101</v>
      </c>
      <c r="J2365" s="28" t="s">
        <v>71</v>
      </c>
      <c r="K2365" s="28" t="s">
        <v>67</v>
      </c>
      <c r="L2365" s="28" t="s">
        <v>130</v>
      </c>
      <c r="M2365" s="28" t="s">
        <v>72</v>
      </c>
      <c r="N2365" s="28" t="s">
        <v>132</v>
      </c>
      <c r="O2365" s="29" t="n">
        <v>5</v>
      </c>
      <c r="P2365" s="30" t="n">
        <v>451.78</v>
      </c>
      <c r="Q2365" s="30" t="n">
        <v>280.42</v>
      </c>
      <c r="R2365" s="30" t="n">
        <f aca="false">ROUND(O2365*P2365,2)</f>
        <v>2258.9</v>
      </c>
      <c r="S2365" s="30" t="n">
        <f aca="false">ROUND(O2365*Q2365,2)</f>
        <v>1402.1</v>
      </c>
      <c r="T2365" s="30" t="n">
        <f aca="false">ROUND(R2365*SUMIFS(Parametros!$E$23:$E$38,Parametros!$B$23:$B$38,J2365,Parametros!$C$23:$C$38,C2365,Parametros!$D$23:$D$38,D2365),2)</f>
        <v>117.46</v>
      </c>
      <c r="U2365" s="30" t="n">
        <f aca="false">R2365-S2365-T2365</f>
        <v>739.34</v>
      </c>
    </row>
    <row r="2366" customFormat="false" ht="15" hidden="false" customHeight="false" outlineLevel="0" collapsed="false">
      <c r="A2366" s="0" t="n">
        <v>2365</v>
      </c>
      <c r="B2366" s="27" t="n">
        <v>45996</v>
      </c>
      <c r="C2366" s="0" t="n">
        <v>2025</v>
      </c>
      <c r="D2366" s="28" t="s">
        <v>122</v>
      </c>
      <c r="E2366" s="0" t="n">
        <v>12</v>
      </c>
      <c r="F2366" s="28" t="s">
        <v>127</v>
      </c>
      <c r="G2366" s="28" t="s">
        <v>154</v>
      </c>
      <c r="H2366" s="28" t="s">
        <v>100</v>
      </c>
      <c r="I2366" s="28" t="s">
        <v>101</v>
      </c>
      <c r="J2366" s="28" t="s">
        <v>66</v>
      </c>
      <c r="K2366" s="28" t="s">
        <v>67</v>
      </c>
      <c r="L2366" s="28" t="s">
        <v>130</v>
      </c>
      <c r="M2366" s="28" t="s">
        <v>74</v>
      </c>
      <c r="N2366" s="28" t="s">
        <v>133</v>
      </c>
      <c r="O2366" s="29" t="n">
        <v>11</v>
      </c>
      <c r="P2366" s="30" t="n">
        <v>1656.52</v>
      </c>
      <c r="Q2366" s="30" t="n">
        <v>1155.66</v>
      </c>
      <c r="R2366" s="30" t="n">
        <f aca="false">ROUND(O2366*P2366,2)</f>
        <v>18221.72</v>
      </c>
      <c r="S2366" s="30" t="n">
        <f aca="false">ROUND(O2366*Q2366,2)</f>
        <v>12712.26</v>
      </c>
      <c r="T2366" s="30" t="n">
        <f aca="false">ROUND(R2366*SUMIFS(Parametros!$E$23:$E$38,Parametros!$B$23:$B$38,J2366,Parametros!$C$23:$C$38,C2366,Parametros!$D$23:$D$38,D2366),2)</f>
        <v>236.88</v>
      </c>
      <c r="U2366" s="30" t="n">
        <f aca="false">R2366-S2366-T2366</f>
        <v>5272.58</v>
      </c>
    </row>
    <row r="2367" customFormat="false" ht="15" hidden="false" customHeight="false" outlineLevel="0" collapsed="false">
      <c r="A2367" s="0" t="n">
        <v>2366</v>
      </c>
      <c r="B2367" s="27" t="n">
        <v>46003</v>
      </c>
      <c r="C2367" s="0" t="n">
        <v>2025</v>
      </c>
      <c r="D2367" s="28" t="s">
        <v>122</v>
      </c>
      <c r="E2367" s="0" t="n">
        <v>12</v>
      </c>
      <c r="F2367" s="28" t="s">
        <v>127</v>
      </c>
      <c r="G2367" s="28" t="s">
        <v>154</v>
      </c>
      <c r="H2367" s="28" t="s">
        <v>100</v>
      </c>
      <c r="I2367" s="28" t="s">
        <v>101</v>
      </c>
      <c r="J2367" s="28" t="s">
        <v>71</v>
      </c>
      <c r="K2367" s="28" t="s">
        <v>67</v>
      </c>
      <c r="L2367" s="28" t="s">
        <v>130</v>
      </c>
      <c r="M2367" s="28" t="s">
        <v>74</v>
      </c>
      <c r="N2367" s="28" t="s">
        <v>133</v>
      </c>
      <c r="O2367" s="29" t="n">
        <v>7</v>
      </c>
      <c r="P2367" s="30" t="n">
        <v>1656.52</v>
      </c>
      <c r="Q2367" s="30" t="n">
        <v>1155.66</v>
      </c>
      <c r="R2367" s="30" t="n">
        <f aca="false">ROUND(O2367*P2367,2)</f>
        <v>11595.64</v>
      </c>
      <c r="S2367" s="30" t="n">
        <f aca="false">ROUND(O2367*Q2367,2)</f>
        <v>8089.62</v>
      </c>
      <c r="T2367" s="30" t="n">
        <f aca="false">ROUND(R2367*SUMIFS(Parametros!$E$23:$E$38,Parametros!$B$23:$B$38,J2367,Parametros!$C$23:$C$38,C2367,Parametros!$D$23:$D$38,D2367),2)</f>
        <v>602.97</v>
      </c>
      <c r="U2367" s="30" t="n">
        <f aca="false">R2367-S2367-T2367</f>
        <v>2903.05</v>
      </c>
    </row>
    <row r="2368" customFormat="false" ht="15" hidden="false" customHeight="false" outlineLevel="0" collapsed="false">
      <c r="A2368" s="0" t="n">
        <v>2367</v>
      </c>
      <c r="B2368" s="27" t="n">
        <v>46010</v>
      </c>
      <c r="C2368" s="0" t="n">
        <v>2025</v>
      </c>
      <c r="D2368" s="28" t="s">
        <v>122</v>
      </c>
      <c r="E2368" s="0" t="n">
        <v>12</v>
      </c>
      <c r="F2368" s="28" t="s">
        <v>127</v>
      </c>
      <c r="G2368" s="28" t="s">
        <v>154</v>
      </c>
      <c r="H2368" s="28" t="s">
        <v>100</v>
      </c>
      <c r="I2368" s="28" t="s">
        <v>101</v>
      </c>
      <c r="J2368" s="28" t="s">
        <v>66</v>
      </c>
      <c r="K2368" s="28" t="s">
        <v>76</v>
      </c>
      <c r="L2368" s="28" t="s">
        <v>134</v>
      </c>
      <c r="M2368" s="28" t="s">
        <v>78</v>
      </c>
      <c r="N2368" s="28" t="s">
        <v>135</v>
      </c>
      <c r="O2368" s="29" t="n">
        <v>44</v>
      </c>
      <c r="P2368" s="30" t="n">
        <v>28.11</v>
      </c>
      <c r="Q2368" s="30" t="n">
        <v>13.84</v>
      </c>
      <c r="R2368" s="30" t="n">
        <f aca="false">ROUND(O2368*P2368,2)</f>
        <v>1236.84</v>
      </c>
      <c r="S2368" s="30" t="n">
        <f aca="false">ROUND(O2368*Q2368,2)</f>
        <v>608.96</v>
      </c>
      <c r="T2368" s="30" t="n">
        <f aca="false">ROUND(R2368*SUMIFS(Parametros!$E$23:$E$38,Parametros!$B$23:$B$38,J2368,Parametros!$C$23:$C$38,C2368,Parametros!$D$23:$D$38,D2368),2)</f>
        <v>16.08</v>
      </c>
      <c r="U2368" s="30" t="n">
        <f aca="false">R2368-S2368-T2368</f>
        <v>611.8</v>
      </c>
    </row>
    <row r="2369" customFormat="false" ht="15" hidden="false" customHeight="false" outlineLevel="0" collapsed="false">
      <c r="A2369" s="0" t="n">
        <v>2368</v>
      </c>
      <c r="B2369" s="27" t="n">
        <v>46017</v>
      </c>
      <c r="C2369" s="0" t="n">
        <v>2025</v>
      </c>
      <c r="D2369" s="28" t="s">
        <v>122</v>
      </c>
      <c r="E2369" s="0" t="n">
        <v>12</v>
      </c>
      <c r="F2369" s="28" t="s">
        <v>127</v>
      </c>
      <c r="G2369" s="28" t="s">
        <v>154</v>
      </c>
      <c r="H2369" s="28" t="s">
        <v>100</v>
      </c>
      <c r="I2369" s="28" t="s">
        <v>101</v>
      </c>
      <c r="J2369" s="28" t="s">
        <v>71</v>
      </c>
      <c r="K2369" s="28" t="s">
        <v>76</v>
      </c>
      <c r="L2369" s="28" t="s">
        <v>134</v>
      </c>
      <c r="M2369" s="28" t="s">
        <v>78</v>
      </c>
      <c r="N2369" s="28" t="s">
        <v>135</v>
      </c>
      <c r="O2369" s="29" t="n">
        <v>31</v>
      </c>
      <c r="P2369" s="30" t="n">
        <v>28.11</v>
      </c>
      <c r="Q2369" s="30" t="n">
        <v>13.84</v>
      </c>
      <c r="R2369" s="30" t="n">
        <f aca="false">ROUND(O2369*P2369,2)</f>
        <v>871.41</v>
      </c>
      <c r="S2369" s="30" t="n">
        <f aca="false">ROUND(O2369*Q2369,2)</f>
        <v>429.04</v>
      </c>
      <c r="T2369" s="30" t="n">
        <f aca="false">ROUND(R2369*SUMIFS(Parametros!$E$23:$E$38,Parametros!$B$23:$B$38,J2369,Parametros!$C$23:$C$38,C2369,Parametros!$D$23:$D$38,D2369),2)</f>
        <v>45.31</v>
      </c>
      <c r="U2369" s="30" t="n">
        <f aca="false">R2369-S2369-T2369</f>
        <v>397.06</v>
      </c>
    </row>
    <row r="2370" customFormat="false" ht="15" hidden="false" customHeight="false" outlineLevel="0" collapsed="false">
      <c r="A2370" s="0" t="n">
        <v>2369</v>
      </c>
      <c r="B2370" s="27" t="n">
        <v>45997</v>
      </c>
      <c r="C2370" s="0" t="n">
        <v>2025</v>
      </c>
      <c r="D2370" s="28" t="s">
        <v>122</v>
      </c>
      <c r="E2370" s="0" t="n">
        <v>12</v>
      </c>
      <c r="F2370" s="28" t="s">
        <v>127</v>
      </c>
      <c r="G2370" s="28" t="s">
        <v>154</v>
      </c>
      <c r="H2370" s="28" t="s">
        <v>100</v>
      </c>
      <c r="I2370" s="28" t="s">
        <v>101</v>
      </c>
      <c r="J2370" s="28" t="s">
        <v>66</v>
      </c>
      <c r="K2370" s="28" t="s">
        <v>76</v>
      </c>
      <c r="L2370" s="28" t="s">
        <v>134</v>
      </c>
      <c r="M2370" s="28" t="s">
        <v>80</v>
      </c>
      <c r="N2370" s="28" t="s">
        <v>136</v>
      </c>
      <c r="O2370" s="29" t="n">
        <v>40</v>
      </c>
      <c r="P2370" s="30" t="n">
        <v>95.38</v>
      </c>
      <c r="Q2370" s="30" t="n">
        <v>49.41</v>
      </c>
      <c r="R2370" s="30" t="n">
        <f aca="false">ROUND(O2370*P2370,2)</f>
        <v>3815.2</v>
      </c>
      <c r="S2370" s="30" t="n">
        <f aca="false">ROUND(O2370*Q2370,2)</f>
        <v>1976.4</v>
      </c>
      <c r="T2370" s="30" t="n">
        <f aca="false">ROUND(R2370*SUMIFS(Parametros!$E$23:$E$38,Parametros!$B$23:$B$38,J2370,Parametros!$C$23:$C$38,C2370,Parametros!$D$23:$D$38,D2370),2)</f>
        <v>49.6</v>
      </c>
      <c r="U2370" s="30" t="n">
        <f aca="false">R2370-S2370-T2370</f>
        <v>1789.2</v>
      </c>
    </row>
    <row r="2371" customFormat="false" ht="15" hidden="false" customHeight="false" outlineLevel="0" collapsed="false">
      <c r="A2371" s="0" t="n">
        <v>2370</v>
      </c>
      <c r="B2371" s="27" t="n">
        <v>46004</v>
      </c>
      <c r="C2371" s="0" t="n">
        <v>2025</v>
      </c>
      <c r="D2371" s="28" t="s">
        <v>122</v>
      </c>
      <c r="E2371" s="0" t="n">
        <v>12</v>
      </c>
      <c r="F2371" s="28" t="s">
        <v>127</v>
      </c>
      <c r="G2371" s="28" t="s">
        <v>154</v>
      </c>
      <c r="H2371" s="28" t="s">
        <v>100</v>
      </c>
      <c r="I2371" s="28" t="s">
        <v>101</v>
      </c>
      <c r="J2371" s="28" t="s">
        <v>71</v>
      </c>
      <c r="K2371" s="28" t="s">
        <v>76</v>
      </c>
      <c r="L2371" s="28" t="s">
        <v>134</v>
      </c>
      <c r="M2371" s="28" t="s">
        <v>80</v>
      </c>
      <c r="N2371" s="28" t="s">
        <v>136</v>
      </c>
      <c r="O2371" s="29" t="n">
        <v>30</v>
      </c>
      <c r="P2371" s="30" t="n">
        <v>95.38</v>
      </c>
      <c r="Q2371" s="30" t="n">
        <v>49.41</v>
      </c>
      <c r="R2371" s="30" t="n">
        <f aca="false">ROUND(O2371*P2371,2)</f>
        <v>2861.4</v>
      </c>
      <c r="S2371" s="30" t="n">
        <f aca="false">ROUND(O2371*Q2371,2)</f>
        <v>1482.3</v>
      </c>
      <c r="T2371" s="30" t="n">
        <f aca="false">ROUND(R2371*SUMIFS(Parametros!$E$23:$E$38,Parametros!$B$23:$B$38,J2371,Parametros!$C$23:$C$38,C2371,Parametros!$D$23:$D$38,D2371),2)</f>
        <v>148.79</v>
      </c>
      <c r="U2371" s="30" t="n">
        <f aca="false">R2371-S2371-T2371</f>
        <v>1230.31</v>
      </c>
    </row>
    <row r="2372" customFormat="false" ht="15" hidden="false" customHeight="false" outlineLevel="0" collapsed="false">
      <c r="A2372" s="0" t="n">
        <v>2371</v>
      </c>
      <c r="B2372" s="27" t="n">
        <v>46011</v>
      </c>
      <c r="C2372" s="0" t="n">
        <v>2025</v>
      </c>
      <c r="D2372" s="28" t="s">
        <v>122</v>
      </c>
      <c r="E2372" s="0" t="n">
        <v>12</v>
      </c>
      <c r="F2372" s="28" t="s">
        <v>127</v>
      </c>
      <c r="G2372" s="28" t="s">
        <v>154</v>
      </c>
      <c r="H2372" s="28" t="s">
        <v>100</v>
      </c>
      <c r="I2372" s="28" t="s">
        <v>101</v>
      </c>
      <c r="J2372" s="28" t="s">
        <v>66</v>
      </c>
      <c r="K2372" s="28" t="s">
        <v>76</v>
      </c>
      <c r="L2372" s="28" t="s">
        <v>134</v>
      </c>
      <c r="M2372" s="28" t="s">
        <v>82</v>
      </c>
      <c r="N2372" s="28" t="s">
        <v>137</v>
      </c>
      <c r="O2372" s="29" t="n">
        <v>40</v>
      </c>
      <c r="P2372" s="30" t="n">
        <v>65.26</v>
      </c>
      <c r="Q2372" s="30" t="n">
        <v>36.49</v>
      </c>
      <c r="R2372" s="30" t="n">
        <f aca="false">ROUND(O2372*P2372,2)</f>
        <v>2610.4</v>
      </c>
      <c r="S2372" s="30" t="n">
        <f aca="false">ROUND(O2372*Q2372,2)</f>
        <v>1459.6</v>
      </c>
      <c r="T2372" s="30" t="n">
        <f aca="false">ROUND(R2372*SUMIFS(Parametros!$E$23:$E$38,Parametros!$B$23:$B$38,J2372,Parametros!$C$23:$C$38,C2372,Parametros!$D$23:$D$38,D2372),2)</f>
        <v>33.94</v>
      </c>
      <c r="U2372" s="30" t="n">
        <f aca="false">R2372-S2372-T2372</f>
        <v>1116.86</v>
      </c>
    </row>
    <row r="2373" customFormat="false" ht="15" hidden="false" customHeight="false" outlineLevel="0" collapsed="false">
      <c r="A2373" s="0" t="n">
        <v>2372</v>
      </c>
      <c r="B2373" s="27" t="n">
        <v>46018</v>
      </c>
      <c r="C2373" s="0" t="n">
        <v>2025</v>
      </c>
      <c r="D2373" s="28" t="s">
        <v>122</v>
      </c>
      <c r="E2373" s="0" t="n">
        <v>12</v>
      </c>
      <c r="F2373" s="28" t="s">
        <v>127</v>
      </c>
      <c r="G2373" s="28" t="s">
        <v>154</v>
      </c>
      <c r="H2373" s="28" t="s">
        <v>100</v>
      </c>
      <c r="I2373" s="28" t="s">
        <v>101</v>
      </c>
      <c r="J2373" s="28" t="s">
        <v>71</v>
      </c>
      <c r="K2373" s="28" t="s">
        <v>76</v>
      </c>
      <c r="L2373" s="28" t="s">
        <v>134</v>
      </c>
      <c r="M2373" s="28" t="s">
        <v>82</v>
      </c>
      <c r="N2373" s="28" t="s">
        <v>137</v>
      </c>
      <c r="O2373" s="29" t="n">
        <v>27</v>
      </c>
      <c r="P2373" s="30" t="n">
        <v>65.26</v>
      </c>
      <c r="Q2373" s="30" t="n">
        <v>36.49</v>
      </c>
      <c r="R2373" s="30" t="n">
        <f aca="false">ROUND(O2373*P2373,2)</f>
        <v>1762.02</v>
      </c>
      <c r="S2373" s="30" t="n">
        <f aca="false">ROUND(O2373*Q2373,2)</f>
        <v>985.23</v>
      </c>
      <c r="T2373" s="30" t="n">
        <f aca="false">ROUND(R2373*SUMIFS(Parametros!$E$23:$E$38,Parametros!$B$23:$B$38,J2373,Parametros!$C$23:$C$38,C2373,Parametros!$D$23:$D$38,D2373),2)</f>
        <v>91.63</v>
      </c>
      <c r="U2373" s="30" t="n">
        <f aca="false">R2373-S2373-T2373</f>
        <v>685.16</v>
      </c>
    </row>
    <row r="2374" customFormat="false" ht="15" hidden="false" customHeight="false" outlineLevel="0" collapsed="false">
      <c r="A2374" s="0" t="n">
        <v>2373</v>
      </c>
      <c r="B2374" s="27" t="n">
        <v>45998</v>
      </c>
      <c r="C2374" s="0" t="n">
        <v>2025</v>
      </c>
      <c r="D2374" s="28" t="s">
        <v>122</v>
      </c>
      <c r="E2374" s="0" t="n">
        <v>12</v>
      </c>
      <c r="F2374" s="28" t="s">
        <v>127</v>
      </c>
      <c r="G2374" s="28" t="s">
        <v>154</v>
      </c>
      <c r="H2374" s="28" t="s">
        <v>100</v>
      </c>
      <c r="I2374" s="28" t="s">
        <v>101</v>
      </c>
      <c r="J2374" s="28" t="s">
        <v>66</v>
      </c>
      <c r="K2374" s="28" t="s">
        <v>84</v>
      </c>
      <c r="L2374" s="28" t="s">
        <v>138</v>
      </c>
      <c r="M2374" s="28" t="s">
        <v>86</v>
      </c>
      <c r="N2374" s="28" t="s">
        <v>139</v>
      </c>
      <c r="O2374" s="29" t="n">
        <v>17</v>
      </c>
      <c r="P2374" s="30" t="n">
        <v>120.47</v>
      </c>
      <c r="Q2374" s="30" t="n">
        <v>65.51</v>
      </c>
      <c r="R2374" s="30" t="n">
        <f aca="false">ROUND(O2374*P2374,2)</f>
        <v>2047.99</v>
      </c>
      <c r="S2374" s="30" t="n">
        <f aca="false">ROUND(O2374*Q2374,2)</f>
        <v>1113.67</v>
      </c>
      <c r="T2374" s="30" t="n">
        <f aca="false">ROUND(R2374*SUMIFS(Parametros!$E$23:$E$38,Parametros!$B$23:$B$38,J2374,Parametros!$C$23:$C$38,C2374,Parametros!$D$23:$D$38,D2374),2)</f>
        <v>26.62</v>
      </c>
      <c r="U2374" s="30" t="n">
        <f aca="false">R2374-S2374-T2374</f>
        <v>907.7</v>
      </c>
    </row>
    <row r="2375" customFormat="false" ht="15" hidden="false" customHeight="false" outlineLevel="0" collapsed="false">
      <c r="A2375" s="0" t="n">
        <v>2374</v>
      </c>
      <c r="B2375" s="27" t="n">
        <v>46005</v>
      </c>
      <c r="C2375" s="0" t="n">
        <v>2025</v>
      </c>
      <c r="D2375" s="28" t="s">
        <v>122</v>
      </c>
      <c r="E2375" s="0" t="n">
        <v>12</v>
      </c>
      <c r="F2375" s="28" t="s">
        <v>127</v>
      </c>
      <c r="G2375" s="28" t="s">
        <v>154</v>
      </c>
      <c r="H2375" s="28" t="s">
        <v>100</v>
      </c>
      <c r="I2375" s="28" t="s">
        <v>101</v>
      </c>
      <c r="J2375" s="28" t="s">
        <v>71</v>
      </c>
      <c r="K2375" s="28" t="s">
        <v>84</v>
      </c>
      <c r="L2375" s="28" t="s">
        <v>138</v>
      </c>
      <c r="M2375" s="28" t="s">
        <v>86</v>
      </c>
      <c r="N2375" s="28" t="s">
        <v>139</v>
      </c>
      <c r="O2375" s="29" t="n">
        <v>15</v>
      </c>
      <c r="P2375" s="30" t="n">
        <v>120.47</v>
      </c>
      <c r="Q2375" s="30" t="n">
        <v>65.51</v>
      </c>
      <c r="R2375" s="30" t="n">
        <f aca="false">ROUND(O2375*P2375,2)</f>
        <v>1807.05</v>
      </c>
      <c r="S2375" s="30" t="n">
        <f aca="false">ROUND(O2375*Q2375,2)</f>
        <v>982.65</v>
      </c>
      <c r="T2375" s="30" t="n">
        <f aca="false">ROUND(R2375*SUMIFS(Parametros!$E$23:$E$38,Parametros!$B$23:$B$38,J2375,Parametros!$C$23:$C$38,C2375,Parametros!$D$23:$D$38,D2375),2)</f>
        <v>93.97</v>
      </c>
      <c r="U2375" s="30" t="n">
        <f aca="false">R2375-S2375-T2375</f>
        <v>730.43</v>
      </c>
    </row>
    <row r="2376" customFormat="false" ht="15" hidden="false" customHeight="false" outlineLevel="0" collapsed="false">
      <c r="A2376" s="0" t="n">
        <v>2375</v>
      </c>
      <c r="B2376" s="27" t="n">
        <v>46012</v>
      </c>
      <c r="C2376" s="0" t="n">
        <v>2025</v>
      </c>
      <c r="D2376" s="28" t="s">
        <v>122</v>
      </c>
      <c r="E2376" s="0" t="n">
        <v>12</v>
      </c>
      <c r="F2376" s="28" t="s">
        <v>127</v>
      </c>
      <c r="G2376" s="28" t="s">
        <v>154</v>
      </c>
      <c r="H2376" s="28" t="s">
        <v>100</v>
      </c>
      <c r="I2376" s="28" t="s">
        <v>101</v>
      </c>
      <c r="J2376" s="28" t="s">
        <v>66</v>
      </c>
      <c r="K2376" s="28" t="s">
        <v>84</v>
      </c>
      <c r="L2376" s="28" t="s">
        <v>138</v>
      </c>
      <c r="M2376" s="28" t="s">
        <v>88</v>
      </c>
      <c r="N2376" s="28" t="s">
        <v>140</v>
      </c>
      <c r="O2376" s="29" t="n">
        <v>18</v>
      </c>
      <c r="P2376" s="30" t="n">
        <v>85.34</v>
      </c>
      <c r="Q2376" s="30" t="n">
        <v>49.47</v>
      </c>
      <c r="R2376" s="30" t="n">
        <f aca="false">ROUND(O2376*P2376,2)</f>
        <v>1536.12</v>
      </c>
      <c r="S2376" s="30" t="n">
        <f aca="false">ROUND(O2376*Q2376,2)</f>
        <v>890.46</v>
      </c>
      <c r="T2376" s="30" t="n">
        <f aca="false">ROUND(R2376*SUMIFS(Parametros!$E$23:$E$38,Parametros!$B$23:$B$38,J2376,Parametros!$C$23:$C$38,C2376,Parametros!$D$23:$D$38,D2376),2)</f>
        <v>19.97</v>
      </c>
      <c r="U2376" s="30" t="n">
        <f aca="false">R2376-S2376-T2376</f>
        <v>625.69</v>
      </c>
    </row>
    <row r="2377" customFormat="false" ht="15" hidden="false" customHeight="false" outlineLevel="0" collapsed="false">
      <c r="A2377" s="0" t="n">
        <v>2376</v>
      </c>
      <c r="B2377" s="27" t="n">
        <v>45992</v>
      </c>
      <c r="C2377" s="0" t="n">
        <v>2025</v>
      </c>
      <c r="D2377" s="28" t="s">
        <v>122</v>
      </c>
      <c r="E2377" s="0" t="n">
        <v>12</v>
      </c>
      <c r="F2377" s="28" t="s">
        <v>127</v>
      </c>
      <c r="G2377" s="28" t="s">
        <v>154</v>
      </c>
      <c r="H2377" s="28" t="s">
        <v>100</v>
      </c>
      <c r="I2377" s="28" t="s">
        <v>101</v>
      </c>
      <c r="J2377" s="28" t="s">
        <v>71</v>
      </c>
      <c r="K2377" s="28" t="s">
        <v>84</v>
      </c>
      <c r="L2377" s="28" t="s">
        <v>138</v>
      </c>
      <c r="M2377" s="28" t="s">
        <v>88</v>
      </c>
      <c r="N2377" s="28" t="s">
        <v>140</v>
      </c>
      <c r="O2377" s="29" t="n">
        <v>14</v>
      </c>
      <c r="P2377" s="30" t="n">
        <v>85.34</v>
      </c>
      <c r="Q2377" s="30" t="n">
        <v>49.47</v>
      </c>
      <c r="R2377" s="30" t="n">
        <f aca="false">ROUND(O2377*P2377,2)</f>
        <v>1194.76</v>
      </c>
      <c r="S2377" s="30" t="n">
        <f aca="false">ROUND(O2377*Q2377,2)</f>
        <v>692.58</v>
      </c>
      <c r="T2377" s="30" t="n">
        <f aca="false">ROUND(R2377*SUMIFS(Parametros!$E$23:$E$38,Parametros!$B$23:$B$38,J2377,Parametros!$C$23:$C$38,C2377,Parametros!$D$23:$D$38,D2377),2)</f>
        <v>62.13</v>
      </c>
      <c r="U2377" s="30" t="n">
        <f aca="false">R2377-S2377-T2377</f>
        <v>440.05</v>
      </c>
    </row>
    <row r="2378" customFormat="false" ht="15" hidden="false" customHeight="false" outlineLevel="0" collapsed="false">
      <c r="A2378" s="0" t="n">
        <v>2377</v>
      </c>
      <c r="B2378" s="27" t="n">
        <v>45999</v>
      </c>
      <c r="C2378" s="0" t="n">
        <v>2025</v>
      </c>
      <c r="D2378" s="28" t="s">
        <v>122</v>
      </c>
      <c r="E2378" s="0" t="n">
        <v>12</v>
      </c>
      <c r="F2378" s="28" t="s">
        <v>127</v>
      </c>
      <c r="G2378" s="28" t="s">
        <v>154</v>
      </c>
      <c r="H2378" s="28" t="s">
        <v>100</v>
      </c>
      <c r="I2378" s="28" t="s">
        <v>101</v>
      </c>
      <c r="J2378" s="28" t="s">
        <v>66</v>
      </c>
      <c r="K2378" s="28" t="s">
        <v>90</v>
      </c>
      <c r="L2378" s="28" t="s">
        <v>141</v>
      </c>
      <c r="M2378" s="28" t="s">
        <v>92</v>
      </c>
      <c r="N2378" s="28" t="s">
        <v>142</v>
      </c>
      <c r="O2378" s="29" t="n">
        <v>27</v>
      </c>
      <c r="P2378" s="30" t="n">
        <v>130.51</v>
      </c>
      <c r="Q2378" s="30" t="n">
        <v>78.33</v>
      </c>
      <c r="R2378" s="30" t="n">
        <f aca="false">ROUND(O2378*P2378,2)</f>
        <v>3523.77</v>
      </c>
      <c r="S2378" s="30" t="n">
        <f aca="false">ROUND(O2378*Q2378,2)</f>
        <v>2114.91</v>
      </c>
      <c r="T2378" s="30" t="n">
        <f aca="false">ROUND(R2378*SUMIFS(Parametros!$E$23:$E$38,Parametros!$B$23:$B$38,J2378,Parametros!$C$23:$C$38,C2378,Parametros!$D$23:$D$38,D2378),2)</f>
        <v>45.81</v>
      </c>
      <c r="U2378" s="30" t="n">
        <f aca="false">R2378-S2378-T2378</f>
        <v>1363.05</v>
      </c>
    </row>
    <row r="2379" customFormat="false" ht="15" hidden="false" customHeight="false" outlineLevel="0" collapsed="false">
      <c r="A2379" s="0" t="n">
        <v>2378</v>
      </c>
      <c r="B2379" s="27" t="n">
        <v>46006</v>
      </c>
      <c r="C2379" s="0" t="n">
        <v>2025</v>
      </c>
      <c r="D2379" s="28" t="s">
        <v>122</v>
      </c>
      <c r="E2379" s="0" t="n">
        <v>12</v>
      </c>
      <c r="F2379" s="28" t="s">
        <v>127</v>
      </c>
      <c r="G2379" s="28" t="s">
        <v>154</v>
      </c>
      <c r="H2379" s="28" t="s">
        <v>100</v>
      </c>
      <c r="I2379" s="28" t="s">
        <v>101</v>
      </c>
      <c r="J2379" s="28" t="s">
        <v>71</v>
      </c>
      <c r="K2379" s="28" t="s">
        <v>90</v>
      </c>
      <c r="L2379" s="28" t="s">
        <v>141</v>
      </c>
      <c r="M2379" s="28" t="s">
        <v>92</v>
      </c>
      <c r="N2379" s="28" t="s">
        <v>142</v>
      </c>
      <c r="O2379" s="29" t="n">
        <v>18</v>
      </c>
      <c r="P2379" s="30" t="n">
        <v>130.51</v>
      </c>
      <c r="Q2379" s="30" t="n">
        <v>78.33</v>
      </c>
      <c r="R2379" s="30" t="n">
        <f aca="false">ROUND(O2379*P2379,2)</f>
        <v>2349.18</v>
      </c>
      <c r="S2379" s="30" t="n">
        <f aca="false">ROUND(O2379*Q2379,2)</f>
        <v>1409.94</v>
      </c>
      <c r="T2379" s="30" t="n">
        <f aca="false">ROUND(R2379*SUMIFS(Parametros!$E$23:$E$38,Parametros!$B$23:$B$38,J2379,Parametros!$C$23:$C$38,C2379,Parametros!$D$23:$D$38,D2379),2)</f>
        <v>122.16</v>
      </c>
      <c r="U2379" s="30" t="n">
        <f aca="false">R2379-S2379-T2379</f>
        <v>817.08</v>
      </c>
    </row>
    <row r="2380" customFormat="false" ht="15" hidden="false" customHeight="false" outlineLevel="0" collapsed="false">
      <c r="A2380" s="0" t="n">
        <v>2379</v>
      </c>
      <c r="B2380" s="27" t="n">
        <v>46013</v>
      </c>
      <c r="C2380" s="0" t="n">
        <v>2025</v>
      </c>
      <c r="D2380" s="28" t="s">
        <v>122</v>
      </c>
      <c r="E2380" s="0" t="n">
        <v>12</v>
      </c>
      <c r="F2380" s="28" t="s">
        <v>127</v>
      </c>
      <c r="G2380" s="28" t="s">
        <v>154</v>
      </c>
      <c r="H2380" s="28" t="s">
        <v>100</v>
      </c>
      <c r="I2380" s="28" t="s">
        <v>101</v>
      </c>
      <c r="J2380" s="28" t="s">
        <v>66</v>
      </c>
      <c r="K2380" s="28" t="s">
        <v>90</v>
      </c>
      <c r="L2380" s="28" t="s">
        <v>141</v>
      </c>
      <c r="M2380" s="28" t="s">
        <v>94</v>
      </c>
      <c r="N2380" s="28" t="s">
        <v>143</v>
      </c>
      <c r="O2380" s="29" t="n">
        <v>26</v>
      </c>
      <c r="P2380" s="30" t="n">
        <v>35.14</v>
      </c>
      <c r="Q2380" s="30" t="n">
        <v>18.39</v>
      </c>
      <c r="R2380" s="30" t="n">
        <f aca="false">ROUND(O2380*P2380,2)</f>
        <v>913.64</v>
      </c>
      <c r="S2380" s="30" t="n">
        <f aca="false">ROUND(O2380*Q2380,2)</f>
        <v>478.14</v>
      </c>
      <c r="T2380" s="30" t="n">
        <f aca="false">ROUND(R2380*SUMIFS(Parametros!$E$23:$E$38,Parametros!$B$23:$B$38,J2380,Parametros!$C$23:$C$38,C2380,Parametros!$D$23:$D$38,D2380),2)</f>
        <v>11.88</v>
      </c>
      <c r="U2380" s="30" t="n">
        <f aca="false">R2380-S2380-T2380</f>
        <v>423.62</v>
      </c>
    </row>
    <row r="2381" customFormat="false" ht="15" hidden="false" customHeight="false" outlineLevel="0" collapsed="false">
      <c r="A2381" s="0" t="n">
        <v>2380</v>
      </c>
      <c r="B2381" s="27" t="n">
        <v>45993</v>
      </c>
      <c r="C2381" s="0" t="n">
        <v>2025</v>
      </c>
      <c r="D2381" s="28" t="s">
        <v>122</v>
      </c>
      <c r="E2381" s="0" t="n">
        <v>12</v>
      </c>
      <c r="F2381" s="28" t="s">
        <v>127</v>
      </c>
      <c r="G2381" s="28" t="s">
        <v>154</v>
      </c>
      <c r="H2381" s="28" t="s">
        <v>100</v>
      </c>
      <c r="I2381" s="28" t="s">
        <v>101</v>
      </c>
      <c r="J2381" s="28" t="s">
        <v>71</v>
      </c>
      <c r="K2381" s="28" t="s">
        <v>90</v>
      </c>
      <c r="L2381" s="28" t="s">
        <v>141</v>
      </c>
      <c r="M2381" s="28" t="s">
        <v>94</v>
      </c>
      <c r="N2381" s="28" t="s">
        <v>143</v>
      </c>
      <c r="O2381" s="29" t="n">
        <v>15</v>
      </c>
      <c r="P2381" s="30" t="n">
        <v>35.14</v>
      </c>
      <c r="Q2381" s="30" t="n">
        <v>18.39</v>
      </c>
      <c r="R2381" s="30" t="n">
        <f aca="false">ROUND(O2381*P2381,2)</f>
        <v>527.1</v>
      </c>
      <c r="S2381" s="30" t="n">
        <f aca="false">ROUND(O2381*Q2381,2)</f>
        <v>275.85</v>
      </c>
      <c r="T2381" s="30" t="n">
        <f aca="false">ROUND(R2381*SUMIFS(Parametros!$E$23:$E$38,Parametros!$B$23:$B$38,J2381,Parametros!$C$23:$C$38,C2381,Parametros!$D$23:$D$38,D2381),2)</f>
        <v>27.41</v>
      </c>
      <c r="U2381" s="30" t="n">
        <f aca="false">R2381-S2381-T2381</f>
        <v>223.84</v>
      </c>
    </row>
    <row r="2382" customFormat="false" ht="15" hidden="false" customHeight="false" outlineLevel="0" collapsed="false">
      <c r="A2382" s="0" t="n">
        <v>2381</v>
      </c>
      <c r="B2382" s="27" t="n">
        <v>46000</v>
      </c>
      <c r="C2382" s="0" t="n">
        <v>2025</v>
      </c>
      <c r="D2382" s="28" t="s">
        <v>122</v>
      </c>
      <c r="E2382" s="0" t="n">
        <v>12</v>
      </c>
      <c r="F2382" s="28" t="s">
        <v>127</v>
      </c>
      <c r="G2382" s="28" t="s">
        <v>154</v>
      </c>
      <c r="H2382" s="28" t="s">
        <v>102</v>
      </c>
      <c r="I2382" s="28" t="s">
        <v>103</v>
      </c>
      <c r="J2382" s="28" t="s">
        <v>66</v>
      </c>
      <c r="K2382" s="28" t="s">
        <v>67</v>
      </c>
      <c r="L2382" s="28" t="s">
        <v>130</v>
      </c>
      <c r="M2382" s="28" t="s">
        <v>69</v>
      </c>
      <c r="N2382" s="28" t="s">
        <v>131</v>
      </c>
      <c r="O2382" s="29" t="n">
        <v>8</v>
      </c>
      <c r="P2382" s="30" t="n">
        <v>1204.74</v>
      </c>
      <c r="Q2382" s="30" t="n">
        <v>766.32</v>
      </c>
      <c r="R2382" s="30" t="n">
        <f aca="false">ROUND(O2382*P2382,2)</f>
        <v>9637.92</v>
      </c>
      <c r="S2382" s="30" t="n">
        <f aca="false">ROUND(O2382*Q2382,2)</f>
        <v>6130.56</v>
      </c>
      <c r="T2382" s="30" t="n">
        <f aca="false">ROUND(R2382*SUMIFS(Parametros!$E$23:$E$38,Parametros!$B$23:$B$38,J2382,Parametros!$C$23:$C$38,C2382,Parametros!$D$23:$D$38,D2382),2)</f>
        <v>125.29</v>
      </c>
      <c r="U2382" s="30" t="n">
        <f aca="false">R2382-S2382-T2382</f>
        <v>3382.07</v>
      </c>
    </row>
    <row r="2383" customFormat="false" ht="15" hidden="false" customHeight="false" outlineLevel="0" collapsed="false">
      <c r="A2383" s="0" t="n">
        <v>2382</v>
      </c>
      <c r="B2383" s="27" t="n">
        <v>46007</v>
      </c>
      <c r="C2383" s="0" t="n">
        <v>2025</v>
      </c>
      <c r="D2383" s="28" t="s">
        <v>122</v>
      </c>
      <c r="E2383" s="0" t="n">
        <v>12</v>
      </c>
      <c r="F2383" s="28" t="s">
        <v>127</v>
      </c>
      <c r="G2383" s="28" t="s">
        <v>154</v>
      </c>
      <c r="H2383" s="28" t="s">
        <v>102</v>
      </c>
      <c r="I2383" s="28" t="s">
        <v>103</v>
      </c>
      <c r="J2383" s="28" t="s">
        <v>71</v>
      </c>
      <c r="K2383" s="28" t="s">
        <v>67</v>
      </c>
      <c r="L2383" s="28" t="s">
        <v>130</v>
      </c>
      <c r="M2383" s="28" t="s">
        <v>69</v>
      </c>
      <c r="N2383" s="28" t="s">
        <v>131</v>
      </c>
      <c r="O2383" s="29" t="n">
        <v>7</v>
      </c>
      <c r="P2383" s="30" t="n">
        <v>1204.74</v>
      </c>
      <c r="Q2383" s="30" t="n">
        <v>766.32</v>
      </c>
      <c r="R2383" s="30" t="n">
        <f aca="false">ROUND(O2383*P2383,2)</f>
        <v>8433.18</v>
      </c>
      <c r="S2383" s="30" t="n">
        <f aca="false">ROUND(O2383*Q2383,2)</f>
        <v>5364.24</v>
      </c>
      <c r="T2383" s="30" t="n">
        <f aca="false">ROUND(R2383*SUMIFS(Parametros!$E$23:$E$38,Parametros!$B$23:$B$38,J2383,Parametros!$C$23:$C$38,C2383,Parametros!$D$23:$D$38,D2383),2)</f>
        <v>438.53</v>
      </c>
      <c r="U2383" s="30" t="n">
        <f aca="false">R2383-S2383-T2383</f>
        <v>2630.41</v>
      </c>
    </row>
    <row r="2384" customFormat="false" ht="15" hidden="false" customHeight="false" outlineLevel="0" collapsed="false">
      <c r="A2384" s="0" t="n">
        <v>2383</v>
      </c>
      <c r="B2384" s="27" t="n">
        <v>46014</v>
      </c>
      <c r="C2384" s="0" t="n">
        <v>2025</v>
      </c>
      <c r="D2384" s="28" t="s">
        <v>122</v>
      </c>
      <c r="E2384" s="0" t="n">
        <v>12</v>
      </c>
      <c r="F2384" s="28" t="s">
        <v>127</v>
      </c>
      <c r="G2384" s="28" t="s">
        <v>154</v>
      </c>
      <c r="H2384" s="28" t="s">
        <v>102</v>
      </c>
      <c r="I2384" s="28" t="s">
        <v>103</v>
      </c>
      <c r="J2384" s="28" t="s">
        <v>66</v>
      </c>
      <c r="K2384" s="28" t="s">
        <v>67</v>
      </c>
      <c r="L2384" s="28" t="s">
        <v>130</v>
      </c>
      <c r="M2384" s="28" t="s">
        <v>72</v>
      </c>
      <c r="N2384" s="28" t="s">
        <v>132</v>
      </c>
      <c r="O2384" s="29" t="n">
        <v>10</v>
      </c>
      <c r="P2384" s="30" t="n">
        <v>451.78</v>
      </c>
      <c r="Q2384" s="30" t="n">
        <v>280.42</v>
      </c>
      <c r="R2384" s="30" t="n">
        <f aca="false">ROUND(O2384*P2384,2)</f>
        <v>4517.8</v>
      </c>
      <c r="S2384" s="30" t="n">
        <f aca="false">ROUND(O2384*Q2384,2)</f>
        <v>2804.2</v>
      </c>
      <c r="T2384" s="30" t="n">
        <f aca="false">ROUND(R2384*SUMIFS(Parametros!$E$23:$E$38,Parametros!$B$23:$B$38,J2384,Parametros!$C$23:$C$38,C2384,Parametros!$D$23:$D$38,D2384),2)</f>
        <v>58.73</v>
      </c>
      <c r="U2384" s="30" t="n">
        <f aca="false">R2384-S2384-T2384</f>
        <v>1654.87</v>
      </c>
    </row>
    <row r="2385" customFormat="false" ht="15" hidden="false" customHeight="false" outlineLevel="0" collapsed="false">
      <c r="A2385" s="0" t="n">
        <v>2384</v>
      </c>
      <c r="B2385" s="27" t="n">
        <v>45994</v>
      </c>
      <c r="C2385" s="0" t="n">
        <v>2025</v>
      </c>
      <c r="D2385" s="28" t="s">
        <v>122</v>
      </c>
      <c r="E2385" s="0" t="n">
        <v>12</v>
      </c>
      <c r="F2385" s="28" t="s">
        <v>127</v>
      </c>
      <c r="G2385" s="28" t="s">
        <v>154</v>
      </c>
      <c r="H2385" s="28" t="s">
        <v>102</v>
      </c>
      <c r="I2385" s="28" t="s">
        <v>103</v>
      </c>
      <c r="J2385" s="28" t="s">
        <v>71</v>
      </c>
      <c r="K2385" s="28" t="s">
        <v>67</v>
      </c>
      <c r="L2385" s="28" t="s">
        <v>130</v>
      </c>
      <c r="M2385" s="28" t="s">
        <v>72</v>
      </c>
      <c r="N2385" s="28" t="s">
        <v>132</v>
      </c>
      <c r="O2385" s="29" t="n">
        <v>6</v>
      </c>
      <c r="P2385" s="30" t="n">
        <v>451.78</v>
      </c>
      <c r="Q2385" s="30" t="n">
        <v>280.42</v>
      </c>
      <c r="R2385" s="30" t="n">
        <f aca="false">ROUND(O2385*P2385,2)</f>
        <v>2710.68</v>
      </c>
      <c r="S2385" s="30" t="n">
        <f aca="false">ROUND(O2385*Q2385,2)</f>
        <v>1682.52</v>
      </c>
      <c r="T2385" s="30" t="n">
        <f aca="false">ROUND(R2385*SUMIFS(Parametros!$E$23:$E$38,Parametros!$B$23:$B$38,J2385,Parametros!$C$23:$C$38,C2385,Parametros!$D$23:$D$38,D2385),2)</f>
        <v>140.96</v>
      </c>
      <c r="U2385" s="30" t="n">
        <f aca="false">R2385-S2385-T2385</f>
        <v>887.2</v>
      </c>
    </row>
    <row r="2386" customFormat="false" ht="15" hidden="false" customHeight="false" outlineLevel="0" collapsed="false">
      <c r="A2386" s="0" t="n">
        <v>2385</v>
      </c>
      <c r="B2386" s="27" t="n">
        <v>46001</v>
      </c>
      <c r="C2386" s="0" t="n">
        <v>2025</v>
      </c>
      <c r="D2386" s="28" t="s">
        <v>122</v>
      </c>
      <c r="E2386" s="0" t="n">
        <v>12</v>
      </c>
      <c r="F2386" s="28" t="s">
        <v>127</v>
      </c>
      <c r="G2386" s="28" t="s">
        <v>154</v>
      </c>
      <c r="H2386" s="28" t="s">
        <v>102</v>
      </c>
      <c r="I2386" s="28" t="s">
        <v>103</v>
      </c>
      <c r="J2386" s="28" t="s">
        <v>66</v>
      </c>
      <c r="K2386" s="28" t="s">
        <v>67</v>
      </c>
      <c r="L2386" s="28" t="s">
        <v>130</v>
      </c>
      <c r="M2386" s="28" t="s">
        <v>74</v>
      </c>
      <c r="N2386" s="28" t="s">
        <v>133</v>
      </c>
      <c r="O2386" s="29" t="n">
        <v>9</v>
      </c>
      <c r="P2386" s="30" t="n">
        <v>1656.52</v>
      </c>
      <c r="Q2386" s="30" t="n">
        <v>1155.66</v>
      </c>
      <c r="R2386" s="30" t="n">
        <f aca="false">ROUND(O2386*P2386,2)</f>
        <v>14908.68</v>
      </c>
      <c r="S2386" s="30" t="n">
        <f aca="false">ROUND(O2386*Q2386,2)</f>
        <v>10400.94</v>
      </c>
      <c r="T2386" s="30" t="n">
        <f aca="false">ROUND(R2386*SUMIFS(Parametros!$E$23:$E$38,Parametros!$B$23:$B$38,J2386,Parametros!$C$23:$C$38,C2386,Parametros!$D$23:$D$38,D2386),2)</f>
        <v>193.81</v>
      </c>
      <c r="U2386" s="30" t="n">
        <f aca="false">R2386-S2386-T2386</f>
        <v>4313.93</v>
      </c>
    </row>
    <row r="2387" customFormat="false" ht="15" hidden="false" customHeight="false" outlineLevel="0" collapsed="false">
      <c r="A2387" s="0" t="n">
        <v>2386</v>
      </c>
      <c r="B2387" s="27" t="n">
        <v>46008</v>
      </c>
      <c r="C2387" s="0" t="n">
        <v>2025</v>
      </c>
      <c r="D2387" s="28" t="s">
        <v>122</v>
      </c>
      <c r="E2387" s="0" t="n">
        <v>12</v>
      </c>
      <c r="F2387" s="28" t="s">
        <v>127</v>
      </c>
      <c r="G2387" s="28" t="s">
        <v>154</v>
      </c>
      <c r="H2387" s="28" t="s">
        <v>102</v>
      </c>
      <c r="I2387" s="28" t="s">
        <v>103</v>
      </c>
      <c r="J2387" s="28" t="s">
        <v>71</v>
      </c>
      <c r="K2387" s="28" t="s">
        <v>67</v>
      </c>
      <c r="L2387" s="28" t="s">
        <v>130</v>
      </c>
      <c r="M2387" s="28" t="s">
        <v>74</v>
      </c>
      <c r="N2387" s="28" t="s">
        <v>133</v>
      </c>
      <c r="O2387" s="29" t="n">
        <v>6</v>
      </c>
      <c r="P2387" s="30" t="n">
        <v>1656.52</v>
      </c>
      <c r="Q2387" s="30" t="n">
        <v>1155.66</v>
      </c>
      <c r="R2387" s="30" t="n">
        <f aca="false">ROUND(O2387*P2387,2)</f>
        <v>9939.12</v>
      </c>
      <c r="S2387" s="30" t="n">
        <f aca="false">ROUND(O2387*Q2387,2)</f>
        <v>6933.96</v>
      </c>
      <c r="T2387" s="30" t="n">
        <f aca="false">ROUND(R2387*SUMIFS(Parametros!$E$23:$E$38,Parametros!$B$23:$B$38,J2387,Parametros!$C$23:$C$38,C2387,Parametros!$D$23:$D$38,D2387),2)</f>
        <v>516.83</v>
      </c>
      <c r="U2387" s="30" t="n">
        <f aca="false">R2387-S2387-T2387</f>
        <v>2488.33</v>
      </c>
    </row>
    <row r="2388" customFormat="false" ht="15" hidden="false" customHeight="false" outlineLevel="0" collapsed="false">
      <c r="A2388" s="0" t="n">
        <v>2387</v>
      </c>
      <c r="B2388" s="27" t="n">
        <v>46015</v>
      </c>
      <c r="C2388" s="0" t="n">
        <v>2025</v>
      </c>
      <c r="D2388" s="28" t="s">
        <v>122</v>
      </c>
      <c r="E2388" s="0" t="n">
        <v>12</v>
      </c>
      <c r="F2388" s="28" t="s">
        <v>127</v>
      </c>
      <c r="G2388" s="28" t="s">
        <v>154</v>
      </c>
      <c r="H2388" s="28" t="s">
        <v>102</v>
      </c>
      <c r="I2388" s="28" t="s">
        <v>103</v>
      </c>
      <c r="J2388" s="28" t="s">
        <v>66</v>
      </c>
      <c r="K2388" s="28" t="s">
        <v>76</v>
      </c>
      <c r="L2388" s="28" t="s">
        <v>134</v>
      </c>
      <c r="M2388" s="28" t="s">
        <v>78</v>
      </c>
      <c r="N2388" s="28" t="s">
        <v>135</v>
      </c>
      <c r="O2388" s="29" t="n">
        <v>45</v>
      </c>
      <c r="P2388" s="30" t="n">
        <v>28.11</v>
      </c>
      <c r="Q2388" s="30" t="n">
        <v>13.84</v>
      </c>
      <c r="R2388" s="30" t="n">
        <f aca="false">ROUND(O2388*P2388,2)</f>
        <v>1264.95</v>
      </c>
      <c r="S2388" s="30" t="n">
        <f aca="false">ROUND(O2388*Q2388,2)</f>
        <v>622.8</v>
      </c>
      <c r="T2388" s="30" t="n">
        <f aca="false">ROUND(R2388*SUMIFS(Parametros!$E$23:$E$38,Parametros!$B$23:$B$38,J2388,Parametros!$C$23:$C$38,C2388,Parametros!$D$23:$D$38,D2388),2)</f>
        <v>16.44</v>
      </c>
      <c r="U2388" s="30" t="n">
        <f aca="false">R2388-S2388-T2388</f>
        <v>625.71</v>
      </c>
    </row>
    <row r="2389" customFormat="false" ht="15" hidden="false" customHeight="false" outlineLevel="0" collapsed="false">
      <c r="A2389" s="0" t="n">
        <v>2388</v>
      </c>
      <c r="B2389" s="27" t="n">
        <v>45995</v>
      </c>
      <c r="C2389" s="0" t="n">
        <v>2025</v>
      </c>
      <c r="D2389" s="28" t="s">
        <v>122</v>
      </c>
      <c r="E2389" s="0" t="n">
        <v>12</v>
      </c>
      <c r="F2389" s="28" t="s">
        <v>127</v>
      </c>
      <c r="G2389" s="28" t="s">
        <v>154</v>
      </c>
      <c r="H2389" s="28" t="s">
        <v>102</v>
      </c>
      <c r="I2389" s="28" t="s">
        <v>103</v>
      </c>
      <c r="J2389" s="28" t="s">
        <v>71</v>
      </c>
      <c r="K2389" s="28" t="s">
        <v>76</v>
      </c>
      <c r="L2389" s="28" t="s">
        <v>134</v>
      </c>
      <c r="M2389" s="28" t="s">
        <v>78</v>
      </c>
      <c r="N2389" s="28" t="s">
        <v>135</v>
      </c>
      <c r="O2389" s="29" t="n">
        <v>31</v>
      </c>
      <c r="P2389" s="30" t="n">
        <v>28.11</v>
      </c>
      <c r="Q2389" s="30" t="n">
        <v>13.84</v>
      </c>
      <c r="R2389" s="30" t="n">
        <f aca="false">ROUND(O2389*P2389,2)</f>
        <v>871.41</v>
      </c>
      <c r="S2389" s="30" t="n">
        <f aca="false">ROUND(O2389*Q2389,2)</f>
        <v>429.04</v>
      </c>
      <c r="T2389" s="30" t="n">
        <f aca="false">ROUND(R2389*SUMIFS(Parametros!$E$23:$E$38,Parametros!$B$23:$B$38,J2389,Parametros!$C$23:$C$38,C2389,Parametros!$D$23:$D$38,D2389),2)</f>
        <v>45.31</v>
      </c>
      <c r="U2389" s="30" t="n">
        <f aca="false">R2389-S2389-T2389</f>
        <v>397.06</v>
      </c>
    </row>
    <row r="2390" customFormat="false" ht="15" hidden="false" customHeight="false" outlineLevel="0" collapsed="false">
      <c r="A2390" s="0" t="n">
        <v>2389</v>
      </c>
      <c r="B2390" s="27" t="n">
        <v>46002</v>
      </c>
      <c r="C2390" s="0" t="n">
        <v>2025</v>
      </c>
      <c r="D2390" s="28" t="s">
        <v>122</v>
      </c>
      <c r="E2390" s="0" t="n">
        <v>12</v>
      </c>
      <c r="F2390" s="28" t="s">
        <v>127</v>
      </c>
      <c r="G2390" s="28" t="s">
        <v>154</v>
      </c>
      <c r="H2390" s="28" t="s">
        <v>102</v>
      </c>
      <c r="I2390" s="28" t="s">
        <v>103</v>
      </c>
      <c r="J2390" s="28" t="s">
        <v>66</v>
      </c>
      <c r="K2390" s="28" t="s">
        <v>76</v>
      </c>
      <c r="L2390" s="28" t="s">
        <v>134</v>
      </c>
      <c r="M2390" s="28" t="s">
        <v>80</v>
      </c>
      <c r="N2390" s="28" t="s">
        <v>136</v>
      </c>
      <c r="O2390" s="29" t="n">
        <v>45</v>
      </c>
      <c r="P2390" s="30" t="n">
        <v>95.38</v>
      </c>
      <c r="Q2390" s="30" t="n">
        <v>49.41</v>
      </c>
      <c r="R2390" s="30" t="n">
        <f aca="false">ROUND(O2390*P2390,2)</f>
        <v>4292.1</v>
      </c>
      <c r="S2390" s="30" t="n">
        <f aca="false">ROUND(O2390*Q2390,2)</f>
        <v>2223.45</v>
      </c>
      <c r="T2390" s="30" t="n">
        <f aca="false">ROUND(R2390*SUMIFS(Parametros!$E$23:$E$38,Parametros!$B$23:$B$38,J2390,Parametros!$C$23:$C$38,C2390,Parametros!$D$23:$D$38,D2390),2)</f>
        <v>55.8</v>
      </c>
      <c r="U2390" s="30" t="n">
        <f aca="false">R2390-S2390-T2390</f>
        <v>2012.85</v>
      </c>
    </row>
    <row r="2391" customFormat="false" ht="15" hidden="false" customHeight="false" outlineLevel="0" collapsed="false">
      <c r="A2391" s="0" t="n">
        <v>2390</v>
      </c>
      <c r="B2391" s="27" t="n">
        <v>46009</v>
      </c>
      <c r="C2391" s="0" t="n">
        <v>2025</v>
      </c>
      <c r="D2391" s="28" t="s">
        <v>122</v>
      </c>
      <c r="E2391" s="0" t="n">
        <v>12</v>
      </c>
      <c r="F2391" s="28" t="s">
        <v>127</v>
      </c>
      <c r="G2391" s="28" t="s">
        <v>154</v>
      </c>
      <c r="H2391" s="28" t="s">
        <v>102</v>
      </c>
      <c r="I2391" s="28" t="s">
        <v>103</v>
      </c>
      <c r="J2391" s="28" t="s">
        <v>71</v>
      </c>
      <c r="K2391" s="28" t="s">
        <v>76</v>
      </c>
      <c r="L2391" s="28" t="s">
        <v>134</v>
      </c>
      <c r="M2391" s="28" t="s">
        <v>80</v>
      </c>
      <c r="N2391" s="28" t="s">
        <v>136</v>
      </c>
      <c r="O2391" s="29" t="n">
        <v>33</v>
      </c>
      <c r="P2391" s="30" t="n">
        <v>95.38</v>
      </c>
      <c r="Q2391" s="30" t="n">
        <v>49.41</v>
      </c>
      <c r="R2391" s="30" t="n">
        <f aca="false">ROUND(O2391*P2391,2)</f>
        <v>3147.54</v>
      </c>
      <c r="S2391" s="30" t="n">
        <f aca="false">ROUND(O2391*Q2391,2)</f>
        <v>1630.53</v>
      </c>
      <c r="T2391" s="30" t="n">
        <f aca="false">ROUND(R2391*SUMIFS(Parametros!$E$23:$E$38,Parametros!$B$23:$B$38,J2391,Parametros!$C$23:$C$38,C2391,Parametros!$D$23:$D$38,D2391),2)</f>
        <v>163.67</v>
      </c>
      <c r="U2391" s="30" t="n">
        <f aca="false">R2391-S2391-T2391</f>
        <v>1353.34</v>
      </c>
    </row>
    <row r="2392" customFormat="false" ht="15" hidden="false" customHeight="false" outlineLevel="0" collapsed="false">
      <c r="A2392" s="0" t="n">
        <v>2391</v>
      </c>
      <c r="B2392" s="27" t="n">
        <v>46016</v>
      </c>
      <c r="C2392" s="0" t="n">
        <v>2025</v>
      </c>
      <c r="D2392" s="28" t="s">
        <v>122</v>
      </c>
      <c r="E2392" s="0" t="n">
        <v>12</v>
      </c>
      <c r="F2392" s="28" t="s">
        <v>127</v>
      </c>
      <c r="G2392" s="28" t="s">
        <v>154</v>
      </c>
      <c r="H2392" s="28" t="s">
        <v>102</v>
      </c>
      <c r="I2392" s="28" t="s">
        <v>103</v>
      </c>
      <c r="J2392" s="28" t="s">
        <v>66</v>
      </c>
      <c r="K2392" s="28" t="s">
        <v>76</v>
      </c>
      <c r="L2392" s="28" t="s">
        <v>134</v>
      </c>
      <c r="M2392" s="28" t="s">
        <v>82</v>
      </c>
      <c r="N2392" s="28" t="s">
        <v>137</v>
      </c>
      <c r="O2392" s="29" t="n">
        <v>38</v>
      </c>
      <c r="P2392" s="30" t="n">
        <v>65.26</v>
      </c>
      <c r="Q2392" s="30" t="n">
        <v>36.49</v>
      </c>
      <c r="R2392" s="30" t="n">
        <f aca="false">ROUND(O2392*P2392,2)</f>
        <v>2479.88</v>
      </c>
      <c r="S2392" s="30" t="n">
        <f aca="false">ROUND(O2392*Q2392,2)</f>
        <v>1386.62</v>
      </c>
      <c r="T2392" s="30" t="n">
        <f aca="false">ROUND(R2392*SUMIFS(Parametros!$E$23:$E$38,Parametros!$B$23:$B$38,J2392,Parametros!$C$23:$C$38,C2392,Parametros!$D$23:$D$38,D2392),2)</f>
        <v>32.24</v>
      </c>
      <c r="U2392" s="30" t="n">
        <f aca="false">R2392-S2392-T2392</f>
        <v>1061.02</v>
      </c>
    </row>
    <row r="2393" customFormat="false" ht="15" hidden="false" customHeight="false" outlineLevel="0" collapsed="false">
      <c r="A2393" s="0" t="n">
        <v>2392</v>
      </c>
      <c r="B2393" s="27" t="n">
        <v>45996</v>
      </c>
      <c r="C2393" s="0" t="n">
        <v>2025</v>
      </c>
      <c r="D2393" s="28" t="s">
        <v>122</v>
      </c>
      <c r="E2393" s="0" t="n">
        <v>12</v>
      </c>
      <c r="F2393" s="28" t="s">
        <v>127</v>
      </c>
      <c r="G2393" s="28" t="s">
        <v>154</v>
      </c>
      <c r="H2393" s="28" t="s">
        <v>102</v>
      </c>
      <c r="I2393" s="28" t="s">
        <v>103</v>
      </c>
      <c r="J2393" s="28" t="s">
        <v>71</v>
      </c>
      <c r="K2393" s="28" t="s">
        <v>76</v>
      </c>
      <c r="L2393" s="28" t="s">
        <v>134</v>
      </c>
      <c r="M2393" s="28" t="s">
        <v>82</v>
      </c>
      <c r="N2393" s="28" t="s">
        <v>137</v>
      </c>
      <c r="O2393" s="29" t="n">
        <v>31</v>
      </c>
      <c r="P2393" s="30" t="n">
        <v>65.26</v>
      </c>
      <c r="Q2393" s="30" t="n">
        <v>36.49</v>
      </c>
      <c r="R2393" s="30" t="n">
        <f aca="false">ROUND(O2393*P2393,2)</f>
        <v>2023.06</v>
      </c>
      <c r="S2393" s="30" t="n">
        <f aca="false">ROUND(O2393*Q2393,2)</f>
        <v>1131.19</v>
      </c>
      <c r="T2393" s="30" t="n">
        <f aca="false">ROUND(R2393*SUMIFS(Parametros!$E$23:$E$38,Parametros!$B$23:$B$38,J2393,Parametros!$C$23:$C$38,C2393,Parametros!$D$23:$D$38,D2393),2)</f>
        <v>105.2</v>
      </c>
      <c r="U2393" s="30" t="n">
        <f aca="false">R2393-S2393-T2393</f>
        <v>786.67</v>
      </c>
    </row>
    <row r="2394" customFormat="false" ht="15" hidden="false" customHeight="false" outlineLevel="0" collapsed="false">
      <c r="A2394" s="0" t="n">
        <v>2393</v>
      </c>
      <c r="B2394" s="27" t="n">
        <v>46003</v>
      </c>
      <c r="C2394" s="0" t="n">
        <v>2025</v>
      </c>
      <c r="D2394" s="28" t="s">
        <v>122</v>
      </c>
      <c r="E2394" s="0" t="n">
        <v>12</v>
      </c>
      <c r="F2394" s="28" t="s">
        <v>127</v>
      </c>
      <c r="G2394" s="28" t="s">
        <v>154</v>
      </c>
      <c r="H2394" s="28" t="s">
        <v>102</v>
      </c>
      <c r="I2394" s="28" t="s">
        <v>103</v>
      </c>
      <c r="J2394" s="28" t="s">
        <v>66</v>
      </c>
      <c r="K2394" s="28" t="s">
        <v>84</v>
      </c>
      <c r="L2394" s="28" t="s">
        <v>138</v>
      </c>
      <c r="M2394" s="28" t="s">
        <v>86</v>
      </c>
      <c r="N2394" s="28" t="s">
        <v>139</v>
      </c>
      <c r="O2394" s="29" t="n">
        <v>17</v>
      </c>
      <c r="P2394" s="30" t="n">
        <v>120.47</v>
      </c>
      <c r="Q2394" s="30" t="n">
        <v>65.51</v>
      </c>
      <c r="R2394" s="30" t="n">
        <f aca="false">ROUND(O2394*P2394,2)</f>
        <v>2047.99</v>
      </c>
      <c r="S2394" s="30" t="n">
        <f aca="false">ROUND(O2394*Q2394,2)</f>
        <v>1113.67</v>
      </c>
      <c r="T2394" s="30" t="n">
        <f aca="false">ROUND(R2394*SUMIFS(Parametros!$E$23:$E$38,Parametros!$B$23:$B$38,J2394,Parametros!$C$23:$C$38,C2394,Parametros!$D$23:$D$38,D2394),2)</f>
        <v>26.62</v>
      </c>
      <c r="U2394" s="30" t="n">
        <f aca="false">R2394-S2394-T2394</f>
        <v>907.7</v>
      </c>
    </row>
    <row r="2395" customFormat="false" ht="15" hidden="false" customHeight="false" outlineLevel="0" collapsed="false">
      <c r="A2395" s="0" t="n">
        <v>2394</v>
      </c>
      <c r="B2395" s="27" t="n">
        <v>46010</v>
      </c>
      <c r="C2395" s="0" t="n">
        <v>2025</v>
      </c>
      <c r="D2395" s="28" t="s">
        <v>122</v>
      </c>
      <c r="E2395" s="0" t="n">
        <v>12</v>
      </c>
      <c r="F2395" s="28" t="s">
        <v>127</v>
      </c>
      <c r="G2395" s="28" t="s">
        <v>154</v>
      </c>
      <c r="H2395" s="28" t="s">
        <v>102</v>
      </c>
      <c r="I2395" s="28" t="s">
        <v>103</v>
      </c>
      <c r="J2395" s="28" t="s">
        <v>71</v>
      </c>
      <c r="K2395" s="28" t="s">
        <v>84</v>
      </c>
      <c r="L2395" s="28" t="s">
        <v>138</v>
      </c>
      <c r="M2395" s="28" t="s">
        <v>86</v>
      </c>
      <c r="N2395" s="28" t="s">
        <v>139</v>
      </c>
      <c r="O2395" s="29" t="n">
        <v>12</v>
      </c>
      <c r="P2395" s="30" t="n">
        <v>120.47</v>
      </c>
      <c r="Q2395" s="30" t="n">
        <v>65.51</v>
      </c>
      <c r="R2395" s="30" t="n">
        <f aca="false">ROUND(O2395*P2395,2)</f>
        <v>1445.64</v>
      </c>
      <c r="S2395" s="30" t="n">
        <f aca="false">ROUND(O2395*Q2395,2)</f>
        <v>786.12</v>
      </c>
      <c r="T2395" s="30" t="n">
        <f aca="false">ROUND(R2395*SUMIFS(Parametros!$E$23:$E$38,Parametros!$B$23:$B$38,J2395,Parametros!$C$23:$C$38,C2395,Parametros!$D$23:$D$38,D2395),2)</f>
        <v>75.17</v>
      </c>
      <c r="U2395" s="30" t="n">
        <f aca="false">R2395-S2395-T2395</f>
        <v>584.35</v>
      </c>
    </row>
    <row r="2396" customFormat="false" ht="15" hidden="false" customHeight="false" outlineLevel="0" collapsed="false">
      <c r="A2396" s="0" t="n">
        <v>2395</v>
      </c>
      <c r="B2396" s="27" t="n">
        <v>46017</v>
      </c>
      <c r="C2396" s="0" t="n">
        <v>2025</v>
      </c>
      <c r="D2396" s="28" t="s">
        <v>122</v>
      </c>
      <c r="E2396" s="0" t="n">
        <v>12</v>
      </c>
      <c r="F2396" s="28" t="s">
        <v>127</v>
      </c>
      <c r="G2396" s="28" t="s">
        <v>154</v>
      </c>
      <c r="H2396" s="28" t="s">
        <v>102</v>
      </c>
      <c r="I2396" s="28" t="s">
        <v>103</v>
      </c>
      <c r="J2396" s="28" t="s">
        <v>66</v>
      </c>
      <c r="K2396" s="28" t="s">
        <v>84</v>
      </c>
      <c r="L2396" s="28" t="s">
        <v>138</v>
      </c>
      <c r="M2396" s="28" t="s">
        <v>88</v>
      </c>
      <c r="N2396" s="28" t="s">
        <v>140</v>
      </c>
      <c r="O2396" s="29" t="n">
        <v>20</v>
      </c>
      <c r="P2396" s="30" t="n">
        <v>85.34</v>
      </c>
      <c r="Q2396" s="30" t="n">
        <v>49.47</v>
      </c>
      <c r="R2396" s="30" t="n">
        <f aca="false">ROUND(O2396*P2396,2)</f>
        <v>1706.8</v>
      </c>
      <c r="S2396" s="30" t="n">
        <f aca="false">ROUND(O2396*Q2396,2)</f>
        <v>989.4</v>
      </c>
      <c r="T2396" s="30" t="n">
        <f aca="false">ROUND(R2396*SUMIFS(Parametros!$E$23:$E$38,Parametros!$B$23:$B$38,J2396,Parametros!$C$23:$C$38,C2396,Parametros!$D$23:$D$38,D2396),2)</f>
        <v>22.19</v>
      </c>
      <c r="U2396" s="30" t="n">
        <f aca="false">R2396-S2396-T2396</f>
        <v>695.21</v>
      </c>
    </row>
    <row r="2397" customFormat="false" ht="15" hidden="false" customHeight="false" outlineLevel="0" collapsed="false">
      <c r="A2397" s="0" t="n">
        <v>2396</v>
      </c>
      <c r="B2397" s="27" t="n">
        <v>45997</v>
      </c>
      <c r="C2397" s="0" t="n">
        <v>2025</v>
      </c>
      <c r="D2397" s="28" t="s">
        <v>122</v>
      </c>
      <c r="E2397" s="0" t="n">
        <v>12</v>
      </c>
      <c r="F2397" s="28" t="s">
        <v>127</v>
      </c>
      <c r="G2397" s="28" t="s">
        <v>154</v>
      </c>
      <c r="H2397" s="28" t="s">
        <v>102</v>
      </c>
      <c r="I2397" s="28" t="s">
        <v>103</v>
      </c>
      <c r="J2397" s="28" t="s">
        <v>71</v>
      </c>
      <c r="K2397" s="28" t="s">
        <v>84</v>
      </c>
      <c r="L2397" s="28" t="s">
        <v>138</v>
      </c>
      <c r="M2397" s="28" t="s">
        <v>88</v>
      </c>
      <c r="N2397" s="28" t="s">
        <v>140</v>
      </c>
      <c r="O2397" s="29" t="n">
        <v>15</v>
      </c>
      <c r="P2397" s="30" t="n">
        <v>85.34</v>
      </c>
      <c r="Q2397" s="30" t="n">
        <v>49.47</v>
      </c>
      <c r="R2397" s="30" t="n">
        <f aca="false">ROUND(O2397*P2397,2)</f>
        <v>1280.1</v>
      </c>
      <c r="S2397" s="30" t="n">
        <f aca="false">ROUND(O2397*Q2397,2)</f>
        <v>742.05</v>
      </c>
      <c r="T2397" s="30" t="n">
        <f aca="false">ROUND(R2397*SUMIFS(Parametros!$E$23:$E$38,Parametros!$B$23:$B$38,J2397,Parametros!$C$23:$C$38,C2397,Parametros!$D$23:$D$38,D2397),2)</f>
        <v>66.57</v>
      </c>
      <c r="U2397" s="30" t="n">
        <f aca="false">R2397-S2397-T2397</f>
        <v>471.48</v>
      </c>
    </row>
    <row r="2398" customFormat="false" ht="15" hidden="false" customHeight="false" outlineLevel="0" collapsed="false">
      <c r="A2398" s="0" t="n">
        <v>2397</v>
      </c>
      <c r="B2398" s="27" t="n">
        <v>46004</v>
      </c>
      <c r="C2398" s="0" t="n">
        <v>2025</v>
      </c>
      <c r="D2398" s="28" t="s">
        <v>122</v>
      </c>
      <c r="E2398" s="0" t="n">
        <v>12</v>
      </c>
      <c r="F2398" s="28" t="s">
        <v>127</v>
      </c>
      <c r="G2398" s="28" t="s">
        <v>154</v>
      </c>
      <c r="H2398" s="28" t="s">
        <v>102</v>
      </c>
      <c r="I2398" s="28" t="s">
        <v>103</v>
      </c>
      <c r="J2398" s="28" t="s">
        <v>66</v>
      </c>
      <c r="K2398" s="28" t="s">
        <v>90</v>
      </c>
      <c r="L2398" s="28" t="s">
        <v>141</v>
      </c>
      <c r="M2398" s="28" t="s">
        <v>92</v>
      </c>
      <c r="N2398" s="28" t="s">
        <v>142</v>
      </c>
      <c r="O2398" s="29" t="n">
        <v>29</v>
      </c>
      <c r="P2398" s="30" t="n">
        <v>130.51</v>
      </c>
      <c r="Q2398" s="30" t="n">
        <v>78.33</v>
      </c>
      <c r="R2398" s="30" t="n">
        <f aca="false">ROUND(O2398*P2398,2)</f>
        <v>3784.79</v>
      </c>
      <c r="S2398" s="30" t="n">
        <f aca="false">ROUND(O2398*Q2398,2)</f>
        <v>2271.57</v>
      </c>
      <c r="T2398" s="30" t="n">
        <f aca="false">ROUND(R2398*SUMIFS(Parametros!$E$23:$E$38,Parametros!$B$23:$B$38,J2398,Parametros!$C$23:$C$38,C2398,Parametros!$D$23:$D$38,D2398),2)</f>
        <v>49.2</v>
      </c>
      <c r="U2398" s="30" t="n">
        <f aca="false">R2398-S2398-T2398</f>
        <v>1464.02</v>
      </c>
    </row>
    <row r="2399" customFormat="false" ht="15" hidden="false" customHeight="false" outlineLevel="0" collapsed="false">
      <c r="A2399" s="0" t="n">
        <v>2398</v>
      </c>
      <c r="B2399" s="27" t="n">
        <v>46011</v>
      </c>
      <c r="C2399" s="0" t="n">
        <v>2025</v>
      </c>
      <c r="D2399" s="28" t="s">
        <v>122</v>
      </c>
      <c r="E2399" s="0" t="n">
        <v>12</v>
      </c>
      <c r="F2399" s="28" t="s">
        <v>127</v>
      </c>
      <c r="G2399" s="28" t="s">
        <v>154</v>
      </c>
      <c r="H2399" s="28" t="s">
        <v>102</v>
      </c>
      <c r="I2399" s="28" t="s">
        <v>103</v>
      </c>
      <c r="J2399" s="28" t="s">
        <v>71</v>
      </c>
      <c r="K2399" s="28" t="s">
        <v>90</v>
      </c>
      <c r="L2399" s="28" t="s">
        <v>141</v>
      </c>
      <c r="M2399" s="28" t="s">
        <v>92</v>
      </c>
      <c r="N2399" s="28" t="s">
        <v>142</v>
      </c>
      <c r="O2399" s="29" t="n">
        <v>18</v>
      </c>
      <c r="P2399" s="30" t="n">
        <v>130.51</v>
      </c>
      <c r="Q2399" s="30" t="n">
        <v>78.33</v>
      </c>
      <c r="R2399" s="30" t="n">
        <f aca="false">ROUND(O2399*P2399,2)</f>
        <v>2349.18</v>
      </c>
      <c r="S2399" s="30" t="n">
        <f aca="false">ROUND(O2399*Q2399,2)</f>
        <v>1409.94</v>
      </c>
      <c r="T2399" s="30" t="n">
        <f aca="false">ROUND(R2399*SUMIFS(Parametros!$E$23:$E$38,Parametros!$B$23:$B$38,J2399,Parametros!$C$23:$C$38,C2399,Parametros!$D$23:$D$38,D2399),2)</f>
        <v>122.16</v>
      </c>
      <c r="U2399" s="30" t="n">
        <f aca="false">R2399-S2399-T2399</f>
        <v>817.08</v>
      </c>
    </row>
    <row r="2400" customFormat="false" ht="15" hidden="false" customHeight="false" outlineLevel="0" collapsed="false">
      <c r="A2400" s="0" t="n">
        <v>2399</v>
      </c>
      <c r="B2400" s="27" t="n">
        <v>46018</v>
      </c>
      <c r="C2400" s="0" t="n">
        <v>2025</v>
      </c>
      <c r="D2400" s="28" t="s">
        <v>122</v>
      </c>
      <c r="E2400" s="0" t="n">
        <v>12</v>
      </c>
      <c r="F2400" s="28" t="s">
        <v>127</v>
      </c>
      <c r="G2400" s="28" t="s">
        <v>154</v>
      </c>
      <c r="H2400" s="28" t="s">
        <v>102</v>
      </c>
      <c r="I2400" s="28" t="s">
        <v>103</v>
      </c>
      <c r="J2400" s="28" t="s">
        <v>66</v>
      </c>
      <c r="K2400" s="28" t="s">
        <v>90</v>
      </c>
      <c r="L2400" s="28" t="s">
        <v>141</v>
      </c>
      <c r="M2400" s="28" t="s">
        <v>94</v>
      </c>
      <c r="N2400" s="28" t="s">
        <v>143</v>
      </c>
      <c r="O2400" s="29" t="n">
        <v>23</v>
      </c>
      <c r="P2400" s="30" t="n">
        <v>35.14</v>
      </c>
      <c r="Q2400" s="30" t="n">
        <v>18.39</v>
      </c>
      <c r="R2400" s="30" t="n">
        <f aca="false">ROUND(O2400*P2400,2)</f>
        <v>808.22</v>
      </c>
      <c r="S2400" s="30" t="n">
        <f aca="false">ROUND(O2400*Q2400,2)</f>
        <v>422.97</v>
      </c>
      <c r="T2400" s="30" t="n">
        <f aca="false">ROUND(R2400*SUMIFS(Parametros!$E$23:$E$38,Parametros!$B$23:$B$38,J2400,Parametros!$C$23:$C$38,C2400,Parametros!$D$23:$D$38,D2400),2)</f>
        <v>10.51</v>
      </c>
      <c r="U2400" s="30" t="n">
        <f aca="false">R2400-S2400-T2400</f>
        <v>374.74</v>
      </c>
    </row>
    <row r="2401" customFormat="false" ht="15" hidden="false" customHeight="false" outlineLevel="0" collapsed="false">
      <c r="A2401" s="0" t="n">
        <v>2400</v>
      </c>
      <c r="B2401" s="27" t="n">
        <v>45998</v>
      </c>
      <c r="C2401" s="0" t="n">
        <v>2025</v>
      </c>
      <c r="D2401" s="28" t="s">
        <v>122</v>
      </c>
      <c r="E2401" s="0" t="n">
        <v>12</v>
      </c>
      <c r="F2401" s="28" t="s">
        <v>127</v>
      </c>
      <c r="G2401" s="28" t="s">
        <v>154</v>
      </c>
      <c r="H2401" s="28" t="s">
        <v>102</v>
      </c>
      <c r="I2401" s="28" t="s">
        <v>103</v>
      </c>
      <c r="J2401" s="28" t="s">
        <v>71</v>
      </c>
      <c r="K2401" s="28" t="s">
        <v>90</v>
      </c>
      <c r="L2401" s="28" t="s">
        <v>141</v>
      </c>
      <c r="M2401" s="28" t="s">
        <v>94</v>
      </c>
      <c r="N2401" s="28" t="s">
        <v>143</v>
      </c>
      <c r="O2401" s="29" t="n">
        <v>17</v>
      </c>
      <c r="P2401" s="30" t="n">
        <v>35.14</v>
      </c>
      <c r="Q2401" s="30" t="n">
        <v>18.39</v>
      </c>
      <c r="R2401" s="30" t="n">
        <f aca="false">ROUND(O2401*P2401,2)</f>
        <v>597.38</v>
      </c>
      <c r="S2401" s="30" t="n">
        <f aca="false">ROUND(O2401*Q2401,2)</f>
        <v>312.63</v>
      </c>
      <c r="T2401" s="30" t="n">
        <f aca="false">ROUND(R2401*SUMIFS(Parametros!$E$23:$E$38,Parametros!$B$23:$B$38,J2401,Parametros!$C$23:$C$38,C2401,Parametros!$D$23:$D$38,D2401),2)</f>
        <v>31.06</v>
      </c>
      <c r="U2401" s="30" t="n">
        <f aca="false">R2401-S2401-T2401</f>
        <v>253.69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8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5" min="3" style="0" width="16"/>
    <col collapsed="false" customWidth="true" hidden="false" outlineLevel="0" max="6" min="6" style="0" width="62"/>
  </cols>
  <sheetData>
    <row r="2" customFormat="false" ht="18.55" hidden="false" customHeight="false" outlineLevel="0" collapsed="false">
      <c r="B2" s="20" t="s">
        <v>155</v>
      </c>
    </row>
    <row r="3" customFormat="false" ht="15" hidden="false" customHeight="false" outlineLevel="0" collapsed="false">
      <c r="B3" s="31" t="s">
        <v>156</v>
      </c>
    </row>
    <row r="5" customFormat="false" ht="15" hidden="false" customHeight="false" outlineLevel="0" collapsed="false">
      <c r="B5" s="32" t="s">
        <v>157</v>
      </c>
      <c r="C5" s="1"/>
      <c r="D5" s="1"/>
      <c r="E5" s="1"/>
      <c r="F5" s="1"/>
    </row>
    <row r="6" customFormat="false" ht="15" hidden="false" customHeight="false" outlineLevel="0" collapsed="false">
      <c r="B6" s="33" t="s">
        <v>158</v>
      </c>
      <c r="C6" s="34" t="s">
        <v>159</v>
      </c>
      <c r="F6" s="33" t="s">
        <v>160</v>
      </c>
    </row>
    <row r="7" customFormat="false" ht="15" hidden="false" customHeight="false" outlineLevel="0" collapsed="false">
      <c r="B7" s="35" t="s">
        <v>161</v>
      </c>
      <c r="C7" s="36" t="n">
        <v>5400000</v>
      </c>
      <c r="F7" s="37" t="s">
        <v>162</v>
      </c>
    </row>
    <row r="8" customFormat="false" ht="15" hidden="false" customHeight="false" outlineLevel="0" collapsed="false">
      <c r="B8" s="35" t="s">
        <v>163</v>
      </c>
      <c r="C8" s="38" t="n">
        <v>0.34</v>
      </c>
      <c r="F8" s="37" t="s">
        <v>164</v>
      </c>
    </row>
    <row r="9" customFormat="false" ht="15" hidden="false" customHeight="false" outlineLevel="0" collapsed="false">
      <c r="B9" s="35" t="s">
        <v>165</v>
      </c>
      <c r="C9" s="38" t="n">
        <v>0.15</v>
      </c>
      <c r="F9" s="37" t="s">
        <v>166</v>
      </c>
    </row>
    <row r="10" customFormat="false" ht="15" hidden="false" customHeight="false" outlineLevel="0" collapsed="false">
      <c r="B10" s="35" t="s">
        <v>167</v>
      </c>
      <c r="C10" s="39" t="n">
        <v>0.025</v>
      </c>
      <c r="F10" s="37" t="s">
        <v>168</v>
      </c>
    </row>
    <row r="11" customFormat="false" ht="15" hidden="false" customHeight="false" outlineLevel="0" collapsed="false">
      <c r="B11" s="35" t="s">
        <v>169</v>
      </c>
      <c r="C11" s="38" t="n">
        <v>0.33</v>
      </c>
      <c r="F11" s="37" t="s">
        <v>170</v>
      </c>
    </row>
    <row r="14" customFormat="false" ht="15" hidden="false" customHeight="false" outlineLevel="0" collapsed="false">
      <c r="B14" s="32" t="s">
        <v>171</v>
      </c>
      <c r="C14" s="1"/>
      <c r="D14" s="1"/>
      <c r="E14" s="1"/>
      <c r="F14" s="1"/>
    </row>
    <row r="15" customFormat="false" ht="15" hidden="false" customHeight="true" outlineLevel="0" collapsed="false">
      <c r="B15" s="35" t="s">
        <v>172</v>
      </c>
      <c r="C15" s="40" t="s">
        <v>173</v>
      </c>
      <c r="F15" s="41" t="s">
        <v>174</v>
      </c>
    </row>
    <row r="16" customFormat="false" ht="15" hidden="false" customHeight="false" outlineLevel="0" collapsed="false">
      <c r="B16" s="35" t="s">
        <v>175</v>
      </c>
      <c r="C16" s="40" t="n">
        <v>2400</v>
      </c>
      <c r="F16" s="41"/>
    </row>
    <row r="17" customFormat="false" ht="15" hidden="false" customHeight="false" outlineLevel="0" collapsed="false">
      <c r="B17" s="35" t="s">
        <v>176</v>
      </c>
      <c r="C17" s="42" t="n">
        <v>0.035</v>
      </c>
      <c r="F17" s="41"/>
    </row>
    <row r="18" customFormat="false" ht="15" hidden="false" customHeight="false" outlineLevel="0" collapsed="false">
      <c r="B18" s="35" t="s">
        <v>177</v>
      </c>
      <c r="C18" s="42" t="n">
        <v>0.03</v>
      </c>
      <c r="F18" s="41"/>
    </row>
    <row r="19" customFormat="false" ht="15" hidden="false" customHeight="false" outlineLevel="0" collapsed="false">
      <c r="B19" s="35" t="s">
        <v>178</v>
      </c>
      <c r="C19" s="42" t="n">
        <v>0.155</v>
      </c>
      <c r="F19" s="41"/>
    </row>
    <row r="20" customFormat="false" ht="15" hidden="false" customHeight="false" outlineLevel="0" collapsed="false">
      <c r="B20" s="35" t="s">
        <v>179</v>
      </c>
      <c r="C20" s="42" t="n">
        <v>0.28</v>
      </c>
      <c r="F20" s="41"/>
    </row>
    <row r="21" customFormat="false" ht="15" hidden="false" customHeight="false" outlineLevel="0" collapsed="false">
      <c r="B21" s="32" t="s">
        <v>180</v>
      </c>
      <c r="C21" s="1"/>
      <c r="D21" s="1"/>
      <c r="E21" s="1"/>
      <c r="F21" s="1"/>
    </row>
    <row r="22" customFormat="false" ht="15" hidden="false" customHeight="false" outlineLevel="0" collapsed="false">
      <c r="B22" s="33" t="s">
        <v>49</v>
      </c>
      <c r="C22" s="34" t="s">
        <v>42</v>
      </c>
      <c r="D22" s="34" t="s">
        <v>43</v>
      </c>
      <c r="E22" s="34" t="s">
        <v>181</v>
      </c>
    </row>
    <row r="23" customFormat="false" ht="15" hidden="false" customHeight="true" outlineLevel="0" collapsed="false">
      <c r="B23" s="35" t="s">
        <v>66</v>
      </c>
      <c r="C23" s="43" t="n">
        <v>2024</v>
      </c>
      <c r="D23" s="43" t="s">
        <v>61</v>
      </c>
      <c r="E23" s="44" t="n">
        <v>0.012</v>
      </c>
      <c r="F23" s="41" t="s">
        <v>182</v>
      </c>
    </row>
    <row r="24" customFormat="false" ht="15" hidden="false" customHeight="false" outlineLevel="0" collapsed="false">
      <c r="B24" s="35" t="s">
        <v>66</v>
      </c>
      <c r="C24" s="43" t="n">
        <v>2024</v>
      </c>
      <c r="D24" s="43" t="s">
        <v>108</v>
      </c>
      <c r="E24" s="44" t="n">
        <v>0.012</v>
      </c>
      <c r="F24" s="41"/>
    </row>
    <row r="25" customFormat="false" ht="15" hidden="false" customHeight="false" outlineLevel="0" collapsed="false">
      <c r="B25" s="35" t="s">
        <v>66</v>
      </c>
      <c r="C25" s="43" t="n">
        <v>2024</v>
      </c>
      <c r="D25" s="43" t="s">
        <v>115</v>
      </c>
      <c r="E25" s="44" t="n">
        <v>0.013</v>
      </c>
      <c r="F25" s="41"/>
    </row>
    <row r="26" customFormat="false" ht="15" hidden="false" customHeight="false" outlineLevel="0" collapsed="false">
      <c r="B26" s="35" t="s">
        <v>66</v>
      </c>
      <c r="C26" s="43" t="n">
        <v>2024</v>
      </c>
      <c r="D26" s="43" t="s">
        <v>122</v>
      </c>
      <c r="E26" s="44" t="n">
        <v>0.013</v>
      </c>
      <c r="F26" s="41"/>
    </row>
    <row r="27" customFormat="false" ht="15" hidden="false" customHeight="false" outlineLevel="0" collapsed="false">
      <c r="B27" s="35" t="s">
        <v>66</v>
      </c>
      <c r="C27" s="43" t="n">
        <v>2025</v>
      </c>
      <c r="D27" s="43" t="s">
        <v>61</v>
      </c>
      <c r="E27" s="44" t="n">
        <v>0.013</v>
      </c>
      <c r="F27" s="41"/>
    </row>
    <row r="28" customFormat="false" ht="15" hidden="false" customHeight="false" outlineLevel="0" collapsed="false">
      <c r="B28" s="35" t="s">
        <v>66</v>
      </c>
      <c r="C28" s="43" t="n">
        <v>2025</v>
      </c>
      <c r="D28" s="43" t="s">
        <v>108</v>
      </c>
      <c r="E28" s="44" t="n">
        <v>0.014</v>
      </c>
      <c r="F28" s="41"/>
    </row>
    <row r="29" customFormat="false" ht="15" hidden="false" customHeight="false" outlineLevel="0" collapsed="false">
      <c r="B29" s="35" t="s">
        <v>66</v>
      </c>
      <c r="C29" s="43" t="n">
        <v>2025</v>
      </c>
      <c r="D29" s="43" t="s">
        <v>115</v>
      </c>
      <c r="E29" s="44" t="n">
        <v>0.013</v>
      </c>
      <c r="F29" s="41"/>
    </row>
    <row r="30" customFormat="false" ht="15" hidden="false" customHeight="false" outlineLevel="0" collapsed="false">
      <c r="B30" s="35" t="s">
        <v>66</v>
      </c>
      <c r="C30" s="43" t="n">
        <v>2025</v>
      </c>
      <c r="D30" s="43" t="s">
        <v>122</v>
      </c>
      <c r="E30" s="44" t="n">
        <v>0.013</v>
      </c>
      <c r="F30" s="41"/>
    </row>
    <row r="31" customFormat="false" ht="15" hidden="false" customHeight="false" outlineLevel="0" collapsed="false">
      <c r="B31" s="35" t="s">
        <v>71</v>
      </c>
      <c r="C31" s="43" t="n">
        <v>2024</v>
      </c>
      <c r="D31" s="43" t="s">
        <v>61</v>
      </c>
      <c r="E31" s="44" t="n">
        <v>0.042</v>
      </c>
    </row>
    <row r="32" customFormat="false" ht="15" hidden="false" customHeight="false" outlineLevel="0" collapsed="false">
      <c r="B32" s="35" t="s">
        <v>71</v>
      </c>
      <c r="C32" s="43" t="n">
        <v>2024</v>
      </c>
      <c r="D32" s="43" t="s">
        <v>108</v>
      </c>
      <c r="E32" s="44" t="n">
        <v>0.044</v>
      </c>
    </row>
    <row r="33" customFormat="false" ht="15" hidden="false" customHeight="false" outlineLevel="0" collapsed="false">
      <c r="B33" s="35" t="s">
        <v>71</v>
      </c>
      <c r="C33" s="43" t="n">
        <v>2024</v>
      </c>
      <c r="D33" s="43" t="s">
        <v>115</v>
      </c>
      <c r="E33" s="44" t="n">
        <v>0.046</v>
      </c>
    </row>
    <row r="34" customFormat="false" ht="15" hidden="false" customHeight="false" outlineLevel="0" collapsed="false">
      <c r="B34" s="35" t="s">
        <v>71</v>
      </c>
      <c r="C34" s="43" t="n">
        <v>2024</v>
      </c>
      <c r="D34" s="43" t="s">
        <v>122</v>
      </c>
      <c r="E34" s="44" t="n">
        <v>0.048</v>
      </c>
    </row>
    <row r="35" customFormat="false" ht="15" hidden="false" customHeight="false" outlineLevel="0" collapsed="false">
      <c r="B35" s="35" t="s">
        <v>71</v>
      </c>
      <c r="C35" s="43" t="n">
        <v>2025</v>
      </c>
      <c r="D35" s="43" t="s">
        <v>61</v>
      </c>
      <c r="E35" s="44" t="n">
        <v>0.068</v>
      </c>
    </row>
    <row r="36" customFormat="false" ht="15" hidden="false" customHeight="false" outlineLevel="0" collapsed="false">
      <c r="B36" s="35" t="s">
        <v>71</v>
      </c>
      <c r="C36" s="43" t="n">
        <v>2025</v>
      </c>
      <c r="D36" s="43" t="s">
        <v>108</v>
      </c>
      <c r="E36" s="44" t="n">
        <v>0.074</v>
      </c>
    </row>
    <row r="37" customFormat="false" ht="15" hidden="false" customHeight="false" outlineLevel="0" collapsed="false">
      <c r="B37" s="35" t="s">
        <v>71</v>
      </c>
      <c r="C37" s="43" t="n">
        <v>2025</v>
      </c>
      <c r="D37" s="43" t="s">
        <v>115</v>
      </c>
      <c r="E37" s="44" t="n">
        <v>0.056</v>
      </c>
    </row>
    <row r="38" customFormat="false" ht="15" hidden="false" customHeight="false" outlineLevel="0" collapsed="false">
      <c r="B38" s="35" t="s">
        <v>71</v>
      </c>
      <c r="C38" s="43" t="n">
        <v>2025</v>
      </c>
      <c r="D38" s="43" t="s">
        <v>122</v>
      </c>
      <c r="E38" s="44" t="n">
        <v>0.052</v>
      </c>
    </row>
  </sheetData>
  <mergeCells count="2">
    <mergeCell ref="F15:F20"/>
    <mergeCell ref="F23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0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6"/>
  </cols>
  <sheetData>
    <row r="2" customFormat="false" ht="18.55" hidden="false" customHeight="false" outlineLevel="0" collapsed="false">
      <c r="B2" s="20" t="s">
        <v>183</v>
      </c>
    </row>
    <row r="4" customFormat="false" ht="42" hidden="false" customHeight="true" outlineLevel="0" collapsed="false">
      <c r="B4" s="45" t="s">
        <v>184</v>
      </c>
      <c r="C4" s="46" t="s">
        <v>185</v>
      </c>
    </row>
    <row r="5" customFormat="false" ht="42" hidden="false" customHeight="true" outlineLevel="0" collapsed="false">
      <c r="B5" s="45" t="s">
        <v>186</v>
      </c>
      <c r="C5" s="46" t="s">
        <v>187</v>
      </c>
    </row>
    <row r="6" customFormat="false" ht="42" hidden="false" customHeight="true" outlineLevel="0" collapsed="false">
      <c r="B6" s="45" t="s">
        <v>188</v>
      </c>
      <c r="C6" s="46" t="s">
        <v>189</v>
      </c>
    </row>
    <row r="7" customFormat="false" ht="42" hidden="false" customHeight="true" outlineLevel="0" collapsed="false">
      <c r="B7" s="45" t="s">
        <v>190</v>
      </c>
      <c r="C7" s="46" t="s">
        <v>191</v>
      </c>
    </row>
    <row r="8" customFormat="false" ht="42" hidden="false" customHeight="true" outlineLevel="0" collapsed="false">
      <c r="B8" s="45" t="s">
        <v>192</v>
      </c>
      <c r="C8" s="46" t="s">
        <v>193</v>
      </c>
    </row>
    <row r="9" customFormat="false" ht="42" hidden="false" customHeight="true" outlineLevel="0" collapsed="false">
      <c r="B9" s="45" t="s">
        <v>194</v>
      </c>
      <c r="C9" s="46" t="s">
        <v>195</v>
      </c>
    </row>
    <row r="10" customFormat="false" ht="42" hidden="false" customHeight="true" outlineLevel="0" collapsed="false">
      <c r="B10" s="45" t="s">
        <v>196</v>
      </c>
      <c r="C10" s="46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5"/>
  </cols>
  <sheetData>
    <row r="1" customFormat="false" ht="16.15" hidden="false" customHeight="false" outlineLevel="0" collapsed="false">
      <c r="A1" s="47" t="s">
        <v>198</v>
      </c>
    </row>
    <row r="2" customFormat="false" ht="15" hidden="false" customHeight="false" outlineLevel="0" collapsed="false">
      <c r="A2" s="31" t="s">
        <v>199</v>
      </c>
    </row>
    <row r="3" customFormat="false" ht="15" hidden="false" customHeight="false" outlineLevel="0" collapsed="false">
      <c r="A3" s="32" t="s">
        <v>200</v>
      </c>
      <c r="B3" s="26" t="n">
        <v>2024</v>
      </c>
      <c r="C3" s="26" t="n">
        <v>2025</v>
      </c>
    </row>
    <row r="4" customFormat="false" ht="15" hidden="false" customHeight="false" outlineLevel="0" collapsed="false">
      <c r="A4" s="35" t="s">
        <v>57</v>
      </c>
      <c r="B4" s="48" t="n">
        <f aca="false">IFERROR(GETPIVOTDATA("Ventas",Pivots!$S$3,"Anio",2024),0)</f>
        <v>4726314.6</v>
      </c>
      <c r="C4" s="48" t="n">
        <f aca="false">IFERROR(GETPIVOTDATA("Ventas",Pivots!$S$3,"Anio",2025),0)</f>
        <v>5566045.6</v>
      </c>
    </row>
    <row r="5" customFormat="false" ht="15" hidden="false" customHeight="false" outlineLevel="0" collapsed="false">
      <c r="A5" s="35" t="s">
        <v>201</v>
      </c>
      <c r="B5" s="48" t="n">
        <f aca="false">IFERROR(GETPIVOTDATA("CostoProd",Pivots!$AB$3,"Anio",2024),0)</f>
        <v>2933604.22</v>
      </c>
      <c r="C5" s="48" t="n">
        <f aca="false">IFERROR(GETPIVOTDATA("CostoProd",Pivots!$AB$3,"Anio",2025),0)</f>
        <v>3528561.39</v>
      </c>
    </row>
    <row r="6" customFormat="false" ht="15" hidden="false" customHeight="false" outlineLevel="0" collapsed="false">
      <c r="A6" s="35" t="s">
        <v>202</v>
      </c>
      <c r="B6" s="48" t="n">
        <f aca="false">IFERROR(GETPIVOTDATA("CostoLog",Pivots!$AE$3,"Anio",2024),0)</f>
        <v>102871.35</v>
      </c>
      <c r="C6" s="48" t="n">
        <f aca="false">IFERROR(GETPIVOTDATA("CostoLog",Pivots!$AE$3,"Anio",2025),0)</f>
        <v>183791.9</v>
      </c>
    </row>
    <row r="7" customFormat="false" ht="15" hidden="false" customHeight="false" outlineLevel="0" collapsed="false">
      <c r="A7" s="35" t="s">
        <v>203</v>
      </c>
      <c r="B7" s="48" t="n">
        <f aca="false">IFERROR(GETPIVOTDATA("Margen",Pivots!$V$3,"Anio",2024),0)</f>
        <v>1689839.03</v>
      </c>
      <c r="C7" s="48" t="n">
        <f aca="false">IFERROR(GETPIVOTDATA("Margen",Pivots!$V$3,"Anio",2025),0)</f>
        <v>1853692.31</v>
      </c>
    </row>
    <row r="8" customFormat="false" ht="15" hidden="false" customHeight="false" outlineLevel="0" collapsed="false">
      <c r="A8" s="35" t="s">
        <v>54</v>
      </c>
      <c r="B8" s="49" t="n">
        <f aca="false">IFERROR(GETPIVOTDATA("Unidades",Pivots!$Y$3,"Anio",2024),0)</f>
        <v>25681</v>
      </c>
      <c r="C8" s="49" t="n">
        <f aca="false">IFERROR(GETPIVOTDATA("Unidades",Pivots!$Y$3,"Anio",2025),0)</f>
        <v>29379</v>
      </c>
    </row>
    <row r="9" customFormat="false" ht="15" hidden="false" customHeight="false" outlineLevel="0" collapsed="false">
      <c r="A9" s="35" t="s">
        <v>163</v>
      </c>
      <c r="B9" s="50" t="n">
        <f aca="false">IFERROR(B7/B4,0)</f>
        <v>0.35753841481479</v>
      </c>
      <c r="C9" s="50" t="n">
        <f aca="false">IFERROR(C7/C4,0)</f>
        <v>0.333035774985386</v>
      </c>
    </row>
    <row r="10" customFormat="false" ht="15" hidden="false" customHeight="false" outlineLevel="0" collapsed="false">
      <c r="A10" s="35" t="s">
        <v>204</v>
      </c>
      <c r="B10" s="48" t="n">
        <f aca="false">IFERROR(B4/B8,0)</f>
        <v>184.039352050154</v>
      </c>
      <c r="C10" s="48" t="n">
        <f aca="false">IFERROR(C4/C8,0)</f>
        <v>189.456605058035</v>
      </c>
    </row>
    <row r="11" customFormat="false" ht="15" hidden="false" customHeight="false" outlineLevel="0" collapsed="false">
      <c r="A11" s="35" t="s">
        <v>205</v>
      </c>
      <c r="B11" s="48" t="n">
        <f aca="false">IFERROR(B5/B8,0)</f>
        <v>114.232476149683</v>
      </c>
      <c r="C11" s="48" t="n">
        <f aca="false">IFERROR(C5/C8,0)</f>
        <v>120.104884100888</v>
      </c>
    </row>
    <row r="12" customFormat="false" ht="15" hidden="false" customHeight="false" outlineLevel="0" collapsed="false">
      <c r="A12" s="35" t="s">
        <v>206</v>
      </c>
      <c r="B12" s="48" t="n">
        <f aca="false">B10-B11</f>
        <v>69.8068759004712</v>
      </c>
      <c r="C12" s="48" t="n">
        <f aca="false">C10-C11</f>
        <v>69.3517209571463</v>
      </c>
    </row>
    <row r="13" customFormat="false" ht="15" hidden="false" customHeight="false" outlineLevel="0" collapsed="false">
      <c r="A13" s="35" t="s">
        <v>207</v>
      </c>
      <c r="B13" s="51" t="n">
        <f aca="false">IFERROR(B6/B4,0)</f>
        <v>0.0217656585958116</v>
      </c>
      <c r="C13" s="51" t="n">
        <f aca="false">IFERROR(C6/C4,0)</f>
        <v>0.0330201930074019</v>
      </c>
    </row>
    <row r="16" customFormat="false" ht="15" hidden="false" customHeight="false" outlineLevel="0" collapsed="false">
      <c r="A16" s="32" t="s">
        <v>208</v>
      </c>
      <c r="B16" s="26" t="s">
        <v>209</v>
      </c>
      <c r="C16" s="26" t="s">
        <v>159</v>
      </c>
      <c r="D16" s="26" t="s">
        <v>210</v>
      </c>
      <c r="E16" s="26" t="s">
        <v>211</v>
      </c>
    </row>
    <row r="17" customFormat="false" ht="15" hidden="false" customHeight="false" outlineLevel="0" collapsed="false">
      <c r="A17" s="35" t="s">
        <v>212</v>
      </c>
      <c r="B17" s="52" t="n">
        <f aca="false">C4</f>
        <v>5566045.6</v>
      </c>
      <c r="C17" s="48" t="n">
        <f aca="false">Parametros!$C$7</f>
        <v>5400000</v>
      </c>
      <c r="D17" s="48" t="n">
        <f aca="false">B17-C17</f>
        <v>166045.600000003</v>
      </c>
      <c r="E17" s="43" t="str">
        <f aca="false">IF(D17&gt;=0,"EN META","BAJO META")</f>
        <v>EN META</v>
      </c>
    </row>
    <row r="18" customFormat="false" ht="15" hidden="false" customHeight="false" outlineLevel="0" collapsed="false">
      <c r="A18" s="35" t="s">
        <v>163</v>
      </c>
      <c r="B18" s="53" t="n">
        <f aca="false">C9</f>
        <v>0.333035774985386</v>
      </c>
      <c r="C18" s="50" t="n">
        <f aca="false">Parametros!$C$8</f>
        <v>0.34</v>
      </c>
      <c r="D18" s="50" t="n">
        <f aca="false">B18-C18</f>
        <v>-0.0069642250146138</v>
      </c>
      <c r="E18" s="43" t="str">
        <f aca="false">IF(D18&gt;=0,"EN META","BAJO META")</f>
        <v>BAJO META</v>
      </c>
    </row>
    <row r="19" customFormat="false" ht="15" hidden="false" customHeight="false" outlineLevel="0" collapsed="false">
      <c r="A19" s="35" t="s">
        <v>213</v>
      </c>
      <c r="B19" s="53" t="n">
        <f aca="false">IFERROR(C4/B4-1,0)</f>
        <v>0.1776714144251</v>
      </c>
      <c r="C19" s="50" t="n">
        <f aca="false">Parametros!$C$9</f>
        <v>0.15</v>
      </c>
      <c r="D19" s="50" t="n">
        <f aca="false">B19-C19</f>
        <v>0.0276714144251002</v>
      </c>
      <c r="E19" s="43" t="str">
        <f aca="false">IF(D19&gt;=0,"EN META","BAJO META")</f>
        <v>EN META</v>
      </c>
    </row>
    <row r="20" customFormat="false" ht="15" hidden="false" customHeight="false" outlineLevel="0" collapsed="false">
      <c r="A20" s="35" t="s">
        <v>207</v>
      </c>
      <c r="B20" s="54" t="n">
        <f aca="false">C13</f>
        <v>0.0330201930074019</v>
      </c>
      <c r="C20" s="51" t="n">
        <f aca="false">Parametros!$C$10</f>
        <v>0.025</v>
      </c>
      <c r="D20" s="51" t="n">
        <f aca="false">C20-B20</f>
        <v>-0.00802019300740185</v>
      </c>
      <c r="E20" s="43" t="str">
        <f aca="false">IF(D20&gt;=0,"EN META","BAJO META")</f>
        <v>BAJO META</v>
      </c>
    </row>
    <row r="21" customFormat="false" ht="15" hidden="false" customHeight="false" outlineLevel="0" collapsed="false">
      <c r="A21" s="35" t="s">
        <v>214</v>
      </c>
      <c r="B21" s="55" t="n">
        <f aca="false">(C9-B9)*100</f>
        <v>-2.45026398294042</v>
      </c>
    </row>
    <row r="22" customFormat="false" ht="15" hidden="false" customHeight="false" outlineLevel="0" collapsed="false">
      <c r="A22" s="35" t="s">
        <v>215</v>
      </c>
      <c r="B22" s="55" t="n">
        <f aca="false">(C13-B13)*100</f>
        <v>1.12545344115902</v>
      </c>
    </row>
    <row r="27" customFormat="false" ht="15" hidden="false" customHeight="false" outlineLevel="0" collapsed="false">
      <c r="A27" s="32" t="s">
        <v>216</v>
      </c>
      <c r="B27" s="26" t="s">
        <v>217</v>
      </c>
      <c r="C27" s="26" t="s">
        <v>218</v>
      </c>
      <c r="D27" s="26" t="s">
        <v>219</v>
      </c>
      <c r="E27" s="26" t="s">
        <v>220</v>
      </c>
      <c r="F27" s="26" t="s">
        <v>221</v>
      </c>
      <c r="G27" s="26" t="s">
        <v>222</v>
      </c>
    </row>
    <row r="28" customFormat="false" ht="15" hidden="false" customHeight="false" outlineLevel="0" collapsed="false">
      <c r="A28" s="35" t="s">
        <v>223</v>
      </c>
      <c r="B28" s="48" t="n">
        <f aca="false">B7</f>
        <v>1689839.03</v>
      </c>
      <c r="C28" s="48" t="n">
        <f aca="false">B28</f>
        <v>1689839.03</v>
      </c>
      <c r="D28" s="48" t="n">
        <v>0</v>
      </c>
      <c r="E28" s="48" t="n">
        <f aca="false">B28</f>
        <v>1689839.03</v>
      </c>
      <c r="F28" s="48" t="n">
        <v>0</v>
      </c>
      <c r="G28" s="48" t="n">
        <v>0</v>
      </c>
    </row>
    <row r="29" customFormat="false" ht="15" hidden="false" customHeight="false" outlineLevel="0" collapsed="false">
      <c r="A29" s="35" t="s">
        <v>224</v>
      </c>
      <c r="B29" s="48" t="n">
        <f aca="false">(C8-B8)*B12</f>
        <v>258145.827079942</v>
      </c>
      <c r="C29" s="48" t="n">
        <f aca="false">C28+B29</f>
        <v>1947984.85707994</v>
      </c>
      <c r="D29" s="48" t="n">
        <f aca="false">MIN(C28,C29)</f>
        <v>1689839.03</v>
      </c>
      <c r="E29" s="48" t="n">
        <v>0</v>
      </c>
      <c r="F29" s="48" t="n">
        <f aca="false">MAX(B29,0)</f>
        <v>258145.827079942</v>
      </c>
      <c r="G29" s="48" t="n">
        <f aca="false">-MIN(B29,0)</f>
        <v>-0</v>
      </c>
    </row>
    <row r="30" customFormat="false" ht="15" hidden="false" customHeight="false" outlineLevel="0" collapsed="false">
      <c r="A30" s="35" t="s">
        <v>225</v>
      </c>
      <c r="B30" s="48" t="n">
        <f aca="false">(C10-B10)*C8</f>
        <v>159153.476118533</v>
      </c>
      <c r="C30" s="48" t="n">
        <f aca="false">C29+B30</f>
        <v>2107138.33319848</v>
      </c>
      <c r="D30" s="48" t="n">
        <f aca="false">MIN(C29,C30)</f>
        <v>1947984.85707994</v>
      </c>
      <c r="E30" s="48" t="n">
        <v>0</v>
      </c>
      <c r="F30" s="48" t="n">
        <f aca="false">MAX(B30,0)</f>
        <v>159153.476118533</v>
      </c>
      <c r="G30" s="48" t="n">
        <f aca="false">-MIN(B30,0)</f>
        <v>-0</v>
      </c>
    </row>
    <row r="31" customFormat="false" ht="15" hidden="false" customHeight="false" outlineLevel="0" collapsed="false">
      <c r="A31" s="35" t="s">
        <v>226</v>
      </c>
      <c r="B31" s="48" t="n">
        <f aca="false">-(C11-B11)*C8</f>
        <v>-172525.473198474</v>
      </c>
      <c r="C31" s="48" t="n">
        <f aca="false">C30+B31</f>
        <v>1934612.86</v>
      </c>
      <c r="D31" s="48" t="n">
        <f aca="false">MIN(C30,C31)</f>
        <v>1934612.86</v>
      </c>
      <c r="E31" s="48" t="n">
        <v>0</v>
      </c>
      <c r="F31" s="48" t="n">
        <f aca="false">MAX(B31,0)</f>
        <v>0</v>
      </c>
      <c r="G31" s="48" t="n">
        <f aca="false">-MIN(B31,0)</f>
        <v>172525.473198474</v>
      </c>
    </row>
    <row r="32" customFormat="false" ht="15" hidden="false" customHeight="false" outlineLevel="0" collapsed="false">
      <c r="A32" s="35" t="s">
        <v>227</v>
      </c>
      <c r="B32" s="48" t="n">
        <f aca="false">-(C6-B6)</f>
        <v>-80920.5499999999</v>
      </c>
      <c r="C32" s="48" t="n">
        <f aca="false">C31+B32</f>
        <v>1853692.31</v>
      </c>
      <c r="D32" s="48" t="n">
        <f aca="false">MIN(C31,C32)</f>
        <v>1853692.31</v>
      </c>
      <c r="E32" s="48" t="n">
        <v>0</v>
      </c>
      <c r="F32" s="48" t="n">
        <f aca="false">MAX(B32,0)</f>
        <v>0</v>
      </c>
      <c r="G32" s="48" t="n">
        <f aca="false">-MIN(B32,0)</f>
        <v>80920.5499999999</v>
      </c>
    </row>
    <row r="33" customFormat="false" ht="15" hidden="false" customHeight="false" outlineLevel="0" collapsed="false">
      <c r="A33" s="35" t="s">
        <v>228</v>
      </c>
      <c r="B33" s="48" t="n">
        <f aca="false">C7</f>
        <v>1853692.31</v>
      </c>
      <c r="C33" s="48" t="n">
        <f aca="false">B33</f>
        <v>1853692.31</v>
      </c>
      <c r="D33" s="48" t="n">
        <v>0</v>
      </c>
      <c r="E33" s="48" t="n">
        <f aca="false">B33</f>
        <v>1853692.31</v>
      </c>
      <c r="F33" s="48" t="n">
        <v>0</v>
      </c>
      <c r="G33" s="48" t="n">
        <v>0</v>
      </c>
    </row>
    <row r="34" customFormat="false" ht="15" hidden="false" customHeight="false" outlineLevel="0" collapsed="false">
      <c r="A34" s="31" t="s">
        <v>229</v>
      </c>
      <c r="B34" s="56" t="n">
        <f aca="false">ROUND(SUM(B28:B32)-B33,2)</f>
        <v>0</v>
      </c>
    </row>
    <row r="37" customFormat="false" ht="15" hidden="false" customHeight="false" outlineLevel="0" collapsed="false">
      <c r="A37" s="32" t="s">
        <v>230</v>
      </c>
      <c r="B37" s="26" t="s">
        <v>231</v>
      </c>
      <c r="C37" s="26" t="s">
        <v>212</v>
      </c>
      <c r="D37" s="26" t="s">
        <v>232</v>
      </c>
      <c r="E37" s="26" t="s">
        <v>233</v>
      </c>
      <c r="F37" s="26" t="s">
        <v>234</v>
      </c>
    </row>
    <row r="38" customFormat="false" ht="15" hidden="false" customHeight="false" outlineLevel="0" collapsed="false">
      <c r="A38" s="35" t="s">
        <v>62</v>
      </c>
      <c r="B38" s="48" t="n">
        <f aca="false">IFERROR(GETPIVOTDATA("Ventas",Pivots!$A$3,"Periodo","2024-01"),0)</f>
        <v>335709.78</v>
      </c>
      <c r="C38" s="48" t="n">
        <f aca="false">IFERROR(GETPIVOTDATA("Ventas",Pivots!$A$3,"Periodo","2025-01"),0)</f>
        <v>376115.96</v>
      </c>
      <c r="D38" s="50" t="n">
        <f aca="false">IFERROR(E38/C38,0)</f>
        <v>0.318490499578907</v>
      </c>
      <c r="E38" s="48" t="n">
        <f aca="false">IFERROR(GETPIVOTDATA("Margen",Pivots!$D$3,"Periodo","2025-01"),0)</f>
        <v>119789.36</v>
      </c>
      <c r="F38" s="48" t="n">
        <f aca="false">IFERROR(GETPIVOTDATA("Margen",Pivots!$D$3,"Periodo","2024-01"),0)</f>
        <v>120067.45</v>
      </c>
    </row>
    <row r="39" customFormat="false" ht="15" hidden="false" customHeight="false" outlineLevel="0" collapsed="false">
      <c r="A39" s="35" t="s">
        <v>104</v>
      </c>
      <c r="B39" s="48" t="n">
        <f aca="false">IFERROR(GETPIVOTDATA("Ventas",Pivots!$A$3,"Periodo","2024-02"),0)</f>
        <v>297385.9</v>
      </c>
      <c r="C39" s="48" t="n">
        <f aca="false">IFERROR(GETPIVOTDATA("Ventas",Pivots!$A$3,"Periodo","2025-02"),0)</f>
        <v>354148.74</v>
      </c>
      <c r="D39" s="50" t="n">
        <f aca="false">IFERROR(E39/C39,0)</f>
        <v>0.32058481981328</v>
      </c>
      <c r="E39" s="48" t="n">
        <f aca="false">IFERROR(GETPIVOTDATA("Margen",Pivots!$D$3,"Periodo","2025-02"),0)</f>
        <v>113534.71</v>
      </c>
      <c r="F39" s="48" t="n">
        <f aca="false">IFERROR(GETPIVOTDATA("Margen",Pivots!$D$3,"Periodo","2024-02"),0)</f>
        <v>106798.53</v>
      </c>
    </row>
    <row r="40" customFormat="false" ht="15" hidden="false" customHeight="false" outlineLevel="0" collapsed="false">
      <c r="A40" s="35" t="s">
        <v>106</v>
      </c>
      <c r="B40" s="48" t="n">
        <f aca="false">IFERROR(GETPIVOTDATA("Ventas",Pivots!$A$3,"Periodo","2024-03"),0)</f>
        <v>362339.32</v>
      </c>
      <c r="C40" s="48" t="n">
        <f aca="false">IFERROR(GETPIVOTDATA("Ventas",Pivots!$A$3,"Periodo","2025-03"),0)</f>
        <v>424353.81</v>
      </c>
      <c r="D40" s="50" t="n">
        <f aca="false">IFERROR(E40/C40,0)</f>
        <v>0.319193834974641</v>
      </c>
      <c r="E40" s="48" t="n">
        <f aca="false">IFERROR(GETPIVOTDATA("Margen",Pivots!$D$3,"Periodo","2025-03"),0)</f>
        <v>135451.12</v>
      </c>
      <c r="F40" s="48" t="n">
        <f aca="false">IFERROR(GETPIVOTDATA("Margen",Pivots!$D$3,"Periodo","2024-03"),0)</f>
        <v>129801.25</v>
      </c>
    </row>
    <row r="41" customFormat="false" ht="15" hidden="false" customHeight="false" outlineLevel="0" collapsed="false">
      <c r="A41" s="35" t="s">
        <v>109</v>
      </c>
      <c r="B41" s="48" t="n">
        <f aca="false">IFERROR(GETPIVOTDATA("Ventas",Pivots!$A$3,"Periodo","2024-04"),0)</f>
        <v>351882.72</v>
      </c>
      <c r="C41" s="48" t="n">
        <f aca="false">IFERROR(GETPIVOTDATA("Ventas",Pivots!$A$3,"Periodo","2025-04"),0)</f>
        <v>401046.29</v>
      </c>
      <c r="D41" s="50" t="n">
        <f aca="false">IFERROR(E41/C41,0)</f>
        <v>0.318380628829655</v>
      </c>
      <c r="E41" s="48" t="n">
        <f aca="false">IFERROR(GETPIVOTDATA("Margen",Pivots!$D$3,"Periodo","2025-04"),0)</f>
        <v>127685.37</v>
      </c>
      <c r="F41" s="48" t="n">
        <f aca="false">IFERROR(GETPIVOTDATA("Margen",Pivots!$D$3,"Periodo","2024-04"),0)</f>
        <v>126288.28</v>
      </c>
    </row>
    <row r="42" customFormat="false" ht="15" hidden="false" customHeight="false" outlineLevel="0" collapsed="false">
      <c r="A42" s="35" t="s">
        <v>111</v>
      </c>
      <c r="B42" s="48" t="n">
        <f aca="false">IFERROR(GETPIVOTDATA("Ventas",Pivots!$A$3,"Periodo","2024-05"),0)</f>
        <v>379787.24</v>
      </c>
      <c r="C42" s="48" t="n">
        <f aca="false">IFERROR(GETPIVOTDATA("Ventas",Pivots!$A$3,"Periodo","2025-05"),0)</f>
        <v>447928.5</v>
      </c>
      <c r="D42" s="50" t="n">
        <f aca="false">IFERROR(E42/C42,0)</f>
        <v>0.314476462203231</v>
      </c>
      <c r="E42" s="48" t="n">
        <f aca="false">IFERROR(GETPIVOTDATA("Margen",Pivots!$D$3,"Periodo","2025-05"),0)</f>
        <v>140862.97</v>
      </c>
      <c r="F42" s="48" t="n">
        <f aca="false">IFERROR(GETPIVOTDATA("Margen",Pivots!$D$3,"Periodo","2024-05"),0)</f>
        <v>135657.89</v>
      </c>
    </row>
    <row r="43" customFormat="false" ht="15" hidden="false" customHeight="false" outlineLevel="0" collapsed="false">
      <c r="A43" s="35" t="s">
        <v>113</v>
      </c>
      <c r="B43" s="48" t="n">
        <f aca="false">IFERROR(GETPIVOTDATA("Ventas",Pivots!$A$3,"Periodo","2024-06"),0)</f>
        <v>402575.18</v>
      </c>
      <c r="C43" s="48" t="n">
        <f aca="false">IFERROR(GETPIVOTDATA("Ventas",Pivots!$A$3,"Periodo","2025-06"),0)</f>
        <v>466752.11</v>
      </c>
      <c r="D43" s="50" t="n">
        <f aca="false">IFERROR(E43/C43,0)</f>
        <v>0.31764996198946</v>
      </c>
      <c r="E43" s="48" t="n">
        <f aca="false">IFERROR(GETPIVOTDATA("Margen",Pivots!$D$3,"Periodo","2025-06"),0)</f>
        <v>148263.79</v>
      </c>
      <c r="F43" s="48" t="n">
        <f aca="false">IFERROR(GETPIVOTDATA("Margen",Pivots!$D$3,"Periodo","2024-06"),0)</f>
        <v>144262.33</v>
      </c>
    </row>
    <row r="44" customFormat="false" ht="15" hidden="false" customHeight="false" outlineLevel="0" collapsed="false">
      <c r="A44" s="35" t="s">
        <v>116</v>
      </c>
      <c r="B44" s="48" t="n">
        <f aca="false">IFERROR(GETPIVOTDATA("Ventas",Pivots!$A$3,"Periodo","2024-07"),0)</f>
        <v>421091.3</v>
      </c>
      <c r="C44" s="48" t="n">
        <f aca="false">IFERROR(GETPIVOTDATA("Ventas",Pivots!$A$3,"Periodo","2025-07"),0)</f>
        <v>500057.9</v>
      </c>
      <c r="D44" s="50" t="n">
        <f aca="false">IFERROR(E44/C44,0)</f>
        <v>0.343593891827327</v>
      </c>
      <c r="E44" s="48" t="n">
        <f aca="false">IFERROR(GETPIVOTDATA("Margen",Pivots!$D$3,"Periodo","2025-07"),0)</f>
        <v>171816.84</v>
      </c>
      <c r="F44" s="48" t="n">
        <f aca="false">IFERROR(GETPIVOTDATA("Margen",Pivots!$D$3,"Periodo","2024-07"),0)</f>
        <v>150294.12</v>
      </c>
    </row>
    <row r="45" customFormat="false" ht="15" hidden="false" customHeight="false" outlineLevel="0" collapsed="false">
      <c r="A45" s="35" t="s">
        <v>118</v>
      </c>
      <c r="B45" s="48" t="n">
        <f aca="false">IFERROR(GETPIVOTDATA("Ventas",Pivots!$A$3,"Periodo","2024-08"),0)</f>
        <v>369456.08</v>
      </c>
      <c r="C45" s="48" t="n">
        <f aca="false">IFERROR(GETPIVOTDATA("Ventas",Pivots!$A$3,"Periodo","2025-08"),0)</f>
        <v>444999.85</v>
      </c>
      <c r="D45" s="50" t="n">
        <f aca="false">IFERROR(E45/C45,0)</f>
        <v>0.345087015197871</v>
      </c>
      <c r="E45" s="48" t="n">
        <f aca="false">IFERROR(GETPIVOTDATA("Margen",Pivots!$D$3,"Periodo","2025-08"),0)</f>
        <v>153563.67</v>
      </c>
      <c r="F45" s="48" t="n">
        <f aca="false">IFERROR(GETPIVOTDATA("Margen",Pivots!$D$3,"Periodo","2024-08"),0)</f>
        <v>132020.34</v>
      </c>
    </row>
    <row r="46" customFormat="false" ht="15" hidden="false" customHeight="false" outlineLevel="0" collapsed="false">
      <c r="A46" s="35" t="s">
        <v>120</v>
      </c>
      <c r="B46" s="48" t="n">
        <f aca="false">IFERROR(GETPIVOTDATA("Ventas",Pivots!$A$3,"Periodo","2024-09"),0)</f>
        <v>374810.8</v>
      </c>
      <c r="C46" s="48" t="n">
        <f aca="false">IFERROR(GETPIVOTDATA("Ventas",Pivots!$A$3,"Periodo","2025-09"),0)</f>
        <v>445706.66</v>
      </c>
      <c r="D46" s="50" t="n">
        <f aca="false">IFERROR(E46/C46,0)</f>
        <v>0.344371004014165</v>
      </c>
      <c r="E46" s="48" t="n">
        <f aca="false">IFERROR(GETPIVOTDATA("Margen",Pivots!$D$3,"Periodo","2025-09"),0)</f>
        <v>153488.45</v>
      </c>
      <c r="F46" s="48" t="n">
        <f aca="false">IFERROR(GETPIVOTDATA("Margen",Pivots!$D$3,"Periodo","2024-09"),0)</f>
        <v>133911.95</v>
      </c>
    </row>
    <row r="47" customFormat="false" ht="15" hidden="false" customHeight="false" outlineLevel="0" collapsed="false">
      <c r="A47" s="35" t="s">
        <v>123</v>
      </c>
      <c r="B47" s="48" t="n">
        <f aca="false">IFERROR(GETPIVOTDATA("Ventas",Pivots!$A$3,"Periodo","2024-10"),0)</f>
        <v>400237.88</v>
      </c>
      <c r="C47" s="48" t="n">
        <f aca="false">IFERROR(GETPIVOTDATA("Ventas",Pivots!$A$3,"Periodo","2025-10"),0)</f>
        <v>466416.5</v>
      </c>
      <c r="D47" s="50" t="n">
        <f aca="false">IFERROR(E47/C47,0)</f>
        <v>0.346056389514522</v>
      </c>
      <c r="E47" s="48" t="n">
        <f aca="false">IFERROR(GETPIVOTDATA("Margen",Pivots!$D$3,"Periodo","2025-10"),0)</f>
        <v>161406.41</v>
      </c>
      <c r="F47" s="48" t="n">
        <f aca="false">IFERROR(GETPIVOTDATA("Margen",Pivots!$D$3,"Periodo","2024-10"),0)</f>
        <v>142640.53</v>
      </c>
    </row>
    <row r="48" customFormat="false" ht="15" hidden="false" customHeight="false" outlineLevel="0" collapsed="false">
      <c r="A48" s="35" t="s">
        <v>125</v>
      </c>
      <c r="B48" s="48" t="n">
        <f aca="false">IFERROR(GETPIVOTDATA("Ventas",Pivots!$A$3,"Periodo","2024-11"),0)</f>
        <v>474654.18</v>
      </c>
      <c r="C48" s="48" t="n">
        <f aca="false">IFERROR(GETPIVOTDATA("Ventas",Pivots!$A$3,"Periodo","2025-11"),0)</f>
        <v>567804.81</v>
      </c>
      <c r="D48" s="50" t="n">
        <f aca="false">IFERROR(E48/C48,0)</f>
        <v>0.345865615333551</v>
      </c>
      <c r="E48" s="48" t="n">
        <f aca="false">IFERROR(GETPIVOTDATA("Margen",Pivots!$D$3,"Periodo","2025-11"),0)</f>
        <v>196384.16</v>
      </c>
      <c r="F48" s="48" t="n">
        <f aca="false">IFERROR(GETPIVOTDATA("Margen",Pivots!$D$3,"Periodo","2024-11"),0)</f>
        <v>169647.46</v>
      </c>
    </row>
    <row r="49" customFormat="false" ht="15" hidden="false" customHeight="false" outlineLevel="0" collapsed="false">
      <c r="A49" s="35" t="s">
        <v>127</v>
      </c>
      <c r="B49" s="48" t="n">
        <f aca="false">IFERROR(GETPIVOTDATA("Ventas",Pivots!$A$3,"Periodo","2024-12"),0)</f>
        <v>556384.22</v>
      </c>
      <c r="C49" s="48" t="n">
        <f aca="false">IFERROR(GETPIVOTDATA("Ventas",Pivots!$A$3,"Periodo","2025-12"),0)</f>
        <v>670714.47</v>
      </c>
      <c r="D49" s="50" t="n">
        <f aca="false">IFERROR(E49/C49,0)</f>
        <v>0.345073008488992</v>
      </c>
      <c r="E49" s="48" t="n">
        <f aca="false">IFERROR(GETPIVOTDATA("Margen",Pivots!$D$3,"Periodo","2025-12"),0)</f>
        <v>231445.46</v>
      </c>
      <c r="F49" s="48" t="n">
        <f aca="false">IFERROR(GETPIVOTDATA("Margen",Pivots!$D$3,"Periodo","2024-12"),0)</f>
        <v>198448.9</v>
      </c>
    </row>
    <row r="53" customFormat="false" ht="15" hidden="false" customHeight="false" outlineLevel="0" collapsed="false">
      <c r="A53" s="32" t="s">
        <v>235</v>
      </c>
      <c r="B53" s="26" t="s">
        <v>236</v>
      </c>
      <c r="C53" s="26" t="s">
        <v>232</v>
      </c>
      <c r="D53" s="26" t="s">
        <v>212</v>
      </c>
    </row>
    <row r="54" customFormat="false" ht="15" hidden="false" customHeight="false" outlineLevel="0" collapsed="false">
      <c r="A54" s="35" t="s">
        <v>67</v>
      </c>
      <c r="B54" s="50" t="n">
        <f aca="false">IFERROR((IFERROR(GETPIVOTDATA("Margen",Pivots!$J$3,"Cat_Anio","Computacion 2024"),0))/(IFERROR(GETPIVOTDATA("Ventas",Pivots!$G$3,"Cat_Anio","Computacion 2024"),0)),0)</f>
        <v>0.317633256226047</v>
      </c>
      <c r="C54" s="50" t="n">
        <f aca="false">IFERROR((IFERROR(GETPIVOTDATA("Margen",Pivots!$J$3,"Cat_Anio","Computacion 2025"),0))/(IFERROR(GETPIVOTDATA("Ventas",Pivots!$G$3,"Cat_Anio","Computacion 2025"),0)),0)</f>
        <v>0.28973779429825</v>
      </c>
      <c r="D54" s="48" t="n">
        <f aca="false">IFERROR(GETPIVOTDATA("Ventas",Pivots!$G$3,"Cat_Anio","Computacion 2025"),0)</f>
        <v>3629530.15000001</v>
      </c>
    </row>
    <row r="55" customFormat="false" ht="15" hidden="false" customHeight="false" outlineLevel="0" collapsed="false">
      <c r="A55" s="35" t="s">
        <v>76</v>
      </c>
      <c r="B55" s="50" t="n">
        <f aca="false">IFERROR((IFERROR(GETPIVOTDATA("Margen",Pivots!$J$3,"Cat_Anio","Accesorios 2024"),0))/(IFERROR(GETPIVOTDATA("Ventas",Pivots!$G$3,"Cat_Anio","Accesorios 2024"),0)),0)</f>
        <v>0.452658865186448</v>
      </c>
      <c r="C55" s="50" t="n">
        <f aca="false">IFERROR((IFERROR(GETPIVOTDATA("Margen",Pivots!$J$3,"Cat_Anio","Accesorios 2025"),0))/(IFERROR(GETPIVOTDATA("Ventas",Pivots!$G$3,"Cat_Anio","Accesorios 2025"),0)),0)</f>
        <v>0.435744939103133</v>
      </c>
      <c r="D55" s="48" t="n">
        <f aca="false">IFERROR(GETPIVOTDATA("Ventas",Pivots!$G$3,"Cat_Anio","Accesorios 2025"),0)</f>
        <v>963729.38</v>
      </c>
    </row>
    <row r="56" customFormat="false" ht="15" hidden="false" customHeight="false" outlineLevel="0" collapsed="false">
      <c r="A56" s="35" t="s">
        <v>84</v>
      </c>
      <c r="B56" s="50" t="n">
        <f aca="false">IFERROR((IFERROR(GETPIVOTDATA("Margen",Pivots!$J$3,"Cat_Anio","Audio 2024"),0))/(IFERROR(GETPIVOTDATA("Ventas",Pivots!$G$3,"Cat_Anio","Audio 2024"),0)),0)</f>
        <v>0.422397160050906</v>
      </c>
      <c r="C56" s="50" t="n">
        <f aca="false">IFERROR((IFERROR(GETPIVOTDATA("Margen",Pivots!$J$3,"Cat_Anio","Audio 2025"),0))/(IFERROR(GETPIVOTDATA("Ventas",Pivots!$G$3,"Cat_Anio","Audio 2025"),0)),0)</f>
        <v>0.405529772887226</v>
      </c>
      <c r="D56" s="48" t="n">
        <f aca="false">IFERROR(GETPIVOTDATA("Ventas",Pivots!$G$3,"Cat_Anio","Audio 2025"),0)</f>
        <v>480609.25</v>
      </c>
    </row>
    <row r="57" customFormat="false" ht="15" hidden="false" customHeight="false" outlineLevel="0" collapsed="false">
      <c r="A57" s="35" t="s">
        <v>90</v>
      </c>
      <c r="B57" s="50" t="n">
        <f aca="false">IFERROR((IFERROR(GETPIVOTDATA("Margen",Pivots!$J$3,"Cat_Anio","Almacenamiento 2024"),0))/(IFERROR(GETPIVOTDATA("Ventas",Pivots!$G$3,"Cat_Anio","Almacenamiento 2024"),0)),0)</f>
        <v>0.397559203122239</v>
      </c>
      <c r="C57" s="50" t="n">
        <f aca="false">IFERROR((IFERROR(GETPIVOTDATA("Margen",Pivots!$J$3,"Cat_Anio","Almacenamiento 2025"),0))/(IFERROR(GETPIVOTDATA("Ventas",Pivots!$G$3,"Cat_Anio","Almacenamiento 2025"),0)),0)</f>
        <v>0.380429720359443</v>
      </c>
      <c r="D57" s="48" t="n">
        <f aca="false">IFERROR(GETPIVOTDATA("Ventas",Pivots!$G$3,"Cat_Anio","Almacenamiento 2025"),0)</f>
        <v>492176.82</v>
      </c>
    </row>
    <row r="61" customFormat="false" ht="15" hidden="false" customHeight="false" outlineLevel="0" collapsed="false">
      <c r="A61" s="32" t="s">
        <v>237</v>
      </c>
      <c r="B61" s="26" t="s">
        <v>212</v>
      </c>
      <c r="C61" s="26" t="s">
        <v>238</v>
      </c>
      <c r="D61" s="26" t="s">
        <v>239</v>
      </c>
      <c r="E61" s="26" t="s">
        <v>240</v>
      </c>
      <c r="F61" s="26" t="s">
        <v>241</v>
      </c>
      <c r="G61" s="26" t="s">
        <v>242</v>
      </c>
      <c r="H61" s="26" t="s">
        <v>243</v>
      </c>
    </row>
    <row r="62" customFormat="false" ht="15" hidden="false" customHeight="false" outlineLevel="0" collapsed="false">
      <c r="A62" s="35" t="s">
        <v>69</v>
      </c>
      <c r="B62" s="48" t="n">
        <f aca="false">IFERROR(GETPIVOTDATA("Ventas",Pivots!$M$3,"Prod_Anio","Laptop Pro 15 2025"),0)</f>
        <v>1313626.14</v>
      </c>
      <c r="C62" s="50" t="n">
        <f aca="false">IFERROR((IFERROR(GETPIVOTDATA("Ventas",Pivots!$M$3,"Prod_Anio","Laptop Pro 15 2025"),0))/(IFERROR(GETPIVOTDATA("Ventas",Pivots!$M$3,"Prod_Anio","Laptop Pro 15 2024"),0))-1,0)</f>
        <v>0.152764737473936</v>
      </c>
      <c r="D62" s="50" t="n">
        <f aca="false">IFERROR((IFERROR(GETPIVOTDATA("Margen",Pivots!$P$3,"Prod_Anio","Laptop Pro 15 2025"),0))/(IFERROR(GETPIVOTDATA("Ventas",Pivots!$M$3,"Prod_Anio","Laptop Pro 15 2025"),0)),0)</f>
        <v>0.319144570311307</v>
      </c>
      <c r="G62" s="50" t="n">
        <f aca="false">C62</f>
        <v>0.152764737473936</v>
      </c>
      <c r="H62" s="50" t="n">
        <f aca="false">D62</f>
        <v>0.319144570311307</v>
      </c>
    </row>
    <row r="63" customFormat="false" ht="15" hidden="false" customHeight="false" outlineLevel="0" collapsed="false">
      <c r="A63" s="35" t="s">
        <v>72</v>
      </c>
      <c r="B63" s="48" t="n">
        <f aca="false">IFERROR(GETPIVOTDATA("Ventas",Pivots!$M$3,"Prod_Anio","Monitor 4K 27 2025"),0)</f>
        <v>498411.2</v>
      </c>
      <c r="C63" s="50" t="n">
        <f aca="false">IFERROR((IFERROR(GETPIVOTDATA("Ventas",Pivots!$M$3,"Prod_Anio","Monitor 4K 27 2025"),0))/(IFERROR(GETPIVOTDATA("Ventas",Pivots!$M$3,"Prod_Anio","Monitor 4K 27 2024"),0))-1,0)</f>
        <v>0.176050080108353</v>
      </c>
      <c r="D63" s="50" t="n">
        <f aca="false">IFERROR((IFERROR(GETPIVOTDATA("Margen",Pivots!$P$3,"Prod_Anio","Monitor 4K 27 2025"),0))/(IFERROR(GETPIVOTDATA("Ventas",Pivots!$M$3,"Prod_Anio","Monitor 4K 27 2025"),0)),0)</f>
        <v>0.334185808826126</v>
      </c>
      <c r="E63" s="50" t="n">
        <f aca="false">C63</f>
        <v>0.176050080108353</v>
      </c>
      <c r="F63" s="50" t="n">
        <f aca="false">D63</f>
        <v>0.334185808826126</v>
      </c>
    </row>
    <row r="64" customFormat="false" ht="15" hidden="false" customHeight="false" outlineLevel="0" collapsed="false">
      <c r="A64" s="35" t="s">
        <v>74</v>
      </c>
      <c r="B64" s="48" t="n">
        <f aca="false">IFERROR(GETPIVOTDATA("Ventas",Pivots!$M$3,"Prod_Anio","PC Gamer Ryzen 2025"),0)</f>
        <v>1817492.81</v>
      </c>
      <c r="C64" s="50" t="n">
        <f aca="false">IFERROR((IFERROR(GETPIVOTDATA("Ventas",Pivots!$M$3,"Prod_Anio","PC Gamer Ryzen 2025"),0))/(IFERROR(GETPIVOTDATA("Ventas",Pivots!$M$3,"Prod_Anio","PC Gamer Ryzen 2024"),0))-1,0)</f>
        <v>0.208592049527534</v>
      </c>
      <c r="D64" s="50" t="n">
        <f aca="false">IFERROR((IFERROR(GETPIVOTDATA("Margen",Pivots!$P$3,"Prod_Anio","PC Gamer Ryzen 2025"),0))/(IFERROR(GETPIVOTDATA("Ventas",Pivots!$M$3,"Prod_Anio","PC Gamer Ryzen 2025"),0)),0)</f>
        <v>0.256294526964319</v>
      </c>
      <c r="G64" s="50" t="n">
        <f aca="false">C64</f>
        <v>0.208592049527534</v>
      </c>
      <c r="H64" s="50" t="n">
        <f aca="false">D64</f>
        <v>0.256294526964319</v>
      </c>
    </row>
    <row r="65" customFormat="false" ht="15" hidden="false" customHeight="false" outlineLevel="0" collapsed="false">
      <c r="A65" s="35" t="s">
        <v>78</v>
      </c>
      <c r="B65" s="48" t="n">
        <f aca="false">IFERROR(GETPIVOTDATA("Ventas",Pivots!$M$3,"Prod_Anio","Mouse Inalambrico 2025"),0)</f>
        <v>142604.16</v>
      </c>
      <c r="C65" s="50" t="n">
        <f aca="false">IFERROR((IFERROR(GETPIVOTDATA("Ventas",Pivots!$M$3,"Prod_Anio","Mouse Inalambrico 2025"),0))/(IFERROR(GETPIVOTDATA("Ventas",Pivots!$M$3,"Prod_Anio","Mouse Inalambrico 2024"),0))-1,0)</f>
        <v>0.151039779936655</v>
      </c>
      <c r="D65" s="50" t="n">
        <f aca="false">IFERROR((IFERROR(GETPIVOTDATA("Margen",Pivots!$P$3,"Prod_Anio","Mouse Inalambrico 2025"),0))/(IFERROR(GETPIVOTDATA("Ventas",Pivots!$M$3,"Prod_Anio","Mouse Inalambrico 2025"),0)),0)</f>
        <v>0.472445193744698</v>
      </c>
      <c r="E65" s="50" t="n">
        <f aca="false">C65</f>
        <v>0.151039779936655</v>
      </c>
      <c r="F65" s="50" t="n">
        <f aca="false">D65</f>
        <v>0.472445193744698</v>
      </c>
    </row>
    <row r="66" customFormat="false" ht="15" hidden="false" customHeight="false" outlineLevel="0" collapsed="false">
      <c r="A66" s="35" t="s">
        <v>80</v>
      </c>
      <c r="B66" s="48" t="n">
        <f aca="false">IFERROR(GETPIVOTDATA("Ventas",Pivots!$M$3,"Prod_Anio","Teclado Mecanico 2025"),0)</f>
        <v>490311.2</v>
      </c>
      <c r="C66" s="50" t="n">
        <f aca="false">IFERROR((IFERROR(GETPIVOTDATA("Ventas",Pivots!$M$3,"Prod_Anio","Teclado Mecanico 2025"),0))/(IFERROR(GETPIVOTDATA("Ventas",Pivots!$M$3,"Prod_Anio","Teclado Mecanico 2024"),0))-1,0)</f>
        <v>0.165154986074542</v>
      </c>
      <c r="D66" s="50" t="n">
        <f aca="false">IFERROR((IFERROR(GETPIVOTDATA("Margen",Pivots!$P$3,"Prod_Anio","Teclado Mecanico 2025"),0))/(IFERROR(GETPIVOTDATA("Ventas",Pivots!$M$3,"Prod_Anio","Teclado Mecanico 2025"),0)),0)</f>
        <v>0.445955323884097</v>
      </c>
      <c r="E66" s="50" t="n">
        <f aca="false">C66</f>
        <v>0.165154986074542</v>
      </c>
      <c r="F66" s="50" t="n">
        <f aca="false">D66</f>
        <v>0.445955323884097</v>
      </c>
    </row>
    <row r="67" customFormat="false" ht="15" hidden="false" customHeight="false" outlineLevel="0" collapsed="false">
      <c r="A67" s="35" t="s">
        <v>82</v>
      </c>
      <c r="B67" s="48" t="n">
        <f aca="false">IFERROR(GETPIVOTDATA("Ventas",Pivots!$M$3,"Prod_Anio","Webcam Full HD 2025"),0)</f>
        <v>330814.02</v>
      </c>
      <c r="C67" s="50" t="n">
        <f aca="false">IFERROR((IFERROR(GETPIVOTDATA("Ventas",Pivots!$M$3,"Prod_Anio","Webcam Full HD 2025"),0))/(IFERROR(GETPIVOTDATA("Ventas",Pivots!$M$3,"Prod_Anio","Webcam Full HD 2024"),0))-1,0)</f>
        <v>0.141136610823022</v>
      </c>
      <c r="D67" s="50" t="n">
        <f aca="false">IFERROR((IFERROR(GETPIVOTDATA("Margen",Pivots!$P$3,"Prod_Anio","Webcam Full HD 2025"),0))/(IFERROR(GETPIVOTDATA("Ventas",Pivots!$M$3,"Prod_Anio","Webcam Full HD 2025"),0)),0)</f>
        <v>0.404791368878501</v>
      </c>
      <c r="E67" s="50" t="n">
        <f aca="false">C67</f>
        <v>0.141136610823022</v>
      </c>
      <c r="F67" s="50" t="n">
        <f aca="false">D67</f>
        <v>0.404791368878501</v>
      </c>
    </row>
    <row r="68" customFormat="false" ht="15" hidden="false" customHeight="false" outlineLevel="0" collapsed="false">
      <c r="A68" s="35" t="s">
        <v>86</v>
      </c>
      <c r="B68" s="48" t="n">
        <f aca="false">IFERROR(GETPIVOTDATA("Ventas",Pivots!$M$3,"Prod_Anio","Auriculares BT Pro 2025"),0)</f>
        <v>282858.21</v>
      </c>
      <c r="C68" s="50" t="n">
        <f aca="false">IFERROR((IFERROR(GETPIVOTDATA("Ventas",Pivots!$M$3,"Prod_Anio","Auriculares BT Pro 2025"),0))/(IFERROR(GETPIVOTDATA("Ventas",Pivots!$M$3,"Prod_Anio","Auriculares BT Pro 2024"),0))-1,0)</f>
        <v>0.210496672247157</v>
      </c>
      <c r="D68" s="50" t="n">
        <f aca="false">IFERROR((IFERROR(GETPIVOTDATA("Margen",Pivots!$P$3,"Prod_Anio","Auriculares BT Pro 2025"),0))/(IFERROR(GETPIVOTDATA("Ventas",Pivots!$M$3,"Prod_Anio","Auriculares BT Pro 2025"),0)),0)</f>
        <v>0.420637746381836</v>
      </c>
      <c r="E68" s="50" t="n">
        <f aca="false">C68</f>
        <v>0.210496672247157</v>
      </c>
      <c r="F68" s="50" t="n">
        <f aca="false">D68</f>
        <v>0.420637746381836</v>
      </c>
    </row>
    <row r="69" customFormat="false" ht="15" hidden="false" customHeight="false" outlineLevel="0" collapsed="false">
      <c r="A69" s="35" t="s">
        <v>88</v>
      </c>
      <c r="B69" s="48" t="n">
        <f aca="false">IFERROR(GETPIVOTDATA("Ventas",Pivots!$M$3,"Prod_Anio","Parlante Bluetooth 2025"),0)</f>
        <v>197751.04</v>
      </c>
      <c r="C69" s="50" t="n">
        <f aca="false">IFERROR((IFERROR(GETPIVOTDATA("Ventas",Pivots!$M$3,"Prod_Anio","Parlante Bluetooth 2025"),0))/(IFERROR(GETPIVOTDATA("Ventas",Pivots!$M$3,"Prod_Anio","Parlante Bluetooth 2024"),0))-1,0)</f>
        <v>0.168288417729297</v>
      </c>
      <c r="D69" s="50" t="n">
        <f aca="false">IFERROR((IFERROR(GETPIVOTDATA("Margen",Pivots!$P$3,"Prod_Anio","Parlante Bluetooth 2025"),0))/(IFERROR(GETPIVOTDATA("Ventas",Pivots!$M$3,"Prod_Anio","Parlante Bluetooth 2025"),0)),0)</f>
        <v>0.383919700245319</v>
      </c>
      <c r="E69" s="50" t="n">
        <f aca="false">C69</f>
        <v>0.168288417729297</v>
      </c>
      <c r="F69" s="50" t="n">
        <f aca="false">D69</f>
        <v>0.383919700245319</v>
      </c>
    </row>
    <row r="70" customFormat="false" ht="15" hidden="false" customHeight="false" outlineLevel="0" collapsed="false">
      <c r="A70" s="35" t="s">
        <v>92</v>
      </c>
      <c r="B70" s="48" t="n">
        <f aca="false">IFERROR(GETPIVOTDATA("Ventas",Pivots!$M$3,"Prod_Anio","SSD Externo 1TB 2025"),0)</f>
        <v>387109.46</v>
      </c>
      <c r="C70" s="50" t="n">
        <f aca="false">IFERROR((IFERROR(GETPIVOTDATA("Ventas",Pivots!$M$3,"Prod_Anio","SSD Externo 1TB 2025"),0))/(IFERROR(GETPIVOTDATA("Ventas",Pivots!$M$3,"Prod_Anio","SSD Externo 1TB 2024"),0))-1,0)</f>
        <v>0.165529648169793</v>
      </c>
      <c r="D70" s="50" t="n">
        <f aca="false">IFERROR((IFERROR(GETPIVOTDATA("Margen",Pivots!$P$3,"Prod_Anio","SSD Externo 1TB 2025"),0))/(IFERROR(GETPIVOTDATA("Ventas",Pivots!$M$3,"Prod_Anio","SSD Externo 1TB 2025"),0)),0)</f>
        <v>0.363930889211542</v>
      </c>
      <c r="E70" s="50" t="n">
        <f aca="false">C70</f>
        <v>0.165529648169793</v>
      </c>
      <c r="F70" s="50" t="n">
        <f aca="false">D70</f>
        <v>0.363930889211542</v>
      </c>
    </row>
    <row r="71" customFormat="false" ht="15" hidden="false" customHeight="false" outlineLevel="0" collapsed="false">
      <c r="A71" s="35" t="s">
        <v>94</v>
      </c>
      <c r="B71" s="48" t="n">
        <f aca="false">IFERROR(GETPIVOTDATA("Ventas",Pivots!$M$3,"Prod_Anio","Pendrive 256GB 2025"),0)</f>
        <v>105067.36</v>
      </c>
      <c r="C71" s="50" t="n">
        <f aca="false">IFERROR((IFERROR(GETPIVOTDATA("Ventas",Pivots!$M$3,"Prod_Anio","Pendrive 256GB 2025"),0))/(IFERROR(GETPIVOTDATA("Ventas",Pivots!$M$3,"Prod_Anio","Pendrive 256GB 2024"),0))-1,0)</f>
        <v>0.174085219698131</v>
      </c>
      <c r="D71" s="50" t="n">
        <f aca="false">IFERROR((IFERROR(GETPIVOTDATA("Margen",Pivots!$P$3,"Prod_Anio","Pendrive 256GB 2025"),0))/(IFERROR(GETPIVOTDATA("Ventas",Pivots!$M$3,"Prod_Anio","Pendrive 256GB 2025"),0)),0)</f>
        <v>0.441217900592534</v>
      </c>
      <c r="E71" s="50" t="n">
        <f aca="false">C71</f>
        <v>0.174085219698131</v>
      </c>
      <c r="F71" s="50" t="n">
        <f aca="false">D71</f>
        <v>0.441217900592534</v>
      </c>
    </row>
    <row r="74" customFormat="false" ht="15" hidden="false" customHeight="false" outlineLevel="0" collapsed="false">
      <c r="A74" s="32" t="s">
        <v>244</v>
      </c>
    </row>
    <row r="75" customFormat="false" ht="15" hidden="false" customHeight="false" outlineLevel="0" collapsed="false">
      <c r="A75" s="37" t="s">
        <v>245</v>
      </c>
      <c r="B75" s="57" t="str">
        <f aca="false">"Las ventas crecen "&amp;TEXT(B19,"0.0%")&amp;" y el margen cae "&amp;TEXT(ABS(B21),"0.0")&amp;" p.p.: el costo de compra y la logistica del e-commerce se reparten el deterioro"</f>
        <v>Las ventas crecen 17.8% y el margen cae 2.5 p.p.: el costo de compra y la logistica del e-commerce se reparten el deterioro</v>
      </c>
    </row>
    <row r="76" customFormat="false" ht="15" hidden="false" customHeight="false" outlineLevel="0" collapsed="false">
      <c r="A76" s="37" t="s">
        <v>246</v>
      </c>
      <c r="B76" s="57" t="str">
        <f aca="false">"El margen bruto pasa de "&amp;TEXT(B9,"0.0%")&amp;" a "&amp;TEXT(C9,"0.0%")&amp;". La logistica explica "&amp;TEXT(IFERROR(ABS(B32)/(ABS(B31)+ABS(B32)),0),"0%")&amp;" del mayor costo y el resto es precio de compra: son dos causas, no una."</f>
        <v>El margen bruto pasa de 35.8% a 33.3%. La logistica explica 32% del mayor costo y el resto es precio de compra: son dos causas, no una.</v>
      </c>
    </row>
    <row r="77" customFormat="false" ht="15" hidden="false" customHeight="false" outlineLevel="0" collapsed="false">
      <c r="A77" s="37" t="s">
        <v>247</v>
      </c>
      <c r="B77" s="57" t="str">
        <f aca="false">"El margen se recupera en el segundo semestre ("&amp;TEXT(IFERROR(SUM(E44:E49)/SUM(C44:C49),0),"0.0%")&amp;") pero no vuelve al nivel de 2024 ("&amp;TEXT(IFERROR(SUM(F44:F49)/SUM(B44:B49),0),"0.0%")&amp;")"</f>
        <v>El margen se recupera en el segundo semestre (34.5%) pero no vuelve al nivel de 2024 (35.7%)</v>
      </c>
    </row>
    <row r="78" customFormat="false" ht="15" hidden="false" customHeight="false" outlineLevel="0" collapsed="false">
      <c r="A78" s="37" t="s">
        <v>248</v>
      </c>
      <c r="B78" s="57" t="str">
        <f aca="false">"Volumen y precio sumaron "&amp;TEXT(B29+B30,"$#,##0")&amp;" de margen; los costos se llevaron "&amp;TEXT(ABS(B31)+ABS(B32),"$#,##0")</f>
        <v>Volumen y precio sumaron $417,299 de margen; los costos se llevaron $253,446</v>
      </c>
    </row>
    <row r="79" customFormat="false" ht="15" hidden="false" customHeight="false" outlineLevel="0" collapsed="false">
      <c r="A79" s="37" t="s">
        <v>249</v>
      </c>
      <c r="B79" s="57" t="str">
        <f aca="false">"Los productos que mas crecen son los que menos margen dejan"</f>
        <v>Los productos que mas crecen son los que menos margen dejan</v>
      </c>
    </row>
    <row r="80" customFormat="false" ht="15" hidden="false" customHeight="false" outlineLevel="0" collapsed="false">
      <c r="A80" s="37" t="s">
        <v>250</v>
      </c>
      <c r="B80" s="57" t="str">
        <f aca="false">"Computacion concentra la caida: pierde "&amp;TEXT(ABS((C54-B54)*100),"0.0")&amp;" p.p. de margen"</f>
        <v>Computacion concentra la caida: pierde 2.8 p.p. de margen</v>
      </c>
    </row>
    <row r="81" customFormat="false" ht="15" hidden="false" customHeight="false" outlineLevel="0" collapsed="false">
      <c r="A81" s="37" t="s">
        <v>251</v>
      </c>
      <c r="B81" s="57" t="str">
        <f aca="false">"1) El crecimiento es real y de volumen: +"&amp;TEXT(B19,"0.0%")&amp;" en ventas con +"&amp;TEXT(IFERROR(C8/B8-1,0),"0.0%")&amp;" en unidades. No es un espejismo de precios."</f>
        <v>1) El crecimiento es real y de volumen: +17.8% en ventas con +14.4% en unidades. No es un espejismo de precios.</v>
      </c>
    </row>
    <row r="82" customFormat="false" ht="15" hidden="false" customHeight="false" outlineLevel="0" collapsed="false">
      <c r="A82" s="37" t="s">
        <v>252</v>
      </c>
      <c r="B82" s="57" t="str">
        <f aca="false">"2) La caida de margen tiene dos causas, no una: el costo de compra se llevo "&amp;TEXT(ABS(B31),"$#,##0")&amp;" y la logistica "&amp;TEXT(ABS(B32),"$#,##0")&amp;". Atribuirla solo al e-commerce sobreestima su peso."</f>
        <v>2) La caida de margen tiene dos causas, no una: el costo de compra se llevo $172,525 y la logistica $80,921. Atribuirla solo al e-commerce sobreestima su peso.</v>
      </c>
    </row>
    <row r="83" customFormat="false" ht="15" hidden="false" customHeight="false" outlineLevel="0" collapsed="false">
      <c r="A83" s="37" t="s">
        <v>253</v>
      </c>
      <c r="B83" s="57" t="str">
        <f aca="false">"3) La correccion desde el Q3 funciona pero es parcial: el segundo semestre ("&amp;TEXT(IFERROR(SUM(E44:E49)/SUM(C44:C49),0),"0.0%")&amp;") supera al primero ("&amp;TEXT(IFERROR(SUM(E38:E43)/SUM(C38:C43),0),"0.0%")&amp;") y sigue por debajo del mismo periodo de 2024 ("&amp;TEXT(IFERROR(SUM(F44:F49)/SUM(B44:B49),0),"0.0%")&amp;")."</f>
        <v>3) La correccion desde el Q3 funciona pero es parcial: el segundo semestre (34.5%) supera al primero (31.8%) y sigue por debajo del mismo periodo de 2024 (35.7%).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7" t="s">
        <v>254</v>
      </c>
    </row>
    <row r="3" customFormat="false" ht="15" hidden="false" customHeight="false" outlineLevel="0" collapsed="false">
      <c r="A3" s="58" t="s">
        <v>46</v>
      </c>
      <c r="B3" s="59" t="s">
        <v>57</v>
      </c>
      <c r="D3" s="58" t="s">
        <v>46</v>
      </c>
      <c r="E3" s="59" t="s">
        <v>255</v>
      </c>
      <c r="G3" s="58" t="s">
        <v>51</v>
      </c>
      <c r="H3" s="59" t="s">
        <v>57</v>
      </c>
      <c r="J3" s="58" t="s">
        <v>51</v>
      </c>
      <c r="K3" s="59" t="s">
        <v>255</v>
      </c>
      <c r="M3" s="58" t="s">
        <v>53</v>
      </c>
      <c r="N3" s="59" t="s">
        <v>57</v>
      </c>
      <c r="P3" s="58" t="s">
        <v>53</v>
      </c>
      <c r="Q3" s="59" t="s">
        <v>255</v>
      </c>
      <c r="S3" s="58" t="s">
        <v>42</v>
      </c>
      <c r="T3" s="59" t="s">
        <v>57</v>
      </c>
      <c r="V3" s="58" t="s">
        <v>42</v>
      </c>
      <c r="W3" s="59" t="s">
        <v>255</v>
      </c>
      <c r="Y3" s="58" t="s">
        <v>42</v>
      </c>
      <c r="Z3" s="59" t="s">
        <v>54</v>
      </c>
      <c r="AB3" s="58" t="s">
        <v>42</v>
      </c>
      <c r="AC3" s="59" t="s">
        <v>256</v>
      </c>
      <c r="AE3" s="58" t="s">
        <v>42</v>
      </c>
      <c r="AF3" s="59" t="s">
        <v>257</v>
      </c>
      <c r="AH3" s="58" t="s">
        <v>47</v>
      </c>
      <c r="AI3" s="59" t="s">
        <v>57</v>
      </c>
    </row>
    <row r="4" customFormat="false" ht="15" hidden="false" customHeight="false" outlineLevel="0" collapsed="false">
      <c r="A4" s="60" t="s">
        <v>63</v>
      </c>
      <c r="B4" s="61" t="n">
        <v>335709.78</v>
      </c>
      <c r="D4" s="60" t="s">
        <v>63</v>
      </c>
      <c r="E4" s="61" t="n">
        <v>120067.45</v>
      </c>
      <c r="G4" s="60" t="s">
        <v>68</v>
      </c>
      <c r="H4" s="61" t="n">
        <v>3067155</v>
      </c>
      <c r="J4" s="60" t="s">
        <v>68</v>
      </c>
      <c r="K4" s="61" t="n">
        <v>974230.43</v>
      </c>
      <c r="M4" s="60" t="s">
        <v>70</v>
      </c>
      <c r="N4" s="61" t="n">
        <v>1139544</v>
      </c>
      <c r="P4" s="60" t="s">
        <v>70</v>
      </c>
      <c r="Q4" s="61" t="n">
        <v>393830.85</v>
      </c>
      <c r="S4" s="60" t="n">
        <v>2024</v>
      </c>
      <c r="T4" s="61" t="n">
        <v>4726314.6</v>
      </c>
      <c r="V4" s="60" t="n">
        <v>2024</v>
      </c>
      <c r="W4" s="61" t="n">
        <v>1689839.03</v>
      </c>
      <c r="Y4" s="60" t="n">
        <v>2024</v>
      </c>
      <c r="Z4" s="62" t="n">
        <v>25681</v>
      </c>
      <c r="AB4" s="60" t="n">
        <v>2024</v>
      </c>
      <c r="AC4" s="61" t="n">
        <v>2933604.22</v>
      </c>
      <c r="AE4" s="60" t="n">
        <v>2024</v>
      </c>
      <c r="AF4" s="61" t="n">
        <v>102871.35</v>
      </c>
      <c r="AH4" s="60" t="s">
        <v>64</v>
      </c>
      <c r="AI4" s="61" t="n">
        <v>3896685.07</v>
      </c>
    </row>
    <row r="5" customFormat="false" ht="15" hidden="false" customHeight="false" outlineLevel="0" collapsed="false">
      <c r="A5" s="63" t="s">
        <v>105</v>
      </c>
      <c r="B5" s="64" t="n">
        <v>297385.9</v>
      </c>
      <c r="D5" s="63" t="s">
        <v>105</v>
      </c>
      <c r="E5" s="64" t="n">
        <v>106798.53</v>
      </c>
      <c r="G5" s="63" t="s">
        <v>77</v>
      </c>
      <c r="H5" s="64" t="n">
        <v>834602.3</v>
      </c>
      <c r="J5" s="63" t="s">
        <v>77</v>
      </c>
      <c r="K5" s="64" t="n">
        <v>377790.13</v>
      </c>
      <c r="M5" s="63" t="s">
        <v>73</v>
      </c>
      <c r="N5" s="64" t="n">
        <v>423801</v>
      </c>
      <c r="P5" s="63" t="s">
        <v>73</v>
      </c>
      <c r="Q5" s="64" t="n">
        <v>153039.62</v>
      </c>
      <c r="S5" s="63" t="n">
        <v>2025</v>
      </c>
      <c r="T5" s="65" t="n">
        <v>5566045.6</v>
      </c>
      <c r="V5" s="63" t="n">
        <v>2025</v>
      </c>
      <c r="W5" s="65" t="n">
        <v>1853692.31</v>
      </c>
      <c r="Y5" s="63" t="n">
        <v>2025</v>
      </c>
      <c r="Z5" s="66" t="n">
        <v>29379</v>
      </c>
      <c r="AB5" s="63" t="n">
        <v>2025</v>
      </c>
      <c r="AC5" s="65" t="n">
        <v>3528561.39</v>
      </c>
      <c r="AE5" s="63" t="n">
        <v>2025</v>
      </c>
      <c r="AF5" s="65" t="n">
        <v>183791.9</v>
      </c>
      <c r="AH5" s="63" t="s">
        <v>96</v>
      </c>
      <c r="AI5" s="64" t="n">
        <v>2262766.29</v>
      </c>
    </row>
    <row r="6" customFormat="false" ht="15" hidden="false" customHeight="false" outlineLevel="0" collapsed="false">
      <c r="A6" s="63" t="s">
        <v>107</v>
      </c>
      <c r="B6" s="64" t="n">
        <v>362339.32</v>
      </c>
      <c r="D6" s="63" t="s">
        <v>107</v>
      </c>
      <c r="E6" s="64" t="n">
        <v>129801.25</v>
      </c>
      <c r="G6" s="63" t="s">
        <v>85</v>
      </c>
      <c r="H6" s="64" t="n">
        <v>402936.8</v>
      </c>
      <c r="J6" s="63" t="s">
        <v>85</v>
      </c>
      <c r="K6" s="64" t="n">
        <v>170199.36</v>
      </c>
      <c r="M6" s="63" t="s">
        <v>75</v>
      </c>
      <c r="N6" s="64" t="n">
        <v>1503810</v>
      </c>
      <c r="P6" s="63" t="s">
        <v>75</v>
      </c>
      <c r="Q6" s="64" t="n">
        <v>427359.96</v>
      </c>
      <c r="S6" s="67" t="s">
        <v>258</v>
      </c>
      <c r="T6" s="68" t="n">
        <v>10292360.2</v>
      </c>
      <c r="V6" s="67" t="s">
        <v>258</v>
      </c>
      <c r="W6" s="68" t="n">
        <v>3543531.33999999</v>
      </c>
      <c r="Y6" s="67" t="s">
        <v>258</v>
      </c>
      <c r="Z6" s="69" t="n">
        <v>55060</v>
      </c>
      <c r="AB6" s="67" t="s">
        <v>258</v>
      </c>
      <c r="AC6" s="68" t="n">
        <v>6462165.61</v>
      </c>
      <c r="AE6" s="67" t="s">
        <v>258</v>
      </c>
      <c r="AF6" s="68" t="n">
        <v>286663.25</v>
      </c>
      <c r="AH6" s="63" t="s">
        <v>98</v>
      </c>
      <c r="AI6" s="64" t="n">
        <v>1655093.7</v>
      </c>
    </row>
    <row r="7" customFormat="false" ht="15" hidden="false" customHeight="false" outlineLevel="0" collapsed="false">
      <c r="A7" s="63" t="s">
        <v>110</v>
      </c>
      <c r="B7" s="64" t="n">
        <v>351882.72</v>
      </c>
      <c r="D7" s="63" t="s">
        <v>110</v>
      </c>
      <c r="E7" s="64" t="n">
        <v>126288.28</v>
      </c>
      <c r="G7" s="63" t="s">
        <v>91</v>
      </c>
      <c r="H7" s="64" t="n">
        <v>421620.5</v>
      </c>
      <c r="J7" s="63" t="s">
        <v>91</v>
      </c>
      <c r="K7" s="64" t="n">
        <v>167619.11</v>
      </c>
      <c r="M7" s="63" t="s">
        <v>79</v>
      </c>
      <c r="N7" s="64" t="n">
        <v>123891.6</v>
      </c>
      <c r="P7" s="63" t="s">
        <v>79</v>
      </c>
      <c r="Q7" s="64" t="n">
        <v>60540.18</v>
      </c>
      <c r="AH7" s="63" t="s">
        <v>100</v>
      </c>
      <c r="AI7" s="64" t="n">
        <v>1247848.42</v>
      </c>
    </row>
    <row r="8" customFormat="false" ht="15" hidden="false" customHeight="false" outlineLevel="0" collapsed="false">
      <c r="A8" s="63" t="s">
        <v>112</v>
      </c>
      <c r="B8" s="64" t="n">
        <v>379787.24</v>
      </c>
      <c r="D8" s="63" t="s">
        <v>112</v>
      </c>
      <c r="E8" s="64" t="n">
        <v>135657.89</v>
      </c>
      <c r="G8" s="63" t="s">
        <v>130</v>
      </c>
      <c r="H8" s="64" t="n">
        <v>3629530.15000001</v>
      </c>
      <c r="J8" s="63" t="s">
        <v>130</v>
      </c>
      <c r="K8" s="64" t="n">
        <v>1051612.06</v>
      </c>
      <c r="M8" s="63" t="s">
        <v>81</v>
      </c>
      <c r="N8" s="64" t="n">
        <v>420812</v>
      </c>
      <c r="P8" s="63" t="s">
        <v>81</v>
      </c>
      <c r="Q8" s="64" t="n">
        <v>194829.25</v>
      </c>
      <c r="AH8" s="63" t="s">
        <v>102</v>
      </c>
      <c r="AI8" s="65" t="n">
        <v>1229966.72</v>
      </c>
    </row>
    <row r="9" customFormat="false" ht="15" hidden="false" customHeight="false" outlineLevel="0" collapsed="false">
      <c r="A9" s="63" t="s">
        <v>114</v>
      </c>
      <c r="B9" s="64" t="n">
        <v>402575.18</v>
      </c>
      <c r="D9" s="63" t="s">
        <v>114</v>
      </c>
      <c r="E9" s="64" t="n">
        <v>144262.33</v>
      </c>
      <c r="G9" s="63" t="s">
        <v>134</v>
      </c>
      <c r="H9" s="64" t="n">
        <v>963729.38</v>
      </c>
      <c r="J9" s="63" t="s">
        <v>134</v>
      </c>
      <c r="K9" s="64" t="n">
        <v>419940.2</v>
      </c>
      <c r="M9" s="63" t="s">
        <v>83</v>
      </c>
      <c r="N9" s="64" t="n">
        <v>289898.7</v>
      </c>
      <c r="P9" s="63" t="s">
        <v>83</v>
      </c>
      <c r="Q9" s="64" t="n">
        <v>122420.7</v>
      </c>
      <c r="AH9" s="67" t="s">
        <v>258</v>
      </c>
      <c r="AI9" s="68" t="n">
        <v>10292360.2</v>
      </c>
    </row>
    <row r="10" customFormat="false" ht="15" hidden="false" customHeight="false" outlineLevel="0" collapsed="false">
      <c r="A10" s="63" t="s">
        <v>117</v>
      </c>
      <c r="B10" s="64" t="n">
        <v>421091.3</v>
      </c>
      <c r="D10" s="63" t="s">
        <v>117</v>
      </c>
      <c r="E10" s="64" t="n">
        <v>150294.12</v>
      </c>
      <c r="G10" s="63" t="s">
        <v>138</v>
      </c>
      <c r="H10" s="64" t="n">
        <v>480609.25</v>
      </c>
      <c r="J10" s="63" t="s">
        <v>138</v>
      </c>
      <c r="K10" s="64" t="n">
        <v>194901.36</v>
      </c>
      <c r="M10" s="63" t="s">
        <v>87</v>
      </c>
      <c r="N10" s="64" t="n">
        <v>233671.2</v>
      </c>
      <c r="P10" s="63" t="s">
        <v>87</v>
      </c>
      <c r="Q10" s="64" t="n">
        <v>102216.65</v>
      </c>
    </row>
    <row r="11" customFormat="false" ht="15" hidden="false" customHeight="false" outlineLevel="0" collapsed="false">
      <c r="A11" s="63" t="s">
        <v>119</v>
      </c>
      <c r="B11" s="64" t="n">
        <v>369456.08</v>
      </c>
      <c r="D11" s="63" t="s">
        <v>119</v>
      </c>
      <c r="E11" s="64" t="n">
        <v>132020.34</v>
      </c>
      <c r="G11" s="63" t="s">
        <v>141</v>
      </c>
      <c r="H11" s="65" t="n">
        <v>492176.82</v>
      </c>
      <c r="J11" s="63" t="s">
        <v>141</v>
      </c>
      <c r="K11" s="65" t="n">
        <v>187238.69</v>
      </c>
      <c r="M11" s="63" t="s">
        <v>89</v>
      </c>
      <c r="N11" s="64" t="n">
        <v>169265.6</v>
      </c>
      <c r="P11" s="63" t="s">
        <v>89</v>
      </c>
      <c r="Q11" s="64" t="n">
        <v>67982.71</v>
      </c>
    </row>
    <row r="12" customFormat="false" ht="15" hidden="false" customHeight="false" outlineLevel="0" collapsed="false">
      <c r="A12" s="63" t="s">
        <v>121</v>
      </c>
      <c r="B12" s="64" t="n">
        <v>374810.8</v>
      </c>
      <c r="D12" s="63" t="s">
        <v>121</v>
      </c>
      <c r="E12" s="64" t="n">
        <v>133911.95</v>
      </c>
      <c r="G12" s="67" t="s">
        <v>258</v>
      </c>
      <c r="H12" s="68" t="n">
        <v>10292360.2</v>
      </c>
      <c r="J12" s="67" t="s">
        <v>258</v>
      </c>
      <c r="K12" s="68" t="n">
        <v>3543531.33999999</v>
      </c>
      <c r="M12" s="63" t="s">
        <v>93</v>
      </c>
      <c r="N12" s="64" t="n">
        <v>332131.8</v>
      </c>
      <c r="P12" s="63" t="s">
        <v>93</v>
      </c>
      <c r="Q12" s="64" t="n">
        <v>126653.78</v>
      </c>
    </row>
    <row r="13" customFormat="false" ht="15" hidden="false" customHeight="false" outlineLevel="0" collapsed="false">
      <c r="A13" s="63" t="s">
        <v>124</v>
      </c>
      <c r="B13" s="64" t="n">
        <v>400237.88</v>
      </c>
      <c r="D13" s="63" t="s">
        <v>124</v>
      </c>
      <c r="E13" s="64" t="n">
        <v>142640.53</v>
      </c>
      <c r="M13" s="63" t="s">
        <v>95</v>
      </c>
      <c r="N13" s="64" t="n">
        <v>89488.7</v>
      </c>
      <c r="P13" s="63" t="s">
        <v>95</v>
      </c>
      <c r="Q13" s="64" t="n">
        <v>40965.33</v>
      </c>
    </row>
    <row r="14" customFormat="false" ht="15" hidden="false" customHeight="false" outlineLevel="0" collapsed="false">
      <c r="A14" s="63" t="s">
        <v>126</v>
      </c>
      <c r="B14" s="64" t="n">
        <v>474654.18</v>
      </c>
      <c r="D14" s="63" t="s">
        <v>126</v>
      </c>
      <c r="E14" s="64" t="n">
        <v>169647.46</v>
      </c>
      <c r="M14" s="63" t="s">
        <v>131</v>
      </c>
      <c r="N14" s="64" t="n">
        <v>1313626.14</v>
      </c>
      <c r="P14" s="63" t="s">
        <v>131</v>
      </c>
      <c r="Q14" s="64" t="n">
        <v>419236.65</v>
      </c>
    </row>
    <row r="15" customFormat="false" ht="15" hidden="false" customHeight="false" outlineLevel="0" collapsed="false">
      <c r="A15" s="63" t="s">
        <v>128</v>
      </c>
      <c r="B15" s="64" t="n">
        <v>556384.22</v>
      </c>
      <c r="D15" s="63" t="s">
        <v>128</v>
      </c>
      <c r="E15" s="64" t="n">
        <v>198448.9</v>
      </c>
      <c r="M15" s="63" t="s">
        <v>132</v>
      </c>
      <c r="N15" s="64" t="n">
        <v>498411.2</v>
      </c>
      <c r="P15" s="63" t="s">
        <v>132</v>
      </c>
      <c r="Q15" s="64" t="n">
        <v>166561.95</v>
      </c>
    </row>
    <row r="16" customFormat="false" ht="15" hidden="false" customHeight="false" outlineLevel="0" collapsed="false">
      <c r="A16" s="63" t="s">
        <v>129</v>
      </c>
      <c r="B16" s="64" t="n">
        <v>376115.96</v>
      </c>
      <c r="D16" s="63" t="s">
        <v>129</v>
      </c>
      <c r="E16" s="64" t="n">
        <v>119789.36</v>
      </c>
      <c r="M16" s="63" t="s">
        <v>133</v>
      </c>
      <c r="N16" s="64" t="n">
        <v>1817492.81</v>
      </c>
      <c r="P16" s="63" t="s">
        <v>133</v>
      </c>
      <c r="Q16" s="64" t="n">
        <v>465813.46</v>
      </c>
    </row>
    <row r="17" customFormat="false" ht="15" hidden="false" customHeight="false" outlineLevel="0" collapsed="false">
      <c r="A17" s="63" t="s">
        <v>144</v>
      </c>
      <c r="B17" s="64" t="n">
        <v>354148.74</v>
      </c>
      <c r="D17" s="63" t="s">
        <v>144</v>
      </c>
      <c r="E17" s="64" t="n">
        <v>113534.71</v>
      </c>
      <c r="M17" s="63" t="s">
        <v>135</v>
      </c>
      <c r="N17" s="64" t="n">
        <v>142604.16</v>
      </c>
      <c r="P17" s="63" t="s">
        <v>135</v>
      </c>
      <c r="Q17" s="64" t="n">
        <v>67372.65</v>
      </c>
    </row>
    <row r="18" customFormat="false" ht="15" hidden="false" customHeight="false" outlineLevel="0" collapsed="false">
      <c r="A18" s="63" t="s">
        <v>145</v>
      </c>
      <c r="B18" s="64" t="n">
        <v>424353.81</v>
      </c>
      <c r="D18" s="63" t="s">
        <v>145</v>
      </c>
      <c r="E18" s="64" t="n">
        <v>135451.12</v>
      </c>
      <c r="M18" s="63" t="s">
        <v>136</v>
      </c>
      <c r="N18" s="64" t="n">
        <v>490311.2</v>
      </c>
      <c r="P18" s="63" t="s">
        <v>136</v>
      </c>
      <c r="Q18" s="64" t="n">
        <v>218656.89</v>
      </c>
    </row>
    <row r="19" customFormat="false" ht="15" hidden="false" customHeight="false" outlineLevel="0" collapsed="false">
      <c r="A19" s="63" t="s">
        <v>146</v>
      </c>
      <c r="B19" s="64" t="n">
        <v>401046.29</v>
      </c>
      <c r="D19" s="63" t="s">
        <v>146</v>
      </c>
      <c r="E19" s="64" t="n">
        <v>127685.37</v>
      </c>
      <c r="M19" s="63" t="s">
        <v>137</v>
      </c>
      <c r="N19" s="64" t="n">
        <v>330814.02</v>
      </c>
      <c r="P19" s="63" t="s">
        <v>137</v>
      </c>
      <c r="Q19" s="64" t="n">
        <v>133910.66</v>
      </c>
    </row>
    <row r="20" customFormat="false" ht="15" hidden="false" customHeight="false" outlineLevel="0" collapsed="false">
      <c r="A20" s="63" t="s">
        <v>147</v>
      </c>
      <c r="B20" s="64" t="n">
        <v>447928.5</v>
      </c>
      <c r="D20" s="63" t="s">
        <v>147</v>
      </c>
      <c r="E20" s="64" t="n">
        <v>140862.97</v>
      </c>
      <c r="M20" s="63" t="s">
        <v>139</v>
      </c>
      <c r="N20" s="64" t="n">
        <v>282858.21</v>
      </c>
      <c r="P20" s="63" t="s">
        <v>139</v>
      </c>
      <c r="Q20" s="64" t="n">
        <v>118980.84</v>
      </c>
    </row>
    <row r="21" customFormat="false" ht="15" hidden="false" customHeight="false" outlineLevel="0" collapsed="false">
      <c r="A21" s="63" t="s">
        <v>148</v>
      </c>
      <c r="B21" s="64" t="n">
        <v>466752.11</v>
      </c>
      <c r="D21" s="63" t="s">
        <v>148</v>
      </c>
      <c r="E21" s="64" t="n">
        <v>148263.79</v>
      </c>
      <c r="M21" s="63" t="s">
        <v>140</v>
      </c>
      <c r="N21" s="64" t="n">
        <v>197751.04</v>
      </c>
      <c r="P21" s="63" t="s">
        <v>140</v>
      </c>
      <c r="Q21" s="64" t="n">
        <v>75920.52</v>
      </c>
    </row>
    <row r="22" customFormat="false" ht="15" hidden="false" customHeight="false" outlineLevel="0" collapsed="false">
      <c r="A22" s="63" t="s">
        <v>149</v>
      </c>
      <c r="B22" s="64" t="n">
        <v>500057.9</v>
      </c>
      <c r="D22" s="63" t="s">
        <v>149</v>
      </c>
      <c r="E22" s="64" t="n">
        <v>171816.84</v>
      </c>
      <c r="M22" s="63" t="s">
        <v>142</v>
      </c>
      <c r="N22" s="64" t="n">
        <v>387109.46</v>
      </c>
      <c r="P22" s="63" t="s">
        <v>142</v>
      </c>
      <c r="Q22" s="64" t="n">
        <v>140881.09</v>
      </c>
    </row>
    <row r="23" customFormat="false" ht="15" hidden="false" customHeight="false" outlineLevel="0" collapsed="false">
      <c r="A23" s="63" t="s">
        <v>150</v>
      </c>
      <c r="B23" s="64" t="n">
        <v>444999.85</v>
      </c>
      <c r="D23" s="63" t="s">
        <v>150</v>
      </c>
      <c r="E23" s="64" t="n">
        <v>153563.67</v>
      </c>
      <c r="M23" s="63" t="s">
        <v>143</v>
      </c>
      <c r="N23" s="65" t="n">
        <v>105067.36</v>
      </c>
      <c r="P23" s="63" t="s">
        <v>143</v>
      </c>
      <c r="Q23" s="65" t="n">
        <v>46357.6</v>
      </c>
    </row>
    <row r="24" customFormat="false" ht="15" hidden="false" customHeight="false" outlineLevel="0" collapsed="false">
      <c r="A24" s="63" t="s">
        <v>151</v>
      </c>
      <c r="B24" s="64" t="n">
        <v>445706.66</v>
      </c>
      <c r="D24" s="63" t="s">
        <v>151</v>
      </c>
      <c r="E24" s="64" t="n">
        <v>153488.45</v>
      </c>
      <c r="M24" s="67" t="s">
        <v>258</v>
      </c>
      <c r="N24" s="68" t="n">
        <v>10292360.2</v>
      </c>
      <c r="P24" s="67" t="s">
        <v>258</v>
      </c>
      <c r="Q24" s="68" t="n">
        <v>3543531.33999999</v>
      </c>
    </row>
    <row r="25" customFormat="false" ht="15" hidden="false" customHeight="false" outlineLevel="0" collapsed="false">
      <c r="A25" s="63" t="s">
        <v>152</v>
      </c>
      <c r="B25" s="64" t="n">
        <v>466416.5</v>
      </c>
      <c r="D25" s="63" t="s">
        <v>152</v>
      </c>
      <c r="E25" s="64" t="n">
        <v>161406.41</v>
      </c>
    </row>
    <row r="26" customFormat="false" ht="15" hidden="false" customHeight="false" outlineLevel="0" collapsed="false">
      <c r="A26" s="63" t="s">
        <v>153</v>
      </c>
      <c r="B26" s="64" t="n">
        <v>567804.81</v>
      </c>
      <c r="D26" s="63" t="s">
        <v>153</v>
      </c>
      <c r="E26" s="64" t="n">
        <v>196384.16</v>
      </c>
    </row>
    <row r="27" customFormat="false" ht="15" hidden="false" customHeight="false" outlineLevel="0" collapsed="false">
      <c r="A27" s="63" t="s">
        <v>154</v>
      </c>
      <c r="B27" s="65" t="n">
        <v>670714.47</v>
      </c>
      <c r="D27" s="63" t="s">
        <v>154</v>
      </c>
      <c r="E27" s="65" t="n">
        <v>231445.46</v>
      </c>
    </row>
    <row r="28" customFormat="false" ht="15" hidden="false" customHeight="false" outlineLevel="0" collapsed="false">
      <c r="A28" s="67" t="s">
        <v>258</v>
      </c>
      <c r="B28" s="68" t="n">
        <v>10292360.2</v>
      </c>
      <c r="D28" s="67" t="s">
        <v>258</v>
      </c>
      <c r="E28" s="68" t="n">
        <v>3543531.33999999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2026-08-06T14:21:05Z</dcterms:created>
  <dc:creator>openpyxl</dc:creator>
  <dc:description/>
  <dc:language>en-US</dc:language>
  <cp:lastModifiedBy/>
  <dcterms:modified xsi:type="dcterms:W3CDTF">2026-08-06T14:21:08Z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