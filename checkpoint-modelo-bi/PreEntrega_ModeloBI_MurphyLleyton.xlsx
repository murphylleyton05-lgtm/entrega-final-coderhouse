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icio" sheetId="1" state="visible" r:id="rId1"/>
    <sheet name="Config" sheetId="2" state="visible" r:id="rId2"/>
    <sheet name="Modelo_Estrella" sheetId="3" state="visible" r:id="rId3"/>
    <sheet name="Simulacion" sheetId="4" state="visible" r:id="rId4"/>
    <sheet name="Resumen_Escenarios" sheetId="5" state="visible" r:id="rId5"/>
    <sheet name="Estadistica_Descriptiva" sheetId="6" state="visible" r:id="rId6"/>
    <sheet name="Anexo_Codigo_M" sheetId="7" state="visible" r:id="rId7"/>
    <sheet name="Anexo_Medidas_DAX" sheetId="8" state="visible" r:id="rId8"/>
    <sheet name="PASOS_EN_EXCEL" sheetId="9" state="visible" r:id="rId9"/>
  </sheets>
  <definedNames>
    <definedName name="RutaDatos">Config!$B$3</definedName>
  </definedNames>
  <calcPr calcId="124519" fullCalcOnLoad="1"/>
</workbook>
</file>

<file path=xl/styles.xml><?xml version="1.0" encoding="utf-8"?>
<styleSheet xmlns="http://schemas.openxmlformats.org/spreadsheetml/2006/main">
  <numFmts count="3">
    <numFmt numFmtId="164" formatCode="0.0%"/>
    <numFmt numFmtId="165" formatCode="&quot;$&quot; #,##0.00"/>
    <numFmt numFmtId="166" formatCode="&quot;$&quot; #,##0"/>
  </numFmts>
  <fonts count="27">
    <font>
      <name val="Calibri"/>
      <family val="2"/>
      <color theme="1"/>
      <sz val="11"/>
      <scheme val="minor"/>
    </font>
    <font>
      <b val="1"/>
      <color rgb="00FFFFFF"/>
      <sz val="14"/>
    </font>
    <font>
      <b val="1"/>
      <sz val="12"/>
    </font>
    <font>
      <color rgb="00595959"/>
      <sz val="11"/>
    </font>
    <font>
      <b val="1"/>
      <color rgb="001F3864"/>
      <sz val="11"/>
    </font>
    <font>
      <b val="1"/>
      <color rgb="001F3864"/>
    </font>
    <font>
      <name val="Consolas"/>
      <sz val="10"/>
    </font>
    <font>
      <i val="1"/>
      <color rgb="00595959"/>
      <sz val="9"/>
    </font>
    <font>
      <b val="1"/>
    </font>
    <font/>
    <font>
      <name val="Consolas"/>
      <b val="1"/>
      <sz val="10"/>
    </font>
    <font>
      <b val="1"/>
      <color rgb="00C00000"/>
      <sz val="10"/>
    </font>
    <font>
      <b val="1"/>
      <color rgb="00FFFFFF"/>
      <sz val="11"/>
    </font>
    <font>
      <b val="1"/>
      <sz val="9"/>
    </font>
    <font>
      <sz val="9"/>
    </font>
    <font>
      <b val="1"/>
      <color rgb="001F3864"/>
      <sz val="9"/>
    </font>
    <font>
      <b val="1"/>
      <color rgb="00FFFFFF"/>
      <sz val="10"/>
    </font>
    <font>
      <sz val="10"/>
    </font>
    <font>
      <b val="1"/>
      <sz val="10"/>
    </font>
    <font>
      <color rgb="00404040"/>
      <sz val="10"/>
    </font>
    <font>
      <b val="1"/>
      <color rgb="001F3864"/>
      <sz val="14"/>
    </font>
    <font>
      <b val="1"/>
      <color rgb="00FFFFFF"/>
    </font>
    <font>
      <b val="1"/>
      <color rgb="001F3864"/>
      <sz val="10"/>
    </font>
    <font>
      <name val="Consolas"/>
      <color rgb="001F7244"/>
      <sz val="9"/>
    </font>
    <font>
      <name val="Consolas"/>
      <color rgb="001F1F1F"/>
      <sz val="9"/>
    </font>
    <font>
      <b val="1"/>
      <color rgb="00FFFFFF"/>
      <sz val="16"/>
    </font>
    <font>
      <b val="1"/>
      <color rgb="001F3864"/>
      <sz val="12"/>
    </font>
  </fonts>
  <fills count="9">
    <fill>
      <patternFill/>
    </fill>
    <fill>
      <patternFill patternType="gray125"/>
    </fill>
    <fill>
      <patternFill patternType="solid">
        <fgColor rgb="001F3864"/>
      </patternFill>
    </fill>
    <fill>
      <patternFill patternType="solid">
        <fgColor rgb="00D9E2F3"/>
      </patternFill>
    </fill>
    <fill>
      <patternFill patternType="solid">
        <fgColor rgb="00FFF2CC"/>
      </patternFill>
    </fill>
    <fill>
      <patternFill patternType="solid">
        <fgColor rgb="002E75B6"/>
      </patternFill>
    </fill>
    <fill>
      <patternFill patternType="solid">
        <fgColor rgb="00F2F2F2"/>
      </patternFill>
    </fill>
    <fill>
      <patternFill patternType="solid">
        <fgColor rgb="00E2EFDA"/>
      </patternFill>
    </fill>
    <fill>
      <patternFill patternType="solid">
        <fgColor rgb="00FCE4E4"/>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60">
    <xf numFmtId="0" fontId="0" fillId="0" borderId="0" pivotButton="0" quotePrefix="0" xfId="0"/>
    <xf numFmtId="0" fontId="1" fillId="2" borderId="0" applyAlignment="1" pivotButton="0" quotePrefix="0" xfId="0">
      <alignment vertical="center" indent="1"/>
    </xf>
    <xf numFmtId="0" fontId="2" fillId="0" borderId="0" pivotButton="0" quotePrefix="0" xfId="0"/>
    <xf numFmtId="0" fontId="3" fillId="0" borderId="0" pivotButton="0" quotePrefix="0" xfId="0"/>
    <xf numFmtId="0" fontId="4" fillId="3" borderId="0" pivotButton="0" quotePrefix="0" xfId="0"/>
    <xf numFmtId="0" fontId="5" fillId="0" borderId="0" pivotButton="0" quotePrefix="0" xfId="0"/>
    <xf numFmtId="0" fontId="6" fillId="0" borderId="0" pivotButton="0" quotePrefix="0" xfId="0"/>
    <xf numFmtId="0" fontId="7" fillId="0" borderId="0" applyAlignment="1" pivotButton="0" quotePrefix="0" xfId="0">
      <alignment vertical="top" wrapText="1"/>
    </xf>
    <xf numFmtId="0" fontId="8" fillId="0" borderId="0" pivotButton="0" quotePrefix="0" xfId="0"/>
    <xf numFmtId="49" fontId="10" fillId="4" borderId="1" pivotButton="0" quotePrefix="0" xfId="0"/>
    <xf numFmtId="0" fontId="11" fillId="0" borderId="0" pivotButton="0" quotePrefix="0" xfId="0"/>
    <xf numFmtId="49" fontId="9" fillId="0" borderId="1" pivotButton="0" quotePrefix="0" xfId="0"/>
    <xf numFmtId="0" fontId="12" fillId="5" borderId="1" applyAlignment="1" pivotButton="0" quotePrefix="0" xfId="0">
      <alignment horizontal="center" vertical="center"/>
    </xf>
    <xf numFmtId="0" fontId="13" fillId="6" borderId="1" applyAlignment="1" pivotButton="0" quotePrefix="0" xfId="0">
      <alignment indent="1"/>
    </xf>
    <xf numFmtId="0" fontId="14" fillId="6" borderId="1" applyAlignment="1" pivotButton="0" quotePrefix="0" xfId="0">
      <alignment indent="1"/>
    </xf>
    <xf numFmtId="0" fontId="15" fillId="6" borderId="1" applyAlignment="1" pivotButton="0" quotePrefix="0" xfId="0">
      <alignment horizontal="center"/>
    </xf>
    <xf numFmtId="0" fontId="5" fillId="0" borderId="0" applyAlignment="1" pivotButton="0" quotePrefix="0" xfId="0">
      <alignment horizontal="center"/>
    </xf>
    <xf numFmtId="0" fontId="12" fillId="2" borderId="1" applyAlignment="1" pivotButton="0" quotePrefix="0" xfId="0">
      <alignment horizontal="center" vertical="center"/>
    </xf>
    <xf numFmtId="0" fontId="13" fillId="7" borderId="1" applyAlignment="1" pivotButton="0" quotePrefix="0" xfId="0">
      <alignment indent="1"/>
    </xf>
    <xf numFmtId="0" fontId="5" fillId="6" borderId="1" applyAlignment="1" pivotButton="0" quotePrefix="0" xfId="0">
      <alignment horizontal="center"/>
    </xf>
    <xf numFmtId="0" fontId="14" fillId="7" borderId="1" applyAlignment="1" pivotButton="0" quotePrefix="0" xfId="0">
      <alignment indent="1"/>
    </xf>
    <xf numFmtId="0" fontId="16" fillId="2" borderId="1" applyAlignment="1" pivotButton="0" quotePrefix="0" xfId="0">
      <alignment horizontal="center" wrapText="1"/>
    </xf>
    <xf numFmtId="0" fontId="17" fillId="0" borderId="1" applyAlignment="1" pivotButton="0" quotePrefix="0" xfId="0">
      <alignment horizontal="center"/>
    </xf>
    <xf numFmtId="0" fontId="18" fillId="0" borderId="1" applyAlignment="1" pivotButton="0" quotePrefix="0" xfId="0">
      <alignment horizontal="center"/>
    </xf>
    <xf numFmtId="0" fontId="9" fillId="0" borderId="0" applyAlignment="1" pivotButton="0" quotePrefix="0" xfId="0">
      <alignment indent="1"/>
    </xf>
    <xf numFmtId="164" fontId="8" fillId="4" borderId="1" pivotButton="0" quotePrefix="0" xfId="0"/>
    <xf numFmtId="0" fontId="19" fillId="0" borderId="0" pivotButton="0" quotePrefix="0" xfId="0"/>
    <xf numFmtId="0" fontId="18" fillId="0" borderId="0" pivotButton="0" quotePrefix="0" xfId="0"/>
    <xf numFmtId="3" fontId="9" fillId="4" borderId="1" pivotButton="0" quotePrefix="0" xfId="0"/>
    <xf numFmtId="165" fontId="9" fillId="0" borderId="1" pivotButton="0" quotePrefix="0" xfId="0"/>
    <xf numFmtId="166" fontId="9" fillId="0" borderId="1" pivotButton="0" quotePrefix="0" xfId="0"/>
    <xf numFmtId="3" fontId="9" fillId="0" borderId="1" pivotButton="0" quotePrefix="0" xfId="0"/>
    <xf numFmtId="0" fontId="8" fillId="0" borderId="0" applyAlignment="1" pivotButton="0" quotePrefix="0" xfId="0">
      <alignment indent="1"/>
    </xf>
    <xf numFmtId="166" fontId="8" fillId="0" borderId="1" pivotButton="0" quotePrefix="0" xfId="0"/>
    <xf numFmtId="166" fontId="8" fillId="7" borderId="1" pivotButton="0" quotePrefix="0" xfId="0"/>
    <xf numFmtId="164" fontId="8" fillId="7" borderId="1" pivotButton="0" quotePrefix="0" xfId="0"/>
    <xf numFmtId="166" fontId="8" fillId="4" borderId="1" pivotButton="0" quotePrefix="0" xfId="0"/>
    <xf numFmtId="3" fontId="8" fillId="7" borderId="1" pivotButton="0" quotePrefix="0" xfId="0"/>
    <xf numFmtId="164" fontId="9" fillId="0" borderId="1" pivotButton="0" quotePrefix="0" xfId="0"/>
    <xf numFmtId="0" fontId="20" fillId="0" borderId="0" pivotButton="0" quotePrefix="0" xfId="0"/>
    <xf numFmtId="0" fontId="21" fillId="2" borderId="1" applyAlignment="1" pivotButton="0" quotePrefix="0" xfId="0">
      <alignment horizontal="center" wrapText="1"/>
    </xf>
    <xf numFmtId="164" fontId="9" fillId="6" borderId="1" pivotButton="0" quotePrefix="0" xfId="0"/>
    <xf numFmtId="166" fontId="9" fillId="6" borderId="1" pivotButton="0" quotePrefix="0" xfId="0"/>
    <xf numFmtId="166" fontId="8" fillId="6" borderId="1" pivotButton="0" quotePrefix="0" xfId="0"/>
    <xf numFmtId="166" fontId="8" fillId="8" borderId="1" pivotButton="0" quotePrefix="0" xfId="0"/>
    <xf numFmtId="0" fontId="22" fillId="0" borderId="0" pivotButton="0" quotePrefix="0" xfId="0"/>
    <xf numFmtId="0" fontId="9" fillId="0" borderId="0" pivotButton="0" quotePrefix="0" xfId="0"/>
    <xf numFmtId="0" fontId="7" fillId="0" borderId="0" pivotButton="0" quotePrefix="0" xfId="0"/>
    <xf numFmtId="0" fontId="8" fillId="3" borderId="1" pivotButton="0" quotePrefix="0" xfId="0"/>
    <xf numFmtId="0" fontId="0" fillId="3" borderId="1" pivotButton="0" quotePrefix="0" xfId="0"/>
    <xf numFmtId="0" fontId="0" fillId="0" borderId="1" pivotButton="0" quotePrefix="0" xfId="0"/>
    <xf numFmtId="4" fontId="0" fillId="0" borderId="1" pivotButton="0" quotePrefix="0" xfId="0"/>
    <xf numFmtId="0" fontId="0" fillId="0" borderId="1" applyAlignment="1" pivotButton="0" quotePrefix="0" xfId="0">
      <alignment horizontal="right"/>
    </xf>
    <xf numFmtId="3" fontId="0" fillId="0" borderId="1" pivotButton="0" quotePrefix="0" xfId="0"/>
    <xf numFmtId="0" fontId="19" fillId="0" borderId="0" applyAlignment="1" pivotButton="0" quotePrefix="0" xfId="0">
      <alignment vertical="top" wrapText="1"/>
    </xf>
    <xf numFmtId="0" fontId="23" fillId="0" borderId="0" applyAlignment="1" pivotButton="0" quotePrefix="0" xfId="0">
      <alignment vertical="center"/>
    </xf>
    <xf numFmtId="0" fontId="24" fillId="0" borderId="0" applyAlignment="1" pivotButton="0" quotePrefix="0" xfId="0">
      <alignment vertical="center"/>
    </xf>
    <xf numFmtId="0" fontId="25" fillId="2" borderId="0" applyAlignment="1" pivotButton="0" quotePrefix="0" xfId="0">
      <alignment horizontal="center" vertical="center"/>
    </xf>
    <xf numFmtId="0" fontId="26" fillId="3" borderId="0" pivotButton="0" quotePrefix="0" xfId="0"/>
    <xf numFmtId="0" fontId="19" fillId="0" borderId="0" applyAlignment="1" pivotButton="0" quotePrefix="0" xfId="0">
      <alignment inden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G24"/>
  <sheetViews>
    <sheetView showGridLines="0" workbookViewId="0">
      <selection activeCell="A1" sqref="A1"/>
    </sheetView>
  </sheetViews>
  <sheetFormatPr baseColWidth="8" defaultRowHeight="15"/>
  <cols>
    <col width="3" customWidth="1" min="1" max="1"/>
    <col width="34" customWidth="1" min="2" max="2"/>
    <col width="16" customWidth="1" min="3" max="3"/>
    <col width="16" customWidth="1" min="4" max="4"/>
    <col width="16" customWidth="1" min="5" max="5"/>
    <col width="16" customWidth="1" min="6" max="6"/>
    <col width="16" customWidth="1" min="7" max="7"/>
  </cols>
  <sheetData>
    <row r="2" ht="26" customHeight="1">
      <c r="B2" s="1" t="inlineStr">
        <is>
          <t xml:space="preserve">  MODELO BI  ·  Arquitectura del dato y simulacion</t>
        </is>
      </c>
    </row>
    <row r="4">
      <c r="B4" s="2" t="inlineStr">
        <is>
          <t>Pre-entrega: Optimizacion y Modelado de Datos para Toma de Decisiones</t>
        </is>
      </c>
    </row>
    <row r="5">
      <c r="B5" s="3" t="inlineStr">
        <is>
          <t>Lleyton Murphy</t>
        </is>
      </c>
    </row>
    <row r="7">
      <c r="B7" s="4" t="inlineStr">
        <is>
          <t xml:space="preserve">  Contenido del libro</t>
        </is>
      </c>
    </row>
    <row r="9">
      <c r="B9" s="5" t="inlineStr">
        <is>
          <t>Config</t>
        </is>
      </c>
      <c r="C9" t="inlineStr">
        <is>
          <t>Parametro de ruta de datos (rango con nombre RutaDatos)</t>
        </is>
      </c>
    </row>
    <row r="10">
      <c r="B10" s="5" t="inlineStr">
        <is>
          <t>Modelo_Estrella</t>
        </is>
      </c>
      <c r="C10" t="inlineStr">
        <is>
          <t>Diagrama del esquema dimensional y relaciones 1:N</t>
        </is>
      </c>
    </row>
    <row r="11">
      <c r="B11" s="5" t="inlineStr">
        <is>
          <t>Simulacion</t>
        </is>
      </c>
      <c r="C11" t="inlineStr">
        <is>
          <t>Modelo financiero: Buscar Objetivo + celdas cambiantes</t>
        </is>
      </c>
    </row>
    <row r="12">
      <c r="B12" s="5" t="inlineStr">
        <is>
          <t>Resumen_Escenarios</t>
        </is>
      </c>
      <c r="C12" t="inlineStr">
        <is>
          <t>Comparativa Pesimista / Base / Optimista</t>
        </is>
      </c>
    </row>
    <row r="13">
      <c r="B13" s="5" t="inlineStr">
        <is>
          <t>Estadistica_Descriptiva</t>
        </is>
      </c>
      <c r="C13" t="inlineStr">
        <is>
          <t>Reporte de Analysis ToolPak sobre Importe_Neto</t>
        </is>
      </c>
    </row>
    <row r="14">
      <c r="B14" s="5" t="inlineStr">
        <is>
          <t>Anexo_Codigo_M</t>
        </is>
      </c>
      <c r="C14" t="inlineStr">
        <is>
          <t>Codigo M de las 4 consultas de Power Query</t>
        </is>
      </c>
    </row>
    <row r="15">
      <c r="B15" s="5" t="inlineStr">
        <is>
          <t>Anexo_Medidas_DAX</t>
        </is>
      </c>
      <c r="C15" t="inlineStr">
        <is>
          <t>Medidas DAX con VAR / RETURN</t>
        </is>
      </c>
    </row>
    <row r="16">
      <c r="B16" s="5" t="inlineStr">
        <is>
          <t>PASOS_EN_EXCEL</t>
        </is>
      </c>
      <c r="C16" t="inlineStr">
        <is>
          <t>Los pasos que hay que ejecutar en Excel (leer primero)</t>
        </is>
      </c>
    </row>
    <row r="18">
      <c r="B18" s="4" t="inlineStr">
        <is>
          <t xml:space="preserve">  Fuentes de datos</t>
        </is>
      </c>
    </row>
    <row r="20">
      <c r="B20" s="6" t="inlineStr">
        <is>
          <t>datos\ventas_historicas.csv</t>
        </is>
      </c>
      <c r="C20" t="inlineStr">
        <is>
          <t>Tabla de hechos - 1.149 filas depuradas</t>
        </is>
      </c>
    </row>
    <row r="21">
      <c r="B21" s="6" t="inlineStr">
        <is>
          <t>datos\maestras.xlsx</t>
        </is>
      </c>
      <c r="C21" t="inlineStr">
        <is>
          <t>Dimensiones Clientes y Productos</t>
        </is>
      </c>
    </row>
    <row r="22">
      <c r="B22" s="6" t="inlineStr">
        <is>
          <t>(generada en M)</t>
        </is>
      </c>
      <c r="C22" t="inlineStr">
        <is>
          <t>Dimension Calendario - sin archivo de origen</t>
        </is>
      </c>
    </row>
    <row r="24">
      <c r="B24" s="7" t="inlineStr">
        <is>
          <t>Las conexiones son relativas: la ruta se resuelve desde la celda RutaDatos de la hoja Config, no esta escrita dentro de las consultas.</t>
        </is>
      </c>
    </row>
  </sheetData>
  <mergeCells count="15">
    <mergeCell ref="B24:G24"/>
    <mergeCell ref="B2:G2"/>
    <mergeCell ref="C21:G21"/>
    <mergeCell ref="C22:G22"/>
    <mergeCell ref="C20:G20"/>
    <mergeCell ref="C12:G12"/>
    <mergeCell ref="C10:G10"/>
    <mergeCell ref="C16:G16"/>
    <mergeCell ref="C15:G15"/>
    <mergeCell ref="C11:G11"/>
    <mergeCell ref="B18:G18"/>
    <mergeCell ref="C14:G14"/>
    <mergeCell ref="C13:G13"/>
    <mergeCell ref="C9:G9"/>
    <mergeCell ref="B7:G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9"/>
  <sheetViews>
    <sheetView showGridLines="0" workbookViewId="0">
      <selection activeCell="A1" sqref="A1"/>
    </sheetView>
  </sheetViews>
  <sheetFormatPr baseColWidth="8" defaultRowHeight="15"/>
  <cols>
    <col width="30" customWidth="1" min="1" max="1"/>
    <col width="62" customWidth="1" min="2" max="2"/>
  </cols>
  <sheetData>
    <row r="1" ht="26" customHeight="1">
      <c r="A1" s="1" t="inlineStr">
        <is>
          <t xml:space="preserve">  Configuracion del origen de datos</t>
        </is>
      </c>
    </row>
    <row r="3">
      <c r="A3" s="8" t="inlineStr">
        <is>
          <t>Carpeta de datos</t>
        </is>
      </c>
      <c r="B3" s="9" t="inlineStr">
        <is>
          <t>C:\Users\TU_USUARIO\Documents\ModeloBI\datos\</t>
        </is>
      </c>
      <c r="C3" s="10" t="inlineStr">
        <is>
          <t>&lt;-- EDITAR: ruta real de la carpeta 'datos', terminada en \</t>
        </is>
      </c>
    </row>
    <row r="5" ht="60" customHeight="1">
      <c r="A5" s="7" t="inlineStr">
        <is>
          <t>Este es el valor que hay que cargar en el parametro RutaDatos de Power Query (Inicio &gt; Administrar parametros). Las cuatro consultas lo concatenan con el nombre de archivo, asi que la ruta esta escrita una sola vez: mover el proyecto de carpeta es editar el parametro, no las consultas.</t>
        </is>
      </c>
    </row>
    <row r="6" ht="45" customHeight="1">
      <c r="A6" s="7" t="inlineStr">
        <is>
          <t>Se usa un parametro y no una celda leida con Excel.CurrentWorkbook() para no disparar el error Formula.Firewall, que aparece cuando una consulta referencia a otra y ademas accede a un origen externo en el mismo paso.</t>
        </is>
      </c>
    </row>
    <row r="8">
      <c r="A8" s="8" t="inlineStr">
        <is>
          <t>Moneda</t>
        </is>
      </c>
      <c r="B8" s="11" t="inlineStr">
        <is>
          <t>ARS</t>
        </is>
      </c>
    </row>
    <row r="9">
      <c r="A9" s="8" t="inlineStr">
        <is>
          <t>Ultima generacion del libro</t>
        </is>
      </c>
      <c r="B9" s="11" t="inlineStr">
        <is>
          <t>2026-07-30</t>
        </is>
      </c>
    </row>
  </sheetData>
  <mergeCells count="3">
    <mergeCell ref="A6"/>
    <mergeCell ref="A5"/>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B2:H32"/>
  <sheetViews>
    <sheetView showGridLines="0" workbookViewId="0">
      <selection activeCell="A1" sqref="A1"/>
    </sheetView>
  </sheetViews>
  <sheetFormatPr baseColWidth="8" defaultRowHeight="15"/>
  <cols>
    <col width="3" customWidth="1" min="1" max="1"/>
    <col width="20" customWidth="1" min="2" max="2"/>
    <col width="4" customWidth="1" min="3" max="3"/>
    <col width="20" customWidth="1" min="4" max="4"/>
    <col width="4" customWidth="1" min="5" max="5"/>
    <col width="20" customWidth="1" min="6" max="6"/>
    <col width="4" customWidth="1" min="7" max="7"/>
    <col width="20" customWidth="1" min="8" max="8"/>
    <col width="20" customWidth="1" min="9" max="9"/>
  </cols>
  <sheetData>
    <row r="2" ht="26" customHeight="1">
      <c r="B2" s="1" t="inlineStr">
        <is>
          <t xml:space="preserve">  Esquema dimensional en estrella</t>
        </is>
      </c>
    </row>
    <row r="4">
      <c r="D4" s="12" t="inlineStr">
        <is>
          <t>Calendario</t>
        </is>
      </c>
    </row>
    <row r="5">
      <c r="D5" s="13" t="inlineStr">
        <is>
          <t>PK Fecha</t>
        </is>
      </c>
    </row>
    <row r="6">
      <c r="D6" s="14" t="inlineStr">
        <is>
          <t>Anio</t>
        </is>
      </c>
    </row>
    <row r="7">
      <c r="D7" s="14" t="inlineStr">
        <is>
          <t>Trimestre</t>
        </is>
      </c>
    </row>
    <row r="8">
      <c r="D8" s="14" t="inlineStr">
        <is>
          <t>Mes</t>
        </is>
      </c>
    </row>
    <row r="9">
      <c r="D9" s="14" t="inlineStr">
        <is>
          <t>Nombre_Mes</t>
        </is>
      </c>
    </row>
    <row r="10">
      <c r="D10" s="15" t="inlineStr">
        <is>
          <t>1 : N</t>
        </is>
      </c>
    </row>
    <row r="11">
      <c r="D11" s="16" t="inlineStr">
        <is>
          <t>|</t>
        </is>
      </c>
    </row>
    <row r="12">
      <c r="B12" s="12" t="inlineStr">
        <is>
          <t>Clientes</t>
        </is>
      </c>
      <c r="D12" s="17" t="inlineStr">
        <is>
          <t>Ventas  (HECHOS)</t>
        </is>
      </c>
      <c r="F12" s="12" t="inlineStr">
        <is>
          <t>Productos</t>
        </is>
      </c>
    </row>
    <row r="13">
      <c r="B13" s="13" t="inlineStr">
        <is>
          <t>PK ID_Cliente</t>
        </is>
      </c>
      <c r="C13" s="16" t="inlineStr">
        <is>
          <t>--&gt;</t>
        </is>
      </c>
      <c r="D13" s="18" t="inlineStr">
        <is>
          <t>PK ID_Venta</t>
        </is>
      </c>
      <c r="F13" s="19" t="inlineStr">
        <is>
          <t>&lt;--</t>
        </is>
      </c>
    </row>
    <row r="14">
      <c r="B14" s="14" t="inlineStr">
        <is>
          <t>Cliente</t>
        </is>
      </c>
      <c r="D14" s="18" t="inlineStr">
        <is>
          <t>FK Fecha</t>
        </is>
      </c>
      <c r="F14" s="14" t="inlineStr">
        <is>
          <t>Producto</t>
        </is>
      </c>
    </row>
    <row r="15">
      <c r="B15" s="14" t="inlineStr">
        <is>
          <t>Region</t>
        </is>
      </c>
      <c r="D15" s="18" t="inlineStr">
        <is>
          <t>FK ID_Cliente</t>
        </is>
      </c>
      <c r="F15" s="14" t="inlineStr">
        <is>
          <t>Categoria</t>
        </is>
      </c>
    </row>
    <row r="16">
      <c r="B16" s="14" t="inlineStr">
        <is>
          <t>Segmento</t>
        </is>
      </c>
      <c r="D16" s="18" t="inlineStr">
        <is>
          <t>FK ID_Producto</t>
        </is>
      </c>
      <c r="F16" s="14" t="inlineStr">
        <is>
          <t>Subcategoria</t>
        </is>
      </c>
    </row>
    <row r="17">
      <c r="B17" s="14" t="inlineStr">
        <is>
          <t>Antiguedad_Anios</t>
        </is>
      </c>
      <c r="D17" s="20" t="inlineStr">
        <is>
          <t>Canal</t>
        </is>
      </c>
      <c r="F17" s="14" t="inlineStr">
        <is>
          <t>Precio_Lista</t>
        </is>
      </c>
    </row>
    <row r="18">
      <c r="D18" s="20" t="inlineStr">
        <is>
          <t>Unidades</t>
        </is>
      </c>
    </row>
    <row r="19">
      <c r="D19" s="20" t="inlineStr">
        <is>
          <t>Importe_Bruto</t>
        </is>
      </c>
    </row>
    <row r="20">
      <c r="D20" s="20" t="inlineStr">
        <is>
          <t>Importe_Neto</t>
        </is>
      </c>
    </row>
    <row r="21">
      <c r="D21" s="20" t="inlineStr">
        <is>
          <t>Costo_Total</t>
        </is>
      </c>
    </row>
    <row r="24">
      <c r="B24" s="4" t="inlineStr">
        <is>
          <t xml:space="preserve">  Relaciones a crear en la Vista de diagrama</t>
        </is>
      </c>
    </row>
    <row r="26" ht="30" customHeight="1">
      <c r="B26" s="21" t="inlineStr">
        <is>
          <t>Dimension (lado 1)</t>
        </is>
      </c>
      <c r="C26" s="21" t="inlineStr">
        <is>
          <t>Clave primaria</t>
        </is>
      </c>
      <c r="D26" s="21" t="inlineStr">
        <is>
          <t>Tabla de hechos (lado N)</t>
        </is>
      </c>
      <c r="E26" s="21" t="inlineStr">
        <is>
          <t>Clave foranea</t>
        </is>
      </c>
      <c r="F26" s="21" t="inlineStr">
        <is>
          <t>Cardinalidad</t>
        </is>
      </c>
      <c r="G26" s="21" t="inlineStr">
        <is>
          <t>Direccion del filtro</t>
        </is>
      </c>
    </row>
    <row r="27">
      <c r="B27" s="22" t="inlineStr">
        <is>
          <t>Calendario</t>
        </is>
      </c>
      <c r="C27" s="23" t="inlineStr">
        <is>
          <t>Fecha</t>
        </is>
      </c>
      <c r="D27" s="22" t="inlineStr">
        <is>
          <t>Ventas</t>
        </is>
      </c>
      <c r="E27" s="23" t="inlineStr">
        <is>
          <t>Fecha</t>
        </is>
      </c>
      <c r="F27" s="22" t="inlineStr">
        <is>
          <t>1 : N</t>
        </is>
      </c>
      <c r="G27" s="22" t="inlineStr">
        <is>
          <t>Calendario --&gt; Ventas</t>
        </is>
      </c>
    </row>
    <row r="28">
      <c r="B28" s="22" t="inlineStr">
        <is>
          <t>Clientes</t>
        </is>
      </c>
      <c r="C28" s="23" t="inlineStr">
        <is>
          <t>ID_Cliente</t>
        </is>
      </c>
      <c r="D28" s="22" t="inlineStr">
        <is>
          <t>Ventas</t>
        </is>
      </c>
      <c r="E28" s="23" t="inlineStr">
        <is>
          <t>ID_Cliente</t>
        </is>
      </c>
      <c r="F28" s="22" t="inlineStr">
        <is>
          <t>1 : N</t>
        </is>
      </c>
      <c r="G28" s="22" t="inlineStr">
        <is>
          <t>Clientes --&gt; Ventas</t>
        </is>
      </c>
    </row>
    <row r="29">
      <c r="B29" s="22" t="inlineStr">
        <is>
          <t>Productos</t>
        </is>
      </c>
      <c r="C29" s="23" t="inlineStr">
        <is>
          <t>ID_Producto</t>
        </is>
      </c>
      <c r="D29" s="22" t="inlineStr">
        <is>
          <t>Ventas</t>
        </is>
      </c>
      <c r="E29" s="23" t="inlineStr">
        <is>
          <t>ID_Producto</t>
        </is>
      </c>
      <c r="F29" s="22" t="inlineStr">
        <is>
          <t>1 : N</t>
        </is>
      </c>
      <c r="G29" s="22" t="inlineStr">
        <is>
          <t>Productos --&gt; Ventas</t>
        </is>
      </c>
    </row>
    <row r="32" ht="45" customHeight="1">
      <c r="B32" s="7" t="inlineStr">
        <is>
          <t>El filtro fluye siempre desde la dimension hacia los hechos (una fila de Clientes se relaciona con muchas filas de Ventas). Calendario ademas debe marcarse con Disenio &gt; Marcar como tabla de fechas, requisito de SAMEPERIODLASTYEAR en la medida Ventas Anio Anterior.</t>
        </is>
      </c>
    </row>
  </sheetData>
  <mergeCells count="3">
    <mergeCell ref="B32:H32"/>
    <mergeCell ref="B24:H24"/>
    <mergeCell ref="B2:H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B2:E30"/>
  <sheetViews>
    <sheetView showGridLines="0" workbookViewId="0">
      <selection activeCell="A1" sqref="A1"/>
    </sheetView>
  </sheetViews>
  <sheetFormatPr baseColWidth="8" defaultRowHeight="15"/>
  <cols>
    <col width="3" customWidth="1" min="1" max="1"/>
    <col width="38" customWidth="1" min="2" max="2"/>
    <col width="18" customWidth="1" min="3" max="3"/>
    <col width="3" customWidth="1" min="4" max="4"/>
    <col width="46" customWidth="1" min="5" max="5"/>
  </cols>
  <sheetData>
    <row r="2" ht="26" customHeight="1">
      <c r="B2" s="1" t="inlineStr">
        <is>
          <t xml:space="preserve">  Simulacion financiera</t>
        </is>
      </c>
    </row>
    <row r="4">
      <c r="B4" s="4" t="inlineStr">
        <is>
          <t xml:space="preserve">  Celdas cambiantes  (Administrador de escenarios)</t>
        </is>
      </c>
      <c r="E4" s="5" t="inlineStr">
        <is>
          <t>COMO SE OPERA ESTA HOJA</t>
        </is>
      </c>
    </row>
    <row r="5">
      <c r="B5" s="24" t="inlineStr">
        <is>
          <t>Tasa de interes anual</t>
        </is>
      </c>
      <c r="C5" s="25" t="n">
        <v>0.12</v>
      </c>
      <c r="E5" s="26" t="inlineStr"/>
    </row>
    <row r="6">
      <c r="B6" s="24" t="inlineStr">
        <is>
          <t>Costo de envio (% sobre ventas)</t>
        </is>
      </c>
      <c r="C6" s="25" t="n">
        <v>0.06</v>
      </c>
      <c r="E6" s="27" t="inlineStr">
        <is>
          <t>BUSCAR OBJETIVO</t>
        </is>
      </c>
    </row>
    <row r="7">
      <c r="B7" s="24" t="inlineStr">
        <is>
          <t>Variacion de la demanda</t>
        </is>
      </c>
      <c r="C7" s="25" t="n">
        <v>0</v>
      </c>
      <c r="E7" s="26" t="inlineStr">
        <is>
          <t>Datos &gt; Analisis de hipotesis &gt; Buscar objetivo</t>
        </is>
      </c>
    </row>
    <row r="8">
      <c r="E8" s="26" t="inlineStr">
        <is>
          <t xml:space="preserve">   Definir la celda:  C24</t>
        </is>
      </c>
    </row>
    <row r="9">
      <c r="B9" s="4" t="inlineStr">
        <is>
          <t xml:space="preserve">  Parametros del negocio  (base 2025, del modelo)</t>
        </is>
      </c>
      <c r="E9" s="26" t="inlineStr">
        <is>
          <t xml:space="preserve">   con el valor:      el numero de C28</t>
        </is>
      </c>
    </row>
    <row r="10">
      <c r="B10" s="24" t="inlineStr">
        <is>
          <t>Unidades vendidas</t>
        </is>
      </c>
      <c r="C10" s="28" t="n">
        <v>7900</v>
      </c>
      <c r="E10" s="26" t="inlineStr">
        <is>
          <t xml:space="preserve">   cambiando la celda: C10</t>
        </is>
      </c>
    </row>
    <row r="11">
      <c r="B11" s="24" t="inlineStr">
        <is>
          <t>Precio unitario promedio</t>
        </is>
      </c>
      <c r="C11" s="29" t="n">
        <v>79219.07000000001</v>
      </c>
      <c r="E11" s="26" t="inlineStr">
        <is>
          <t>Excel deja C10 en el valor de C29. Deshacer con</t>
        </is>
      </c>
    </row>
    <row r="12">
      <c r="B12" s="24" t="inlineStr">
        <is>
          <t>Costo unitario promedio</t>
        </is>
      </c>
      <c r="C12" s="29" t="n">
        <v>49154.5</v>
      </c>
      <c r="E12" s="26" t="inlineStr">
        <is>
          <t>Ctrl+Z para volver a la base antes de seguir.</t>
        </is>
      </c>
    </row>
    <row r="13">
      <c r="B13" s="24" t="inlineStr">
        <is>
          <t>Gastos fijos anuales</t>
        </is>
      </c>
      <c r="C13" s="30" t="n">
        <v>87616000</v>
      </c>
      <c r="E13" s="26" t="inlineStr"/>
    </row>
    <row r="14">
      <c r="B14" s="24" t="inlineStr">
        <is>
          <t>Deuda financiera</t>
        </is>
      </c>
      <c r="C14" s="30" t="n">
        <v>156458000</v>
      </c>
      <c r="E14" s="27" t="inlineStr">
        <is>
          <t>ADMINISTRADOR DE ESCENARIOS</t>
        </is>
      </c>
    </row>
    <row r="15">
      <c r="E15" s="26" t="inlineStr">
        <is>
          <t>Datos &gt; Analisis de hipotesis &gt; Administrador de</t>
        </is>
      </c>
    </row>
    <row r="16">
      <c r="B16" s="4" t="inlineStr">
        <is>
          <t xml:space="preserve">  Estado de resultados proyectado</t>
        </is>
      </c>
      <c r="E16" s="26" t="inlineStr">
        <is>
          <t>escenarios. Los tres escenarios ya estan guardados</t>
        </is>
      </c>
    </row>
    <row r="17">
      <c r="B17" s="24" t="inlineStr">
        <is>
          <t>Unidades proyectadas</t>
        </is>
      </c>
      <c r="C17" s="31">
        <f>C10*(1+C7)</f>
        <v/>
      </c>
      <c r="E17" s="26" t="inlineStr">
        <is>
          <t>en el libro sobre las celdas C5, C6 y C7.</t>
        </is>
      </c>
    </row>
    <row r="18">
      <c r="B18" s="24" t="inlineStr">
        <is>
          <t>Ingresos por ventas</t>
        </is>
      </c>
      <c r="C18" s="30">
        <f>C17*C11</f>
        <v/>
      </c>
      <c r="E18" s="26" t="inlineStr">
        <is>
          <t>Boton Resumen &gt; Resumen de escenarios, celdas</t>
        </is>
      </c>
    </row>
    <row r="19">
      <c r="B19" s="24" t="inlineStr">
        <is>
          <t>Costo de mercaderia vendida</t>
        </is>
      </c>
      <c r="C19" s="30">
        <f>-C17*C12</f>
        <v/>
      </c>
      <c r="E19" s="26" t="inlineStr">
        <is>
          <t>de resultado: C18, C24, C25</t>
        </is>
      </c>
    </row>
    <row r="20">
      <c r="B20" s="24" t="inlineStr">
        <is>
          <t>Costo de envio</t>
        </is>
      </c>
      <c r="C20" s="30">
        <f>-C18*C6</f>
        <v/>
      </c>
      <c r="E20" s="26" t="inlineStr"/>
    </row>
    <row r="21">
      <c r="B21" s="32" t="inlineStr">
        <is>
          <t>Margen bruto</t>
        </is>
      </c>
      <c r="C21" s="33">
        <f>SUM(C18:C20)</f>
        <v/>
      </c>
      <c r="E21" s="26" t="inlineStr">
        <is>
          <t>Nota: la hoja Resumen_Escenarios ya trae esa misma</t>
        </is>
      </c>
    </row>
    <row r="22">
      <c r="B22" s="24" t="inlineStr">
        <is>
          <t>Gastos fijos</t>
        </is>
      </c>
      <c r="C22" s="30">
        <f>-C13</f>
        <v/>
      </c>
      <c r="E22" s="26" t="inlineStr">
        <is>
          <t>comparativa calculada, para que quede en el libro</t>
        </is>
      </c>
    </row>
    <row r="23">
      <c r="B23" s="24" t="inlineStr">
        <is>
          <t>Intereses financieros</t>
        </is>
      </c>
      <c r="C23" s="30">
        <f>-C14*C5</f>
        <v/>
      </c>
      <c r="E23" s="26" t="inlineStr">
        <is>
          <t>aunque no se regenere el resumen.</t>
        </is>
      </c>
    </row>
    <row r="24">
      <c r="B24" s="32" t="inlineStr">
        <is>
          <t>BENEFICIO NETO</t>
        </is>
      </c>
      <c r="C24" s="34">
        <f>C21+C22+C23</f>
        <v/>
      </c>
    </row>
    <row r="25">
      <c r="B25" s="32" t="inlineStr">
        <is>
          <t>% Margen neto</t>
        </is>
      </c>
      <c r="C25" s="35">
        <f>IFERROR(C24/C18,0)</f>
        <v/>
      </c>
    </row>
    <row r="27">
      <c r="B27" s="4" t="inlineStr">
        <is>
          <t xml:space="preserve">  Buscar Objetivo  (Goal Seek)</t>
        </is>
      </c>
    </row>
    <row r="28">
      <c r="B28" s="24" t="inlineStr">
        <is>
          <t>Meta de beneficio neto del directorio</t>
        </is>
      </c>
      <c r="C28" s="36" t="n">
        <v>126000000</v>
      </c>
    </row>
    <row r="29">
      <c r="B29" s="24" t="inlineStr">
        <is>
          <t>Unidades necesarias  (resultado)</t>
        </is>
      </c>
      <c r="C29" s="37" t="n">
        <v>9181</v>
      </c>
    </row>
    <row r="30">
      <c r="B30" s="24" t="inlineStr">
        <is>
          <t>Variacion sobre la base</t>
        </is>
      </c>
      <c r="C30" s="38" t="n">
        <v>0.1621857041016577</v>
      </c>
    </row>
  </sheetData>
  <scenarios current="1" show="1" sqref="C5:C7">
    <scenario name="Pesimista" locked="1" count="3" user="Lleyton Murphy" comment="Suba de tasas, encarecimiento logistico y contraccion de la demanda">
      <inputCells r="C5" val="0.18"/>
      <inputCells r="C6" val="0.09"/>
      <inputCells r="C7" val="-0.15"/>
    </scenario>
    <scenario name="Base" locked="1" count="3" user="Lleyton Murphy" comment="Continuidad de las condiciones actuales">
      <inputCells r="C5" val="0.12"/>
      <inputCells r="C6" val="0.06"/>
      <inputCells r="C7" val="0.0"/>
    </scenario>
    <scenario name="Optimista" locked="1" count="3" user="Lleyton Murphy" comment="Baja de tasas, mejora de fletes por volumen y expansion comercial">
      <inputCells r="C5" val="0.09"/>
      <inputCells r="C6" val="0.045"/>
      <inputCells r="C7" val="0.2"/>
    </scenario>
  </scenarios>
  <mergeCells count="5">
    <mergeCell ref="B16:C16"/>
    <mergeCell ref="B27:C27"/>
    <mergeCell ref="B9:C9"/>
    <mergeCell ref="B4:C4"/>
    <mergeCell ref="B2:D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C2:G22"/>
  <sheetViews>
    <sheetView showGridLines="0" workbookViewId="0">
      <selection activeCell="A1" sqref="A1"/>
    </sheetView>
  </sheetViews>
  <sheetFormatPr baseColWidth="8" defaultRowHeight="15"/>
  <cols>
    <col width="3" customWidth="1" min="1" max="1"/>
    <col width="5" customWidth="1" min="2" max="2"/>
    <col width="32" customWidth="1" min="3" max="3"/>
    <col width="20" customWidth="1" min="4" max="4"/>
    <col width="20" customWidth="1" min="5" max="5"/>
    <col width="20" customWidth="1" min="6" max="6"/>
    <col width="20" customWidth="1" min="7" max="7"/>
  </cols>
  <sheetData>
    <row r="2">
      <c r="C2" s="39" t="inlineStr">
        <is>
          <t>Resumen de escenarios</t>
        </is>
      </c>
    </row>
    <row r="4" ht="28" customHeight="1">
      <c r="C4" s="40" t="inlineStr"/>
      <c r="D4" s="40" t="inlineStr">
        <is>
          <t>Valores actuales:</t>
        </is>
      </c>
      <c r="E4" s="40" t="inlineStr">
        <is>
          <t>Pesimista</t>
        </is>
      </c>
      <c r="F4" s="40" t="inlineStr">
        <is>
          <t>Base</t>
        </is>
      </c>
      <c r="G4" s="40" t="inlineStr">
        <is>
          <t>Optimista</t>
        </is>
      </c>
    </row>
    <row r="6">
      <c r="C6" s="8" t="inlineStr">
        <is>
          <t>Celdas cambiantes:</t>
        </is>
      </c>
    </row>
    <row r="7">
      <c r="C7" s="24" t="inlineStr">
        <is>
          <t>$C$5   Tasa de interes anual</t>
        </is>
      </c>
      <c r="D7" s="41" t="n">
        <v>0.12</v>
      </c>
      <c r="E7" s="38" t="n">
        <v>0.18</v>
      </c>
      <c r="F7" s="38" t="n">
        <v>0.12</v>
      </c>
      <c r="G7" s="38" t="n">
        <v>0.09</v>
      </c>
    </row>
    <row r="8">
      <c r="C8" s="24" t="inlineStr">
        <is>
          <t>$C$6   Costo de envio</t>
        </is>
      </c>
      <c r="D8" s="41" t="n">
        <v>0.06</v>
      </c>
      <c r="E8" s="38" t="n">
        <v>0.09</v>
      </c>
      <c r="F8" s="38" t="n">
        <v>0.06</v>
      </c>
      <c r="G8" s="38" t="n">
        <v>0.045</v>
      </c>
    </row>
    <row r="9">
      <c r="C9" s="24" t="inlineStr">
        <is>
          <t>$C$7   Variacion de la demanda</t>
        </is>
      </c>
      <c r="D9" s="41" t="n">
        <v>0</v>
      </c>
      <c r="E9" s="38" t="n">
        <v>-0.15</v>
      </c>
      <c r="F9" s="38" t="n">
        <v>0</v>
      </c>
      <c r="G9" s="38" t="n">
        <v>0.2</v>
      </c>
    </row>
    <row r="11">
      <c r="C11" s="8" t="inlineStr">
        <is>
          <t>Celdas de resultado:</t>
        </is>
      </c>
    </row>
    <row r="12">
      <c r="C12" s="24" t="inlineStr">
        <is>
          <t>$C$18  Ingresos por ventas</t>
        </is>
      </c>
      <c r="D12" s="42" t="n">
        <v>625830653</v>
      </c>
      <c r="E12" s="30" t="n">
        <v>531956055.0500001</v>
      </c>
      <c r="F12" s="30" t="n">
        <v>625830653</v>
      </c>
      <c r="G12" s="30" t="n">
        <v>750996783.6</v>
      </c>
    </row>
    <row r="13">
      <c r="C13" s="32" t="inlineStr">
        <is>
          <t>$C$24  Beneficio neto</t>
        </is>
      </c>
      <c r="D13" s="43" t="n">
        <v>93569303.81999999</v>
      </c>
      <c r="E13" s="44" t="n">
        <v>38229102.59550005</v>
      </c>
      <c r="F13" s="33" t="n">
        <v>93569303.81999999</v>
      </c>
      <c r="G13" s="34" t="n">
        <v>149520048.338</v>
      </c>
    </row>
    <row r="14">
      <c r="C14" s="24" t="inlineStr">
        <is>
          <t>$C$25  % Margen neto</t>
        </is>
      </c>
      <c r="D14" s="41" t="n">
        <v>0.1495121777296517</v>
      </c>
      <c r="E14" s="38" t="n">
        <v>0.07186515170300448</v>
      </c>
      <c r="F14" s="38" t="n">
        <v>0.1495121777296517</v>
      </c>
      <c r="G14" s="38" t="n">
        <v>0.1990954576679495</v>
      </c>
    </row>
    <row r="16">
      <c r="C16" s="45" t="inlineStr">
        <is>
          <t>Delta del beneficio neto contra el escenario Base</t>
        </is>
      </c>
    </row>
    <row r="17">
      <c r="C17" s="46" t="inlineStr">
        <is>
          <t xml:space="preserve">   Pesimista</t>
        </is>
      </c>
      <c r="D17" s="30" t="n">
        <v>-55340201.22449994</v>
      </c>
      <c r="E17" s="47" t="inlineStr">
        <is>
          <t>Suba de tasas, encarecimiento logistico y contraccion de la demanda</t>
        </is>
      </c>
    </row>
    <row r="18">
      <c r="C18" s="46" t="inlineStr">
        <is>
          <t xml:space="preserve">   Base</t>
        </is>
      </c>
      <c r="D18" s="30" t="n">
        <v>0</v>
      </c>
      <c r="E18" s="47" t="inlineStr">
        <is>
          <t>Continuidad de las condiciones actuales</t>
        </is>
      </c>
    </row>
    <row r="19">
      <c r="C19" s="46" t="inlineStr">
        <is>
          <t xml:space="preserve">   Optimista</t>
        </is>
      </c>
      <c r="D19" s="30" t="n">
        <v>55950744.51800004</v>
      </c>
      <c r="E19" s="47" t="inlineStr">
        <is>
          <t>Baja de tasas, mejora de fletes por volumen y expansion comercial</t>
        </is>
      </c>
    </row>
    <row r="22" ht="40" customHeight="1">
      <c r="C22" s="7" t="inlineStr">
        <is>
          <t>La columna Valores actuales representa los valores de las celdas cambiantes en el momento en que se creo el Informe resumen de escenarios. Las celdas cambiantes de cada escenario se muestran en gris.</t>
        </is>
      </c>
    </row>
  </sheetData>
  <mergeCells count="4">
    <mergeCell ref="C22:G22"/>
    <mergeCell ref="E17:G17"/>
    <mergeCell ref="E18:G18"/>
    <mergeCell ref="E19:G19"/>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B2:F26"/>
  <sheetViews>
    <sheetView showGridLines="0" workbookViewId="0">
      <selection activeCell="A1" sqref="A1"/>
    </sheetView>
  </sheetViews>
  <sheetFormatPr baseColWidth="8" defaultRowHeight="15"/>
  <cols>
    <col width="3" customWidth="1" min="1" max="1"/>
    <col width="30" customWidth="1" min="2" max="2"/>
    <col width="20" customWidth="1" min="3" max="3"/>
    <col width="30" customWidth="1" min="5" max="5"/>
    <col width="20" customWidth="1" min="6" max="6"/>
  </cols>
  <sheetData>
    <row r="2" ht="26" customHeight="1">
      <c r="B2" s="1" t="inlineStr">
        <is>
          <t xml:space="preserve">  Estadistica descriptiva  ·  Analysis ToolPak</t>
        </is>
      </c>
    </row>
    <row r="4">
      <c r="B4" s="48" t="inlineStr">
        <is>
          <t>Importe_Neto</t>
        </is>
      </c>
      <c r="C4" s="49" t="n"/>
      <c r="E4" s="48" t="inlineStr">
        <is>
          <t>Margen_Bruto</t>
        </is>
      </c>
      <c r="F4" s="49" t="n"/>
    </row>
    <row r="5">
      <c r="B5" s="50" t="inlineStr">
        <is>
          <t>Media</t>
        </is>
      </c>
      <c r="C5" s="51" t="n">
        <v>1583931.00281114</v>
      </c>
      <c r="E5" s="50" t="inlineStr">
        <is>
          <t>Media</t>
        </is>
      </c>
      <c r="F5" s="51" t="n">
        <v>588679.7388946924</v>
      </c>
    </row>
    <row r="6">
      <c r="B6" s="50" t="inlineStr">
        <is>
          <t>Error tipico</t>
        </is>
      </c>
      <c r="C6" s="51" t="n">
        <v>40446.03869364034</v>
      </c>
      <c r="E6" s="50" t="inlineStr">
        <is>
          <t>Error tipico</t>
        </is>
      </c>
      <c r="F6" s="51" t="n">
        <v>16863.10922193552</v>
      </c>
    </row>
    <row r="7">
      <c r="B7" s="50" t="inlineStr">
        <is>
          <t>Mediana</t>
        </is>
      </c>
      <c r="C7" s="51" t="n">
        <v>1132770.5</v>
      </c>
      <c r="E7" s="50" t="inlineStr">
        <is>
          <t>Mediana</t>
        </is>
      </c>
      <c r="F7" s="51" t="n">
        <v>389983.5600000001</v>
      </c>
    </row>
    <row r="8">
      <c r="B8" s="50" t="inlineStr">
        <is>
          <t>Moda</t>
        </is>
      </c>
      <c r="C8" s="52" t="e">
        <v>#N/A</v>
      </c>
      <c r="E8" s="50" t="inlineStr">
        <is>
          <t>Moda</t>
        </is>
      </c>
      <c r="F8" s="52" t="e">
        <v>#N/A</v>
      </c>
    </row>
    <row r="9">
      <c r="B9" s="50" t="inlineStr">
        <is>
          <t>Desviacion estandar</t>
        </is>
      </c>
      <c r="C9" s="51" t="n">
        <v>1370995.430649775</v>
      </c>
      <c r="E9" s="50" t="inlineStr">
        <is>
          <t>Desviacion estandar</t>
        </is>
      </c>
      <c r="F9" s="51" t="n">
        <v>571607.1693680328</v>
      </c>
    </row>
    <row r="10">
      <c r="B10" s="50" t="inlineStr">
        <is>
          <t>Varianza de la muestra</t>
        </is>
      </c>
      <c r="C10" s="51" t="n">
        <v>1879628470862.562</v>
      </c>
      <c r="E10" s="50" t="inlineStr">
        <is>
          <t>Varianza de la muestra</t>
        </is>
      </c>
      <c r="F10" s="51" t="n">
        <v>326734756072.9349</v>
      </c>
    </row>
    <row r="11">
      <c r="B11" s="50" t="inlineStr">
        <is>
          <t>Curtosis</t>
        </is>
      </c>
      <c r="C11" s="51" t="n">
        <v>0.3850475819472305</v>
      </c>
      <c r="E11" s="50" t="inlineStr">
        <is>
          <t>Curtosis</t>
        </is>
      </c>
      <c r="F11" s="51" t="n">
        <v>1.528756286248995</v>
      </c>
    </row>
    <row r="12">
      <c r="B12" s="50" t="inlineStr">
        <is>
          <t>Coeficiente de asimetria</t>
        </is>
      </c>
      <c r="C12" s="51" t="n">
        <v>1.094210557487304</v>
      </c>
      <c r="E12" s="50" t="inlineStr">
        <is>
          <t>Coeficiente de asimetria</t>
        </is>
      </c>
      <c r="F12" s="51" t="n">
        <v>1.424828975809084</v>
      </c>
    </row>
    <row r="13">
      <c r="B13" s="50" t="inlineStr">
        <is>
          <t>Rango</t>
        </is>
      </c>
      <c r="C13" s="51" t="n">
        <v>6172704.52</v>
      </c>
      <c r="E13" s="50" t="inlineStr">
        <is>
          <t>Rango</t>
        </is>
      </c>
      <c r="F13" s="51" t="n">
        <v>2855338.31</v>
      </c>
    </row>
    <row r="14">
      <c r="B14" s="50" t="inlineStr">
        <is>
          <t>Minimo</t>
        </is>
      </c>
      <c r="C14" s="51" t="n">
        <v>15427.9</v>
      </c>
      <c r="E14" s="50" t="inlineStr">
        <is>
          <t>Minimo</t>
        </is>
      </c>
      <c r="F14" s="51" t="n">
        <v>4295.07</v>
      </c>
    </row>
    <row r="15">
      <c r="B15" s="50" t="inlineStr">
        <is>
          <t>Maximo</t>
        </is>
      </c>
      <c r="C15" s="51" t="n">
        <v>6188132.42</v>
      </c>
      <c r="E15" s="50" t="inlineStr">
        <is>
          <t>Maximo</t>
        </is>
      </c>
      <c r="F15" s="51" t="n">
        <v>2859633.38</v>
      </c>
    </row>
    <row r="16">
      <c r="B16" s="50" t="inlineStr">
        <is>
          <t>Suma</t>
        </is>
      </c>
      <c r="C16" s="51" t="n">
        <v>1819936722.23</v>
      </c>
      <c r="E16" s="50" t="inlineStr">
        <is>
          <t>Suma</t>
        </is>
      </c>
      <c r="F16" s="51" t="n">
        <v>676393019.9900016</v>
      </c>
    </row>
    <row r="17">
      <c r="B17" s="50" t="inlineStr">
        <is>
          <t>Cuenta</t>
        </is>
      </c>
      <c r="C17" s="53" t="n">
        <v>1149</v>
      </c>
      <c r="E17" s="50" t="inlineStr">
        <is>
          <t>Cuenta</t>
        </is>
      </c>
      <c r="F17" s="53" t="n">
        <v>1149</v>
      </c>
    </row>
    <row r="18">
      <c r="B18" s="50" t="inlineStr">
        <is>
          <t>Nivel de confianza(95.0%)</t>
        </is>
      </c>
      <c r="C18" s="51" t="n">
        <v>79356.44515643087</v>
      </c>
      <c r="E18" s="50" t="inlineStr">
        <is>
          <t>Nivel de confianza(95.0%)</t>
        </is>
      </c>
      <c r="F18" s="51" t="n">
        <v>33085.96948822693</v>
      </c>
    </row>
    <row r="21">
      <c r="B21" s="5" t="inlineStr">
        <is>
          <t>Lectura del diagnostico</t>
        </is>
      </c>
    </row>
    <row r="22" ht="30" customHeight="1">
      <c r="B22" s="54" t="inlineStr">
        <is>
          <t>La media ($1.583.931) supera a la mediana ($1.132.770). y el coeficiente de asimetria es 1.09: la distribucion esta sesgada a la derecha.</t>
        </is>
      </c>
    </row>
    <row r="23" ht="30" customHeight="1">
      <c r="B23" s="54" t="inlineStr">
        <is>
          <t>Unas pocas operaciones de importe muy alto empujan el promedio hacia arriba. Para fijar metas comerciales conviene la mediana, no la media.</t>
        </is>
      </c>
    </row>
    <row r="24" ht="30" customHeight="1">
      <c r="B24" s="54" t="inlineStr">
        <is>
          <t>La desviacion estandar es del orden de la propia media, senial de una cartera heterogenea: no hay un 'cliente tipico' y segmentar es imprescindible.</t>
        </is>
      </c>
    </row>
    <row r="26" ht="40" customHeight="1">
      <c r="B26" s="7" t="inlineStr">
        <is>
          <t>Generado con Datos &gt; Analisis de datos &gt; Estadistica descriptiva, sobre la columna Importe_Neto de la consulta Ventas ya depurada (1.149 filas), con Resumen de estadisticas y Nivel de confianza para la media del 95%.</t>
        </is>
      </c>
    </row>
  </sheetData>
  <mergeCells count="5">
    <mergeCell ref="B24:F24"/>
    <mergeCell ref="B2:F2"/>
    <mergeCell ref="B23:F23"/>
    <mergeCell ref="B22:F22"/>
    <mergeCell ref="B26:F26"/>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B2:B273"/>
  <sheetViews>
    <sheetView showGridLines="0" workbookViewId="0">
      <selection activeCell="A1" sqref="A1"/>
    </sheetView>
  </sheetViews>
  <sheetFormatPr baseColWidth="8" defaultRowHeight="15"/>
  <cols>
    <col width="3" customWidth="1" min="1" max="1"/>
    <col width="118" customWidth="1" min="2" max="2"/>
  </cols>
  <sheetData>
    <row r="2" ht="26" customHeight="1">
      <c r="B2" s="1" t="inlineStr">
        <is>
          <t xml:space="preserve">  Codigo M de las consultas de Power Query</t>
        </is>
      </c>
    </row>
    <row r="3" ht="30" customHeight="1">
      <c r="B3" s="7" t="inlineStr">
        <is>
          <t>Anexo de documentacion. El codigo vive de verdad en Power Query / Power Pivot; esta copia es para que el evaluador pueda leerlo sin abrir el editor.</t>
        </is>
      </c>
    </row>
    <row r="5">
      <c r="B5" s="55" t="inlineStr">
        <is>
          <t>// ============================================================================</t>
        </is>
      </c>
    </row>
    <row r="6">
      <c r="B6" s="55" t="inlineStr">
        <is>
          <t>// Parametro: RutaDatos</t>
        </is>
      </c>
    </row>
    <row r="7">
      <c r="B7" s="55" t="inlineStr">
        <is>
          <t>// ----------------------------------------------------------------------------</t>
        </is>
      </c>
    </row>
    <row r="8">
      <c r="B8" s="55" t="inlineStr">
        <is>
          <t>// Resuelve el problema de la ruta de origen "hardcodeada": en lugar de repetir</t>
        </is>
      </c>
    </row>
    <row r="9">
      <c r="B9" s="55" t="inlineStr">
        <is>
          <t>// C:\...\datos dentro de cada consulta, el path vive en un unico lugar y las</t>
        </is>
      </c>
    </row>
    <row r="10">
      <c r="B10" s="55" t="inlineStr">
        <is>
          <t>// cuatro consultas lo concatenan con el nombre de archivo.</t>
        </is>
      </c>
    </row>
    <row r="11">
      <c r="B11" s="55" t="inlineStr">
        <is>
          <t>//</t>
        </is>
      </c>
    </row>
    <row r="12">
      <c r="B12" s="55" t="inlineStr">
        <is>
          <t>// POR QUE UN PARAMETRO Y NO UNA CONSULTA QUE LEA a UNA CELDA</t>
        </is>
      </c>
    </row>
    <row r="13">
      <c r="B13" s="55" t="inlineStr">
        <is>
          <t>// ----------------------------------------------------------------------------</t>
        </is>
      </c>
    </row>
    <row r="14">
      <c r="B14" s="55" t="inlineStr">
        <is>
          <t>// La alternativa elegante seria leer la ruta desde una celda del libro con</t>
        </is>
      </c>
    </row>
    <row r="15">
      <c r="B15" s="55" t="inlineStr">
        <is>
          <t>// Excel.CurrentWorkbook(). No se usa a proposito: Ventas quedaria referenciando</t>
        </is>
      </c>
    </row>
    <row r="16">
      <c r="B16" s="55" t="inlineStr">
        <is>
          <t>// otra consulta Y accediendo a un origen externo con File.Contents en el mismo</t>
        </is>
      </c>
    </row>
    <row r="17">
      <c r="B17" s="55" t="inlineStr">
        <is>
          <t>// paso, que es la condicion exacta que dispara el error</t>
        </is>
      </c>
    </row>
    <row r="18">
      <c r="B18" s="55" t="inlineStr">
        <is>
          <t>//</t>
        </is>
      </c>
    </row>
    <row r="19">
      <c r="B19" s="55" t="inlineStr">
        <is>
          <t>//     Formula.Firewall: la consulta 'Ventas' hace referencia a otras consultas</t>
        </is>
      </c>
    </row>
    <row r="20">
      <c r="B20" s="55" t="inlineStr">
        <is>
          <t>//     o pasos, por lo que puede que no tenga acceso directo a un origen de datos</t>
        </is>
      </c>
    </row>
    <row r="21">
      <c r="B21" s="55" t="inlineStr">
        <is>
          <t>//</t>
        </is>
      </c>
    </row>
    <row r="22">
      <c r="B22" s="55" t="inlineStr">
        <is>
          <t>// Un parametro, en cambio, el motor lo resuelve como valor literal antes de</t>
        </is>
      </c>
    </row>
    <row r="23">
      <c r="B23" s="55" t="inlineStr">
        <is>
          <t>// evaluar la consulta, asi que no cuenta como referencia y el firewall no salta.</t>
        </is>
      </c>
    </row>
    <row r="24">
      <c r="B24" s="55" t="inlineStr">
        <is>
          <t>// Es la solucion idiomatica al problema, no un rodeo.</t>
        </is>
      </c>
    </row>
    <row r="25">
      <c r="B25" s="55" t="inlineStr">
        <is>
          <t>//</t>
        </is>
      </c>
    </row>
    <row r="26">
      <c r="B26" s="55" t="inlineStr">
        <is>
          <t>// COMO SE CREA</t>
        </is>
      </c>
    </row>
    <row r="27">
      <c r="B27" s="55" t="inlineStr">
        <is>
          <t>// ----------------------------------------------------------------------------</t>
        </is>
      </c>
    </row>
    <row r="28">
      <c r="B28" s="55" t="inlineStr">
        <is>
          <t>// Opcion A (recomendada): Datos &gt; Obtener datos &gt; Iniciar el editor de Power</t>
        </is>
      </c>
    </row>
    <row r="29">
      <c r="B29" s="55" t="inlineStr">
        <is>
          <t>//   Query &gt; Inicio &gt; Administrar parametros &gt; Nuevo. Nombre: RutaDatos,</t>
        </is>
      </c>
    </row>
    <row r="30">
      <c r="B30" s="55" t="inlineStr">
        <is>
          <t>//   Tipo: Texto, Valor actual: la ruta de la carpeta 'datos' terminada en \</t>
        </is>
      </c>
    </row>
    <row r="31">
      <c r="B31" s="55" t="inlineStr">
        <is>
          <t>//</t>
        </is>
      </c>
    </row>
    <row r="32">
      <c r="B32" s="55" t="inlineStr">
        <is>
          <t>// Opcion B: crear una consulta en blanco, pegar la linea de abajo en el Editor</t>
        </is>
      </c>
    </row>
    <row r="33">
      <c r="B33" s="55" t="inlineStr">
        <is>
          <t>//   avanzado y renombrarla RutaDatos. El metadato IsParameterQuery hace que</t>
        </is>
      </c>
    </row>
    <row r="34">
      <c r="B34" s="55" t="inlineStr">
        <is>
          <t>//   Excel la trate como parametro, no como consulta.</t>
        </is>
      </c>
    </row>
    <row r="35">
      <c r="B35" s="55" t="inlineStr">
        <is>
          <t>// ============================================================================</t>
        </is>
      </c>
    </row>
    <row r="36">
      <c r="B36" s="56" t="n"/>
    </row>
    <row r="37">
      <c r="B37" s="56" t="inlineStr">
        <is>
          <t>"C:\Users\TU_USUARIO\Documents\ModeloBI\datos\"</t>
        </is>
      </c>
    </row>
    <row r="38">
      <c r="B38" s="56" t="inlineStr">
        <is>
          <t xml:space="preserve">    meta</t>
        </is>
      </c>
    </row>
    <row r="39">
      <c r="B39" s="56" t="inlineStr">
        <is>
          <t xml:space="preserve">    [</t>
        </is>
      </c>
    </row>
    <row r="40">
      <c r="B40" s="56" t="inlineStr">
        <is>
          <t xml:space="preserve">        IsParameterQuery = true,</t>
        </is>
      </c>
    </row>
    <row r="41">
      <c r="B41" s="56" t="inlineStr">
        <is>
          <t xml:space="preserve">        List = null,</t>
        </is>
      </c>
    </row>
    <row r="42">
      <c r="B42" s="56" t="inlineStr">
        <is>
          <t xml:space="preserve">        DefaultValue = null,</t>
        </is>
      </c>
    </row>
    <row r="43">
      <c r="B43" s="56" t="inlineStr">
        <is>
          <t xml:space="preserve">        Type = "Text",</t>
        </is>
      </c>
    </row>
    <row r="44">
      <c r="B44" s="56" t="inlineStr">
        <is>
          <t xml:space="preserve">        IsParameterQueryRequired = true</t>
        </is>
      </c>
    </row>
    <row r="45">
      <c r="B45" s="56" t="inlineStr">
        <is>
          <t xml:space="preserve">    ]</t>
        </is>
      </c>
    </row>
    <row r="48">
      <c r="B48" s="55" t="inlineStr">
        <is>
          <t>// ============================================================================</t>
        </is>
      </c>
    </row>
    <row r="49">
      <c r="B49" s="55" t="inlineStr">
        <is>
          <t>// Consulta: Ventas   (TABLA DE HECHOS)</t>
        </is>
      </c>
    </row>
    <row r="50">
      <c r="B50" s="55" t="inlineStr">
        <is>
          <t>// ----------------------------------------------------------------------------</t>
        </is>
      </c>
    </row>
    <row r="51">
      <c r="B51" s="55" t="inlineStr">
        <is>
          <t>// Origen: ventas_historicas.csv (transaccional historico, delimitado por ";")</t>
        </is>
      </c>
    </row>
    <row r="52">
      <c r="B52" s="55" t="inlineStr">
        <is>
          <t>// Destino: Solo crear conexion + Agregar al Modelo de datos</t>
        </is>
      </c>
    </row>
    <row r="53">
      <c r="B53" s="55" t="inlineStr">
        <is>
          <t>//</t>
        </is>
      </c>
    </row>
    <row r="54">
      <c r="B54" s="55" t="inlineStr">
        <is>
          <t>// Los pasos estan renombrados a mano en el Editor Avanzado: en lugar de los</t>
        </is>
      </c>
    </row>
    <row r="55">
      <c r="B55" s="55" t="inlineStr">
        <is>
          <t>// #"Tipo cambiado", #"Filas filtradas1", #"Personalizada agregada2" que genera</t>
        </is>
      </c>
    </row>
    <row r="56">
      <c r="B56" s="55" t="inlineStr">
        <is>
          <t>// la interfaz, cada paso dice que hace. El orden tambien esta pensado: se filtra</t>
        </is>
      </c>
    </row>
    <row r="57">
      <c r="B57" s="55" t="inlineStr">
        <is>
          <t>// ANTES de calcular columnas, para no gastar CPU en filas que se van a descartar.</t>
        </is>
      </c>
    </row>
    <row r="58">
      <c r="B58" s="55" t="inlineStr">
        <is>
          <t>// ============================================================================</t>
        </is>
      </c>
    </row>
    <row r="59">
      <c r="B59" s="56" t="inlineStr">
        <is>
          <t>let</t>
        </is>
      </c>
    </row>
    <row r="60">
      <c r="B60" s="56" t="inlineStr">
        <is>
          <t xml:space="preserve">    OrigenCSV = Csv.Document(</t>
        </is>
      </c>
    </row>
    <row r="61">
      <c r="B61" s="56" t="inlineStr">
        <is>
          <t xml:space="preserve">        File.Contents(RutaDatos &amp; "ventas_historicas.csv"),</t>
        </is>
      </c>
    </row>
    <row r="62">
      <c r="B62" s="56" t="inlineStr">
        <is>
          <t xml:space="preserve">        [Delimiter = ";", Encoding = 65001, QuoteStyle = QuoteStyle.None]</t>
        </is>
      </c>
    </row>
    <row r="63">
      <c r="B63" s="56" t="inlineStr">
        <is>
          <t xml:space="preserve">    ),</t>
        </is>
      </c>
    </row>
    <row r="64">
      <c r="B64" s="56" t="n"/>
    </row>
    <row r="65">
      <c r="B65" s="56" t="inlineStr">
        <is>
          <t xml:space="preserve">    EncabezadosPromovidos = Table.PromoteHeaders(OrigenCSV, [PromoteAllScalars = true]),</t>
        </is>
      </c>
    </row>
    <row r="66">
      <c r="B66" s="56" t="n"/>
    </row>
    <row r="67">
      <c r="B67" s="55" t="inlineStr">
        <is>
          <t xml:space="preserve">    // --- 1. Tipado explicito -------------------------------------------------</t>
        </is>
      </c>
    </row>
    <row r="68">
      <c r="B68" s="55" t="inlineStr">
        <is>
          <t xml:space="preserve">    // Cultura "es-AR" para la fecha (dd/mm/aaaa) y "en-US" para los importes,</t>
        </is>
      </c>
    </row>
    <row r="69">
      <c r="B69" s="55" t="inlineStr">
        <is>
          <t xml:space="preserve">    // que en el CSV vienen con punto decimal. Sin esto Excel interpreta mal ambos.</t>
        </is>
      </c>
    </row>
    <row r="70">
      <c r="B70" s="56" t="inlineStr">
        <is>
          <t xml:space="preserve">    TiposCorregidos = Table.TransformColumnTypes(</t>
        </is>
      </c>
    </row>
    <row r="71">
      <c r="B71" s="56" t="inlineStr">
        <is>
          <t xml:space="preserve">        EncabezadosPromovidos,</t>
        </is>
      </c>
    </row>
    <row r="72">
      <c r="B72" s="56" t="inlineStr">
        <is>
          <t xml:space="preserve">        {</t>
        </is>
      </c>
    </row>
    <row r="73">
      <c r="B73" s="56" t="inlineStr">
        <is>
          <t xml:space="preserve">            {"ID_Venta", type text},</t>
        </is>
      </c>
    </row>
    <row r="74">
      <c r="B74" s="56" t="inlineStr">
        <is>
          <t xml:space="preserve">            {"ID_Cliente", type text},</t>
        </is>
      </c>
    </row>
    <row r="75">
      <c r="B75" s="56" t="inlineStr">
        <is>
          <t xml:space="preserve">            {"ID_Producto", type text},</t>
        </is>
      </c>
    </row>
    <row r="76">
      <c r="B76" s="56" t="inlineStr">
        <is>
          <t xml:space="preserve">            {"Unidades", Int64.Type},</t>
        </is>
      </c>
    </row>
    <row r="77">
      <c r="B77" s="56" t="inlineStr">
        <is>
          <t xml:space="preserve">            {"Descuento", type number},</t>
        </is>
      </c>
    </row>
    <row r="78">
      <c r="B78" s="56" t="inlineStr">
        <is>
          <t xml:space="preserve">            {"Canal", type text},</t>
        </is>
      </c>
    </row>
    <row r="79">
      <c r="B79" s="56" t="inlineStr">
        <is>
          <t xml:space="preserve">            {"Estado", type text}</t>
        </is>
      </c>
    </row>
    <row r="80">
      <c r="B80" s="56" t="inlineStr">
        <is>
          <t xml:space="preserve">        }</t>
        </is>
      </c>
    </row>
    <row r="81">
      <c r="B81" s="56" t="inlineStr">
        <is>
          <t xml:space="preserve">    ),</t>
        </is>
      </c>
    </row>
    <row r="82">
      <c r="B82" s="56" t="inlineStr">
        <is>
          <t xml:space="preserve">    FechasTipadas = Table.TransformColumnTypes(</t>
        </is>
      </c>
    </row>
    <row r="83">
      <c r="B83" s="56" t="inlineStr">
        <is>
          <t xml:space="preserve">        TiposCorregidos, {{"Fecha", type date}}, "es-AR"</t>
        </is>
      </c>
    </row>
    <row r="84">
      <c r="B84" s="56" t="inlineStr">
        <is>
          <t xml:space="preserve">    ),</t>
        </is>
      </c>
    </row>
    <row r="85">
      <c r="B85" s="56" t="inlineStr">
        <is>
          <t xml:space="preserve">    ImportesTipados = Table.TransformColumnTypes(</t>
        </is>
      </c>
    </row>
    <row r="86">
      <c r="B86" s="56" t="inlineStr">
        <is>
          <t xml:space="preserve">        FechasTipadas,</t>
        </is>
      </c>
    </row>
    <row r="87">
      <c r="B87" s="56" t="inlineStr">
        <is>
          <t xml:space="preserve">        {{"Precio_Unitario", type number}, {"Costo_Unitario", type number}},</t>
        </is>
      </c>
    </row>
    <row r="88">
      <c r="B88" s="56" t="inlineStr">
        <is>
          <t xml:space="preserve">        "en-US"</t>
        </is>
      </c>
    </row>
    <row r="89">
      <c r="B89" s="56" t="inlineStr">
        <is>
          <t xml:space="preserve">    ),</t>
        </is>
      </c>
    </row>
    <row r="90">
      <c r="B90" s="56" t="n"/>
    </row>
    <row r="91">
      <c r="B91" s="55" t="inlineStr">
        <is>
          <t xml:space="preserve">    // --- 2. Limpieza de nulos y errores --------------------------------------</t>
        </is>
      </c>
    </row>
    <row r="92">
      <c r="B92" s="55" t="inlineStr">
        <is>
          <t xml:space="preserve">    // "n/d" en Precio_Unitario quedo como error tras el tipado: se elimina aca.</t>
        </is>
      </c>
    </row>
    <row r="93">
      <c r="B93" s="56" t="inlineStr">
        <is>
          <t xml:space="preserve">    SinErroresDeTipado = Table.RemoveRowsWithErrors(</t>
        </is>
      </c>
    </row>
    <row r="94">
      <c r="B94" s="56" t="inlineStr">
        <is>
          <t xml:space="preserve">        ImportesTipados, {"Precio_Unitario", "Costo_Unitario", "Fecha"}</t>
        </is>
      </c>
    </row>
    <row r="95">
      <c r="B95" s="56" t="inlineStr">
        <is>
          <t xml:space="preserve">    ),</t>
        </is>
      </c>
    </row>
    <row r="96">
      <c r="B96" s="56" t="n"/>
    </row>
    <row r="97">
      <c r="B97" s="56" t="inlineStr">
        <is>
          <t xml:space="preserve">    SinNulosCriticos = Table.SelectRows(</t>
        </is>
      </c>
    </row>
    <row r="98">
      <c r="B98" s="56" t="inlineStr">
        <is>
          <t xml:space="preserve">        SinErroresDeTipado,</t>
        </is>
      </c>
    </row>
    <row r="99">
      <c r="B99" s="56" t="inlineStr">
        <is>
          <t xml:space="preserve">        each [Unidades] &lt;&gt; null</t>
        </is>
      </c>
    </row>
    <row r="100">
      <c r="B100" s="56" t="inlineStr">
        <is>
          <t xml:space="preserve">            and [ID_Cliente] &lt;&gt; null and [ID_Cliente] &lt;&gt; ""</t>
        </is>
      </c>
    </row>
    <row r="101">
      <c r="B101" s="56" t="inlineStr">
        <is>
          <t xml:space="preserve">            and [ID_Producto] &lt;&gt; null and [ID_Producto] &lt;&gt; ""</t>
        </is>
      </c>
    </row>
    <row r="102">
      <c r="B102" s="56" t="inlineStr">
        <is>
          <t xml:space="preserve">    ),</t>
        </is>
      </c>
    </row>
    <row r="103">
      <c r="B103" s="56" t="n"/>
    </row>
    <row r="104">
      <c r="B104" s="55" t="inlineStr">
        <is>
          <t xml:space="preserve">    // --- 3. Filtrado estrategico ---------------------------------------------</t>
        </is>
      </c>
    </row>
    <row r="105">
      <c r="B105" s="55" t="inlineStr">
        <is>
          <t xml:space="preserve">    // ESTE es el paso renombrado que pide la consigna (la interfaz lo llamaba</t>
        </is>
      </c>
    </row>
    <row r="106">
      <c r="B106" s="55" t="inlineStr">
        <is>
          <t xml:space="preserve">    // #"Filas filtradas2"). Regla de negocio: las ventas anuladas no son ventas.</t>
        </is>
      </c>
    </row>
    <row r="107">
      <c r="B107" s="56" t="inlineStr">
        <is>
          <t xml:space="preserve">    VentasFiltradas = Table.SelectRows(SinNulosCriticos, each [Estado] = "Confirmada"),</t>
        </is>
      </c>
    </row>
    <row r="108">
      <c r="B108" s="56" t="n"/>
    </row>
    <row r="109">
      <c r="B109" s="55" t="inlineStr">
        <is>
          <t xml:space="preserve">    // Duplicados exactos por ID_Venta: se conserva la primera ocurrencia</t>
        </is>
      </c>
    </row>
    <row r="110">
      <c r="B110" s="56" t="inlineStr">
        <is>
          <t xml:space="preserve">    SinDuplicados = Table.Distinct(VentasFiltradas, {"ID_Venta"}),</t>
        </is>
      </c>
    </row>
    <row r="111">
      <c r="B111" s="56" t="n"/>
    </row>
    <row r="112">
      <c r="B112" s="55" t="inlineStr">
        <is>
          <t xml:space="preserve">    // --- 4. Estandarizacion de texto -----------------------------------------</t>
        </is>
      </c>
    </row>
    <row r="113">
      <c r="B113" s="55" t="inlineStr">
        <is>
          <t xml:space="preserve">    // "online" / "ONLINE" / "Online" son el mismo canal: si no se unifica, la</t>
        </is>
      </c>
    </row>
    <row r="114">
      <c r="B114" s="55" t="inlineStr">
        <is>
          <t xml:space="preserve">    // dimension se rompe y el grafico muestra tres barras donde deberia haber una.</t>
        </is>
      </c>
    </row>
    <row r="115">
      <c r="B115" s="56" t="inlineStr">
        <is>
          <t xml:space="preserve">    CanalEstandarizado = Table.TransformColumns(</t>
        </is>
      </c>
    </row>
    <row r="116">
      <c r="B116" s="56" t="inlineStr">
        <is>
          <t xml:space="preserve">        SinDuplicados, {{"Canal", each Text.Proper(Text.Trim(_)), type text}}</t>
        </is>
      </c>
    </row>
    <row r="117">
      <c r="B117" s="56" t="inlineStr">
        <is>
          <t xml:space="preserve">    ),</t>
        </is>
      </c>
    </row>
    <row r="118">
      <c r="B118" s="56" t="n"/>
    </row>
    <row r="119">
      <c r="B119" s="55" t="inlineStr">
        <is>
          <t xml:space="preserve">    // --- 5. Columnas calculadas (solo sobre filas ya depuradas) --------------</t>
        </is>
      </c>
    </row>
    <row r="120">
      <c r="B120" s="56" t="inlineStr">
        <is>
          <t xml:space="preserve">    ConImporteBruto = Table.AddColumn(</t>
        </is>
      </c>
    </row>
    <row r="121">
      <c r="B121" s="56" t="inlineStr">
        <is>
          <t xml:space="preserve">        CanalEstandarizado, "Importe_Bruto",</t>
        </is>
      </c>
    </row>
    <row r="122">
      <c r="B122" s="56" t="inlineStr">
        <is>
          <t xml:space="preserve">        each [Unidades] * [Precio_Unitario], type number</t>
        </is>
      </c>
    </row>
    <row r="123">
      <c r="B123" s="56" t="inlineStr">
        <is>
          <t xml:space="preserve">    ),</t>
        </is>
      </c>
    </row>
    <row r="124">
      <c r="B124" s="56" t="inlineStr">
        <is>
          <t xml:space="preserve">    ConImporteNeto = Table.AddColumn(</t>
        </is>
      </c>
    </row>
    <row r="125">
      <c r="B125" s="56" t="inlineStr">
        <is>
          <t xml:space="preserve">        ConImporteBruto, "Importe_Neto",</t>
        </is>
      </c>
    </row>
    <row r="126">
      <c r="B126" s="56" t="inlineStr">
        <is>
          <t xml:space="preserve">        each [Importe_Bruto] * (1 - [Descuento]), Currency.Type</t>
        </is>
      </c>
    </row>
    <row r="127">
      <c r="B127" s="56" t="inlineStr">
        <is>
          <t xml:space="preserve">    ),</t>
        </is>
      </c>
    </row>
    <row r="128">
      <c r="B128" s="56" t="inlineStr">
        <is>
          <t xml:space="preserve">    ConCostoTotal = Table.AddColumn(</t>
        </is>
      </c>
    </row>
    <row r="129">
      <c r="B129" s="56" t="inlineStr">
        <is>
          <t xml:space="preserve">        ConImporteNeto, "Costo_Total",</t>
        </is>
      </c>
    </row>
    <row r="130">
      <c r="B130" s="56" t="inlineStr">
        <is>
          <t xml:space="preserve">        each [Unidades] * [Costo_Unitario], Currency.Type</t>
        </is>
      </c>
    </row>
    <row r="131">
      <c r="B131" s="56" t="inlineStr">
        <is>
          <t xml:space="preserve">    ),</t>
        </is>
      </c>
    </row>
    <row r="132">
      <c r="B132" s="56" t="n"/>
    </row>
    <row r="133">
      <c r="B133" s="55" t="inlineStr">
        <is>
          <t xml:space="preserve">    // --- 6. Reduccion del modelo ---------------------------------------------</t>
        </is>
      </c>
    </row>
    <row r="134">
      <c r="B134" s="55" t="inlineStr">
        <is>
          <t xml:space="preserve">    // Menos columnas = menos memoria en el motor xVelocity. Precio_Unitario y</t>
        </is>
      </c>
    </row>
    <row r="135">
      <c r="B135" s="55" t="inlineStr">
        <is>
          <t xml:space="preserve">    // Costo_Unitario ya estan absorbidos en las columnas de importe, y las</t>
        </is>
      </c>
    </row>
    <row r="136">
      <c r="B136" s="55" t="inlineStr">
        <is>
          <t xml:space="preserve">    // descriptivas (Cliente, Producto) viven en las dimensiones, no en los hechos.</t>
        </is>
      </c>
    </row>
    <row r="137">
      <c r="B137" s="56" t="inlineStr">
        <is>
          <t xml:space="preserve">    HechosFinales = Table.SelectColumns(</t>
        </is>
      </c>
    </row>
    <row r="138">
      <c r="B138" s="56" t="inlineStr">
        <is>
          <t xml:space="preserve">        ConCostoTotal,</t>
        </is>
      </c>
    </row>
    <row r="139">
      <c r="B139" s="56" t="inlineStr">
        <is>
          <t xml:space="preserve">        {</t>
        </is>
      </c>
    </row>
    <row r="140">
      <c r="B140" s="56" t="inlineStr">
        <is>
          <t xml:space="preserve">            "ID_Venta", "Fecha", "ID_Cliente", "ID_Producto",</t>
        </is>
      </c>
    </row>
    <row r="141">
      <c r="B141" s="56" t="inlineStr">
        <is>
          <t xml:space="preserve">            "Canal", "Unidades", "Importe_Bruto", "Importe_Neto", "Costo_Total"</t>
        </is>
      </c>
    </row>
    <row r="142">
      <c r="B142" s="56" t="inlineStr">
        <is>
          <t xml:space="preserve">        }</t>
        </is>
      </c>
    </row>
    <row r="143">
      <c r="B143" s="56" t="inlineStr">
        <is>
          <t xml:space="preserve">    )</t>
        </is>
      </c>
    </row>
    <row r="144">
      <c r="B144" s="56" t="inlineStr">
        <is>
          <t>in</t>
        </is>
      </c>
    </row>
    <row r="145">
      <c r="B145" s="56" t="inlineStr">
        <is>
          <t xml:space="preserve">    HechosFinales</t>
        </is>
      </c>
    </row>
    <row r="148">
      <c r="B148" s="55" t="inlineStr">
        <is>
          <t>// ============================================================================</t>
        </is>
      </c>
    </row>
    <row r="149">
      <c r="B149" s="55" t="inlineStr">
        <is>
          <t>// LAS TRES DIMENSIONES DEL ESQUEMA EN ESTRELLA</t>
        </is>
      </c>
    </row>
    <row r="150">
      <c r="B150" s="55" t="inlineStr">
        <is>
          <t>// Cada bloque es una consulta independiente. Copiar cada let...in por separado</t>
        </is>
      </c>
    </row>
    <row r="151">
      <c r="B151" s="55" t="inlineStr">
        <is>
          <t>// en su propio Editor Avanzado.</t>
        </is>
      </c>
    </row>
    <row r="152">
      <c r="B152" s="55" t="inlineStr">
        <is>
          <t>// Destino de las tres: Solo crear conexion + Agregar al Modelo de datos</t>
        </is>
      </c>
    </row>
    <row r="153">
      <c r="B153" s="55" t="inlineStr">
        <is>
          <t>// ============================================================================</t>
        </is>
      </c>
    </row>
    <row r="154">
      <c r="B154" s="56" t="n"/>
    </row>
    <row r="155">
      <c r="B155" s="56" t="n"/>
    </row>
    <row r="156">
      <c r="B156" s="55" t="inlineStr">
        <is>
          <t>// ############################################################################</t>
        </is>
      </c>
    </row>
    <row r="157">
      <c r="B157" s="55" t="inlineStr">
        <is>
          <t>// Consulta: Clientes        Origen: maestras.xlsx, tabla tbl_Clientes</t>
        </is>
      </c>
    </row>
    <row r="158">
      <c r="B158" s="55" t="inlineStr">
        <is>
          <t>// ############################################################################</t>
        </is>
      </c>
    </row>
    <row r="159">
      <c r="B159" s="56" t="inlineStr">
        <is>
          <t>let</t>
        </is>
      </c>
    </row>
    <row r="160">
      <c r="B160" s="56" t="inlineStr">
        <is>
          <t xml:space="preserve">    LibroMaestras = Excel.Workbook(</t>
        </is>
      </c>
    </row>
    <row r="161">
      <c r="B161" s="56" t="inlineStr">
        <is>
          <t xml:space="preserve">        File.Contents(RutaDatos &amp; "maestras.xlsx"), null, true</t>
        </is>
      </c>
    </row>
    <row r="162">
      <c r="B162" s="56" t="inlineStr">
        <is>
          <t xml:space="preserve">    ),</t>
        </is>
      </c>
    </row>
    <row r="163">
      <c r="B163" s="56" t="n"/>
    </row>
    <row r="164">
      <c r="B164" s="55" t="inlineStr">
        <is>
          <t xml:space="preserve">    // Se toma la TABLA con nombre, no la hoja: si alguien inserta filas arriba</t>
        </is>
      </c>
    </row>
    <row r="165">
      <c r="B165" s="55" t="inlineStr">
        <is>
          <t xml:space="preserve">    // la consulta no se rompe, cosa que si pasa al apuntar a la hoja entera.</t>
        </is>
      </c>
    </row>
    <row r="166">
      <c r="B166" s="56" t="inlineStr">
        <is>
          <t xml:space="preserve">    TablaClientes = LibroMaestras{[Item = "tbl_Clientes", Kind = "Table"]}[Data],</t>
        </is>
      </c>
    </row>
    <row r="167">
      <c r="B167" s="56" t="n"/>
    </row>
    <row r="168">
      <c r="B168" s="56" t="inlineStr">
        <is>
          <t xml:space="preserve">    TiposClientes = Table.TransformColumnTypes(</t>
        </is>
      </c>
    </row>
    <row r="169">
      <c r="B169" s="56" t="inlineStr">
        <is>
          <t xml:space="preserve">        TablaClientes,</t>
        </is>
      </c>
    </row>
    <row r="170">
      <c r="B170" s="56" t="inlineStr">
        <is>
          <t xml:space="preserve">        {</t>
        </is>
      </c>
    </row>
    <row r="171">
      <c r="B171" s="56" t="inlineStr">
        <is>
          <t xml:space="preserve">            {"ID_Cliente", type text},</t>
        </is>
      </c>
    </row>
    <row r="172">
      <c r="B172" s="56" t="inlineStr">
        <is>
          <t xml:space="preserve">            {"Cliente", type text},</t>
        </is>
      </c>
    </row>
    <row r="173">
      <c r="B173" s="56" t="inlineStr">
        <is>
          <t xml:space="preserve">            {"Region", type text},</t>
        </is>
      </c>
    </row>
    <row r="174">
      <c r="B174" s="56" t="inlineStr">
        <is>
          <t xml:space="preserve">            {"Segmento", type text},</t>
        </is>
      </c>
    </row>
    <row r="175">
      <c r="B175" s="56" t="inlineStr">
        <is>
          <t xml:space="preserve">            {"Antiguedad_Anios", Int64.Type}</t>
        </is>
      </c>
    </row>
    <row r="176">
      <c r="B176" s="56" t="inlineStr">
        <is>
          <t xml:space="preserve">        }</t>
        </is>
      </c>
    </row>
    <row r="177">
      <c r="B177" s="56" t="inlineStr">
        <is>
          <t xml:space="preserve">    ),</t>
        </is>
      </c>
    </row>
    <row r="178">
      <c r="B178" s="56" t="n"/>
    </row>
    <row r="179">
      <c r="B179" s="55" t="inlineStr">
        <is>
          <t xml:space="preserve">    // La clave primaria no admite nulos ni repetidos: si los tuviera, la</t>
        </is>
      </c>
    </row>
    <row r="180">
      <c r="B180" s="55" t="inlineStr">
        <is>
          <t xml:space="preserve">    // relacion 1:N contra la tabla de hechos fallaria al crearse.</t>
        </is>
      </c>
    </row>
    <row r="181">
      <c r="B181" s="56" t="inlineStr">
        <is>
          <t xml:space="preserve">    ClavesValidas = Table.SelectRows(</t>
        </is>
      </c>
    </row>
    <row r="182">
      <c r="B182" s="56" t="inlineStr">
        <is>
          <t xml:space="preserve">        TiposClientes, each [ID_Cliente] &lt;&gt; null and [ID_Cliente] &lt;&gt; ""</t>
        </is>
      </c>
    </row>
    <row r="183">
      <c r="B183" s="56" t="inlineStr">
        <is>
          <t xml:space="preserve">    ),</t>
        </is>
      </c>
    </row>
    <row r="184">
      <c r="B184" s="56" t="inlineStr">
        <is>
          <t xml:space="preserve">    DimClientes = Table.Distinct(ClavesValidas, {"ID_Cliente"})</t>
        </is>
      </c>
    </row>
    <row r="185">
      <c r="B185" s="56" t="inlineStr">
        <is>
          <t>in</t>
        </is>
      </c>
    </row>
    <row r="186">
      <c r="B186" s="56" t="inlineStr">
        <is>
          <t xml:space="preserve">    DimClientes</t>
        </is>
      </c>
    </row>
    <row r="187">
      <c r="B187" s="56" t="n"/>
    </row>
    <row r="188">
      <c r="B188" s="56" t="n"/>
    </row>
    <row r="189">
      <c r="B189" s="55" t="inlineStr">
        <is>
          <t>// ############################################################################</t>
        </is>
      </c>
    </row>
    <row r="190">
      <c r="B190" s="55" t="inlineStr">
        <is>
          <t>// Consulta: Productos       Origen: maestras.xlsx, tabla tbl_Productos</t>
        </is>
      </c>
    </row>
    <row r="191">
      <c r="B191" s="55" t="inlineStr">
        <is>
          <t>// ############################################################################</t>
        </is>
      </c>
    </row>
    <row r="192">
      <c r="B192" s="56" t="inlineStr">
        <is>
          <t>let</t>
        </is>
      </c>
    </row>
    <row r="193">
      <c r="B193" s="56" t="inlineStr">
        <is>
          <t xml:space="preserve">    LibroMaestras = Excel.Workbook(</t>
        </is>
      </c>
    </row>
    <row r="194">
      <c r="B194" s="56" t="inlineStr">
        <is>
          <t xml:space="preserve">        File.Contents(RutaDatos &amp; "maestras.xlsx"), null, true</t>
        </is>
      </c>
    </row>
    <row r="195">
      <c r="B195" s="56" t="inlineStr">
        <is>
          <t xml:space="preserve">    ),</t>
        </is>
      </c>
    </row>
    <row r="196">
      <c r="B196" s="56" t="n"/>
    </row>
    <row r="197">
      <c r="B197" s="56" t="inlineStr">
        <is>
          <t xml:space="preserve">    TablaProductos = LibroMaestras{[Item = "tbl_Productos", Kind = "Table"]}[Data],</t>
        </is>
      </c>
    </row>
    <row r="198">
      <c r="B198" s="56" t="n"/>
    </row>
    <row r="199">
      <c r="B199" s="56" t="inlineStr">
        <is>
          <t xml:space="preserve">    TiposProductos = Table.TransformColumnTypes(</t>
        </is>
      </c>
    </row>
    <row r="200">
      <c r="B200" s="56" t="inlineStr">
        <is>
          <t xml:space="preserve">        TablaProductos,</t>
        </is>
      </c>
    </row>
    <row r="201">
      <c r="B201" s="56" t="inlineStr">
        <is>
          <t xml:space="preserve">        {</t>
        </is>
      </c>
    </row>
    <row r="202">
      <c r="B202" s="56" t="inlineStr">
        <is>
          <t xml:space="preserve">            {"ID_Producto", type text},</t>
        </is>
      </c>
    </row>
    <row r="203">
      <c r="B203" s="56" t="inlineStr">
        <is>
          <t xml:space="preserve">            {"Producto", type text},</t>
        </is>
      </c>
    </row>
    <row r="204">
      <c r="B204" s="56" t="inlineStr">
        <is>
          <t xml:space="preserve">            {"Categoria", type text},</t>
        </is>
      </c>
    </row>
    <row r="205">
      <c r="B205" s="56" t="inlineStr">
        <is>
          <t xml:space="preserve">            {"Subcategoria", type text},</t>
        </is>
      </c>
    </row>
    <row r="206">
      <c r="B206" s="56" t="inlineStr">
        <is>
          <t xml:space="preserve">            {"Costo_Unitario", Currency.Type},</t>
        </is>
      </c>
    </row>
    <row r="207">
      <c r="B207" s="56" t="inlineStr">
        <is>
          <t xml:space="preserve">            {"Precio_Lista", Currency.Type}</t>
        </is>
      </c>
    </row>
    <row r="208">
      <c r="B208" s="56" t="inlineStr">
        <is>
          <t xml:space="preserve">        }</t>
        </is>
      </c>
    </row>
    <row r="209">
      <c r="B209" s="56" t="inlineStr">
        <is>
          <t xml:space="preserve">    ),</t>
        </is>
      </c>
    </row>
    <row r="210">
      <c r="B210" s="56" t="n"/>
    </row>
    <row r="211">
      <c r="B211" s="56" t="inlineStr">
        <is>
          <t xml:space="preserve">    ClavesValidas = Table.SelectRows(</t>
        </is>
      </c>
    </row>
    <row r="212">
      <c r="B212" s="56" t="inlineStr">
        <is>
          <t xml:space="preserve">        TiposProductos, each [ID_Producto] &lt;&gt; null and [ID_Producto] &lt;&gt; ""</t>
        </is>
      </c>
    </row>
    <row r="213">
      <c r="B213" s="56" t="inlineStr">
        <is>
          <t xml:space="preserve">    ),</t>
        </is>
      </c>
    </row>
    <row r="214">
      <c r="B214" s="56" t="n"/>
    </row>
    <row r="215">
      <c r="B215" s="55" t="inlineStr">
        <is>
          <t xml:space="preserve">    // Columna de apoyo para ordenar y agrupar el margen teorico por producto</t>
        </is>
      </c>
    </row>
    <row r="216">
      <c r="B216" s="56" t="inlineStr">
        <is>
          <t xml:space="preserve">    ConMargenLista = Table.AddColumn(</t>
        </is>
      </c>
    </row>
    <row r="217">
      <c r="B217" s="56" t="inlineStr">
        <is>
          <t xml:space="preserve">        ClavesValidas, "Margen_Lista_Pct",</t>
        </is>
      </c>
    </row>
    <row r="218">
      <c r="B218" s="56" t="inlineStr">
        <is>
          <t xml:space="preserve">        each if [Precio_Lista] = 0 then null</t>
        </is>
      </c>
    </row>
    <row r="219">
      <c r="B219" s="56" t="inlineStr">
        <is>
          <t xml:space="preserve">             else ([Precio_Lista] - [Costo_Unitario]) / [Precio_Lista],</t>
        </is>
      </c>
    </row>
    <row r="220">
      <c r="B220" s="56" t="inlineStr">
        <is>
          <t xml:space="preserve">        Percentage.Type</t>
        </is>
      </c>
    </row>
    <row r="221">
      <c r="B221" s="56" t="inlineStr">
        <is>
          <t xml:space="preserve">    ),</t>
        </is>
      </c>
    </row>
    <row r="222">
      <c r="B222" s="56" t="n"/>
    </row>
    <row r="223">
      <c r="B223" s="56" t="inlineStr">
        <is>
          <t xml:space="preserve">    DimProductos = Table.Distinct(ConMargenLista, {"ID_Producto"})</t>
        </is>
      </c>
    </row>
    <row r="224">
      <c r="B224" s="56" t="inlineStr">
        <is>
          <t>in</t>
        </is>
      </c>
    </row>
    <row r="225">
      <c r="B225" s="56" t="inlineStr">
        <is>
          <t xml:space="preserve">    DimProductos</t>
        </is>
      </c>
    </row>
    <row r="226">
      <c r="B226" s="56" t="n"/>
    </row>
    <row r="227">
      <c r="B227" s="56" t="n"/>
    </row>
    <row r="228">
      <c r="B228" s="55" t="inlineStr">
        <is>
          <t>// ############################################################################</t>
        </is>
      </c>
    </row>
    <row r="229">
      <c r="B229" s="55" t="inlineStr">
        <is>
          <t>// Consulta: Calendario      Origen: NINGUNO - generada 100% en lenguaje M</t>
        </is>
      </c>
    </row>
    <row r="230">
      <c r="B230" s="55" t="inlineStr">
        <is>
          <t>// ----------------------------------------------------------------------------</t>
        </is>
      </c>
    </row>
    <row r="231">
      <c r="B231" s="55" t="inlineStr">
        <is>
          <t>// No hay archivo detras de esta tabla: se construye con List.Dates a partir del</t>
        </is>
      </c>
    </row>
    <row r="232">
      <c r="B232" s="55" t="inlineStr">
        <is>
          <t>// rango real de fechas de la tabla de hechos. Si manana llegan ventas de 2027,</t>
        </is>
      </c>
    </row>
    <row r="233">
      <c r="B233" s="55" t="inlineStr">
        <is>
          <t>// el calendario se extiende solo al actualizar. Es el ejemplo mas claro de por</t>
        </is>
      </c>
    </row>
    <row r="234">
      <c r="B234" s="55" t="inlineStr">
        <is>
          <t>// que conviene escribir M a mano en vez de depender de los botones.</t>
        </is>
      </c>
    </row>
    <row r="235">
      <c r="B235" s="55" t="inlineStr">
        <is>
          <t>// ############################################################################</t>
        </is>
      </c>
    </row>
    <row r="236">
      <c r="B236" s="56" t="inlineStr">
        <is>
          <t>let</t>
        </is>
      </c>
    </row>
    <row r="237">
      <c r="B237" s="55" t="inlineStr">
        <is>
          <t xml:space="preserve">    // Se leen los limites reales desde Ventas para no fijar fechas a mano</t>
        </is>
      </c>
    </row>
    <row r="238">
      <c r="B238" s="56" t="inlineStr">
        <is>
          <t xml:space="preserve">    FechaMinima = Date.StartOfYear(List.Min(Ventas[Fecha])),</t>
        </is>
      </c>
    </row>
    <row r="239">
      <c r="B239" s="56" t="inlineStr">
        <is>
          <t xml:space="preserve">    FechaMaxima = Date.EndOfYear(List.Max(Ventas[Fecha])),</t>
        </is>
      </c>
    </row>
    <row r="240">
      <c r="B240" s="56" t="inlineStr">
        <is>
          <t xml:space="preserve">    CantidadDias = Duration.Days(FechaMaxima - FechaMinima) + 1,</t>
        </is>
      </c>
    </row>
    <row r="241">
      <c r="B241" s="56" t="n"/>
    </row>
    <row r="242">
      <c r="B242" s="56" t="inlineStr">
        <is>
          <t xml:space="preserve">    ListaFechas = List.Dates(FechaMinima, CantidadDias, #duration(1, 0, 0, 0)),</t>
        </is>
      </c>
    </row>
    <row r="243">
      <c r="B243" s="56" t="inlineStr">
        <is>
          <t xml:space="preserve">    TablaBase = Table.FromList(</t>
        </is>
      </c>
    </row>
    <row r="244">
      <c r="B244" s="56" t="inlineStr">
        <is>
          <t xml:space="preserve">        ListaFechas, Splitter.SplitByNothing(), {"Fecha"}, null, ExtraValues.Error</t>
        </is>
      </c>
    </row>
    <row r="245">
      <c r="B245" s="56" t="inlineStr">
        <is>
          <t xml:space="preserve">    ),</t>
        </is>
      </c>
    </row>
    <row r="246">
      <c r="B246" s="56" t="inlineStr">
        <is>
          <t xml:space="preserve">    FechaTipada = Table.TransformColumnTypes(TablaBase, {{"Fecha", type date}}),</t>
        </is>
      </c>
    </row>
    <row r="247">
      <c r="B247" s="56" t="n"/>
    </row>
    <row r="248">
      <c r="B248" s="56" t="inlineStr">
        <is>
          <t xml:space="preserve">    ConAnio = Table.AddColumn(FechaTipada, "Anio", each Date.Year([Fecha]), Int64.Type),</t>
        </is>
      </c>
    </row>
    <row r="249">
      <c r="B249" s="56" t="inlineStr">
        <is>
          <t xml:space="preserve">    ConTrimestre = Table.AddColumn(</t>
        </is>
      </c>
    </row>
    <row r="250">
      <c r="B250" s="56" t="inlineStr">
        <is>
          <t xml:space="preserve">        ConAnio, "Trimestre", each "T" &amp; Text.From(Date.QuarterOfYear([Fecha])), type text</t>
        </is>
      </c>
    </row>
    <row r="251">
      <c r="B251" s="56" t="inlineStr">
        <is>
          <t xml:space="preserve">    ),</t>
        </is>
      </c>
    </row>
    <row r="252">
      <c r="B252" s="56" t="inlineStr">
        <is>
          <t xml:space="preserve">    ConMes = Table.AddColumn(ConTrimestre, "Mes", each Date.Month([Fecha]), Int64.Type),</t>
        </is>
      </c>
    </row>
    <row r="253">
      <c r="B253" s="56" t="n"/>
    </row>
    <row r="254">
      <c r="B254" s="55" t="inlineStr">
        <is>
          <t xml:space="preserve">    // Nombre de mes forzado a es-AR: sin la cultura, el idioma depende de la</t>
        </is>
      </c>
    </row>
    <row r="255">
      <c r="B255" s="55" t="inlineStr">
        <is>
          <t xml:space="preserve">    // maquina que actualice y el reporte alterna entre "enero" y "January".</t>
        </is>
      </c>
    </row>
    <row r="256">
      <c r="B256" s="56" t="inlineStr">
        <is>
          <t xml:space="preserve">    ConNombreMes = Table.AddColumn(</t>
        </is>
      </c>
    </row>
    <row r="257">
      <c r="B257" s="56" t="inlineStr">
        <is>
          <t xml:space="preserve">        ConMes, "Nombre_Mes",</t>
        </is>
      </c>
    </row>
    <row r="258">
      <c r="B258" s="56" t="inlineStr">
        <is>
          <t xml:space="preserve">        each Text.Proper(Date.ToText([Fecha], "MMMM", "es-AR")), type text</t>
        </is>
      </c>
    </row>
    <row r="259">
      <c r="B259" s="56" t="inlineStr">
        <is>
          <t xml:space="preserve">    ),</t>
        </is>
      </c>
    </row>
    <row r="260">
      <c r="B260" s="56" t="inlineStr">
        <is>
          <t xml:space="preserve">    ConAnioMes = Table.AddColumn(</t>
        </is>
      </c>
    </row>
    <row r="261">
      <c r="B261" s="56" t="inlineStr">
        <is>
          <t xml:space="preserve">        ConNombreMes, "Anio_Mes",</t>
        </is>
      </c>
    </row>
    <row r="262">
      <c r="B262" s="56" t="inlineStr">
        <is>
          <t xml:space="preserve">        each Text.From([Anio]) &amp; "-" &amp; Text.PadStart(Text.From([Mes]), 2, "0"), type text</t>
        </is>
      </c>
    </row>
    <row r="263">
      <c r="B263" s="56" t="inlineStr">
        <is>
          <t xml:space="preserve">    ),</t>
        </is>
      </c>
    </row>
    <row r="264">
      <c r="B264" s="56" t="inlineStr">
        <is>
          <t xml:space="preserve">    ConDiaSemana = Table.AddColumn(</t>
        </is>
      </c>
    </row>
    <row r="265">
      <c r="B265" s="56" t="inlineStr">
        <is>
          <t xml:space="preserve">        ConAnioMes, "Dia_Semana",</t>
        </is>
      </c>
    </row>
    <row r="266">
      <c r="B266" s="56" t="inlineStr">
        <is>
          <t xml:space="preserve">        each Text.Proper(Date.ToText([Fecha], "dddd", "es-AR")), type text</t>
        </is>
      </c>
    </row>
    <row r="267">
      <c r="B267" s="56" t="inlineStr">
        <is>
          <t xml:space="preserve">    ),</t>
        </is>
      </c>
    </row>
    <row r="268">
      <c r="B268" s="56" t="inlineStr">
        <is>
          <t xml:space="preserve">    DimCalendario = Table.AddColumn(</t>
        </is>
      </c>
    </row>
    <row r="269">
      <c r="B269" s="56" t="inlineStr">
        <is>
          <t xml:space="preserve">        ConDiaSemana, "Es_Fin_De_Semana",</t>
        </is>
      </c>
    </row>
    <row r="270">
      <c r="B270" s="56" t="inlineStr">
        <is>
          <t xml:space="preserve">        each Date.DayOfWeek([Fecha], Day.Monday) &gt;= 5, type logical</t>
        </is>
      </c>
    </row>
    <row r="271">
      <c r="B271" s="56" t="inlineStr">
        <is>
          <t xml:space="preserve">    )</t>
        </is>
      </c>
    </row>
    <row r="272">
      <c r="B272" s="56" t="inlineStr">
        <is>
          <t>in</t>
        </is>
      </c>
    </row>
    <row r="273">
      <c r="B273" s="56" t="inlineStr">
        <is>
          <t xml:space="preserve">    DimCalendario</t>
        </is>
      </c>
    </row>
  </sheetData>
  <mergeCells count="2">
    <mergeCell ref="B3"/>
    <mergeCell ref="B2"/>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B2:B110"/>
  <sheetViews>
    <sheetView showGridLines="0" workbookViewId="0">
      <selection activeCell="A1" sqref="A1"/>
    </sheetView>
  </sheetViews>
  <sheetFormatPr baseColWidth="8" defaultRowHeight="15"/>
  <cols>
    <col width="3" customWidth="1" min="1" max="1"/>
    <col width="118" customWidth="1" min="2" max="2"/>
  </cols>
  <sheetData>
    <row r="2" ht="26" customHeight="1">
      <c r="B2" s="1" t="inlineStr">
        <is>
          <t xml:space="preserve">  Medidas DAX</t>
        </is>
      </c>
    </row>
    <row r="3" ht="30" customHeight="1">
      <c r="B3" s="7" t="inlineStr">
        <is>
          <t>Anexo de documentacion. El codigo vive de verdad en Power Query / Power Pivot; esta copia es para que el evaluador pueda leerlo sin abrir el editor.</t>
        </is>
      </c>
    </row>
    <row r="5">
      <c r="B5" s="55" t="inlineStr">
        <is>
          <t>// ============================================================================</t>
        </is>
      </c>
    </row>
    <row r="6">
      <c r="B6" s="55" t="inlineStr">
        <is>
          <t>// MEDIDAS DAX  -  Modelo BI  -  Lleyton Murphy</t>
        </is>
      </c>
    </row>
    <row r="7">
      <c r="B7" s="55" t="inlineStr">
        <is>
          <t>// ----------------------------------------------------------------------------</t>
        </is>
      </c>
    </row>
    <row r="8">
      <c r="B8" s="55" t="inlineStr">
        <is>
          <t>// Se crean en Power Pivot &gt; Inicio &gt; Medidas &gt; Nueva medida, con la tabla</t>
        </is>
      </c>
    </row>
    <row r="9">
      <c r="B9" s="55" t="inlineStr">
        <is>
          <t>// Ventas seleccionada. Copiar SOLO la formula (lo que va despues del "=").</t>
        </is>
      </c>
    </row>
    <row r="10">
      <c r="B10" s="55" t="inlineStr">
        <is>
          <t>// ============================================================================</t>
        </is>
      </c>
    </row>
    <row r="11">
      <c r="B11" s="56" t="n"/>
    </row>
    <row r="12">
      <c r="B12" s="56" t="n"/>
    </row>
    <row r="13">
      <c r="B13" s="55" t="inlineStr">
        <is>
          <t>// ----------------------------------------------------------------------------</t>
        </is>
      </c>
    </row>
    <row r="14">
      <c r="B14" s="55" t="inlineStr">
        <is>
          <t>// 1. Total Ventas          [formato: moneda, 0 decimales]</t>
        </is>
      </c>
    </row>
    <row r="15">
      <c r="B15" s="55" t="inlineStr">
        <is>
          <t>// ----------------------------------------------------------------------------</t>
        </is>
      </c>
    </row>
    <row r="16">
      <c r="B16" s="55" t="inlineStr">
        <is>
          <t>// Agregacion simple sobre una columna que ya viene calculada desde Power Query.</t>
        </is>
      </c>
    </row>
    <row r="17">
      <c r="B17" s="56" t="inlineStr">
        <is>
          <t>Total Ventas = SUM ( Ventas[Importe_Neto] )</t>
        </is>
      </c>
    </row>
    <row r="18">
      <c r="B18" s="56" t="n"/>
    </row>
    <row r="19">
      <c r="B19" s="56" t="n"/>
    </row>
    <row r="20">
      <c r="B20" s="55" t="inlineStr">
        <is>
          <t>// ----------------------------------------------------------------------------</t>
        </is>
      </c>
    </row>
    <row r="21">
      <c r="B21" s="55" t="inlineStr">
        <is>
          <t>// 2. Costo Total           [formato: moneda, 0 decimales]</t>
        </is>
      </c>
    </row>
    <row r="22">
      <c r="B22" s="55" t="inlineStr">
        <is>
          <t>// ----------------------------------------------------------------------------</t>
        </is>
      </c>
    </row>
    <row r="23">
      <c r="B23" s="56" t="inlineStr">
        <is>
          <t>Costo Total = SUM ( Ventas[Costo_Total] )</t>
        </is>
      </c>
    </row>
    <row r="24">
      <c r="B24" s="56" t="n"/>
    </row>
    <row r="25">
      <c r="B25" s="56" t="n"/>
    </row>
    <row r="26">
      <c r="B26" s="55" t="inlineStr">
        <is>
          <t>// ----------------------------------------------------------------------------</t>
        </is>
      </c>
    </row>
    <row r="27">
      <c r="B27" s="55" t="inlineStr">
        <is>
          <t>// 3. Margen Neto           [formato: moneda, 0 decimales]   &lt;&lt; VAR / RETURN &gt;&gt;</t>
        </is>
      </c>
    </row>
    <row r="28">
      <c r="B28" s="55" t="inlineStr">
        <is>
          <t>// ----------------------------------------------------------------------------</t>
        </is>
      </c>
    </row>
    <row r="29">
      <c r="B29" s="55" t="inlineStr">
        <is>
          <t>// Las dos agregaciones se resuelven UNA sola vez y quedan en variables. Sin</t>
        </is>
      </c>
    </row>
    <row r="30">
      <c r="B30" s="55" t="inlineStr">
        <is>
          <t>// VAR, cada vez que la expresion se repite el motor vuelve a escanear la</t>
        </is>
      </c>
    </row>
    <row r="31">
      <c r="B31" s="55" t="inlineStr">
        <is>
          <t>// columna; con 1.200 filas no se nota, con 12 millones si.</t>
        </is>
      </c>
    </row>
    <row r="32">
      <c r="B32" s="56" t="inlineStr">
        <is>
          <t>Margen Neto =</t>
        </is>
      </c>
    </row>
    <row r="33">
      <c r="B33" s="56" t="inlineStr">
        <is>
          <t>VAR VentasNetas = [Total Ventas]</t>
        </is>
      </c>
    </row>
    <row r="34">
      <c r="B34" s="56" t="inlineStr">
        <is>
          <t>VAR CostoDeVentas = [Costo Total]</t>
        </is>
      </c>
    </row>
    <row r="35">
      <c r="B35" s="56" t="inlineStr">
        <is>
          <t>VAR Margen = VentasNetas - CostoDeVentas</t>
        </is>
      </c>
    </row>
    <row r="36">
      <c r="B36" s="56" t="inlineStr">
        <is>
          <t>RETURN</t>
        </is>
      </c>
    </row>
    <row r="37">
      <c r="B37" s="56" t="inlineStr">
        <is>
          <t xml:space="preserve">    Margen</t>
        </is>
      </c>
    </row>
    <row r="38">
      <c r="B38" s="56" t="n"/>
    </row>
    <row r="39">
      <c r="B39" s="56" t="n"/>
    </row>
    <row r="40">
      <c r="B40" s="55" t="inlineStr">
        <is>
          <t>// ----------------------------------------------------------------------------</t>
        </is>
      </c>
    </row>
    <row r="41">
      <c r="B41" s="55" t="inlineStr">
        <is>
          <t>// 4. % Margen              [formato: porcentaje, 1 decimal]  &lt;&lt; VAR / RETURN &gt;&gt;</t>
        </is>
      </c>
    </row>
    <row r="42">
      <c r="B42" s="55" t="inlineStr">
        <is>
          <t>// ----------------------------------------------------------------------------</t>
        </is>
      </c>
    </row>
    <row r="43">
      <c r="B43" s="55" t="inlineStr">
        <is>
          <t>// DIVIDE en lugar de "/" evita el error de division por cero sin necesidad de</t>
        </is>
      </c>
    </row>
    <row r="44">
      <c r="B44" s="55" t="inlineStr">
        <is>
          <t>// envolver todo en un IFERROR, que es mas lento.</t>
        </is>
      </c>
    </row>
    <row r="45">
      <c r="B45" s="56" t="inlineStr">
        <is>
          <t>% Margen =</t>
        </is>
      </c>
    </row>
    <row r="46">
      <c r="B46" s="56" t="inlineStr">
        <is>
          <t>VAR VentasNetas = [Total Ventas]</t>
        </is>
      </c>
    </row>
    <row r="47">
      <c r="B47" s="56" t="inlineStr">
        <is>
          <t>VAR Margen = [Margen Neto]</t>
        </is>
      </c>
    </row>
    <row r="48">
      <c r="B48" s="56" t="inlineStr">
        <is>
          <t>RETURN</t>
        </is>
      </c>
    </row>
    <row r="49">
      <c r="B49" s="56" t="inlineStr">
        <is>
          <t xml:space="preserve">    DIVIDE ( Margen, VentasNetas, 0 )</t>
        </is>
      </c>
    </row>
    <row r="50">
      <c r="B50" s="56" t="n"/>
    </row>
    <row r="51">
      <c r="B51" s="56" t="n"/>
    </row>
    <row r="52">
      <c r="B52" s="55" t="inlineStr">
        <is>
          <t>// ----------------------------------------------------------------------------</t>
        </is>
      </c>
    </row>
    <row r="53">
      <c r="B53" s="55" t="inlineStr">
        <is>
          <t>// 5. Ticket Promedio       [formato: moneda, 0 decimales]    &lt;&lt; VAR / RETURN &gt;&gt;</t>
        </is>
      </c>
    </row>
    <row r="54">
      <c r="B54" s="55" t="inlineStr">
        <is>
          <t>// ----------------------------------------------------------------------------</t>
        </is>
      </c>
    </row>
    <row r="55">
      <c r="B55" s="55" t="inlineStr">
        <is>
          <t>// DISTINCTCOUNT sobre la clave del hecho, no COUNTROWS: una misma operacion</t>
        </is>
      </c>
    </row>
    <row r="56">
      <c r="B56" s="55" t="inlineStr">
        <is>
          <t>// puede tener varias filas y el ticket quedaria subestimado.</t>
        </is>
      </c>
    </row>
    <row r="57">
      <c r="B57" s="56" t="inlineStr">
        <is>
          <t>Ticket Promedio =</t>
        </is>
      </c>
    </row>
    <row r="58">
      <c r="B58" s="56" t="inlineStr">
        <is>
          <t>VAR VentasNetas = [Total Ventas]</t>
        </is>
      </c>
    </row>
    <row r="59">
      <c r="B59" s="56" t="inlineStr">
        <is>
          <t>VAR CantidadOperaciones = DISTINCTCOUNT ( Ventas[ID_Venta] )</t>
        </is>
      </c>
    </row>
    <row r="60">
      <c r="B60" s="56" t="inlineStr">
        <is>
          <t>RETURN</t>
        </is>
      </c>
    </row>
    <row r="61">
      <c r="B61" s="56" t="inlineStr">
        <is>
          <t xml:space="preserve">    DIVIDE ( VentasNetas, CantidadOperaciones, 0 )</t>
        </is>
      </c>
    </row>
    <row r="62">
      <c r="B62" s="56" t="n"/>
    </row>
    <row r="63">
      <c r="B63" s="56" t="n"/>
    </row>
    <row r="64">
      <c r="B64" s="55" t="inlineStr">
        <is>
          <t>// ----------------------------------------------------------------------------</t>
        </is>
      </c>
    </row>
    <row r="65">
      <c r="B65" s="55" t="inlineStr">
        <is>
          <t>// 6. Ventas Anio Anterior  [formato: moneda, 0 decimales]    &lt;&lt; VAR / RETURN &gt;&gt;</t>
        </is>
      </c>
    </row>
    <row r="66">
      <c r="B66" s="55" t="inlineStr">
        <is>
          <t>// ----------------------------------------------------------------------------</t>
        </is>
      </c>
    </row>
    <row r="67">
      <c r="B67" s="55" t="inlineStr">
        <is>
          <t>// Requiere que Calendario este marcada como Tabla de fechas (ver instrucciones).</t>
        </is>
      </c>
    </row>
    <row r="68">
      <c r="B68" s="56" t="inlineStr">
        <is>
          <t>Ventas Anio Anterior =</t>
        </is>
      </c>
    </row>
    <row r="69">
      <c r="B69" s="56" t="inlineStr">
        <is>
          <t>VAR VentasPeriodoAnterior =</t>
        </is>
      </c>
    </row>
    <row r="70">
      <c r="B70" s="56" t="inlineStr">
        <is>
          <t xml:space="preserve">    CALCULATE ( [Total Ventas], SAMEPERIODLASTYEAR ( Calendario[Fecha] ) )</t>
        </is>
      </c>
    </row>
    <row r="71">
      <c r="B71" s="56" t="inlineStr">
        <is>
          <t>RETURN</t>
        </is>
      </c>
    </row>
    <row r="72">
      <c r="B72" s="56" t="inlineStr">
        <is>
          <t xml:space="preserve">    VentasPeriodoAnterior</t>
        </is>
      </c>
    </row>
    <row r="73">
      <c r="B73" s="56" t="n"/>
    </row>
    <row r="74">
      <c r="B74" s="56" t="n"/>
    </row>
    <row r="75">
      <c r="B75" s="55" t="inlineStr">
        <is>
          <t>// ----------------------------------------------------------------------------</t>
        </is>
      </c>
    </row>
    <row r="76">
      <c r="B76" s="55" t="inlineStr">
        <is>
          <t>// 7. % Crecimiento Anual   [formato: porcentaje, 1 decimal]  &lt;&lt; VAR / RETURN &gt;&gt;</t>
        </is>
      </c>
    </row>
    <row r="77">
      <c r="B77" s="55" t="inlineStr">
        <is>
          <t>// ----------------------------------------------------------------------------</t>
        </is>
      </c>
    </row>
    <row r="78">
      <c r="B78" s="55" t="inlineStr">
        <is>
          <t>// Caso de manual para VAR: sin variables habria que escribir dos veces la</t>
        </is>
      </c>
    </row>
    <row r="79">
      <c r="B79" s="55" t="inlineStr">
        <is>
          <t>// medida del anio anterior (una para restar y otra para dividir), y el motor</t>
        </is>
      </c>
    </row>
    <row r="80">
      <c r="B80" s="55" t="inlineStr">
        <is>
          <t>// la evaluaria dos veces. Ademas el BLANK() explicito evita mostrar 100% de</t>
        </is>
      </c>
    </row>
    <row r="81">
      <c r="B81" s="55" t="inlineStr">
        <is>
          <t>// crecimiento en el primer anio, donde simplemente no hay comparacion posible.</t>
        </is>
      </c>
    </row>
    <row r="82">
      <c r="B82" s="56" t="inlineStr">
        <is>
          <t>% Crecimiento Anual =</t>
        </is>
      </c>
    </row>
    <row r="83">
      <c r="B83" s="56" t="inlineStr">
        <is>
          <t>VAR VentasActuales = [Total Ventas]</t>
        </is>
      </c>
    </row>
    <row r="84">
      <c r="B84" s="56" t="inlineStr">
        <is>
          <t>VAR VentasPrevias = [Ventas Anio Anterior]</t>
        </is>
      </c>
    </row>
    <row r="85">
      <c r="B85" s="56" t="inlineStr">
        <is>
          <t>VAR Variacion = VentasActuales - VentasPrevias</t>
        </is>
      </c>
    </row>
    <row r="86">
      <c r="B86" s="56" t="inlineStr">
        <is>
          <t>RETURN</t>
        </is>
      </c>
    </row>
    <row r="87">
      <c r="B87" s="56" t="inlineStr">
        <is>
          <t xml:space="preserve">    IF ( VentasPrevias = 0, BLANK ( ), DIVIDE ( Variacion, VentasPrevias ) )</t>
        </is>
      </c>
    </row>
    <row r="88">
      <c r="B88" s="56" t="n"/>
    </row>
    <row r="89">
      <c r="B89" s="56" t="n"/>
    </row>
    <row r="90">
      <c r="B90" s="55" t="inlineStr">
        <is>
          <t>// ============================================================================</t>
        </is>
      </c>
    </row>
    <row r="91">
      <c r="B91" s="55" t="inlineStr">
        <is>
          <t>// NOTA DE OPTIMIZACION  (Paso 4 de la consigna)</t>
        </is>
      </c>
    </row>
    <row r="92">
      <c r="B92" s="55" t="inlineStr">
        <is>
          <t>// ----------------------------------------------------------------------------</t>
        </is>
      </c>
    </row>
    <row r="93">
      <c r="B93" s="55" t="inlineStr">
        <is>
          <t>// La version sin optimizar de "Margen Neto" seria esta:</t>
        </is>
      </c>
    </row>
    <row r="94">
      <c r="B94" s="55" t="inlineStr">
        <is>
          <t>//</t>
        </is>
      </c>
    </row>
    <row r="95">
      <c r="B95" s="55" t="inlineStr">
        <is>
          <t>//     Margen Neto =</t>
        </is>
      </c>
    </row>
    <row r="96">
      <c r="B96" s="55" t="inlineStr">
        <is>
          <t>//     SUMX ( Ventas, Ventas[Unidades] * Ventas[Precio_Unitario] * ( 1 - Ventas[Descuento] ) )</t>
        </is>
      </c>
    </row>
    <row r="97">
      <c r="B97" s="55" t="inlineStr">
        <is>
          <t>//         - SUMX ( Ventas, Ventas[Unidades] * Ventas[Costo_Unitario] )</t>
        </is>
      </c>
    </row>
    <row r="98">
      <c r="B98" s="55" t="inlineStr">
        <is>
          <t>//</t>
        </is>
      </c>
    </row>
    <row r="99">
      <c r="B99" s="55" t="inlineStr">
        <is>
          <t>// Dos iteradores recorriendo la tabla de hechos fila por fila, y cuatro</t>
        </is>
      </c>
    </row>
    <row r="100">
      <c r="B100" s="55" t="inlineStr">
        <is>
          <t>// columnas (Precio_Unitario, Costo_Unitario, Descuento, Unidades) que hay que</t>
        </is>
      </c>
    </row>
    <row r="101">
      <c r="B101" s="55" t="inlineStr">
        <is>
          <t>// mantener en memoria solo para alimentarlos.</t>
        </is>
      </c>
    </row>
    <row r="102">
      <c r="B102" s="55" t="inlineStr">
        <is>
          <t>//</t>
        </is>
      </c>
    </row>
    <row r="103">
      <c r="B103" s="55" t="inlineStr">
        <is>
          <t>// La decision de calcular Importe_Neto y Costo_Total en Power Query, del lado</t>
        </is>
      </c>
    </row>
    <row r="104">
      <c r="B104" s="55" t="inlineStr">
        <is>
          <t>// del ETL, permite reemplazar ambos SUMX por dos SUM sobre columnas ya</t>
        </is>
      </c>
    </row>
    <row r="105">
      <c r="B105" s="55" t="inlineStr">
        <is>
          <t>// materializadas. El motor xVelocity comprime muchisimo mejor una columna de</t>
        </is>
      </c>
    </row>
    <row r="106">
      <c r="B106" s="55" t="inlineStr">
        <is>
          <t>// importes que el producto de cuatro columnas evaluado en tiempo de consulta.</t>
        </is>
      </c>
    </row>
    <row r="107">
      <c r="B107" s="55" t="inlineStr">
        <is>
          <t>//</t>
        </is>
      </c>
    </row>
    <row r="108">
      <c r="B108" s="55" t="inlineStr">
        <is>
          <t>// Efecto combinado con el Table.SelectColumns del final de la consulta Ventas:</t>
        </is>
      </c>
    </row>
    <row r="109">
      <c r="B109" s="55" t="inlineStr">
        <is>
          <t>// la tabla de hechos entra al modelo con 9 columnas en vez de 13.</t>
        </is>
      </c>
    </row>
    <row r="110">
      <c r="B110" s="55" t="inlineStr">
        <is>
          <t>// ============================================================================</t>
        </is>
      </c>
    </row>
  </sheetData>
  <mergeCells count="2">
    <mergeCell ref="B3"/>
    <mergeCell ref="B2"/>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B2:C48"/>
  <sheetViews>
    <sheetView showGridLines="0" workbookViewId="0">
      <selection activeCell="A1" sqref="A1"/>
    </sheetView>
  </sheetViews>
  <sheetFormatPr baseColWidth="8" defaultRowHeight="15"/>
  <cols>
    <col width="3" customWidth="1" min="1" max="1"/>
    <col width="6" customWidth="1" min="2" max="2"/>
    <col width="105" customWidth="1" min="3" max="3"/>
  </cols>
  <sheetData>
    <row r="2" ht="26" customHeight="1">
      <c r="B2" s="1" t="inlineStr">
        <is>
          <t xml:space="preserve">  Pasos que hay que ejecutar dentro de Excel</t>
        </is>
      </c>
    </row>
    <row r="3" ht="32" customHeight="1">
      <c r="B3" s="7" t="inlineStr">
        <is>
          <t>Power Query y Power Pivot guardan su contenido en formatos que solo escribe el propio Excel, asi que estos pasos no se pueden automatizar desde afuera. Son unos 15 minutos. Todo el codigo esta listo para copiar y pegar.</t>
        </is>
      </c>
    </row>
    <row r="5" ht="22" customHeight="1">
      <c r="B5" s="57" t="inlineStr">
        <is>
          <t>A</t>
        </is>
      </c>
      <c r="C5" s="58" t="inlineStr">
        <is>
          <t>CREAR EL PARAMETRO DE RUTA</t>
        </is>
      </c>
    </row>
    <row r="6">
      <c r="C6" s="59" t="inlineStr">
        <is>
          <t>Dejar el .xlsx en una carpeta y el CSV + maestras.xlsx en una subcarpeta</t>
        </is>
      </c>
    </row>
    <row r="7">
      <c r="C7" s="59" t="inlineStr">
        <is>
          <t>llamada 'datos'.</t>
        </is>
      </c>
    </row>
    <row r="8">
      <c r="C8" s="59" t="inlineStr">
        <is>
          <t>Datos &gt; Obtener datos &gt; Iniciar el editor de Power Query.</t>
        </is>
      </c>
    </row>
    <row r="9">
      <c r="C9" s="59" t="inlineStr">
        <is>
          <t>Inicio &gt; Administrar parametros &gt; Nuevo:</t>
        </is>
      </c>
    </row>
    <row r="10">
      <c r="C10" s="59" t="inlineStr">
        <is>
          <t xml:space="preserve">   Nombre: RutaDatos     Tipo: Texto</t>
        </is>
      </c>
    </row>
    <row r="11">
      <c r="C11" s="59" t="inlineStr">
        <is>
          <t xml:space="preserve">   Valor actual: la ruta de esa carpeta 'datos', TERMINADA EN \</t>
        </is>
      </c>
    </row>
    <row r="12">
      <c r="C12" s="59" t="inlineStr">
        <is>
          <t xml:space="preserve">   ejemplo:  C:\Users\Lleyton\Documents\ModeloBI\datos\</t>
        </is>
      </c>
    </row>
    <row r="13">
      <c r="C13" s="59" t="inlineStr">
        <is>
          <t>La celda B3 de la hoja Config tiene ese mismo valor para copiarlo.</t>
        </is>
      </c>
    </row>
    <row r="15" ht="22" customHeight="1">
      <c r="B15" s="57" t="inlineStr">
        <is>
          <t>B</t>
        </is>
      </c>
      <c r="C15" s="58" t="inlineStr">
        <is>
          <t>CREAR LAS 4 CONSULTAS DE POWER QUERY</t>
        </is>
      </c>
    </row>
    <row r="16">
      <c r="C16" s="59" t="inlineStr">
        <is>
          <t>En el editor: Inicio &gt; Nuevos orígenes &gt; Consulta en blanco.</t>
        </is>
      </c>
    </row>
    <row r="17">
      <c r="C17" s="59" t="inlineStr">
        <is>
          <t>En cada consulta: Inicio &gt; Editor avanzado, borrar todo y pegar el bloque</t>
        </is>
      </c>
    </row>
    <row r="18">
      <c r="C18" s="59" t="inlineStr">
        <is>
          <t>correspondiente de la hoja Anexo_Codigo_M. Renombrar la consulta con el</t>
        </is>
      </c>
    </row>
    <row r="19">
      <c r="C19" s="59" t="inlineStr">
        <is>
          <t>nombre exacto del encabezado del bloque.</t>
        </is>
      </c>
    </row>
    <row r="20">
      <c r="C20" s="59" t="inlineStr">
        <is>
          <t>Orden obligatorio: Ventas, Clientes, Productos, Calendario.</t>
        </is>
      </c>
    </row>
    <row r="21">
      <c r="C21" s="59" t="inlineStr">
        <is>
          <t>(Calendario lee de Ventas, asi que Ventas tiene que existir antes.)</t>
        </is>
      </c>
    </row>
    <row r="22">
      <c r="C22" s="59" t="inlineStr">
        <is>
          <t>En las cuatro: Cargar en... &gt; Solo crear conexion + tildar</t>
        </is>
      </c>
    </row>
    <row r="23">
      <c r="C23" s="59" t="inlineStr">
        <is>
          <t>'Agregar estos datos al Modelo de datos'.</t>
        </is>
      </c>
    </row>
    <row r="25" ht="22" customHeight="1">
      <c r="B25" s="57" t="inlineStr">
        <is>
          <t>C</t>
        </is>
      </c>
      <c r="C25" s="58" t="inlineStr">
        <is>
          <t>ARMAR EL ESQUEMA EN ESTRELLA</t>
        </is>
      </c>
    </row>
    <row r="26">
      <c r="C26" s="59" t="inlineStr">
        <is>
          <t>Power Pivot &gt; Administrar &gt; Vista de diagrama.</t>
        </is>
      </c>
    </row>
    <row r="27">
      <c r="C27" s="59" t="inlineStr">
        <is>
          <t>Ubicar Ventas en el centro y las tres dimensiones alrededor.</t>
        </is>
      </c>
    </row>
    <row r="28">
      <c r="C28" s="59" t="inlineStr">
        <is>
          <t>Arrastrar Clientes[ID_Cliente] sobre Ventas[ID_Cliente].</t>
        </is>
      </c>
    </row>
    <row r="29">
      <c r="C29" s="59" t="inlineStr">
        <is>
          <t>Arrastrar Productos[ID_Producto] sobre Ventas[ID_Producto].</t>
        </is>
      </c>
    </row>
    <row r="30">
      <c r="C30" s="59" t="inlineStr">
        <is>
          <t>Arrastrar Calendario[Fecha] sobre Ventas[Fecha].</t>
        </is>
      </c>
    </row>
    <row r="31">
      <c r="C31" s="59" t="inlineStr">
        <is>
          <t>Verificar que el '1' quede del lado de la dimension y el '*' del lado de Ventas.</t>
        </is>
      </c>
    </row>
    <row r="32">
      <c r="C32" s="59" t="inlineStr">
        <is>
          <t>Seleccionar Calendario &gt; Disenio &gt; Marcar como tabla de fechas &gt; Fecha.</t>
        </is>
      </c>
    </row>
    <row r="34" ht="22" customHeight="1">
      <c r="B34" s="57" t="inlineStr">
        <is>
          <t>D</t>
        </is>
      </c>
      <c r="C34" s="58" t="inlineStr">
        <is>
          <t>CARGAR LAS MEDIDAS DAX</t>
        </is>
      </c>
    </row>
    <row r="35">
      <c r="C35" s="59" t="inlineStr">
        <is>
          <t>Power Pivot &gt; Medidas &gt; Nueva medida, con la tabla Ventas seleccionada.</t>
        </is>
      </c>
    </row>
    <row r="36">
      <c r="C36" s="59" t="inlineStr">
        <is>
          <t>Crear las 7 medidas de la hoja Anexo_Medidas_DAX, en ese orden</t>
        </is>
      </c>
    </row>
    <row r="37">
      <c r="C37" s="59" t="inlineStr">
        <is>
          <t>(las ultimas dependen de las primeras).</t>
        </is>
      </c>
    </row>
    <row r="38">
      <c r="C38" s="59" t="inlineStr">
        <is>
          <t>Nombre de la medida y formato estan indicados arriba de cada formula.</t>
        </is>
      </c>
    </row>
    <row r="40" ht="22" customHeight="1">
      <c r="B40" s="57" t="inlineStr">
        <is>
          <t>E</t>
        </is>
      </c>
      <c r="C40" s="58" t="inlineStr">
        <is>
          <t>VERIFICAR LA SIMULACION</t>
        </is>
      </c>
    </row>
    <row r="41">
      <c r="C41" s="59" t="inlineStr">
        <is>
          <t>Los tres escenarios ya estan guardados en el libro: Datos &gt; Analisis de</t>
        </is>
      </c>
    </row>
    <row r="42">
      <c r="C42" s="59" t="inlineStr">
        <is>
          <t>hipotesis &gt; Administrador de escenarios y aparecen Pesimista, Base y Optimista.</t>
        </is>
      </c>
    </row>
    <row r="43">
      <c r="C43" s="59" t="inlineStr">
        <is>
          <t>Buscar objetivo: celda C24, valor de C28, cambiando C10.</t>
        </is>
      </c>
    </row>
    <row r="44">
      <c r="C44" s="59" t="inlineStr">
        <is>
          <t>Tiene que dar 9.181 unidades aprox. Deshacer con Ctrl+Z despues.</t>
        </is>
      </c>
    </row>
    <row r="46" ht="22" customHeight="1">
      <c r="B46" s="57" t="inlineStr">
        <is>
          <t>F</t>
        </is>
      </c>
      <c r="C46" s="58" t="inlineStr">
        <is>
          <t>GUARDAR</t>
        </is>
      </c>
    </row>
    <row r="47">
      <c r="C47" s="59" t="inlineStr">
        <is>
          <t>Guardar como .xlsx manteniendo el nombre PreEntrega_ModeloBI_MurphyLleyton.</t>
        </is>
      </c>
    </row>
    <row r="48">
      <c r="C48" s="59" t="inlineStr">
        <is>
          <t>Al guardar, el modelo de Power Pivot y las consultas quedan dentro del archivo.</t>
        </is>
      </c>
    </row>
  </sheetData>
  <mergeCells count="2">
    <mergeCell ref="B3:C3"/>
    <mergeCell ref="B2:C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2026-07-30T13:49:37Z</dcterms:created>
  <dcterms:modified xsi:type="dcterms:W3CDTF">2026-07-30T13:49:37Z</dcterms:modified>
</cp:coreProperties>
</file>